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0" yWindow="240" windowWidth="25800" windowHeight="18880" tabRatio="600" firstSheet="0" activeTab="0" autoFilterDateGrouping="1"/>
  </bookViews>
  <sheets>
    <sheet xmlns:r="http://schemas.openxmlformats.org/officeDocument/2006/relationships" name="Carma CCS" sheetId="1" state="visible" r:id="rId1"/>
  </sheets>
  <definedNames>
    <definedName name="_xlnm._FilterDatabase" localSheetId="0" hidden="1">'Carma CCS'!$A$1:$N$2630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0"/>
    <numFmt numFmtId="165" formatCode="0.0000"/>
    <numFmt numFmtId="166" formatCode="0.000"/>
    <numFmt numFmtId="167" formatCode="0.00000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40"/>
  <sheetViews>
    <sheetView tabSelected="1" topLeftCell="A2548" zoomScale="115" zoomScaleNormal="70" workbookViewId="0">
      <selection activeCell="G2565" sqref="G2565"/>
    </sheetView>
  </sheetViews>
  <sheetFormatPr baseColWidth="10" defaultColWidth="8.83203125" defaultRowHeight="15"/>
  <cols>
    <col width="62" customWidth="1" min="1" max="1"/>
    <col width="13.5" bestFit="1" customWidth="1" min="2" max="2"/>
    <col width="11.5" customWidth="1" min="3" max="3"/>
    <col width="15.83203125" customWidth="1" min="4" max="4"/>
    <col width="17.5" customWidth="1" min="5" max="5"/>
    <col width="14.33203125" customWidth="1" min="6" max="6"/>
    <col width="14.1640625" bestFit="1" customWidth="1" min="7" max="7"/>
    <col width="12.1640625" bestFit="1" customWidth="1" min="14" max="14"/>
    <col width="11.83203125" bestFit="1" customWidth="1" min="15" max="15"/>
    <col width="12.1640625" bestFit="1" customWidth="1" min="16" max="16"/>
    <col width="14.5" bestFit="1" customWidth="1" min="20" max="20"/>
    <col width="12.1640625" bestFit="1" customWidth="1" min="21" max="22"/>
  </cols>
  <sheetData>
    <row r="1" ht="16" customHeight="1">
      <c r="A1" s="1" t="inlineStr">
        <is>
          <t>Database</t>
        </is>
      </c>
      <c r="B1" s="1" t="inlineStr">
        <is>
          <t>Carma CCS</t>
        </is>
      </c>
    </row>
    <row r="2"/>
    <row r="3" ht="18" customHeight="1">
      <c r="A3" s="1" t="inlineStr">
        <is>
          <t>Activity</t>
        </is>
      </c>
      <c r="B3" s="1" t="inlineStr">
        <is>
          <t>auto-thermal reforming-hydrogen GT power plant, 400MWe</t>
        </is>
      </c>
    </row>
    <row r="4">
      <c r="A4" t="inlineStr">
        <is>
          <t>location</t>
        </is>
      </c>
      <c r="B4" t="inlineStr">
        <is>
          <t>RER</t>
        </is>
      </c>
    </row>
    <row r="5">
      <c r="A5" t="inlineStr">
        <is>
          <t>production amount</t>
        </is>
      </c>
      <c r="B5" t="n">
        <v>1</v>
      </c>
    </row>
    <row r="6">
      <c r="A6" t="inlineStr">
        <is>
          <t>reference product</t>
        </is>
      </c>
      <c r="B6" t="inlineStr">
        <is>
          <t>auto-thermal reforming-hydrogen GT power plant, 400MWe</t>
        </is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source</t>
        </is>
      </c>
      <c r="B9" t="inlineStr">
        <is>
          <t>Life cycle assessment of carbon capture and storage in power generation and industry in Europe, Volkart et al., 2013, International Journal of Greenhouse Gas Control</t>
        </is>
      </c>
    </row>
    <row r="10" ht="16" customHeight="1">
      <c r="A10" s="1" t="inlineStr">
        <is>
          <t>Exchanges</t>
        </is>
      </c>
    </row>
    <row r="11">
      <c r="A11" t="inlineStr">
        <is>
          <t>name</t>
        </is>
      </c>
      <c r="B11" t="inlineStr">
        <is>
          <t>amount</t>
        </is>
      </c>
      <c r="C11" t="inlineStr">
        <is>
          <t>location</t>
        </is>
      </c>
      <c r="D11" t="inlineStr">
        <is>
          <t>unit</t>
        </is>
      </c>
      <c r="E11" t="inlineStr">
        <is>
          <t>categories</t>
        </is>
      </c>
      <c r="F11" t="inlineStr">
        <is>
          <t>type</t>
        </is>
      </c>
      <c r="G11" t="inlineStr">
        <is>
          <t>uncertainty type</t>
        </is>
      </c>
      <c r="H11" t="inlineStr">
        <is>
          <t>comment</t>
        </is>
      </c>
      <c r="I11" t="inlineStr">
        <is>
          <t>reference product</t>
        </is>
      </c>
    </row>
    <row r="12">
      <c r="A12" t="inlineStr">
        <is>
          <t>Heat, waste</t>
        </is>
      </c>
      <c r="B12" t="n">
        <v>10900000</v>
      </c>
      <c r="D12" t="inlineStr">
        <is>
          <t>megajoule</t>
        </is>
      </c>
      <c r="E12" t="inlineStr">
        <is>
          <t>air::urban air close to ground</t>
        </is>
      </c>
      <c r="F12" t="inlineStr">
        <is>
          <t>biosphere</t>
        </is>
      </c>
      <c r="G12" t="n">
        <v>0</v>
      </c>
      <c r="H12" t="inlineStr">
        <is>
          <t>uncertainty of electricity consumed (see exchange "electricity, medium voltage, production UCTE, at grid")</t>
        </is>
      </c>
    </row>
    <row r="13">
      <c r="A13" t="inlineStr">
        <is>
          <t>Occupation, industrial area</t>
        </is>
      </c>
      <c r="B13" t="n">
        <v>1440000</v>
      </c>
      <c r="D13" t="inlineStr">
        <is>
          <t>square meter-year</t>
        </is>
      </c>
      <c r="E13" t="inlineStr">
        <is>
          <t>natural resource::land</t>
        </is>
      </c>
      <c r="F13" t="inlineStr">
        <is>
          <t>biosphere</t>
        </is>
      </c>
      <c r="G13" t="n">
        <v>0</v>
      </c>
      <c r="H13" t="inlineStr">
        <is>
          <t>uncertainty of land use and life time</t>
        </is>
      </c>
    </row>
    <row r="14">
      <c r="A14" t="inlineStr">
        <is>
          <t>Transformation, from unspecified</t>
        </is>
      </c>
      <c r="B14" t="n">
        <v>40000</v>
      </c>
      <c r="D14" t="inlineStr">
        <is>
          <t>square meter</t>
        </is>
      </c>
      <c r="E14" t="inlineStr">
        <is>
          <t>natural resource::land</t>
        </is>
      </c>
      <c r="F14" t="inlineStr">
        <is>
          <t>biosphere</t>
        </is>
      </c>
      <c r="G14" t="n">
        <v>0</v>
      </c>
      <c r="H14" t="inlineStr">
        <is>
          <t>estimated from range of values in literature</t>
        </is>
      </c>
    </row>
    <row r="15">
      <c r="A15" t="inlineStr">
        <is>
          <t>Transformation, to industrial area</t>
        </is>
      </c>
      <c r="B15" t="n">
        <v>40000</v>
      </c>
      <c r="D15" t="inlineStr">
        <is>
          <t>square meter</t>
        </is>
      </c>
      <c r="E15" t="inlineStr">
        <is>
          <t>natural resource::land</t>
        </is>
      </c>
      <c r="F15" t="inlineStr">
        <is>
          <t>biosphere</t>
        </is>
      </c>
      <c r="G15" t="n">
        <v>0</v>
      </c>
      <c r="H15" t="inlineStr">
        <is>
          <t>estimated from range of values in literature</t>
        </is>
      </c>
    </row>
    <row r="16">
      <c r="A16" t="inlineStr">
        <is>
          <t>auto-thermal reforming-hydrogen GT power plant, 400MWe</t>
        </is>
      </c>
      <c r="B16" t="n">
        <v>1</v>
      </c>
      <c r="C16" t="inlineStr">
        <is>
          <t>RER</t>
        </is>
      </c>
      <c r="D16" t="inlineStr">
        <is>
          <t>unit</t>
        </is>
      </c>
      <c r="E16" t="inlineStr">
        <is>
          <t>CCS Europe 2025::Infrastructure&amp;Background</t>
        </is>
      </c>
      <c r="F16" t="inlineStr">
        <is>
          <t>production</t>
        </is>
      </c>
      <c r="G16" t="n">
        <v>0</v>
      </c>
      <c r="I16" t="inlineStr">
        <is>
          <t>auto-thermal reforming-hydrogen GT power plant, 400MWe</t>
        </is>
      </c>
    </row>
    <row r="17">
      <c r="A17" t="inlineStr">
        <is>
          <t>ceramic tile production</t>
        </is>
      </c>
      <c r="B17" t="n">
        <v>4200</v>
      </c>
      <c r="C17" t="inlineStr">
        <is>
          <t>CH</t>
        </is>
      </c>
      <c r="D17" t="inlineStr">
        <is>
          <t>kilogram</t>
        </is>
      </c>
      <c r="E17" t="inlineStr">
        <is>
          <t>Materials/fuels</t>
        </is>
      </c>
      <c r="F17" t="inlineStr">
        <is>
          <t>technosphere</t>
        </is>
      </c>
      <c r="G17" t="n">
        <v>0</v>
      </c>
      <c r="H17" t="inlineStr">
        <is>
          <t>basic uncertainty</t>
        </is>
      </c>
      <c r="I17" t="inlineStr">
        <is>
          <t>ceramic tile</t>
        </is>
      </c>
    </row>
    <row r="18">
      <c r="A18" t="inlineStr">
        <is>
          <t>cobalt production</t>
        </is>
      </c>
      <c r="B18" t="n">
        <v>720</v>
      </c>
      <c r="C18" t="inlineStr">
        <is>
          <t>GLO</t>
        </is>
      </c>
      <c r="D18" t="inlineStr">
        <is>
          <t>kilogram</t>
        </is>
      </c>
      <c r="E18" t="inlineStr">
        <is>
          <t>Materials/fuels</t>
        </is>
      </c>
      <c r="F18" t="inlineStr">
        <is>
          <t>technosphere</t>
        </is>
      </c>
      <c r="G18" t="n">
        <v>0</v>
      </c>
      <c r="H18" t="inlineStr">
        <is>
          <t>basic uncertainty</t>
        </is>
      </c>
      <c r="I18" t="inlineStr">
        <is>
          <t>cobalt</t>
        </is>
      </c>
    </row>
    <row r="19">
      <c r="A19" t="inlineStr">
        <is>
          <t>heavy fuel oil, burned in refinery furnace</t>
        </is>
      </c>
      <c r="B19" t="n">
        <v>148000000</v>
      </c>
      <c r="C19" t="inlineStr">
        <is>
          <t>RoW</t>
        </is>
      </c>
      <c r="D19" t="inlineStr">
        <is>
          <t>megajoule</t>
        </is>
      </c>
      <c r="E19" t="inlineStr">
        <is>
          <t>Materials/fuels</t>
        </is>
      </c>
      <c r="F19" t="inlineStr">
        <is>
          <t>technosphere</t>
        </is>
      </c>
      <c r="G19" t="n">
        <v>0</v>
      </c>
      <c r="H19" t="inlineStr">
        <is>
          <t>uncertainty of amount of material and of energy needed</t>
        </is>
      </c>
      <c r="I19" t="inlineStr">
        <is>
          <t>heavy fuel oil, burned in refinery furnace</t>
        </is>
      </c>
    </row>
    <row r="20">
      <c r="A20" t="inlineStr">
        <is>
          <t>market for aluminium, cast alloy</t>
        </is>
      </c>
      <c r="B20" t="n">
        <v>440000</v>
      </c>
      <c r="C20" t="inlineStr">
        <is>
          <t>GLO</t>
        </is>
      </c>
      <c r="D20" t="inlineStr">
        <is>
          <t>kilogram</t>
        </is>
      </c>
      <c r="E20" t="inlineStr">
        <is>
          <t>Materials/fuels</t>
        </is>
      </c>
      <c r="F20" t="inlineStr">
        <is>
          <t>technosphere</t>
        </is>
      </c>
      <c r="G20" t="n">
        <v>0</v>
      </c>
      <c r="H20" t="inlineStr">
        <is>
          <t>basic uncertainty</t>
        </is>
      </c>
      <c r="I20" t="inlineStr">
        <is>
          <t>aluminium, cast alloy</t>
        </is>
      </c>
    </row>
    <row r="21">
      <c r="A21" t="inlineStr">
        <is>
          <t>market for chromium</t>
        </is>
      </c>
      <c r="B21" t="n">
        <v>976</v>
      </c>
      <c r="C21" t="inlineStr">
        <is>
          <t>GLO</t>
        </is>
      </c>
      <c r="D21" t="inlineStr">
        <is>
          <t>kilogram</t>
        </is>
      </c>
      <c r="E21" t="inlineStr">
        <is>
          <t>Materials/fuels</t>
        </is>
      </c>
      <c r="F21" t="inlineStr">
        <is>
          <t>technosphere</t>
        </is>
      </c>
      <c r="G21" t="n">
        <v>0</v>
      </c>
      <c r="H21" t="inlineStr">
        <is>
          <t>basic uncertainty</t>
        </is>
      </c>
      <c r="I21" t="inlineStr">
        <is>
          <t>chromium</t>
        </is>
      </c>
    </row>
    <row r="22">
      <c r="A22" t="inlineStr">
        <is>
          <t>market for concrete, normal</t>
        </is>
      </c>
      <c r="B22" t="n">
        <v>6000</v>
      </c>
      <c r="C22" t="inlineStr">
        <is>
          <t>CH</t>
        </is>
      </c>
      <c r="D22" t="inlineStr">
        <is>
          <t>cubic meter</t>
        </is>
      </c>
      <c r="E22" t="inlineStr">
        <is>
          <t>Materials/fuels</t>
        </is>
      </c>
      <c r="F22" t="inlineStr">
        <is>
          <t>technosphere</t>
        </is>
      </c>
      <c r="G22" t="n">
        <v>0</v>
      </c>
      <c r="H22" t="inlineStr">
        <is>
          <t>basic uncertainty</t>
        </is>
      </c>
      <c r="I22" t="inlineStr">
        <is>
          <t>concrete, normal</t>
        </is>
      </c>
    </row>
    <row r="23">
      <c r="A23" t="inlineStr">
        <is>
          <t>market for copper</t>
        </is>
      </c>
      <c r="B23" t="n">
        <v>440000</v>
      </c>
      <c r="C23" t="inlineStr">
        <is>
          <t>GLO</t>
        </is>
      </c>
      <c r="D23" t="inlineStr">
        <is>
          <t>kilogram</t>
        </is>
      </c>
      <c r="E23" t="inlineStr">
        <is>
          <t>Materials/fuels</t>
        </is>
      </c>
      <c r="F23" t="inlineStr">
        <is>
          <t>technosphere</t>
        </is>
      </c>
      <c r="G23" t="n">
        <v>0</v>
      </c>
      <c r="H23" t="inlineStr">
        <is>
          <t>basic uncertainty</t>
        </is>
      </c>
      <c r="I23" t="inlineStr">
        <is>
          <t>copper</t>
        </is>
      </c>
    </row>
    <row r="24">
      <c r="A24" t="inlineStr">
        <is>
          <t>market for diesel, burned in building machine</t>
        </is>
      </c>
      <c r="B24" t="n">
        <v>148000000</v>
      </c>
      <c r="C24" t="inlineStr">
        <is>
          <t>GLO</t>
        </is>
      </c>
      <c r="D24" t="inlineStr">
        <is>
          <t>megajoule</t>
        </is>
      </c>
      <c r="E24" t="inlineStr">
        <is>
          <t>Materials/fuels</t>
        </is>
      </c>
      <c r="F24" t="inlineStr">
        <is>
          <t>technosphere</t>
        </is>
      </c>
      <c r="G24" t="n">
        <v>0</v>
      </c>
      <c r="H24" t="inlineStr">
        <is>
          <t>uncertainty of amount of material and of energy needed</t>
        </is>
      </c>
      <c r="I24" t="inlineStr">
        <is>
          <t>diesel, burned in building machine</t>
        </is>
      </c>
    </row>
    <row r="25">
      <c r="A25" t="inlineStr">
        <is>
          <t>market for reinforcing steel</t>
        </is>
      </c>
      <c r="B25" t="n">
        <v>8800000</v>
      </c>
      <c r="C25" t="inlineStr">
        <is>
          <t>GLO</t>
        </is>
      </c>
      <c r="D25" t="inlineStr">
        <is>
          <t>kilogram</t>
        </is>
      </c>
      <c r="E25" t="inlineStr">
        <is>
          <t>Materials/fuels</t>
        </is>
      </c>
      <c r="F25" t="inlineStr">
        <is>
          <t>technosphere</t>
        </is>
      </c>
      <c r="G25" t="n">
        <v>0</v>
      </c>
      <c r="H25" t="inlineStr">
        <is>
          <t>basic uncertainty</t>
        </is>
      </c>
      <c r="I25" t="inlineStr">
        <is>
          <t>reinforcing steel</t>
        </is>
      </c>
    </row>
    <row r="26">
      <c r="A26" t="inlineStr">
        <is>
          <t>market for stone wool, packed</t>
        </is>
      </c>
      <c r="B26" t="n">
        <v>660000</v>
      </c>
      <c r="C26" t="inlineStr">
        <is>
          <t>GLO</t>
        </is>
      </c>
      <c r="D26" t="inlineStr">
        <is>
          <t>kilogram</t>
        </is>
      </c>
      <c r="E26" t="inlineStr">
        <is>
          <t>Materials/fuels</t>
        </is>
      </c>
      <c r="F26" t="inlineStr">
        <is>
          <t>technosphere</t>
        </is>
      </c>
      <c r="G26" t="n">
        <v>0</v>
      </c>
      <c r="H26" t="inlineStr">
        <is>
          <t>basic uncertainty</t>
        </is>
      </c>
      <c r="I26" t="inlineStr">
        <is>
          <t>stone wool, packed</t>
        </is>
      </c>
    </row>
    <row r="27">
      <c r="A27" t="inlineStr">
        <is>
          <t>market group for electricity, medium voltage</t>
        </is>
      </c>
      <c r="B27" t="n">
        <v>3020000</v>
      </c>
      <c r="C27" t="inlineStr">
        <is>
          <t>ENTSO-E</t>
        </is>
      </c>
      <c r="D27" t="inlineStr">
        <is>
          <t>kilowatt hour</t>
        </is>
      </c>
      <c r="E27" t="inlineStr">
        <is>
          <t>Materials/fuels</t>
        </is>
      </c>
      <c r="F27" t="inlineStr">
        <is>
          <t>technosphere</t>
        </is>
      </c>
      <c r="G27" t="n">
        <v>0</v>
      </c>
      <c r="H27" t="inlineStr">
        <is>
          <t>uncertainty of amount of material and of energy needed</t>
        </is>
      </c>
      <c r="I27" t="inlineStr">
        <is>
          <t>electricity, medium voltage</t>
        </is>
      </c>
    </row>
    <row r="28">
      <c r="A28" t="inlineStr">
        <is>
          <t>nickel mine operation, sulfidic ore</t>
        </is>
      </c>
      <c r="B28" t="n">
        <v>6300</v>
      </c>
      <c r="C28" t="inlineStr">
        <is>
          <t>GLO</t>
        </is>
      </c>
      <c r="D28" t="inlineStr">
        <is>
          <t>kilogram</t>
        </is>
      </c>
      <c r="E28" t="inlineStr">
        <is>
          <t>Materials/fuels</t>
        </is>
      </c>
      <c r="F28" t="inlineStr">
        <is>
          <t>technosphere</t>
        </is>
      </c>
      <c r="G28" t="n">
        <v>0</v>
      </c>
      <c r="H28" t="inlineStr">
        <is>
          <t>basic uncertainty</t>
        </is>
      </c>
      <c r="I28" t="inlineStr">
        <is>
          <t>nickel, 99.5%</t>
        </is>
      </c>
    </row>
    <row r="29">
      <c r="A29" t="inlineStr">
        <is>
          <t>polyethylene production, low density, granulate</t>
        </is>
      </c>
      <c r="B29" t="n">
        <v>1300000</v>
      </c>
      <c r="C29" t="inlineStr">
        <is>
          <t>RER</t>
        </is>
      </c>
      <c r="D29" t="inlineStr">
        <is>
          <t>kilogram</t>
        </is>
      </c>
      <c r="E29" t="inlineStr">
        <is>
          <t>Materials/fuels</t>
        </is>
      </c>
      <c r="F29" t="inlineStr">
        <is>
          <t>technosphere</t>
        </is>
      </c>
      <c r="G29" t="n">
        <v>0</v>
      </c>
      <c r="H29" t="inlineStr">
        <is>
          <t>basic uncertainty</t>
        </is>
      </c>
      <c r="I29" t="inlineStr">
        <is>
          <t>polyethylene, low density, granulate</t>
        </is>
      </c>
    </row>
    <row r="30">
      <c r="A30" t="inlineStr">
        <is>
          <t>steel production, chromium steel 18/8, hot rolled</t>
        </is>
      </c>
      <c r="B30" t="n">
        <v>1800000</v>
      </c>
      <c r="C30" t="inlineStr">
        <is>
          <t>RER</t>
        </is>
      </c>
      <c r="D30" t="inlineStr">
        <is>
          <t>kilogram</t>
        </is>
      </c>
      <c r="E30" t="inlineStr">
        <is>
          <t>Materials/fuels</t>
        </is>
      </c>
      <c r="F30" t="inlineStr">
        <is>
          <t>technosphere</t>
        </is>
      </c>
      <c r="G30" t="n">
        <v>0</v>
      </c>
      <c r="H30" t="inlineStr">
        <is>
          <t>basic uncertainty</t>
        </is>
      </c>
      <c r="I30" t="inlineStr">
        <is>
          <t>steel, chromium steel 18/8, hot rolled</t>
        </is>
      </c>
    </row>
    <row r="31"/>
    <row r="32" ht="16" customHeight="1">
      <c r="A32" s="1" t="inlineStr">
        <is>
          <t>Activity</t>
        </is>
      </c>
      <c r="B32" s="1" t="inlineStr">
        <is>
          <t>carbon dioxide, captured at hydrogen production plant, pre, pipeline 200km, storage 1000m</t>
        </is>
      </c>
    </row>
    <row r="33">
      <c r="A33" t="inlineStr">
        <is>
          <t>location</t>
        </is>
      </c>
      <c r="B33" t="inlineStr">
        <is>
          <t>RER</t>
        </is>
      </c>
    </row>
    <row r="34">
      <c r="A34" t="inlineStr">
        <is>
          <t>production amount</t>
        </is>
      </c>
      <c r="B34" t="n">
        <v>1</v>
      </c>
    </row>
    <row r="35">
      <c r="A35" t="inlineStr">
        <is>
          <t>reference product</t>
        </is>
      </c>
      <c r="B35" t="inlineStr">
        <is>
          <t>carbon dioxide, captured at hydrogen production plant, pre, pipeline 200km, storage 1000m</t>
        </is>
      </c>
    </row>
    <row r="36">
      <c r="A36" t="inlineStr">
        <is>
          <t>type</t>
        </is>
      </c>
      <c r="B36" t="inlineStr">
        <is>
          <t>process</t>
        </is>
      </c>
    </row>
    <row r="37">
      <c r="A37" t="inlineStr">
        <is>
          <t>unit</t>
        </is>
      </c>
      <c r="B37" t="inlineStr">
        <is>
          <t>kilogram</t>
        </is>
      </c>
    </row>
    <row r="38">
      <c r="A38" t="inlineStr">
        <is>
          <t>source</t>
        </is>
      </c>
      <c r="B38" t="inlineStr">
        <is>
          <t>Life cycle assessment of carbon capture and storage in power generation and industry in Europe, Volkart et al., 2013, International Journal of Greenhouse Gas Control</t>
        </is>
      </c>
    </row>
    <row r="39" ht="16" customHeight="1">
      <c r="A39" s="1" t="inlineStr">
        <is>
          <t>Exchanges</t>
        </is>
      </c>
    </row>
    <row r="40">
      <c r="A40" t="inlineStr">
        <is>
          <t>name</t>
        </is>
      </c>
      <c r="B40" t="inlineStr">
        <is>
          <t>amount</t>
        </is>
      </c>
      <c r="C40" t="inlineStr">
        <is>
          <t>location</t>
        </is>
      </c>
      <c r="D40" t="inlineStr">
        <is>
          <t>unit</t>
        </is>
      </c>
      <c r="E40" t="inlineStr">
        <is>
          <t>categories</t>
        </is>
      </c>
      <c r="F40" t="inlineStr">
        <is>
          <t>type</t>
        </is>
      </c>
      <c r="G40" t="inlineStr">
        <is>
          <t>uncertainty type</t>
        </is>
      </c>
      <c r="H40" t="inlineStr">
        <is>
          <t>comment</t>
        </is>
      </c>
      <c r="I40" t="inlineStr">
        <is>
          <t>reference product</t>
        </is>
      </c>
    </row>
    <row r="41">
      <c r="A41" t="inlineStr">
        <is>
          <t>carbon dioxide, captured at hydrogen production plant, pre, pipeline 200km, storage 1000m</t>
        </is>
      </c>
      <c r="B41" t="n">
        <v>1</v>
      </c>
      <c r="C41" t="inlineStr">
        <is>
          <t>RER</t>
        </is>
      </c>
      <c r="D41" t="inlineStr">
        <is>
          <t>kilogram</t>
        </is>
      </c>
      <c r="E41" t="inlineStr">
        <is>
          <t>CCS Europe 2025::Wood::Geological storage::BIGCC</t>
        </is>
      </c>
      <c r="F41" t="inlineStr">
        <is>
          <t>production</t>
        </is>
      </c>
      <c r="G41" t="n">
        <v>0</v>
      </c>
      <c r="I41" t="inlineStr">
        <is>
          <t>carbon dioxide, captured at hydrogen production plant, pre, pipeline 200km, storage 1000m</t>
        </is>
      </c>
    </row>
    <row r="42">
      <c r="A42" t="inlineStr">
        <is>
          <t>carbon dioxide storage at hydrogen production plant, pre, pipeline 200km, storage 1000m</t>
        </is>
      </c>
      <c r="B42" t="n">
        <v>1</v>
      </c>
      <c r="C42" t="inlineStr">
        <is>
          <t>RER</t>
        </is>
      </c>
      <c r="D42" t="inlineStr">
        <is>
          <t>kilogram</t>
        </is>
      </c>
      <c r="E42" t="inlineStr">
        <is>
          <t>Materials/fuels</t>
        </is>
      </c>
      <c r="F42" t="inlineStr">
        <is>
          <t>technosphere</t>
        </is>
      </c>
      <c r="G42" t="n">
        <v>0</v>
      </c>
    </row>
    <row r="43">
      <c r="A43" t="inlineStr">
        <is>
          <t>Selexol (Dimethylether of polyethylene glycol)</t>
        </is>
      </c>
      <c r="B43" t="n">
        <v>7e-06</v>
      </c>
      <c r="C43" t="inlineStr">
        <is>
          <t>RER</t>
        </is>
      </c>
      <c r="D43" t="inlineStr">
        <is>
          <t>kilogram</t>
        </is>
      </c>
      <c r="E43" t="inlineStr">
        <is>
          <t>Materials/fuels</t>
        </is>
      </c>
      <c r="F43" t="inlineStr">
        <is>
          <t>technosphere</t>
        </is>
      </c>
      <c r="G43" t="n">
        <v>0</v>
      </c>
      <c r="H43" t="inlineStr">
        <is>
          <t>Singh et al. (2011)</t>
        </is>
      </c>
    </row>
    <row r="44">
      <c r="A44" t="inlineStr">
        <is>
          <t>heat pump production, for heat and power co-generation unit, 160kW electrical</t>
        </is>
      </c>
      <c r="B44" t="n">
        <v>9.86e-09</v>
      </c>
      <c r="C44" t="inlineStr">
        <is>
          <t>RER</t>
        </is>
      </c>
      <c r="D44" t="inlineStr">
        <is>
          <t>unit</t>
        </is>
      </c>
      <c r="E44" t="inlineStr">
        <is>
          <t>Materials/fuels</t>
        </is>
      </c>
      <c r="F44" t="inlineStr">
        <is>
          <t>technosphere</t>
        </is>
      </c>
      <c r="G44" t="n">
        <v>0</v>
      </c>
      <c r="H44" t="inlineStr">
        <is>
          <t>n_HX = n_total*lifetime_ratio/(lifetime_plant*annual m_flow)</t>
        </is>
      </c>
      <c r="I44" t="inlineStr">
        <is>
          <t>heat pump, for heat and power co-generation unit, 160kW electrical</t>
        </is>
      </c>
    </row>
    <row r="45">
      <c r="A45" t="inlineStr">
        <is>
          <t>market for absorption chiller, 100kW</t>
        </is>
      </c>
      <c r="B45" t="n">
        <v>1.97e-08</v>
      </c>
      <c r="C45" t="inlineStr">
        <is>
          <t>GLO</t>
        </is>
      </c>
      <c r="D45" t="inlineStr">
        <is>
          <t>unit</t>
        </is>
      </c>
      <c r="E45" t="inlineStr">
        <is>
          <t>Materials/fuels</t>
        </is>
      </c>
      <c r="F45" t="inlineStr">
        <is>
          <t>technosphere</t>
        </is>
      </c>
      <c r="G45" t="n">
        <v>0</v>
      </c>
      <c r="H45" t="inlineStr">
        <is>
          <t>n_absorption chiller = n_total*lifetime_ratio/(lifetime_plant*annual m_flow)</t>
        </is>
      </c>
      <c r="I45" t="inlineStr">
        <is>
          <t>absorption chiller, 100kW</t>
        </is>
      </c>
    </row>
    <row r="46">
      <c r="A46" t="inlineStr">
        <is>
          <t>market for gas turbine, 10MW electrical</t>
        </is>
      </c>
      <c r="B46" t="n">
        <v>9.86e-09</v>
      </c>
      <c r="C46" t="inlineStr">
        <is>
          <t>GLO</t>
        </is>
      </c>
      <c r="D46" t="inlineStr">
        <is>
          <t>unit</t>
        </is>
      </c>
      <c r="E46" t="inlineStr">
        <is>
          <t>Materials/fuels</t>
        </is>
      </c>
      <c r="F46" t="inlineStr">
        <is>
          <t>technosphere</t>
        </is>
      </c>
      <c r="G46" t="n">
        <v>0</v>
      </c>
      <c r="H46" t="inlineStr">
        <is>
          <t>n_GT = n_total*lifetime_ratio/(lifetime_plant*annual m_flow)</t>
        </is>
      </c>
      <c r="I46" t="inlineStr">
        <is>
          <t>gas turbine, 10MW electrical</t>
        </is>
      </c>
    </row>
    <row r="47">
      <c r="A47" t="inlineStr">
        <is>
          <t>market for liquid storage tank, chemicals, organics</t>
        </is>
      </c>
      <c r="B47" t="n">
        <v>2.73e-09</v>
      </c>
      <c r="C47" t="inlineStr">
        <is>
          <t>GLO</t>
        </is>
      </c>
      <c r="D47" t="inlineStr">
        <is>
          <t>unit</t>
        </is>
      </c>
      <c r="E47" t="inlineStr">
        <is>
          <t>Materials/fuels</t>
        </is>
      </c>
      <c r="F47" t="inlineStr">
        <is>
          <t>technosphere</t>
        </is>
      </c>
      <c r="G47" t="n">
        <v>0</v>
      </c>
      <c r="H47" t="inlineStr">
        <is>
          <t>n_tank = V_total*lifetime_ratio/(V_ref*lifetime plant*annual m_flow)</t>
        </is>
      </c>
      <c r="I47" t="inlineStr">
        <is>
          <t>liquid storage tank, chemicals, organics</t>
        </is>
      </c>
    </row>
    <row r="48">
      <c r="A48" t="inlineStr">
        <is>
          <t>market for pump, 40W</t>
        </is>
      </c>
      <c r="B48" t="n">
        <v>9.86e-09</v>
      </c>
      <c r="C48" t="inlineStr">
        <is>
          <t>GLO</t>
        </is>
      </c>
      <c r="D48" t="inlineStr">
        <is>
          <t>unit</t>
        </is>
      </c>
      <c r="E48" t="inlineStr">
        <is>
          <t>Materials/fuels</t>
        </is>
      </c>
      <c r="F48" t="inlineStr">
        <is>
          <t>technosphere</t>
        </is>
      </c>
      <c r="G48" t="n">
        <v>0</v>
      </c>
      <c r="H48" t="inlineStr">
        <is>
          <t>n_pump = n_total*lifetime_ratio/(lifetime_plant*annual m_flow)</t>
        </is>
      </c>
      <c r="I48" t="inlineStr">
        <is>
          <t>pump, 40W</t>
        </is>
      </c>
    </row>
    <row r="49">
      <c r="A49" t="inlineStr">
        <is>
          <t>treatment of spent solvent mixture, hazardous waste incineration</t>
        </is>
      </c>
      <c r="B49" t="n">
        <v>-7e-06</v>
      </c>
      <c r="C49" t="inlineStr">
        <is>
          <t>CH</t>
        </is>
      </c>
      <c r="D49" t="inlineStr">
        <is>
          <t>kilogram</t>
        </is>
      </c>
      <c r="E49" t="inlineStr">
        <is>
          <t>Waste to treatment</t>
        </is>
      </c>
      <c r="F49" t="inlineStr">
        <is>
          <t>technosphere</t>
        </is>
      </c>
      <c r="G49" t="n">
        <v>0</v>
      </c>
      <c r="H49" t="inlineStr">
        <is>
          <t>Singh et al. (2011), disposal of solid degradation products</t>
        </is>
      </c>
      <c r="I49" t="inlineStr">
        <is>
          <t>spent solvent mixture</t>
        </is>
      </c>
    </row>
    <row r="50"/>
    <row r="51" ht="16" customHeight="1">
      <c r="A51" s="1" t="inlineStr">
        <is>
          <t>Activity</t>
        </is>
      </c>
      <c r="B51" s="1" t="inlineStr">
        <is>
          <t>carbon dioxide, captured at hydrogen production plant, pre, pipeline 400km, storage 3000m</t>
        </is>
      </c>
    </row>
    <row r="52">
      <c r="A52" t="inlineStr">
        <is>
          <t>location</t>
        </is>
      </c>
      <c r="B52" t="inlineStr">
        <is>
          <t>RER</t>
        </is>
      </c>
    </row>
    <row r="53">
      <c r="A53" t="inlineStr">
        <is>
          <t>production amount</t>
        </is>
      </c>
      <c r="B53" t="n">
        <v>1</v>
      </c>
    </row>
    <row r="54">
      <c r="A54" t="inlineStr">
        <is>
          <t>reference product</t>
        </is>
      </c>
      <c r="B54" t="inlineStr">
        <is>
          <t>carbon dioxide, captured at hydrogen production plant, pre, pipeline 400km, storage 3000m</t>
        </is>
      </c>
    </row>
    <row r="55">
      <c r="A55" t="inlineStr">
        <is>
          <t>type</t>
        </is>
      </c>
      <c r="B55" t="inlineStr">
        <is>
          <t>process</t>
        </is>
      </c>
    </row>
    <row r="56">
      <c r="A56" t="inlineStr">
        <is>
          <t>unit</t>
        </is>
      </c>
      <c r="B56" t="inlineStr">
        <is>
          <t>kilogram</t>
        </is>
      </c>
    </row>
    <row r="57">
      <c r="A57" t="inlineStr">
        <is>
          <t>source</t>
        </is>
      </c>
      <c r="B57" t="inlineStr">
        <is>
          <t>Life cycle assessment of carbon capture and storage in power generation and industry in Europe, Volkart et al., 2013, International Journal of Greenhouse Gas Control</t>
        </is>
      </c>
    </row>
    <row r="58" ht="16" customHeight="1">
      <c r="A58" s="1" t="inlineStr">
        <is>
          <t>Exchanges</t>
        </is>
      </c>
    </row>
    <row r="59">
      <c r="A59" t="inlineStr">
        <is>
          <t>name</t>
        </is>
      </c>
      <c r="B59" t="inlineStr">
        <is>
          <t>amount</t>
        </is>
      </c>
      <c r="C59" t="inlineStr">
        <is>
          <t>location</t>
        </is>
      </c>
      <c r="D59" t="inlineStr">
        <is>
          <t>unit</t>
        </is>
      </c>
      <c r="E59" t="inlineStr">
        <is>
          <t>categories</t>
        </is>
      </c>
      <c r="F59" t="inlineStr">
        <is>
          <t>type</t>
        </is>
      </c>
      <c r="G59" t="inlineStr">
        <is>
          <t>uncertainty type</t>
        </is>
      </c>
      <c r="H59" t="inlineStr">
        <is>
          <t>comment</t>
        </is>
      </c>
      <c r="I59" t="inlineStr">
        <is>
          <t>reference product</t>
        </is>
      </c>
    </row>
    <row r="60">
      <c r="A60" t="inlineStr">
        <is>
          <t>Water, cooling, unspecified natural origin</t>
        </is>
      </c>
      <c r="B60" t="n">
        <v>0.0832</v>
      </c>
      <c r="D60" t="inlineStr">
        <is>
          <t>cubic meter</t>
        </is>
      </c>
      <c r="E60" t="inlineStr">
        <is>
          <t>natural resource::in water</t>
        </is>
      </c>
      <c r="F60" t="inlineStr">
        <is>
          <t>biosphere</t>
        </is>
      </c>
      <c r="G60" t="n">
        <v>0</v>
      </c>
      <c r="H60" t="inlineStr">
        <is>
          <t>RECCS 2007</t>
        </is>
      </c>
    </row>
    <row r="61">
      <c r="A61" t="inlineStr">
        <is>
          <t>Water</t>
        </is>
      </c>
      <c r="B61" s="4">
        <f>((B60*1000)-(600*3.78541/1000))/1000</f>
        <v>8.0928753999999992E-2</v>
      </c>
      <c r="D61" t="inlineStr">
        <is>
          <t>cubic meter</t>
        </is>
      </c>
      <c r="E61" t="inlineStr">
        <is>
          <t>water</t>
        </is>
      </c>
      <c r="F61" t="inlineStr">
        <is>
          <t>biosphere</t>
        </is>
      </c>
      <c r="H61" t="inlineStr">
        <is>
          <t>We assume 600 gallons of water consumed per ton CO2 captured, the rest is evaporated. Very uncertain. Based on https://netl.doe.gov/sites/default/files/event-proceedings/2014/carbon_storage/10--Christopher-Harto.pdf</t>
        </is>
      </c>
    </row>
    <row r="62">
      <c r="A62" t="inlineStr">
        <is>
          <t>carbon dioxide, captured at hydrogen production plant, pre, pipeline 400km, storage 3000m</t>
        </is>
      </c>
      <c r="B62" t="n">
        <v>1</v>
      </c>
      <c r="C62" t="inlineStr">
        <is>
          <t>RER</t>
        </is>
      </c>
      <c r="D62" t="inlineStr">
        <is>
          <t>kilogram</t>
        </is>
      </c>
      <c r="E62" t="inlineStr">
        <is>
          <t>CCS Europe 2025::Wood::Geological storage::BIGCC</t>
        </is>
      </c>
      <c r="F62" t="inlineStr">
        <is>
          <t>production</t>
        </is>
      </c>
      <c r="G62" t="n">
        <v>0</v>
      </c>
    </row>
    <row r="63">
      <c r="A63" t="inlineStr">
        <is>
          <t>carbon dioxide storage at hydrogen production plant, pre, pipeline 400km, storage 3000m</t>
        </is>
      </c>
      <c r="B63" t="n">
        <v>1</v>
      </c>
      <c r="C63" t="inlineStr">
        <is>
          <t>RER</t>
        </is>
      </c>
      <c r="D63" t="inlineStr">
        <is>
          <t>kilogram</t>
        </is>
      </c>
      <c r="E63" t="inlineStr">
        <is>
          <t>Materials/fuels</t>
        </is>
      </c>
      <c r="F63" t="inlineStr">
        <is>
          <t>technosphere</t>
        </is>
      </c>
      <c r="G63" t="n">
        <v>0</v>
      </c>
    </row>
    <row r="64">
      <c r="A64" t="inlineStr">
        <is>
          <t>market group for electricity, high voltage</t>
        </is>
      </c>
      <c r="B64" t="n">
        <v>0</v>
      </c>
      <c r="C64" t="inlineStr">
        <is>
          <t>RER</t>
        </is>
      </c>
      <c r="D64" t="inlineStr">
        <is>
          <t>kilowatt hour</t>
        </is>
      </c>
      <c r="E64" t="inlineStr">
        <is>
          <t>Materials/fuels</t>
        </is>
      </c>
      <c r="F64" t="inlineStr">
        <is>
          <t>technosphere</t>
        </is>
      </c>
      <c r="G64" t="n">
        <v>0</v>
      </c>
      <c r="H64" t="inlineStr">
        <is>
          <t>E_capture = E_el*(1-(eff_CCS/eff_no CCS))</t>
        </is>
      </c>
      <c r="I64" t="inlineStr">
        <is>
          <t>electricity, high voltage</t>
        </is>
      </c>
    </row>
    <row r="65">
      <c r="A65" t="inlineStr">
        <is>
          <t>Selexol (Dimethylether of polyethylene glycol)</t>
        </is>
      </c>
      <c r="B65" t="n">
        <v>7e-06</v>
      </c>
      <c r="C65" t="inlineStr">
        <is>
          <t>RER</t>
        </is>
      </c>
      <c r="D65" t="inlineStr">
        <is>
          <t>kilogram</t>
        </is>
      </c>
      <c r="E65" t="inlineStr">
        <is>
          <t>Materials/fuels</t>
        </is>
      </c>
      <c r="F65" t="inlineStr">
        <is>
          <t>technosphere</t>
        </is>
      </c>
      <c r="G65" t="n">
        <v>0</v>
      </c>
      <c r="H65" t="inlineStr">
        <is>
          <t>Singh et al. (2011)</t>
        </is>
      </c>
    </row>
    <row r="66">
      <c r="A66" t="inlineStr">
        <is>
          <t>heat pump production, for heat and power co-generation unit, 160kW electrical</t>
        </is>
      </c>
      <c r="B66" t="n">
        <v>9.86e-09</v>
      </c>
      <c r="C66" t="inlineStr">
        <is>
          <t>RER</t>
        </is>
      </c>
      <c r="D66" t="inlineStr">
        <is>
          <t>unit</t>
        </is>
      </c>
      <c r="E66" t="inlineStr">
        <is>
          <t>Materials/fuels</t>
        </is>
      </c>
      <c r="F66" t="inlineStr">
        <is>
          <t>technosphere</t>
        </is>
      </c>
      <c r="G66" t="n">
        <v>0</v>
      </c>
      <c r="H66" t="inlineStr">
        <is>
          <t>n_HX = n_total*lifetime_ratio/(lifetime_plant*annual m_flow)</t>
        </is>
      </c>
      <c r="I66" t="inlineStr">
        <is>
          <t>heat pump, for heat and power co-generation unit, 160kW electrical</t>
        </is>
      </c>
    </row>
    <row r="67">
      <c r="A67" t="inlineStr">
        <is>
          <t>market for absorption chiller, 100kW</t>
        </is>
      </c>
      <c r="B67" t="n">
        <v>1.97e-08</v>
      </c>
      <c r="C67" t="inlineStr">
        <is>
          <t>GLO</t>
        </is>
      </c>
      <c r="D67" t="inlineStr">
        <is>
          <t>unit</t>
        </is>
      </c>
      <c r="E67" t="inlineStr">
        <is>
          <t>Materials/fuels</t>
        </is>
      </c>
      <c r="F67" t="inlineStr">
        <is>
          <t>technosphere</t>
        </is>
      </c>
      <c r="G67" t="n">
        <v>0</v>
      </c>
      <c r="H67" t="inlineStr">
        <is>
          <t>n_absorption chiller = n_total*lifetime_ratio/(lifetime_plant*annual m_flow)</t>
        </is>
      </c>
      <c r="I67" t="inlineStr">
        <is>
          <t>absorption chiller, 100kW</t>
        </is>
      </c>
    </row>
    <row r="68">
      <c r="A68" t="inlineStr">
        <is>
          <t>market for gas turbine, 10MW electrical</t>
        </is>
      </c>
      <c r="B68" t="n">
        <v>9.86e-09</v>
      </c>
      <c r="C68" t="inlineStr">
        <is>
          <t>GLO</t>
        </is>
      </c>
      <c r="D68" t="inlineStr">
        <is>
          <t>unit</t>
        </is>
      </c>
      <c r="E68" t="inlineStr">
        <is>
          <t>Materials/fuels</t>
        </is>
      </c>
      <c r="F68" t="inlineStr">
        <is>
          <t>technosphere</t>
        </is>
      </c>
      <c r="G68" t="n">
        <v>0</v>
      </c>
      <c r="H68" t="inlineStr">
        <is>
          <t>n_GT = n_total*lifetime_ratio/(lifetime_plant*annual m_flow)</t>
        </is>
      </c>
      <c r="I68" t="inlineStr">
        <is>
          <t>gas turbine, 10MW electrical</t>
        </is>
      </c>
    </row>
    <row r="69">
      <c r="A69" t="inlineStr">
        <is>
          <t>market for liquid storage tank, chemicals, organics</t>
        </is>
      </c>
      <c r="B69" t="n">
        <v>2.73e-09</v>
      </c>
      <c r="C69" t="inlineStr">
        <is>
          <t>GLO</t>
        </is>
      </c>
      <c r="D69" t="inlineStr">
        <is>
          <t>unit</t>
        </is>
      </c>
      <c r="E69" t="inlineStr">
        <is>
          <t>Materials/fuels</t>
        </is>
      </c>
      <c r="F69" t="inlineStr">
        <is>
          <t>technosphere</t>
        </is>
      </c>
      <c r="G69" t="n">
        <v>0</v>
      </c>
      <c r="H69" t="inlineStr">
        <is>
          <t>n_tank = V_total*lifetime_ratio/(V_ref*lifetime plant*annual m_flow)</t>
        </is>
      </c>
      <c r="I69" t="inlineStr">
        <is>
          <t>liquid storage tank, chemicals, organics</t>
        </is>
      </c>
    </row>
    <row r="70">
      <c r="A70" t="inlineStr">
        <is>
          <t>market for pump, 40W</t>
        </is>
      </c>
      <c r="B70" t="n">
        <v>9.86e-09</v>
      </c>
      <c r="C70" t="inlineStr">
        <is>
          <t>GLO</t>
        </is>
      </c>
      <c r="D70" t="inlineStr">
        <is>
          <t>unit</t>
        </is>
      </c>
      <c r="E70" t="inlineStr">
        <is>
          <t>Materials/fuels</t>
        </is>
      </c>
      <c r="F70" t="inlineStr">
        <is>
          <t>technosphere</t>
        </is>
      </c>
      <c r="G70" t="n">
        <v>0</v>
      </c>
      <c r="H70" t="inlineStr">
        <is>
          <t>n_pump = n_total*lifetime_ratio/(lifetime_plant*annual m_flow)</t>
        </is>
      </c>
      <c r="I70" t="inlineStr">
        <is>
          <t>pump, 40W</t>
        </is>
      </c>
    </row>
    <row r="71">
      <c r="A71" t="inlineStr">
        <is>
          <t>treatment of spent solvent mixture, hazardous waste incineration</t>
        </is>
      </c>
      <c r="B71" t="n">
        <v>-7e-06</v>
      </c>
      <c r="C71" t="inlineStr">
        <is>
          <t>CH</t>
        </is>
      </c>
      <c r="D71" t="inlineStr">
        <is>
          <t>kilogram</t>
        </is>
      </c>
      <c r="E71" t="inlineStr">
        <is>
          <t>Waste to treatment</t>
        </is>
      </c>
      <c r="F71" t="inlineStr">
        <is>
          <t>technosphere</t>
        </is>
      </c>
      <c r="G71" t="n">
        <v>0</v>
      </c>
      <c r="H71" t="inlineStr">
        <is>
          <t>Singh et al. (2011), disposal of solid degradation products</t>
        </is>
      </c>
      <c r="I71" t="inlineStr">
        <is>
          <t>spent solvent mixture</t>
        </is>
      </c>
    </row>
    <row r="72"/>
    <row r="73" ht="16" customHeight="1">
      <c r="A73" s="1" t="inlineStr">
        <is>
          <t>Activity</t>
        </is>
      </c>
      <c r="B73" s="1" t="inlineStr">
        <is>
          <t>carbon dioxide, captured at wood burning power plant 20 MW post, pipeline 200km, storage 1000m</t>
        </is>
      </c>
    </row>
    <row r="74">
      <c r="A74" t="inlineStr">
        <is>
          <t>location</t>
        </is>
      </c>
      <c r="B74" t="inlineStr">
        <is>
          <t>RER</t>
        </is>
      </c>
    </row>
    <row r="75">
      <c r="A75" t="inlineStr">
        <is>
          <t>production amount</t>
        </is>
      </c>
      <c r="B75" t="n">
        <v>1</v>
      </c>
    </row>
    <row r="76">
      <c r="A76" t="inlineStr">
        <is>
          <t>reference product</t>
        </is>
      </c>
      <c r="B76" t="inlineStr">
        <is>
          <t>carbon dioxide, captured at wood burning power plant 20 MW post, pipeline 200km, storage 1000m</t>
        </is>
      </c>
    </row>
    <row r="77">
      <c r="A77" t="inlineStr">
        <is>
          <t>type</t>
        </is>
      </c>
      <c r="B77" t="inlineStr">
        <is>
          <t>process</t>
        </is>
      </c>
    </row>
    <row r="78">
      <c r="A78" t="inlineStr">
        <is>
          <t>unit</t>
        </is>
      </c>
      <c r="B78" t="inlineStr">
        <is>
          <t>kilogram</t>
        </is>
      </c>
    </row>
    <row r="79">
      <c r="A79" t="inlineStr">
        <is>
          <t>comment</t>
        </is>
      </c>
      <c r="B79" t="inlineStr">
        <is>
          <t>Life cycle assessment of carbon capture and storage in power generation and industry in Europe, Volkart et al., 2013, International Journal of Greenhouse Gas Control</t>
        </is>
      </c>
    </row>
    <row r="80">
      <c r="A80" t="inlineStr">
        <is>
          <t>source</t>
        </is>
      </c>
      <c r="B80" t="inlineStr">
        <is>
          <t>Life cycle assessment of carbon capture and storage in power generation and industry in Europe, Volkart et al., 2013, International Journal of Greenhouse Gas Control</t>
        </is>
      </c>
    </row>
    <row r="81" ht="16" customHeight="1">
      <c r="A81" s="1" t="inlineStr">
        <is>
          <t>Exchanges</t>
        </is>
      </c>
    </row>
    <row r="82">
      <c r="A82" t="inlineStr">
        <is>
          <t>name</t>
        </is>
      </c>
      <c r="B82" t="inlineStr">
        <is>
          <t>amount</t>
        </is>
      </c>
      <c r="C82" t="inlineStr">
        <is>
          <t>location</t>
        </is>
      </c>
      <c r="D82" t="inlineStr">
        <is>
          <t>unit</t>
        </is>
      </c>
      <c r="E82" t="inlineStr">
        <is>
          <t>categories</t>
        </is>
      </c>
      <c r="F82" t="inlineStr">
        <is>
          <t>type</t>
        </is>
      </c>
      <c r="G82" t="inlineStr">
        <is>
          <t>uncertainty type</t>
        </is>
      </c>
      <c r="H82" t="inlineStr">
        <is>
          <t>comment</t>
        </is>
      </c>
      <c r="I82" t="inlineStr">
        <is>
          <t>reference product</t>
        </is>
      </c>
    </row>
    <row r="83">
      <c r="A83" t="inlineStr">
        <is>
          <t>Ammonia</t>
        </is>
      </c>
      <c r="B83" t="n">
        <v>0.000123</v>
      </c>
      <c r="D83" t="inlineStr">
        <is>
          <t>kilogram</t>
        </is>
      </c>
      <c r="E83" t="inlineStr">
        <is>
          <t>air</t>
        </is>
      </c>
      <c r="F83" t="inlineStr">
        <is>
          <t>biosphere</t>
        </is>
      </c>
      <c r="G83" t="n">
        <v>0</v>
      </c>
      <c r="H83" t="inlineStr">
        <is>
          <t>Moser et al. (2010)</t>
        </is>
      </c>
    </row>
    <row r="84">
      <c r="A84" t="inlineStr">
        <is>
          <t>Monoethanolamine</t>
        </is>
      </c>
      <c r="B84" t="n">
        <v>6e-06</v>
      </c>
      <c r="D84" t="inlineStr">
        <is>
          <t>kilogram</t>
        </is>
      </c>
      <c r="E84" t="inlineStr">
        <is>
          <t>air</t>
        </is>
      </c>
      <c r="F84" t="inlineStr">
        <is>
          <t>biosphere</t>
        </is>
      </c>
      <c r="G84" t="n">
        <v>0</v>
      </c>
      <c r="H84" t="inlineStr">
        <is>
          <t>Moser et al. (2010)</t>
        </is>
      </c>
    </row>
    <row r="85">
      <c r="A85" t="inlineStr">
        <is>
          <t>Water, cooling, unspecified natural origin</t>
        </is>
      </c>
      <c r="B85" t="n">
        <v>0.0832</v>
      </c>
      <c r="D85" t="inlineStr">
        <is>
          <t>cubic meter</t>
        </is>
      </c>
      <c r="E85" t="inlineStr">
        <is>
          <t>natural resource::in water</t>
        </is>
      </c>
      <c r="F85" t="inlineStr">
        <is>
          <t>biosphere</t>
        </is>
      </c>
      <c r="G85" t="n">
        <v>0</v>
      </c>
      <c r="H85" t="inlineStr">
        <is>
          <t>RECCS 2007</t>
        </is>
      </c>
    </row>
    <row r="86">
      <c r="A86" t="inlineStr">
        <is>
          <t>Water</t>
        </is>
      </c>
      <c r="B86" s="4">
        <f>((B85*1000)-(600*3.78541/1000))/1000</f>
        <v>8.0928753999999992E-2</v>
      </c>
      <c r="D86" t="inlineStr">
        <is>
          <t>cubic meter</t>
        </is>
      </c>
      <c r="E86" t="inlineStr">
        <is>
          <t>water</t>
        </is>
      </c>
      <c r="F86" t="inlineStr">
        <is>
          <t>biosphere</t>
        </is>
      </c>
      <c r="H86" t="inlineStr">
        <is>
          <t>We assume 600 gallons of water consumed per ton CO2 captured, the rest is evaporated. Very uncertain. Based on https://netl.doe.gov/sites/default/files/event-proceedings/2014/carbon_storage/10--Christopher-Harto.pdf</t>
        </is>
      </c>
    </row>
    <row r="87">
      <c r="A87" t="inlineStr">
        <is>
          <t>carbon dioxide, captured at wood burning power plant 20 MW post, pipeline 200km, storage 1000m</t>
        </is>
      </c>
      <c r="B87" t="n">
        <v>1</v>
      </c>
      <c r="C87" t="inlineStr">
        <is>
          <t>RER</t>
        </is>
      </c>
      <c r="D87" t="inlineStr">
        <is>
          <t>kilogram</t>
        </is>
      </c>
      <c r="E87" t="inlineStr">
        <is>
          <t>CCS Europe 2025::Wood::Geological storage::Combustion</t>
        </is>
      </c>
      <c r="F87" t="inlineStr">
        <is>
          <t>production</t>
        </is>
      </c>
      <c r="G87" t="n">
        <v>0</v>
      </c>
      <c r="I87" t="inlineStr">
        <is>
          <t>carbon dioxide, captured at wood burning power plant 20 MW post, pipeline 200km, storage 1000m</t>
        </is>
      </c>
    </row>
    <row r="88">
      <c r="A88" t="inlineStr">
        <is>
          <t>carbon dioxide storage at wood burning power plant 20 MW post, pipeline 200km, storage 1000m</t>
        </is>
      </c>
      <c r="B88" t="n">
        <v>1</v>
      </c>
      <c r="C88" t="inlineStr">
        <is>
          <t>RER</t>
        </is>
      </c>
      <c r="D88" t="inlineStr">
        <is>
          <t>kilogram</t>
        </is>
      </c>
      <c r="E88" t="inlineStr">
        <is>
          <t>Materials/fuels</t>
        </is>
      </c>
      <c r="F88" t="inlineStr">
        <is>
          <t>technosphere</t>
        </is>
      </c>
      <c r="G88" t="n">
        <v>0</v>
      </c>
    </row>
    <row r="89">
      <c r="A89" t="inlineStr">
        <is>
          <t>electricity production, at wood burning power plant, post, pipeline 200km, storage 1000m</t>
        </is>
      </c>
      <c r="B89" t="n">
        <v>0</v>
      </c>
      <c r="C89" t="inlineStr">
        <is>
          <t>RER</t>
        </is>
      </c>
      <c r="D89" t="inlineStr">
        <is>
          <t>kilowatt hour</t>
        </is>
      </c>
      <c r="E89" t="inlineStr">
        <is>
          <t>Materials/fuels</t>
        </is>
      </c>
      <c r="F89" t="inlineStr">
        <is>
          <t>technosphere</t>
        </is>
      </c>
      <c r="G89" t="n">
        <v>0</v>
      </c>
      <c r="H89" t="inlineStr">
        <is>
          <t>E_capture = E_el*(1-(eff_CCS/eff_no CCS))</t>
        </is>
      </c>
    </row>
    <row r="90">
      <c r="A90" t="inlineStr">
        <is>
          <t>heat pump production, for heat and power co-generation unit, 160kW electrical</t>
        </is>
      </c>
      <c r="B90" t="n">
        <v>1.91e-09</v>
      </c>
      <c r="C90" t="inlineStr">
        <is>
          <t>RER</t>
        </is>
      </c>
      <c r="D90" t="inlineStr">
        <is>
          <t>unit</t>
        </is>
      </c>
      <c r="E90" t="inlineStr">
        <is>
          <t>Materials/fuels</t>
        </is>
      </c>
      <c r="F90" t="inlineStr">
        <is>
          <t>technosphere</t>
        </is>
      </c>
      <c r="G90" t="n">
        <v>0</v>
      </c>
      <c r="H90" t="inlineStr">
        <is>
          <t>n_HX = n_total*lifetime_ratio/(lifetime_plant*annual m_flow)</t>
        </is>
      </c>
      <c r="I90" t="inlineStr">
        <is>
          <t>heat pump, for heat and power co-generation unit, 160kW electrical</t>
        </is>
      </c>
    </row>
    <row r="91">
      <c r="A91" t="inlineStr">
        <is>
          <t>market for absorption chiller, 100kW</t>
        </is>
      </c>
      <c r="B91" t="n">
        <v>1.15e-08</v>
      </c>
      <c r="C91" t="inlineStr">
        <is>
          <t>GLO</t>
        </is>
      </c>
      <c r="D91" t="inlineStr">
        <is>
          <t>unit</t>
        </is>
      </c>
      <c r="E91" t="inlineStr">
        <is>
          <t>Materials/fuels</t>
        </is>
      </c>
      <c r="F91" t="inlineStr">
        <is>
          <t>technosphere</t>
        </is>
      </c>
      <c r="G91" t="n">
        <v>0</v>
      </c>
      <c r="H91" t="inlineStr">
        <is>
          <t>n_absorption chiller = n_total*lifetime_ratio/(lifetime_plant*annual m_flow)</t>
        </is>
      </c>
      <c r="I91" t="inlineStr">
        <is>
          <t>absorption chiller, 100kW</t>
        </is>
      </c>
    </row>
    <row r="92">
      <c r="A92" t="inlineStr">
        <is>
          <t>market for charcoal</t>
        </is>
      </c>
      <c r="B92" t="n">
        <v>8.26e-05</v>
      </c>
      <c r="C92" t="inlineStr">
        <is>
          <t>GLO</t>
        </is>
      </c>
      <c r="D92" t="inlineStr">
        <is>
          <t>kilogram</t>
        </is>
      </c>
      <c r="E92" t="inlineStr">
        <is>
          <t>Materials/fuels</t>
        </is>
      </c>
      <c r="F92" t="inlineStr">
        <is>
          <t>technosphere</t>
        </is>
      </c>
      <c r="G92" t="n">
        <v>0</v>
      </c>
      <c r="H92" t="inlineStr">
        <is>
          <t>RECCS 2007</t>
        </is>
      </c>
      <c r="I92" t="inlineStr">
        <is>
          <t>charcoal</t>
        </is>
      </c>
    </row>
    <row r="93">
      <c r="A93" t="inlineStr">
        <is>
          <t>market for gas turbine, 10MW electrical</t>
        </is>
      </c>
      <c r="B93" t="n">
        <v>1.91e-09</v>
      </c>
      <c r="C93" t="inlineStr">
        <is>
          <t>GLO</t>
        </is>
      </c>
      <c r="D93" t="inlineStr">
        <is>
          <t>unit</t>
        </is>
      </c>
      <c r="E93" t="inlineStr">
        <is>
          <t>Materials/fuels</t>
        </is>
      </c>
      <c r="F93" t="inlineStr">
        <is>
          <t>technosphere</t>
        </is>
      </c>
      <c r="G93" t="n">
        <v>0</v>
      </c>
      <c r="H93" t="inlineStr">
        <is>
          <t>n_GT = n_total*lifetime_ratio/(lifetime_plant*annual m_flow)</t>
        </is>
      </c>
      <c r="I93" t="inlineStr">
        <is>
          <t>gas turbine, 10MW electrical</t>
        </is>
      </c>
    </row>
    <row r="94">
      <c r="A94" t="inlineStr">
        <is>
          <t>market for liquid storage tank, chemicals, organics</t>
        </is>
      </c>
      <c r="B94" t="n">
        <v>6.440000000000001e-10</v>
      </c>
      <c r="C94" t="inlineStr">
        <is>
          <t>GLO</t>
        </is>
      </c>
      <c r="D94" t="inlineStr">
        <is>
          <t>unit</t>
        </is>
      </c>
      <c r="E94" t="inlineStr">
        <is>
          <t>Materials/fuels</t>
        </is>
      </c>
      <c r="F94" t="inlineStr">
        <is>
          <t>technosphere</t>
        </is>
      </c>
      <c r="G94" t="n">
        <v>0</v>
      </c>
      <c r="H94" t="inlineStr">
        <is>
          <t>n_tank = V_total*lifetime_ratio/(V_ref*lifetime plant*annual m_flow)</t>
        </is>
      </c>
      <c r="I94" t="inlineStr">
        <is>
          <t>liquid storage tank, chemicals, organics</t>
        </is>
      </c>
    </row>
    <row r="95">
      <c r="A95" t="inlineStr">
        <is>
          <t>market for monoethanolamine</t>
        </is>
      </c>
      <c r="B95" t="n">
        <v>0.000284</v>
      </c>
      <c r="C95" t="inlineStr">
        <is>
          <t>GLO</t>
        </is>
      </c>
      <c r="D95" t="inlineStr">
        <is>
          <t>kilogram</t>
        </is>
      </c>
      <c r="E95" t="inlineStr">
        <is>
          <t>Materials/fuels</t>
        </is>
      </c>
      <c r="F95" t="inlineStr">
        <is>
          <t>technosphere</t>
        </is>
      </c>
      <c r="G95" t="n">
        <v>0</v>
      </c>
      <c r="H95" t="inlineStr">
        <is>
          <t>Moser et al. (2010)</t>
        </is>
      </c>
      <c r="I95" t="inlineStr">
        <is>
          <t>monoethanolamine</t>
        </is>
      </c>
    </row>
    <row r="96">
      <c r="A96" t="inlineStr">
        <is>
          <t>market for pump, 40W</t>
        </is>
      </c>
      <c r="B96" t="n">
        <v>1.34e-08</v>
      </c>
      <c r="C96" t="inlineStr">
        <is>
          <t>GLO</t>
        </is>
      </c>
      <c r="D96" t="inlineStr">
        <is>
          <t>unit</t>
        </is>
      </c>
      <c r="E96" t="inlineStr">
        <is>
          <t>Materials/fuels</t>
        </is>
      </c>
      <c r="F96" t="inlineStr">
        <is>
          <t>technosphere</t>
        </is>
      </c>
      <c r="G96" t="n">
        <v>0</v>
      </c>
      <c r="H96" t="inlineStr">
        <is>
          <t>n_pump = n_total*lifetime_ratio/(lifetime_plant*annual m_flow)</t>
        </is>
      </c>
      <c r="I96" t="inlineStr">
        <is>
          <t>pump, 40W</t>
        </is>
      </c>
    </row>
    <row r="97">
      <c r="A97" t="inlineStr">
        <is>
          <t>market for sodium hydroxide, without water, in 50% solution state</t>
        </is>
      </c>
      <c r="B97" t="n">
        <v>0.000304</v>
      </c>
      <c r="C97" t="inlineStr">
        <is>
          <t>GLO</t>
        </is>
      </c>
      <c r="D97" t="inlineStr">
        <is>
          <t>kilogram</t>
        </is>
      </c>
      <c r="E97" t="inlineStr">
        <is>
          <t>Materials/fuels</t>
        </is>
      </c>
      <c r="F97" t="inlineStr">
        <is>
          <t>technosphere</t>
        </is>
      </c>
      <c r="G97" t="n">
        <v>0</v>
      </c>
      <c r="H97" t="inlineStr">
        <is>
          <t>RECCS 2007</t>
        </is>
      </c>
      <c r="I97" t="inlineStr">
        <is>
          <t>sodium hydroxide, without water, in 50% solution state</t>
        </is>
      </c>
    </row>
    <row r="98">
      <c r="A98" t="inlineStr">
        <is>
          <t>treatment of spent solvent mixture, hazardous waste incineration</t>
        </is>
      </c>
      <c r="B98" t="n">
        <v>-0.000227</v>
      </c>
      <c r="C98" t="inlineStr">
        <is>
          <t>CH</t>
        </is>
      </c>
      <c r="D98" t="inlineStr">
        <is>
          <t>kilogram</t>
        </is>
      </c>
      <c r="E98" t="inlineStr">
        <is>
          <t>Waste to treatment</t>
        </is>
      </c>
      <c r="F98" t="inlineStr">
        <is>
          <t>technosphere</t>
        </is>
      </c>
      <c r="G98" t="n">
        <v>0</v>
      </c>
      <c r="H98" t="inlineStr">
        <is>
          <t>Moser et al. (2010)</t>
        </is>
      </c>
      <c r="I98" t="inlineStr">
        <is>
          <t>spent solvent mixture</t>
        </is>
      </c>
    </row>
    <row r="99"/>
    <row r="100" ht="16" customHeight="1">
      <c r="A100" s="1" t="inlineStr">
        <is>
          <t>Activity</t>
        </is>
      </c>
      <c r="B100" s="1" t="inlineStr">
        <is>
          <t>carbon dioxide, captured from hard coal-fired power plant, oxy, pipeline 200km, storage 1000m</t>
        </is>
      </c>
    </row>
    <row r="101">
      <c r="A101" t="inlineStr">
        <is>
          <t>location</t>
        </is>
      </c>
      <c r="B101" t="inlineStr">
        <is>
          <t>RER</t>
        </is>
      </c>
    </row>
    <row r="102">
      <c r="A102" t="inlineStr">
        <is>
          <t>production amount</t>
        </is>
      </c>
      <c r="B102" t="n">
        <v>1</v>
      </c>
    </row>
    <row r="103">
      <c r="A103" t="inlineStr">
        <is>
          <t>reference product</t>
        </is>
      </c>
      <c r="B103" t="inlineStr">
        <is>
          <t>carbon dioxide, captured from hard coal-fired power plant, oxy, pipeline 200km, storage 1000m</t>
        </is>
      </c>
    </row>
    <row r="104">
      <c r="A104" t="inlineStr">
        <is>
          <t>type</t>
        </is>
      </c>
      <c r="B104" t="inlineStr">
        <is>
          <t>process</t>
        </is>
      </c>
    </row>
    <row r="105">
      <c r="A105" t="inlineStr">
        <is>
          <t>unit</t>
        </is>
      </c>
      <c r="B105" t="inlineStr">
        <is>
          <t>kilogram</t>
        </is>
      </c>
    </row>
    <row r="106">
      <c r="A106" t="inlineStr">
        <is>
          <t>source</t>
        </is>
      </c>
      <c r="B106" t="inlineStr">
        <is>
          <t>Life cycle assessment of carbon capture and storage in power generation and industry in Europe, Volkart et al., 2013, International Journal of Greenhouse Gas Control</t>
        </is>
      </c>
    </row>
    <row r="107" ht="16" customHeight="1">
      <c r="A107" s="1" t="inlineStr">
        <is>
          <t>Exchanges</t>
        </is>
      </c>
    </row>
    <row r="108">
      <c r="A108" t="inlineStr">
        <is>
          <t>name</t>
        </is>
      </c>
      <c r="B108" t="inlineStr">
        <is>
          <t>amount</t>
        </is>
      </c>
      <c r="C108" t="inlineStr">
        <is>
          <t>location</t>
        </is>
      </c>
      <c r="D108" t="inlineStr">
        <is>
          <t>unit</t>
        </is>
      </c>
      <c r="E108" t="inlineStr">
        <is>
          <t>categories</t>
        </is>
      </c>
      <c r="F108" t="inlineStr">
        <is>
          <t>type</t>
        </is>
      </c>
      <c r="G108" t="inlineStr">
        <is>
          <t>uncertainty type</t>
        </is>
      </c>
      <c r="H108" t="inlineStr">
        <is>
          <t>comment</t>
        </is>
      </c>
      <c r="I108" t="inlineStr">
        <is>
          <t>reference product</t>
        </is>
      </c>
    </row>
    <row r="109">
      <c r="A109" t="inlineStr">
        <is>
          <t>carbon dioxide, captured from hard coal-fired power plant, oxy, pipeline 200km, storage 1000m</t>
        </is>
      </c>
      <c r="B109" t="n">
        <v>1</v>
      </c>
      <c r="C109" t="inlineStr">
        <is>
          <t>RER</t>
        </is>
      </c>
      <c r="D109" t="inlineStr">
        <is>
          <t>kilogram</t>
        </is>
      </c>
      <c r="E109" t="inlineStr">
        <is>
          <t>CCS Europe 2025::Hard coal::Geological storage</t>
        </is>
      </c>
      <c r="F109" t="inlineStr">
        <is>
          <t>production</t>
        </is>
      </c>
      <c r="G109" t="n">
        <v>0</v>
      </c>
      <c r="I109" t="inlineStr">
        <is>
          <t>carbon dioxide, captured from hard coal-fired power plant, oxy, pipeline 200km, storage 1000m</t>
        </is>
      </c>
    </row>
    <row r="110">
      <c r="A110" t="inlineStr">
        <is>
          <t>carbon dioxide storage from hard coal, oxy, pipeline 200km, storage 1000m</t>
        </is>
      </c>
      <c r="B110" t="n">
        <v>1</v>
      </c>
      <c r="C110" t="inlineStr">
        <is>
          <t>RER</t>
        </is>
      </c>
      <c r="D110" t="inlineStr">
        <is>
          <t>kilogram</t>
        </is>
      </c>
      <c r="E110" t="inlineStr">
        <is>
          <t>Materials/fuels</t>
        </is>
      </c>
      <c r="F110" t="inlineStr">
        <is>
          <t>technosphere</t>
        </is>
      </c>
      <c r="G110" t="n">
        <v>0</v>
      </c>
    </row>
    <row r="111">
      <c r="A111" t="inlineStr">
        <is>
          <t>electricity production, at hard coal-fired power plant, oxy, pipeline 200km, storage 1000m</t>
        </is>
      </c>
      <c r="B111" t="n">
        <v>0</v>
      </c>
      <c r="C111" t="inlineStr">
        <is>
          <t>RER</t>
        </is>
      </c>
      <c r="D111" t="inlineStr">
        <is>
          <t>kilowatt hour</t>
        </is>
      </c>
      <c r="E111" t="inlineStr">
        <is>
          <t>Materials/fuels</t>
        </is>
      </c>
      <c r="F111" t="inlineStr">
        <is>
          <t>technosphere</t>
        </is>
      </c>
      <c r="G111" t="n">
        <v>0</v>
      </c>
      <c r="H111" t="inlineStr">
        <is>
          <t>E_capture = E_el*(1-(eff_CCS/eff_no CCS))</t>
        </is>
      </c>
    </row>
    <row r="112">
      <c r="A112" t="inlineStr">
        <is>
          <t>heat pump production, for heat and power co-generation unit, 160kW electrical</t>
        </is>
      </c>
      <c r="B112" t="n">
        <v>4.55e-11</v>
      </c>
      <c r="C112" t="inlineStr">
        <is>
          <t>RER</t>
        </is>
      </c>
      <c r="D112" t="inlineStr">
        <is>
          <t>unit</t>
        </is>
      </c>
      <c r="E112" t="inlineStr">
        <is>
          <t>Materials/fuels</t>
        </is>
      </c>
      <c r="F112" t="inlineStr">
        <is>
          <t>technosphere</t>
        </is>
      </c>
      <c r="G112" t="n">
        <v>0</v>
      </c>
      <c r="H112" t="inlineStr">
        <is>
          <t>n_HX = n_total*ifetime_ratio/(lifetime_plant*annual m_flow)</t>
        </is>
      </c>
      <c r="I112" t="inlineStr">
        <is>
          <t>heat pump, for heat and power co-generation unit, 160kW electrical</t>
        </is>
      </c>
    </row>
    <row r="113">
      <c r="A113" t="inlineStr">
        <is>
          <t>market for absorption chiller, 100kW</t>
        </is>
      </c>
      <c r="B113" t="n">
        <v>1.37e-10</v>
      </c>
      <c r="C113" t="inlineStr">
        <is>
          <t>GLO</t>
        </is>
      </c>
      <c r="D113" t="inlineStr">
        <is>
          <t>unit</t>
        </is>
      </c>
      <c r="E113" t="inlineStr">
        <is>
          <t>Materials/fuels</t>
        </is>
      </c>
      <c r="F113" t="inlineStr">
        <is>
          <t>technosphere</t>
        </is>
      </c>
      <c r="G113" t="n">
        <v>0</v>
      </c>
      <c r="H113" t="inlineStr">
        <is>
          <t>n_absorption chiller = n_total*lifetime_ratio/(lifetime_plant*annual m_flow)</t>
        </is>
      </c>
      <c r="I113" t="inlineStr">
        <is>
          <t>absorption chiller, 100kW</t>
        </is>
      </c>
    </row>
    <row r="114">
      <c r="A114" t="inlineStr">
        <is>
          <t>market for gas turbine, 10MW electrical</t>
        </is>
      </c>
      <c r="B114" t="n">
        <v>1.82e-10</v>
      </c>
      <c r="C114" t="inlineStr">
        <is>
          <t>GLO</t>
        </is>
      </c>
      <c r="D114" t="inlineStr">
        <is>
          <t>unit</t>
        </is>
      </c>
      <c r="E114" t="inlineStr">
        <is>
          <t>Materials/fuels</t>
        </is>
      </c>
      <c r="F114" t="inlineStr">
        <is>
          <t>technosphere</t>
        </is>
      </c>
      <c r="G114" t="n">
        <v>0</v>
      </c>
      <c r="H114" t="inlineStr">
        <is>
          <t>n_GT = n_total*lifetime_ratio/(lifetime_plant*annual m_flow)</t>
        </is>
      </c>
      <c r="I114" t="inlineStr">
        <is>
          <t>gas turbine, 10MW electrical</t>
        </is>
      </c>
    </row>
    <row r="115">
      <c r="A115" t="inlineStr">
        <is>
          <t>market for liquid storage tank, chemicals, organics</t>
        </is>
      </c>
      <c r="B115" t="n">
        <v>1.51e-11</v>
      </c>
      <c r="C115" t="inlineStr">
        <is>
          <t>GLO</t>
        </is>
      </c>
      <c r="D115" t="inlineStr">
        <is>
          <t>unit</t>
        </is>
      </c>
      <c r="E115" t="inlineStr">
        <is>
          <t>Materials/fuels</t>
        </is>
      </c>
      <c r="F115" t="inlineStr">
        <is>
          <t>technosphere</t>
        </is>
      </c>
      <c r="G115" t="n">
        <v>0</v>
      </c>
      <c r="H115" t="inlineStr">
        <is>
          <t>n_tank = V_total*lifetime_ratio/(V_ref*lifetime plant*annual m_flow)</t>
        </is>
      </c>
      <c r="I115" t="inlineStr">
        <is>
          <t>liquid storage tank, chemicals, organics</t>
        </is>
      </c>
    </row>
    <row r="116">
      <c r="A116" t="inlineStr">
        <is>
          <t>market for pump, 40W</t>
        </is>
      </c>
      <c r="B116" t="n">
        <v>4.55e-11</v>
      </c>
      <c r="C116" t="inlineStr">
        <is>
          <t>GLO</t>
        </is>
      </c>
      <c r="D116" t="inlineStr">
        <is>
          <t>unit</t>
        </is>
      </c>
      <c r="E116" t="inlineStr">
        <is>
          <t>Materials/fuels</t>
        </is>
      </c>
      <c r="F116" t="inlineStr">
        <is>
          <t>technosphere</t>
        </is>
      </c>
      <c r="G116" t="n">
        <v>0</v>
      </c>
      <c r="H116" t="inlineStr">
        <is>
          <t>n_pump = n_total*lifetime_ratio/(lifetime_plant*annual m_flow)</t>
        </is>
      </c>
      <c r="I116" t="inlineStr">
        <is>
          <t>pump, 40W</t>
        </is>
      </c>
    </row>
    <row r="117"/>
    <row r="118" ht="16" customHeight="1">
      <c r="A118" s="1" t="inlineStr">
        <is>
          <t>Activity</t>
        </is>
      </c>
      <c r="B118" s="1" t="inlineStr">
        <is>
          <t>carbon dioxide, captured from hard coal-fired power plant, post, pipeline 200km, storage 1000m</t>
        </is>
      </c>
    </row>
    <row r="119">
      <c r="A119" t="inlineStr">
        <is>
          <t>location</t>
        </is>
      </c>
      <c r="B119" t="inlineStr">
        <is>
          <t>RER</t>
        </is>
      </c>
    </row>
    <row r="120">
      <c r="A120" t="inlineStr">
        <is>
          <t>production amount</t>
        </is>
      </c>
      <c r="B120" t="n">
        <v>1</v>
      </c>
    </row>
    <row r="121">
      <c r="A121" t="inlineStr">
        <is>
          <t>reference product</t>
        </is>
      </c>
      <c r="B121" t="inlineStr">
        <is>
          <t>carbon dioxide, captured from hard coal-fired power plant, post, pipeline 200km, storage 1000m</t>
        </is>
      </c>
    </row>
    <row r="122">
      <c r="A122" t="inlineStr">
        <is>
          <t>type</t>
        </is>
      </c>
      <c r="B122" t="inlineStr">
        <is>
          <t>process</t>
        </is>
      </c>
    </row>
    <row r="123">
      <c r="A123" t="inlineStr">
        <is>
          <t>unit</t>
        </is>
      </c>
      <c r="B123" t="inlineStr">
        <is>
          <t>kilogram</t>
        </is>
      </c>
    </row>
    <row r="124">
      <c r="A124" t="inlineStr">
        <is>
          <t>source</t>
        </is>
      </c>
      <c r="B124" t="inlineStr">
        <is>
          <t>Life cycle assessment of carbon capture and storage in power generation and industry in Europe, Volkart et al., 2013, International Journal of Greenhouse Gas Control</t>
        </is>
      </c>
    </row>
    <row r="125" ht="16" customHeight="1">
      <c r="A125" s="1" t="inlineStr">
        <is>
          <t>Exchanges</t>
        </is>
      </c>
    </row>
    <row r="126">
      <c r="A126" t="inlineStr">
        <is>
          <t>name</t>
        </is>
      </c>
      <c r="B126" t="inlineStr">
        <is>
          <t>amount</t>
        </is>
      </c>
      <c r="C126" t="inlineStr">
        <is>
          <t>location</t>
        </is>
      </c>
      <c r="D126" t="inlineStr">
        <is>
          <t>unit</t>
        </is>
      </c>
      <c r="E126" t="inlineStr">
        <is>
          <t>categories</t>
        </is>
      </c>
      <c r="F126" t="inlineStr">
        <is>
          <t>type</t>
        </is>
      </c>
      <c r="G126" t="inlineStr">
        <is>
          <t>uncertainty type</t>
        </is>
      </c>
      <c r="H126" t="inlineStr">
        <is>
          <t>comment</t>
        </is>
      </c>
      <c r="I126" t="inlineStr">
        <is>
          <t>reference product</t>
        </is>
      </c>
    </row>
    <row r="127">
      <c r="A127" t="inlineStr">
        <is>
          <t>Ammonia</t>
        </is>
      </c>
      <c r="B127" t="n">
        <v>0.000123</v>
      </c>
      <c r="D127" t="inlineStr">
        <is>
          <t>kilogram</t>
        </is>
      </c>
      <c r="E127" t="inlineStr">
        <is>
          <t>air</t>
        </is>
      </c>
      <c r="F127" t="inlineStr">
        <is>
          <t>biosphere</t>
        </is>
      </c>
      <c r="G127" t="n">
        <v>0</v>
      </c>
      <c r="H127" t="inlineStr">
        <is>
          <t>Moser et al. (2010)</t>
        </is>
      </c>
    </row>
    <row r="128">
      <c r="A128" t="inlineStr">
        <is>
          <t>Monoethanolamine</t>
        </is>
      </c>
      <c r="B128" t="n">
        <v>6e-06</v>
      </c>
      <c r="D128" t="inlineStr">
        <is>
          <t>kilogram</t>
        </is>
      </c>
      <c r="E128" t="inlineStr">
        <is>
          <t>air</t>
        </is>
      </c>
      <c r="F128" t="inlineStr">
        <is>
          <t>biosphere</t>
        </is>
      </c>
      <c r="G128" t="n">
        <v>0</v>
      </c>
      <c r="H128" t="inlineStr">
        <is>
          <t>Moser et al. (2010)</t>
        </is>
      </c>
    </row>
    <row r="129">
      <c r="A129" t="inlineStr">
        <is>
          <t>Water, cooling, unspecified natural origin</t>
        </is>
      </c>
      <c r="B129" t="n">
        <v>0.0832</v>
      </c>
      <c r="D129" t="inlineStr">
        <is>
          <t>cubic meter</t>
        </is>
      </c>
      <c r="E129" t="inlineStr">
        <is>
          <t>natural resource::in water</t>
        </is>
      </c>
      <c r="F129" t="inlineStr">
        <is>
          <t>biosphere</t>
        </is>
      </c>
      <c r="G129" t="n">
        <v>0</v>
      </c>
      <c r="H129" t="inlineStr">
        <is>
          <t>RECCS 2007</t>
        </is>
      </c>
    </row>
    <row r="130">
      <c r="A130" t="inlineStr">
        <is>
          <t>Water</t>
        </is>
      </c>
      <c r="B130" s="4">
        <f>((B129*1000)-(600*3.78541/1000))/1000</f>
        <v>8.0928753999999992E-2</v>
      </c>
      <c r="D130" t="inlineStr">
        <is>
          <t>cubic meter</t>
        </is>
      </c>
      <c r="E130" t="inlineStr">
        <is>
          <t>water</t>
        </is>
      </c>
      <c r="F130" t="inlineStr">
        <is>
          <t>biosphere</t>
        </is>
      </c>
      <c r="H130" t="inlineStr">
        <is>
          <t>We assume 600 gallons of water consumed per ton CO2 captured, the rest is evaporated. Very uncertain. Based on https://netl.doe.gov/sites/default/files/event-proceedings/2014/carbon_storage/10--Christopher-Harto.pdf</t>
        </is>
      </c>
    </row>
    <row r="131">
      <c r="A131" t="inlineStr">
        <is>
          <t>carbon dioxide, captured from hard coal-fired power plant, post, pipeline 200km, storage 1000m</t>
        </is>
      </c>
      <c r="B131" t="n">
        <v>1</v>
      </c>
      <c r="C131" t="inlineStr">
        <is>
          <t>RER</t>
        </is>
      </c>
      <c r="D131" t="inlineStr">
        <is>
          <t>kilogram</t>
        </is>
      </c>
      <c r="E131" t="inlineStr">
        <is>
          <t>CCS Europe 2025::Hard coal::Geological storage</t>
        </is>
      </c>
      <c r="F131" t="inlineStr">
        <is>
          <t>production</t>
        </is>
      </c>
      <c r="G131" t="n">
        <v>0</v>
      </c>
      <c r="I131" t="inlineStr">
        <is>
          <t>carbon dioxide, captured from hard coal-fired power plant, post, pipeline 200km, storage 1000m</t>
        </is>
      </c>
    </row>
    <row r="132">
      <c r="A132" t="inlineStr">
        <is>
          <t>carbon dioxide storage from hard coal, post, pipeline 200km, storage 1000m</t>
        </is>
      </c>
      <c r="B132" t="n">
        <v>1</v>
      </c>
      <c r="C132" t="inlineStr">
        <is>
          <t>RER</t>
        </is>
      </c>
      <c r="D132" t="inlineStr">
        <is>
          <t>kilogram</t>
        </is>
      </c>
      <c r="E132" t="inlineStr">
        <is>
          <t>Materials/fuels</t>
        </is>
      </c>
      <c r="F132" t="inlineStr">
        <is>
          <t>technosphere</t>
        </is>
      </c>
      <c r="G132" t="n">
        <v>0</v>
      </c>
    </row>
    <row r="133">
      <c r="A133" t="inlineStr">
        <is>
          <t>electricity production, at hard coal-fired power plant, post, pipeline 200km, storage 1000m</t>
        </is>
      </c>
      <c r="B133" t="n">
        <v>0</v>
      </c>
      <c r="C133" t="inlineStr">
        <is>
          <t>RER</t>
        </is>
      </c>
      <c r="D133" t="inlineStr">
        <is>
          <t>kilowatt hour</t>
        </is>
      </c>
      <c r="E133" t="inlineStr">
        <is>
          <t>Materials/fuels</t>
        </is>
      </c>
      <c r="F133" t="inlineStr">
        <is>
          <t>technosphere</t>
        </is>
      </c>
      <c r="G133" t="n">
        <v>0</v>
      </c>
      <c r="H133" t="inlineStr">
        <is>
          <t>E_capture = E_el*(1-(eff_CCS/eff_no CCS))</t>
        </is>
      </c>
    </row>
    <row r="134">
      <c r="A134" t="inlineStr">
        <is>
          <t>heat pump production, for heat and power co-generation unit, 160kW electrical</t>
        </is>
      </c>
      <c r="B134" t="n">
        <v>8.479999999999999e-11</v>
      </c>
      <c r="C134" t="inlineStr">
        <is>
          <t>RER</t>
        </is>
      </c>
      <c r="D134" t="inlineStr">
        <is>
          <t>unit</t>
        </is>
      </c>
      <c r="E134" t="inlineStr">
        <is>
          <t>Materials/fuels</t>
        </is>
      </c>
      <c r="F134" t="inlineStr">
        <is>
          <t>technosphere</t>
        </is>
      </c>
      <c r="G134" t="n">
        <v>0</v>
      </c>
      <c r="H134" t="inlineStr">
        <is>
          <t>n_HX = n_total*lifetime_ratio/(lifetime_plant*annual m_flow)</t>
        </is>
      </c>
      <c r="I134" t="inlineStr">
        <is>
          <t>heat pump, for heat and power co-generation unit, 160kW electrical</t>
        </is>
      </c>
    </row>
    <row r="135">
      <c r="A135" t="inlineStr">
        <is>
          <t>market for absorption chiller, 100kW</t>
        </is>
      </c>
      <c r="B135" t="n">
        <v>5.09e-10</v>
      </c>
      <c r="C135" t="inlineStr">
        <is>
          <t>GLO</t>
        </is>
      </c>
      <c r="D135" t="inlineStr">
        <is>
          <t>unit</t>
        </is>
      </c>
      <c r="E135" t="inlineStr">
        <is>
          <t>Materials/fuels</t>
        </is>
      </c>
      <c r="F135" t="inlineStr">
        <is>
          <t>technosphere</t>
        </is>
      </c>
      <c r="G135" t="n">
        <v>0</v>
      </c>
      <c r="H135" t="inlineStr">
        <is>
          <t>n_absorption chiller = n_total*lifetime_ratio/(lifetime_plant*annual m_flow)</t>
        </is>
      </c>
      <c r="I135" t="inlineStr">
        <is>
          <t>absorption chiller, 100kW</t>
        </is>
      </c>
    </row>
    <row r="136">
      <c r="A136" t="inlineStr">
        <is>
          <t>market for charcoal</t>
        </is>
      </c>
      <c r="B136" t="n">
        <v>8.26e-05</v>
      </c>
      <c r="C136" t="inlineStr">
        <is>
          <t>GLO</t>
        </is>
      </c>
      <c r="D136" t="inlineStr">
        <is>
          <t>kilogram</t>
        </is>
      </c>
      <c r="E136" t="inlineStr">
        <is>
          <t>Materials/fuels</t>
        </is>
      </c>
      <c r="F136" t="inlineStr">
        <is>
          <t>technosphere</t>
        </is>
      </c>
      <c r="G136" t="n">
        <v>0</v>
      </c>
      <c r="H136" t="inlineStr">
        <is>
          <t>RECCS 2007</t>
        </is>
      </c>
      <c r="I136" t="inlineStr">
        <is>
          <t>charcoal</t>
        </is>
      </c>
    </row>
    <row r="137">
      <c r="A137" t="inlineStr">
        <is>
          <t>market for gas turbine, 10MW electrical</t>
        </is>
      </c>
      <c r="B137" t="n">
        <v>8.479999999999999e-11</v>
      </c>
      <c r="C137" t="inlineStr">
        <is>
          <t>GLO</t>
        </is>
      </c>
      <c r="D137" t="inlineStr">
        <is>
          <t>unit</t>
        </is>
      </c>
      <c r="E137" t="inlineStr">
        <is>
          <t>Materials/fuels</t>
        </is>
      </c>
      <c r="F137" t="inlineStr">
        <is>
          <t>technosphere</t>
        </is>
      </c>
      <c r="G137" t="n">
        <v>0</v>
      </c>
      <c r="H137" t="inlineStr">
        <is>
          <t>n_GT = n_total*lifetime_ratio/(lifetime_plant*annual m_flow)</t>
        </is>
      </c>
      <c r="I137" t="inlineStr">
        <is>
          <t>gas turbine, 10MW electrical</t>
        </is>
      </c>
    </row>
    <row r="138">
      <c r="A138" t="inlineStr">
        <is>
          <t>market for liquid storage tank, chemicals, organics</t>
        </is>
      </c>
      <c r="B138" t="n">
        <v>2.85e-11</v>
      </c>
      <c r="C138" t="inlineStr">
        <is>
          <t>GLO</t>
        </is>
      </c>
      <c r="D138" t="inlineStr">
        <is>
          <t>unit</t>
        </is>
      </c>
      <c r="E138" t="inlineStr">
        <is>
          <t>Materials/fuels</t>
        </is>
      </c>
      <c r="F138" t="inlineStr">
        <is>
          <t>technosphere</t>
        </is>
      </c>
      <c r="G138" t="n">
        <v>0</v>
      </c>
      <c r="H138" t="inlineStr">
        <is>
          <t>n_tank = V_total*lifetime_ratio/(V_ref*lifetime plant*annual m_flow)</t>
        </is>
      </c>
      <c r="I138" t="inlineStr">
        <is>
          <t>liquid storage tank, chemicals, organics</t>
        </is>
      </c>
    </row>
    <row r="139">
      <c r="A139" t="inlineStr">
        <is>
          <t>market for monoethanolamine</t>
        </is>
      </c>
      <c r="B139" t="n">
        <v>0.000284</v>
      </c>
      <c r="C139" t="inlineStr">
        <is>
          <t>GLO</t>
        </is>
      </c>
      <c r="D139" t="inlineStr">
        <is>
          <t>kilogram</t>
        </is>
      </c>
      <c r="E139" t="inlineStr">
        <is>
          <t>Materials/fuels</t>
        </is>
      </c>
      <c r="F139" t="inlineStr">
        <is>
          <t>technosphere</t>
        </is>
      </c>
      <c r="G139" t="n">
        <v>0</v>
      </c>
      <c r="H139" t="inlineStr">
        <is>
          <t>Moser et al. (2010)</t>
        </is>
      </c>
      <c r="I139" t="inlineStr">
        <is>
          <t>monoethanolamine</t>
        </is>
      </c>
    </row>
    <row r="140">
      <c r="A140" t="inlineStr">
        <is>
          <t>market for pump, 40W</t>
        </is>
      </c>
      <c r="B140" t="n">
        <v>5.94e-10</v>
      </c>
      <c r="C140" t="inlineStr">
        <is>
          <t>GLO</t>
        </is>
      </c>
      <c r="D140" t="inlineStr">
        <is>
          <t>unit</t>
        </is>
      </c>
      <c r="E140" t="inlineStr">
        <is>
          <t>Materials/fuels</t>
        </is>
      </c>
      <c r="F140" t="inlineStr">
        <is>
          <t>technosphere</t>
        </is>
      </c>
      <c r="G140" t="n">
        <v>0</v>
      </c>
      <c r="H140" t="inlineStr">
        <is>
          <t>n_pump = n_total*lifetime_ratio/(lifetime_plant*annual m_flow)</t>
        </is>
      </c>
      <c r="I140" t="inlineStr">
        <is>
          <t>pump, 40W</t>
        </is>
      </c>
    </row>
    <row r="141">
      <c r="A141" t="inlineStr">
        <is>
          <t>market for sodium hydroxide, without water, in 50% solution state</t>
        </is>
      </c>
      <c r="B141" t="n">
        <v>0.000304</v>
      </c>
      <c r="C141" t="inlineStr">
        <is>
          <t>GLO</t>
        </is>
      </c>
      <c r="D141" t="inlineStr">
        <is>
          <t>kilogram</t>
        </is>
      </c>
      <c r="E141" t="inlineStr">
        <is>
          <t>Materials/fuels</t>
        </is>
      </c>
      <c r="F141" t="inlineStr">
        <is>
          <t>technosphere</t>
        </is>
      </c>
      <c r="G141" t="n">
        <v>0</v>
      </c>
      <c r="H141" t="inlineStr">
        <is>
          <t>RECCS 2007</t>
        </is>
      </c>
      <c r="I141" t="inlineStr">
        <is>
          <t>sodium hydroxide, without water, in 50% solution state</t>
        </is>
      </c>
    </row>
    <row r="142">
      <c r="A142" t="inlineStr">
        <is>
          <t>treatment of spent solvent mixture, hazardous waste incineration</t>
        </is>
      </c>
      <c r="B142" t="n">
        <v>-0.000227</v>
      </c>
      <c r="C142" t="inlineStr">
        <is>
          <t>CH</t>
        </is>
      </c>
      <c r="D142" t="inlineStr">
        <is>
          <t>kilogram</t>
        </is>
      </c>
      <c r="E142" t="inlineStr">
        <is>
          <t>Waste to treatment</t>
        </is>
      </c>
      <c r="F142" t="inlineStr">
        <is>
          <t>technosphere</t>
        </is>
      </c>
      <c r="G142" t="n">
        <v>0</v>
      </c>
      <c r="H142" t="inlineStr">
        <is>
          <t>Moser et al. (2010)</t>
        </is>
      </c>
      <c r="I142" t="inlineStr">
        <is>
          <t>spent solvent mixture</t>
        </is>
      </c>
    </row>
    <row r="143"/>
    <row r="144" ht="16" customHeight="1">
      <c r="A144" s="1" t="inlineStr">
        <is>
          <t>Activity</t>
        </is>
      </c>
      <c r="B144" s="1" t="inlineStr">
        <is>
          <t>carbon dioxide, captured from hard coal-fired power plant, post, pipeline 400km, storage 1000m</t>
        </is>
      </c>
    </row>
    <row r="145">
      <c r="A145" t="inlineStr">
        <is>
          <t>location</t>
        </is>
      </c>
      <c r="B145" t="inlineStr">
        <is>
          <t>RER</t>
        </is>
      </c>
    </row>
    <row r="146">
      <c r="A146" t="inlineStr">
        <is>
          <t>production amount</t>
        </is>
      </c>
      <c r="B146" t="n">
        <v>1</v>
      </c>
    </row>
    <row r="147">
      <c r="A147" t="inlineStr">
        <is>
          <t>reference product</t>
        </is>
      </c>
      <c r="B147" t="inlineStr">
        <is>
          <t>carbon dioxide, captured from hard coal-fired power plant, post, pipeline 400km, storage 1000m</t>
        </is>
      </c>
    </row>
    <row r="148">
      <c r="A148" t="inlineStr">
        <is>
          <t>type</t>
        </is>
      </c>
      <c r="B148" t="inlineStr">
        <is>
          <t>process</t>
        </is>
      </c>
    </row>
    <row r="149">
      <c r="A149" t="inlineStr">
        <is>
          <t>unit</t>
        </is>
      </c>
      <c r="B149" t="inlineStr">
        <is>
          <t>kilogram</t>
        </is>
      </c>
    </row>
    <row r="150">
      <c r="A150" t="inlineStr">
        <is>
          <t>source</t>
        </is>
      </c>
      <c r="B150" t="inlineStr">
        <is>
          <t>Life cycle assessment of carbon capture and storage in power generation and industry in Europe, Volkart et al., 2013, International Journal of Greenhouse Gas Control</t>
        </is>
      </c>
    </row>
    <row r="151" ht="16" customHeight="1">
      <c r="A151" s="1" t="inlineStr">
        <is>
          <t>Exchanges</t>
        </is>
      </c>
    </row>
    <row r="152">
      <c r="A152" t="inlineStr">
        <is>
          <t>name</t>
        </is>
      </c>
      <c r="B152" t="inlineStr">
        <is>
          <t>amount</t>
        </is>
      </c>
      <c r="C152" t="inlineStr">
        <is>
          <t>location</t>
        </is>
      </c>
      <c r="D152" t="inlineStr">
        <is>
          <t>unit</t>
        </is>
      </c>
      <c r="E152" t="inlineStr">
        <is>
          <t>categories</t>
        </is>
      </c>
      <c r="F152" t="inlineStr">
        <is>
          <t>type</t>
        </is>
      </c>
      <c r="G152" t="inlineStr">
        <is>
          <t>uncertainty type</t>
        </is>
      </c>
      <c r="H152" t="inlineStr">
        <is>
          <t>comment</t>
        </is>
      </c>
      <c r="I152" t="inlineStr">
        <is>
          <t>reference product</t>
        </is>
      </c>
    </row>
    <row r="153">
      <c r="A153" t="inlineStr">
        <is>
          <t>Ammonia</t>
        </is>
      </c>
      <c r="B153" t="n">
        <v>0.000123</v>
      </c>
      <c r="D153" t="inlineStr">
        <is>
          <t>kilogram</t>
        </is>
      </c>
      <c r="E153" t="inlineStr">
        <is>
          <t>air</t>
        </is>
      </c>
      <c r="F153" t="inlineStr">
        <is>
          <t>biosphere</t>
        </is>
      </c>
      <c r="G153" t="n">
        <v>0</v>
      </c>
      <c r="H153" t="inlineStr">
        <is>
          <t>Moser et al. (2010)</t>
        </is>
      </c>
    </row>
    <row r="154">
      <c r="A154" t="inlineStr">
        <is>
          <t>Monoethanolamine</t>
        </is>
      </c>
      <c r="B154" t="n">
        <v>6e-06</v>
      </c>
      <c r="D154" t="inlineStr">
        <is>
          <t>kilogram</t>
        </is>
      </c>
      <c r="E154" t="inlineStr">
        <is>
          <t>air</t>
        </is>
      </c>
      <c r="F154" t="inlineStr">
        <is>
          <t>biosphere</t>
        </is>
      </c>
      <c r="G154" t="n">
        <v>0</v>
      </c>
      <c r="H154" t="inlineStr">
        <is>
          <t>Moser et al. (2010)</t>
        </is>
      </c>
    </row>
    <row r="155">
      <c r="A155" t="inlineStr">
        <is>
          <t>Water, cooling, unspecified natural origin</t>
        </is>
      </c>
      <c r="B155" t="n">
        <v>0.0832</v>
      </c>
      <c r="D155" t="inlineStr">
        <is>
          <t>cubic meter</t>
        </is>
      </c>
      <c r="E155" t="inlineStr">
        <is>
          <t>natural resource::in water</t>
        </is>
      </c>
      <c r="F155" t="inlineStr">
        <is>
          <t>biosphere</t>
        </is>
      </c>
      <c r="G155" t="n">
        <v>0</v>
      </c>
      <c r="H155" t="inlineStr">
        <is>
          <t>RECCS 2007</t>
        </is>
      </c>
    </row>
    <row r="156">
      <c r="A156" t="inlineStr">
        <is>
          <t>Water</t>
        </is>
      </c>
      <c r="B156" s="4">
        <f>((B155*1000)-(600*3.78541/1000))/1000</f>
        <v>8.0928753999999992E-2</v>
      </c>
      <c r="D156" t="inlineStr">
        <is>
          <t>cubic meter</t>
        </is>
      </c>
      <c r="E156" t="inlineStr">
        <is>
          <t>water</t>
        </is>
      </c>
      <c r="F156" t="inlineStr">
        <is>
          <t>biosphere</t>
        </is>
      </c>
      <c r="H156" t="inlineStr">
        <is>
          <t>We assume 600 gallons of water consumed per ton CO2 captured, the rest is evaporated. Very uncertain. Based on https://netl.doe.gov/sites/default/files/event-proceedings/2014/carbon_storage/10--Christopher-Harto.pdf</t>
        </is>
      </c>
    </row>
    <row r="157">
      <c r="A157" t="inlineStr">
        <is>
          <t>carbon dioxide, captured from hard coal-fired power plant, post, pipeline 400km, storage 1000m</t>
        </is>
      </c>
      <c r="B157" t="n">
        <v>1</v>
      </c>
      <c r="C157" t="inlineStr">
        <is>
          <t>RER</t>
        </is>
      </c>
      <c r="D157" t="inlineStr">
        <is>
          <t>kilogram</t>
        </is>
      </c>
      <c r="E157" t="inlineStr">
        <is>
          <t>CCS Europe 2025::Hard coal::Geological storage</t>
        </is>
      </c>
      <c r="F157" t="inlineStr">
        <is>
          <t>production</t>
        </is>
      </c>
      <c r="G157" t="n">
        <v>0</v>
      </c>
    </row>
    <row r="158">
      <c r="A158" t="inlineStr">
        <is>
          <t>carbon dioxide storage from hard coal, post, pipeline 400km, storage 1000m</t>
        </is>
      </c>
      <c r="B158" t="n">
        <v>1</v>
      </c>
      <c r="C158" t="inlineStr">
        <is>
          <t>RER</t>
        </is>
      </c>
      <c r="D158" t="inlineStr">
        <is>
          <t>kilogram</t>
        </is>
      </c>
      <c r="E158" t="inlineStr">
        <is>
          <t>Materials/fuels</t>
        </is>
      </c>
      <c r="F158" t="inlineStr">
        <is>
          <t>technosphere</t>
        </is>
      </c>
      <c r="G158" t="n">
        <v>0</v>
      </c>
    </row>
    <row r="159">
      <c r="A159" t="inlineStr">
        <is>
          <t>electricity production, at hard coal-fired power plant, post, pipeline 200km, storage 1000m</t>
        </is>
      </c>
      <c r="B159" t="n">
        <v>0</v>
      </c>
      <c r="C159" t="inlineStr">
        <is>
          <t>RER</t>
        </is>
      </c>
      <c r="D159" t="inlineStr">
        <is>
          <t>kilowatt hour</t>
        </is>
      </c>
      <c r="E159" t="inlineStr">
        <is>
          <t>Materials/fuels</t>
        </is>
      </c>
      <c r="F159" t="inlineStr">
        <is>
          <t>technosphere</t>
        </is>
      </c>
      <c r="G159" t="n">
        <v>0</v>
      </c>
      <c r="H159" t="inlineStr">
        <is>
          <t>E_capture = E_el*(1-(eff_CCS/eff_no CCS))</t>
        </is>
      </c>
    </row>
    <row r="160">
      <c r="A160" t="inlineStr">
        <is>
          <t>heat pump production, for heat and power co-generation unit, 160kW electrical</t>
        </is>
      </c>
      <c r="B160" t="n">
        <v>8.479999999999999e-11</v>
      </c>
      <c r="C160" t="inlineStr">
        <is>
          <t>RER</t>
        </is>
      </c>
      <c r="D160" t="inlineStr">
        <is>
          <t>unit</t>
        </is>
      </c>
      <c r="E160" t="inlineStr">
        <is>
          <t>Materials/fuels</t>
        </is>
      </c>
      <c r="F160" t="inlineStr">
        <is>
          <t>technosphere</t>
        </is>
      </c>
      <c r="G160" t="n">
        <v>0</v>
      </c>
      <c r="H160" t="inlineStr">
        <is>
          <t>n_HX = n_total*lifetime_ratio/(lifetime_plant*annual m_flow)</t>
        </is>
      </c>
      <c r="I160" t="inlineStr">
        <is>
          <t>heat pump, for heat and power co-generation unit, 160kW electrical</t>
        </is>
      </c>
    </row>
    <row r="161">
      <c r="A161" t="inlineStr">
        <is>
          <t>market for absorption chiller, 100kW</t>
        </is>
      </c>
      <c r="B161" t="n">
        <v>5.09e-10</v>
      </c>
      <c r="C161" t="inlineStr">
        <is>
          <t>GLO</t>
        </is>
      </c>
      <c r="D161" t="inlineStr">
        <is>
          <t>unit</t>
        </is>
      </c>
      <c r="E161" t="inlineStr">
        <is>
          <t>Materials/fuels</t>
        </is>
      </c>
      <c r="F161" t="inlineStr">
        <is>
          <t>technosphere</t>
        </is>
      </c>
      <c r="G161" t="n">
        <v>0</v>
      </c>
      <c r="H161" t="inlineStr">
        <is>
          <t>n_absorption chiller = n_total*lifetime_ratio/(lifetime_plant*annual m_flow)</t>
        </is>
      </c>
      <c r="I161" t="inlineStr">
        <is>
          <t>absorption chiller, 100kW</t>
        </is>
      </c>
    </row>
    <row r="162">
      <c r="A162" t="inlineStr">
        <is>
          <t>market for charcoal</t>
        </is>
      </c>
      <c r="B162" t="n">
        <v>8.26e-05</v>
      </c>
      <c r="C162" t="inlineStr">
        <is>
          <t>GLO</t>
        </is>
      </c>
      <c r="D162" t="inlineStr">
        <is>
          <t>kilogram</t>
        </is>
      </c>
      <c r="E162" t="inlineStr">
        <is>
          <t>Materials/fuels</t>
        </is>
      </c>
      <c r="F162" t="inlineStr">
        <is>
          <t>technosphere</t>
        </is>
      </c>
      <c r="G162" t="n">
        <v>0</v>
      </c>
      <c r="H162" t="inlineStr">
        <is>
          <t>RECCS 2007</t>
        </is>
      </c>
      <c r="I162" t="inlineStr">
        <is>
          <t>charcoal</t>
        </is>
      </c>
    </row>
    <row r="163">
      <c r="A163" t="inlineStr">
        <is>
          <t>market for gas turbine, 10MW electrical</t>
        </is>
      </c>
      <c r="B163" t="n">
        <v>8.479999999999999e-11</v>
      </c>
      <c r="C163" t="inlineStr">
        <is>
          <t>GLO</t>
        </is>
      </c>
      <c r="D163" t="inlineStr">
        <is>
          <t>unit</t>
        </is>
      </c>
      <c r="E163" t="inlineStr">
        <is>
          <t>Materials/fuels</t>
        </is>
      </c>
      <c r="F163" t="inlineStr">
        <is>
          <t>technosphere</t>
        </is>
      </c>
      <c r="G163" t="n">
        <v>0</v>
      </c>
      <c r="H163" t="inlineStr">
        <is>
          <t>n_GT = n_total*lifetime_ratio/(lifetime_plant*annual m_flow)</t>
        </is>
      </c>
      <c r="I163" t="inlineStr">
        <is>
          <t>gas turbine, 10MW electrical</t>
        </is>
      </c>
    </row>
    <row r="164">
      <c r="A164" t="inlineStr">
        <is>
          <t>market for liquid storage tank, chemicals, organics</t>
        </is>
      </c>
      <c r="B164" t="n">
        <v>2.85e-11</v>
      </c>
      <c r="C164" t="inlineStr">
        <is>
          <t>GLO</t>
        </is>
      </c>
      <c r="D164" t="inlineStr">
        <is>
          <t>unit</t>
        </is>
      </c>
      <c r="E164" t="inlineStr">
        <is>
          <t>Materials/fuels</t>
        </is>
      </c>
      <c r="F164" t="inlineStr">
        <is>
          <t>technosphere</t>
        </is>
      </c>
      <c r="G164" t="n">
        <v>0</v>
      </c>
      <c r="H164" t="inlineStr">
        <is>
          <t>n_tank = V_total*lifetime_ratio/(V_ref*lifetime plant*annual m_flow)</t>
        </is>
      </c>
      <c r="I164" t="inlineStr">
        <is>
          <t>liquid storage tank, chemicals, organics</t>
        </is>
      </c>
    </row>
    <row r="165">
      <c r="A165" t="inlineStr">
        <is>
          <t>market for monoethanolamine</t>
        </is>
      </c>
      <c r="B165" t="n">
        <v>0.000284</v>
      </c>
      <c r="C165" t="inlineStr">
        <is>
          <t>GLO</t>
        </is>
      </c>
      <c r="D165" t="inlineStr">
        <is>
          <t>kilogram</t>
        </is>
      </c>
      <c r="E165" t="inlineStr">
        <is>
          <t>Materials/fuels</t>
        </is>
      </c>
      <c r="F165" t="inlineStr">
        <is>
          <t>technosphere</t>
        </is>
      </c>
      <c r="G165" t="n">
        <v>0</v>
      </c>
      <c r="H165" t="inlineStr">
        <is>
          <t>Moser et al. (2010)</t>
        </is>
      </c>
      <c r="I165" t="inlineStr">
        <is>
          <t>monoethanolamine</t>
        </is>
      </c>
    </row>
    <row r="166">
      <c r="A166" t="inlineStr">
        <is>
          <t>market for pump, 40W</t>
        </is>
      </c>
      <c r="B166" t="n">
        <v>5.94e-10</v>
      </c>
      <c r="C166" t="inlineStr">
        <is>
          <t>GLO</t>
        </is>
      </c>
      <c r="D166" t="inlineStr">
        <is>
          <t>unit</t>
        </is>
      </c>
      <c r="E166" t="inlineStr">
        <is>
          <t>Materials/fuels</t>
        </is>
      </c>
      <c r="F166" t="inlineStr">
        <is>
          <t>technosphere</t>
        </is>
      </c>
      <c r="G166" t="n">
        <v>0</v>
      </c>
      <c r="H166" t="inlineStr">
        <is>
          <t>n_pump = n_total*lifetime_ratio/(lifetime_plant*annual m_flow)</t>
        </is>
      </c>
      <c r="I166" t="inlineStr">
        <is>
          <t>pump, 40W</t>
        </is>
      </c>
    </row>
    <row r="167">
      <c r="A167" t="inlineStr">
        <is>
          <t>market for sodium hydroxide, without water, in 50% solution state</t>
        </is>
      </c>
      <c r="B167" t="n">
        <v>0.000304</v>
      </c>
      <c r="C167" t="inlineStr">
        <is>
          <t>GLO</t>
        </is>
      </c>
      <c r="D167" t="inlineStr">
        <is>
          <t>kilogram</t>
        </is>
      </c>
      <c r="E167" t="inlineStr">
        <is>
          <t>Materials/fuels</t>
        </is>
      </c>
      <c r="F167" t="inlineStr">
        <is>
          <t>technosphere</t>
        </is>
      </c>
      <c r="G167" t="n">
        <v>0</v>
      </c>
      <c r="H167" t="inlineStr">
        <is>
          <t>RECCS 2007</t>
        </is>
      </c>
      <c r="I167" t="inlineStr">
        <is>
          <t>sodium hydroxide, without water, in 50% solution state</t>
        </is>
      </c>
    </row>
    <row r="168">
      <c r="A168" t="inlineStr">
        <is>
          <t>treatment of spent solvent mixture, hazardous waste incineration</t>
        </is>
      </c>
      <c r="B168" t="n">
        <v>-0.000227</v>
      </c>
      <c r="C168" t="inlineStr">
        <is>
          <t>CH</t>
        </is>
      </c>
      <c r="D168" t="inlineStr">
        <is>
          <t>kilogram</t>
        </is>
      </c>
      <c r="E168" t="inlineStr">
        <is>
          <t>Waste to treatment</t>
        </is>
      </c>
      <c r="F168" t="inlineStr">
        <is>
          <t>technosphere</t>
        </is>
      </c>
      <c r="G168" t="n">
        <v>0</v>
      </c>
      <c r="H168" t="inlineStr">
        <is>
          <t>Moser et al. (2010)</t>
        </is>
      </c>
      <c r="I168" t="inlineStr">
        <is>
          <t>spent solvent mixture</t>
        </is>
      </c>
    </row>
    <row r="169"/>
    <row r="170" ht="16" customHeight="1">
      <c r="A170" s="1" t="inlineStr">
        <is>
          <t>Activity</t>
        </is>
      </c>
      <c r="B170" s="1" t="inlineStr">
        <is>
          <t>carbon dioxide, captured from hard coal-fired power plant, pre, pipeline 200km, storage 1000m</t>
        </is>
      </c>
    </row>
    <row r="171">
      <c r="A171" t="inlineStr">
        <is>
          <t>location</t>
        </is>
      </c>
      <c r="B171" t="inlineStr">
        <is>
          <t>RER</t>
        </is>
      </c>
    </row>
    <row r="172">
      <c r="A172" t="inlineStr">
        <is>
          <t>production amount</t>
        </is>
      </c>
      <c r="B172" t="n">
        <v>1</v>
      </c>
    </row>
    <row r="173">
      <c r="A173" t="inlineStr">
        <is>
          <t>reference product</t>
        </is>
      </c>
      <c r="B173" t="inlineStr">
        <is>
          <t>carbon dioxide, captured from hard coal-fired power plant, pre, pipeline 200km, storage 1000m</t>
        </is>
      </c>
    </row>
    <row r="174">
      <c r="A174" t="inlineStr">
        <is>
          <t>type</t>
        </is>
      </c>
      <c r="B174" t="inlineStr">
        <is>
          <t>process</t>
        </is>
      </c>
    </row>
    <row r="175">
      <c r="A175" t="inlineStr">
        <is>
          <t>unit</t>
        </is>
      </c>
      <c r="B175" t="inlineStr">
        <is>
          <t>kilogram</t>
        </is>
      </c>
    </row>
    <row r="176">
      <c r="A176" t="inlineStr">
        <is>
          <t>source</t>
        </is>
      </c>
      <c r="B176" t="inlineStr">
        <is>
          <t>Life cycle assessment of carbon capture and storage in power generation and industry in Europe, Volkart et al., 2013, International Journal of Greenhouse Gas Control</t>
        </is>
      </c>
    </row>
    <row r="177" ht="16" customHeight="1">
      <c r="A177" s="1" t="inlineStr">
        <is>
          <t>Exchanges</t>
        </is>
      </c>
    </row>
    <row r="178">
      <c r="A178" t="inlineStr">
        <is>
          <t>name</t>
        </is>
      </c>
      <c r="B178" t="inlineStr">
        <is>
          <t>amount</t>
        </is>
      </c>
      <c r="C178" t="inlineStr">
        <is>
          <t>location</t>
        </is>
      </c>
      <c r="D178" t="inlineStr">
        <is>
          <t>unit</t>
        </is>
      </c>
      <c r="E178" t="inlineStr">
        <is>
          <t>categories</t>
        </is>
      </c>
      <c r="F178" t="inlineStr">
        <is>
          <t>type</t>
        </is>
      </c>
      <c r="G178" t="inlineStr">
        <is>
          <t>uncertainty type</t>
        </is>
      </c>
      <c r="H178" t="inlineStr">
        <is>
          <t>comment</t>
        </is>
      </c>
      <c r="I178" t="inlineStr">
        <is>
          <t>reference product</t>
        </is>
      </c>
    </row>
    <row r="179">
      <c r="A179" t="inlineStr">
        <is>
          <t>Water, cooling, unspecified natural origin</t>
        </is>
      </c>
      <c r="B179" t="n">
        <v>0.0832</v>
      </c>
      <c r="D179" t="inlineStr">
        <is>
          <t>cubic meter</t>
        </is>
      </c>
      <c r="E179" t="inlineStr">
        <is>
          <t>natural resource::in water</t>
        </is>
      </c>
      <c r="F179" t="inlineStr">
        <is>
          <t>biosphere</t>
        </is>
      </c>
      <c r="G179" t="n">
        <v>0</v>
      </c>
      <c r="H179" t="inlineStr">
        <is>
          <t>assumed to be analogous to MEA (RECCS 2007)</t>
        </is>
      </c>
    </row>
    <row r="180">
      <c r="A180" t="inlineStr">
        <is>
          <t>Water</t>
        </is>
      </c>
      <c r="B180" s="4">
        <f>((B179*1000)-(600*3.78541/1000))/1000</f>
        <v>8.0928753999999992E-2</v>
      </c>
      <c r="D180" t="inlineStr">
        <is>
          <t>cubic meter</t>
        </is>
      </c>
      <c r="E180" t="inlineStr">
        <is>
          <t>water</t>
        </is>
      </c>
      <c r="F180" t="inlineStr">
        <is>
          <t>biosphere</t>
        </is>
      </c>
      <c r="H180" t="inlineStr">
        <is>
          <t>We assume 600 gallons of water consumed per ton CO2 captured, the rest is evaporated. Very uncertain. Based on https://netl.doe.gov/sites/default/files/event-proceedings/2014/carbon_storage/10--Christopher-Harto.pdf</t>
        </is>
      </c>
    </row>
    <row r="181">
      <c r="A181" t="inlineStr">
        <is>
          <t>carbon dioxide, captured from hard coal-fired power plant, pre, pipeline 200km, storage 1000m</t>
        </is>
      </c>
      <c r="B181" t="n">
        <v>1</v>
      </c>
      <c r="C181" t="inlineStr">
        <is>
          <t>RER</t>
        </is>
      </c>
      <c r="D181" t="inlineStr">
        <is>
          <t>kilogram</t>
        </is>
      </c>
      <c r="E181" t="inlineStr">
        <is>
          <t>CCS Europe 2025::Hard coal::Geological storage</t>
        </is>
      </c>
      <c r="F181" t="inlineStr">
        <is>
          <t>production</t>
        </is>
      </c>
      <c r="I181" t="inlineStr">
        <is>
          <t>carbon dioxide, captured from hard coal-fired power plant, pre, pipeline 200km, storage 1000m</t>
        </is>
      </c>
    </row>
    <row r="182">
      <c r="A182" t="inlineStr">
        <is>
          <t>carbon dioxide storage from hard coal, pre, pipeline 200km, storage 1000m</t>
        </is>
      </c>
      <c r="B182" t="n">
        <v>1</v>
      </c>
      <c r="C182" t="inlineStr">
        <is>
          <t>RER</t>
        </is>
      </c>
      <c r="D182" t="inlineStr">
        <is>
          <t>kilogram</t>
        </is>
      </c>
      <c r="E182" t="inlineStr">
        <is>
          <t>Materials/fuels</t>
        </is>
      </c>
      <c r="F182" t="inlineStr">
        <is>
          <t>technosphere</t>
        </is>
      </c>
      <c r="G182" t="n">
        <v>0</v>
      </c>
    </row>
    <row r="183">
      <c r="A183" t="inlineStr">
        <is>
          <t>electricity production, at hard coal-fired IGCC power plant, pre, pipeline 200km, storage 1000m</t>
        </is>
      </c>
      <c r="B183" t="n">
        <v>0</v>
      </c>
      <c r="C183" t="inlineStr">
        <is>
          <t>RER</t>
        </is>
      </c>
      <c r="D183" t="inlineStr">
        <is>
          <t>kilowatt hour</t>
        </is>
      </c>
      <c r="E183" t="inlineStr">
        <is>
          <t>Materials/fuels</t>
        </is>
      </c>
      <c r="F183" t="inlineStr">
        <is>
          <t>technosphere</t>
        </is>
      </c>
      <c r="G183" t="n">
        <v>0</v>
      </c>
      <c r="H183" t="inlineStr">
        <is>
          <t>E_capture = E_el*(1-(eff_CCS/eff_no CCS))</t>
        </is>
      </c>
    </row>
    <row r="184">
      <c r="A184" t="inlineStr">
        <is>
          <t>Selexol (Dimethylether of polyethylene glycol)</t>
        </is>
      </c>
      <c r="B184" t="n">
        <v>7e-06</v>
      </c>
      <c r="C184" t="inlineStr">
        <is>
          <t>RER</t>
        </is>
      </c>
      <c r="D184" t="inlineStr">
        <is>
          <t>kilogram</t>
        </is>
      </c>
      <c r="E184" t="inlineStr">
        <is>
          <t>Materials/fuels</t>
        </is>
      </c>
      <c r="F184" t="inlineStr">
        <is>
          <t>technosphere</t>
        </is>
      </c>
      <c r="G184" t="n">
        <v>0</v>
      </c>
      <c r="H184" t="inlineStr">
        <is>
          <t>Singh et al. (2011)</t>
        </is>
      </c>
    </row>
    <row r="185">
      <c r="A185" t="inlineStr">
        <is>
          <t>heat pump production, for heat and power co-generation unit, 160kW electrical</t>
        </is>
      </c>
      <c r="B185" t="n">
        <v>1.18e-10</v>
      </c>
      <c r="C185" t="inlineStr">
        <is>
          <t>RER</t>
        </is>
      </c>
      <c r="D185" t="inlineStr">
        <is>
          <t>unit</t>
        </is>
      </c>
      <c r="E185" t="inlineStr">
        <is>
          <t>Materials/fuels</t>
        </is>
      </c>
      <c r="F185" t="inlineStr">
        <is>
          <t>technosphere</t>
        </is>
      </c>
      <c r="G185" t="n">
        <v>0</v>
      </c>
      <c r="H185" t="inlineStr">
        <is>
          <t>n_HX = n_total*lifetime_ratio/(lifetime_plant*annual m_flow)</t>
        </is>
      </c>
      <c r="I185" t="inlineStr">
        <is>
          <t>heat pump, for heat and power co-generation unit, 160kW electrical</t>
        </is>
      </c>
    </row>
    <row r="186">
      <c r="A186" t="inlineStr">
        <is>
          <t>market for absorption chiller, 100kW</t>
        </is>
      </c>
      <c r="B186" t="n">
        <v>2.35e-10</v>
      </c>
      <c r="C186" t="inlineStr">
        <is>
          <t>GLO</t>
        </is>
      </c>
      <c r="D186" t="inlineStr">
        <is>
          <t>unit</t>
        </is>
      </c>
      <c r="E186" t="inlineStr">
        <is>
          <t>Materials/fuels</t>
        </is>
      </c>
      <c r="F186" t="inlineStr">
        <is>
          <t>technosphere</t>
        </is>
      </c>
      <c r="G186" t="n">
        <v>0</v>
      </c>
      <c r="H186" t="inlineStr">
        <is>
          <t>n_absorption chiller = n_total*lifetime_ratio/(lifetime_plant*annual m_flow)</t>
        </is>
      </c>
      <c r="I186" t="inlineStr">
        <is>
          <t>absorption chiller, 100kW</t>
        </is>
      </c>
    </row>
    <row r="187">
      <c r="A187" t="inlineStr">
        <is>
          <t>market for gas turbine, 10MW electrical</t>
        </is>
      </c>
      <c r="B187" t="n">
        <v>1.18e-10</v>
      </c>
      <c r="C187" t="inlineStr">
        <is>
          <t>GLO</t>
        </is>
      </c>
      <c r="D187" t="inlineStr">
        <is>
          <t>unit</t>
        </is>
      </c>
      <c r="E187" t="inlineStr">
        <is>
          <t>Materials/fuels</t>
        </is>
      </c>
      <c r="F187" t="inlineStr">
        <is>
          <t>technosphere</t>
        </is>
      </c>
      <c r="G187" t="n">
        <v>0</v>
      </c>
      <c r="H187" t="inlineStr">
        <is>
          <t>n_GT = n_total*lifetime_ratio/(lifetime_plant*annual m_flow)</t>
        </is>
      </c>
      <c r="I187" t="inlineStr">
        <is>
          <t>gas turbine, 10MW electrical</t>
        </is>
      </c>
    </row>
    <row r="188">
      <c r="A188" t="inlineStr">
        <is>
          <t>market for liquid storage tank, chemicals, organics</t>
        </is>
      </c>
      <c r="B188" t="n">
        <v>3.26e-11</v>
      </c>
      <c r="C188" t="inlineStr">
        <is>
          <t>GLO</t>
        </is>
      </c>
      <c r="D188" t="inlineStr">
        <is>
          <t>unit</t>
        </is>
      </c>
      <c r="E188" t="inlineStr">
        <is>
          <t>Materials/fuels</t>
        </is>
      </c>
      <c r="F188" t="inlineStr">
        <is>
          <t>technosphere</t>
        </is>
      </c>
      <c r="G188" t="n">
        <v>0</v>
      </c>
      <c r="H188" t="inlineStr">
        <is>
          <t>n_tank = V_total*lifetime_ratio/(V_ref*lifetime plant*annual m_flow)</t>
        </is>
      </c>
      <c r="I188" t="inlineStr">
        <is>
          <t>liquid storage tank, chemicals, organics</t>
        </is>
      </c>
    </row>
    <row r="189">
      <c r="A189" t="inlineStr">
        <is>
          <t>market for pump, 40W</t>
        </is>
      </c>
      <c r="B189" t="n">
        <v>1.18e-10</v>
      </c>
      <c r="C189" t="inlineStr">
        <is>
          <t>GLO</t>
        </is>
      </c>
      <c r="D189" t="inlineStr">
        <is>
          <t>unit</t>
        </is>
      </c>
      <c r="E189" t="inlineStr">
        <is>
          <t>Materials/fuels</t>
        </is>
      </c>
      <c r="F189" t="inlineStr">
        <is>
          <t>technosphere</t>
        </is>
      </c>
      <c r="G189" t="n">
        <v>0</v>
      </c>
      <c r="H189" t="inlineStr">
        <is>
          <t>n_pump = n_total*lifetime_ratio/(lifetime_plant*annual m_flow)</t>
        </is>
      </c>
      <c r="I189" t="inlineStr">
        <is>
          <t>pump, 40W</t>
        </is>
      </c>
    </row>
    <row r="190">
      <c r="A190" t="inlineStr">
        <is>
          <t>treatment of spent solvent mixture, hazardous waste incineration</t>
        </is>
      </c>
      <c r="B190" t="n">
        <v>-7e-06</v>
      </c>
      <c r="C190" t="inlineStr">
        <is>
          <t>CH</t>
        </is>
      </c>
      <c r="D190" t="inlineStr">
        <is>
          <t>kilogram</t>
        </is>
      </c>
      <c r="E190" t="inlineStr">
        <is>
          <t>Waste to treatment</t>
        </is>
      </c>
      <c r="F190" t="inlineStr">
        <is>
          <t>technosphere</t>
        </is>
      </c>
      <c r="G190" t="n">
        <v>0</v>
      </c>
      <c r="H190" t="inlineStr">
        <is>
          <t>Singh et al. (2011), disposal of the solvent degradation products</t>
        </is>
      </c>
      <c r="I190" t="inlineStr">
        <is>
          <t>spent solvent mixture</t>
        </is>
      </c>
    </row>
    <row r="191"/>
    <row r="192" ht="16" customHeight="1">
      <c r="A192" s="1" t="inlineStr">
        <is>
          <t>Activity</t>
        </is>
      </c>
      <c r="B192" s="1" t="inlineStr">
        <is>
          <t>carbon dioxide, captured from lignite, oxy, pipeline 200km, storage 1000m</t>
        </is>
      </c>
    </row>
    <row r="193">
      <c r="A193" t="inlineStr">
        <is>
          <t>location</t>
        </is>
      </c>
      <c r="B193" t="inlineStr">
        <is>
          <t>RER</t>
        </is>
      </c>
    </row>
    <row r="194">
      <c r="A194" t="inlineStr">
        <is>
          <t>production amount</t>
        </is>
      </c>
      <c r="B194" t="n">
        <v>1</v>
      </c>
    </row>
    <row r="195">
      <c r="A195" t="inlineStr">
        <is>
          <t>reference product</t>
        </is>
      </c>
      <c r="B195" t="inlineStr">
        <is>
          <t>carbon dioxide, captured from lignite, oxy, pipeline 200km, storage 1000m</t>
        </is>
      </c>
    </row>
    <row r="196">
      <c r="A196" t="inlineStr">
        <is>
          <t>type</t>
        </is>
      </c>
      <c r="B196" t="inlineStr">
        <is>
          <t>process</t>
        </is>
      </c>
    </row>
    <row r="197">
      <c r="A197" t="inlineStr">
        <is>
          <t>unit</t>
        </is>
      </c>
      <c r="B197" t="inlineStr">
        <is>
          <t>kilogram</t>
        </is>
      </c>
    </row>
    <row r="198">
      <c r="A198" t="inlineStr">
        <is>
          <t>source</t>
        </is>
      </c>
      <c r="B198" t="inlineStr">
        <is>
          <t>Life cycle assessment of carbon capture and storage in power generation and industry in Europe, Volkart et al., 2013, International Journal of Greenhouse Gas Control</t>
        </is>
      </c>
    </row>
    <row r="199" ht="16" customHeight="1">
      <c r="A199" s="1" t="inlineStr">
        <is>
          <t>Exchanges</t>
        </is>
      </c>
    </row>
    <row r="200">
      <c r="A200" t="inlineStr">
        <is>
          <t>name</t>
        </is>
      </c>
      <c r="B200" t="inlineStr">
        <is>
          <t>amount</t>
        </is>
      </c>
      <c r="C200" t="inlineStr">
        <is>
          <t>location</t>
        </is>
      </c>
      <c r="D200" t="inlineStr">
        <is>
          <t>unit</t>
        </is>
      </c>
      <c r="E200" t="inlineStr">
        <is>
          <t>categories</t>
        </is>
      </c>
      <c r="F200" t="inlineStr">
        <is>
          <t>type</t>
        </is>
      </c>
      <c r="G200" t="inlineStr">
        <is>
          <t>uncertainty type</t>
        </is>
      </c>
      <c r="H200" t="inlineStr">
        <is>
          <t>comment</t>
        </is>
      </c>
      <c r="I200" t="inlineStr">
        <is>
          <t>reference product</t>
        </is>
      </c>
    </row>
    <row r="201">
      <c r="A201" t="inlineStr">
        <is>
          <t>carbon dioxide, captured from lignite, oxy, pipeline 200km, storage 1000m</t>
        </is>
      </c>
      <c r="B201" t="n">
        <v>1</v>
      </c>
      <c r="C201" t="inlineStr">
        <is>
          <t>RER</t>
        </is>
      </c>
      <c r="D201" t="inlineStr">
        <is>
          <t>kilogram</t>
        </is>
      </c>
      <c r="E201" t="inlineStr">
        <is>
          <t>CCS Europe 2025::Lignite::Geological storage</t>
        </is>
      </c>
      <c r="F201" t="inlineStr">
        <is>
          <t>production</t>
        </is>
      </c>
      <c r="G201" t="n">
        <v>0</v>
      </c>
    </row>
    <row r="202">
      <c r="A202" t="inlineStr">
        <is>
          <t>carbon dioxide storage from lignite, oxy, pipeline 200km, storage 1000m</t>
        </is>
      </c>
      <c r="B202" t="n">
        <v>1</v>
      </c>
      <c r="C202" t="inlineStr">
        <is>
          <t>RER</t>
        </is>
      </c>
      <c r="D202" t="inlineStr">
        <is>
          <t>kilogram</t>
        </is>
      </c>
      <c r="E202" t="inlineStr">
        <is>
          <t>Materials/fuels</t>
        </is>
      </c>
      <c r="F202" t="inlineStr">
        <is>
          <t>technosphere</t>
        </is>
      </c>
      <c r="G202" t="n">
        <v>0</v>
      </c>
    </row>
    <row r="203">
      <c r="A203" t="inlineStr">
        <is>
          <t>electricity production, at lignite-fired power plant, oxy, pipeline 200km, storage 1000m</t>
        </is>
      </c>
      <c r="B203" t="n">
        <v>0</v>
      </c>
      <c r="C203" t="inlineStr">
        <is>
          <t>RER</t>
        </is>
      </c>
      <c r="D203" t="inlineStr">
        <is>
          <t>kilowatt hour</t>
        </is>
      </c>
      <c r="E203" t="inlineStr">
        <is>
          <t>Materials/fuels</t>
        </is>
      </c>
      <c r="F203" t="inlineStr">
        <is>
          <t>technosphere</t>
        </is>
      </c>
      <c r="G203" t="n">
        <v>0</v>
      </c>
      <c r="H203" t="inlineStr">
        <is>
          <t>E_capture = E_el*(1-(eff_CCS/eff_no CCS))</t>
        </is>
      </c>
    </row>
    <row r="204">
      <c r="A204" t="inlineStr">
        <is>
          <t>heat pump production, for heat and power co-generation unit, 160kW electrical</t>
        </is>
      </c>
      <c r="B204" t="n">
        <v>2.7e-11</v>
      </c>
      <c r="C204" t="inlineStr">
        <is>
          <t>RER</t>
        </is>
      </c>
      <c r="D204" t="inlineStr">
        <is>
          <t>unit</t>
        </is>
      </c>
      <c r="E204" t="inlineStr">
        <is>
          <t>Materials/fuels</t>
        </is>
      </c>
      <c r="F204" t="inlineStr">
        <is>
          <t>technosphere</t>
        </is>
      </c>
      <c r="G204" t="n">
        <v>0</v>
      </c>
      <c r="H204" t="inlineStr">
        <is>
          <t>n_HX = n_total*ifetime_ratio/(lifetime_plant*annual m_flow)</t>
        </is>
      </c>
      <c r="I204" t="inlineStr">
        <is>
          <t>heat pump, for heat and power co-generation unit, 160kW electrical</t>
        </is>
      </c>
    </row>
    <row r="205">
      <c r="A205" t="inlineStr">
        <is>
          <t>market for absorption chiller, 100kW</t>
        </is>
      </c>
      <c r="B205" t="n">
        <v>8.11e-11</v>
      </c>
      <c r="C205" t="inlineStr">
        <is>
          <t>GLO</t>
        </is>
      </c>
      <c r="D205" t="inlineStr">
        <is>
          <t>unit</t>
        </is>
      </c>
      <c r="E205" t="inlineStr">
        <is>
          <t>Materials/fuels</t>
        </is>
      </c>
      <c r="F205" t="inlineStr">
        <is>
          <t>technosphere</t>
        </is>
      </c>
      <c r="G205" t="n">
        <v>0</v>
      </c>
      <c r="H205" t="inlineStr">
        <is>
          <t>n_absorption chiller = n_total*lifetime_ratio/(lifetime_plant*annual m_flow)</t>
        </is>
      </c>
      <c r="I205" t="inlineStr">
        <is>
          <t>absorption chiller, 100kW</t>
        </is>
      </c>
    </row>
    <row r="206">
      <c r="A206" t="inlineStr">
        <is>
          <t>market for gas turbine, 10MW electrical</t>
        </is>
      </c>
      <c r="B206" t="n">
        <v>1.08e-10</v>
      </c>
      <c r="C206" t="inlineStr">
        <is>
          <t>GLO</t>
        </is>
      </c>
      <c r="D206" t="inlineStr">
        <is>
          <t>unit</t>
        </is>
      </c>
      <c r="E206" t="inlineStr">
        <is>
          <t>Materials/fuels</t>
        </is>
      </c>
      <c r="F206" t="inlineStr">
        <is>
          <t>technosphere</t>
        </is>
      </c>
      <c r="G206" t="n">
        <v>0</v>
      </c>
      <c r="H206" t="inlineStr">
        <is>
          <t>n_GT = n_total*lifetime_ratio/(lifetime_plant*annual m_flow)</t>
        </is>
      </c>
      <c r="I206" t="inlineStr">
        <is>
          <t>gas turbine, 10MW electrical</t>
        </is>
      </c>
    </row>
    <row r="207">
      <c r="A207" t="inlineStr">
        <is>
          <t>market for liquid storage tank, chemicals, organics</t>
        </is>
      </c>
      <c r="B207" t="n">
        <v>8.95e-12</v>
      </c>
      <c r="C207" t="inlineStr">
        <is>
          <t>GLO</t>
        </is>
      </c>
      <c r="D207" t="inlineStr">
        <is>
          <t>unit</t>
        </is>
      </c>
      <c r="E207" t="inlineStr">
        <is>
          <t>Materials/fuels</t>
        </is>
      </c>
      <c r="F207" t="inlineStr">
        <is>
          <t>technosphere</t>
        </is>
      </c>
      <c r="G207" t="n">
        <v>0</v>
      </c>
      <c r="H207" t="inlineStr">
        <is>
          <t>n_tank = V_total*lifetime_ratio/(V_ref*lifetime plant*annual m_flow)</t>
        </is>
      </c>
      <c r="I207" t="inlineStr">
        <is>
          <t>liquid storage tank, chemicals, organics</t>
        </is>
      </c>
    </row>
    <row r="208">
      <c r="A208" t="inlineStr">
        <is>
          <t>market for pump, 40W</t>
        </is>
      </c>
      <c r="B208" t="n">
        <v>2.7e-11</v>
      </c>
      <c r="C208" t="inlineStr">
        <is>
          <t>GLO</t>
        </is>
      </c>
      <c r="D208" t="inlineStr">
        <is>
          <t>unit</t>
        </is>
      </c>
      <c r="E208" t="inlineStr">
        <is>
          <t>Materials/fuels</t>
        </is>
      </c>
      <c r="F208" t="inlineStr">
        <is>
          <t>technosphere</t>
        </is>
      </c>
      <c r="G208" t="n">
        <v>0</v>
      </c>
      <c r="H208" t="inlineStr">
        <is>
          <t>n_pump = n_total*lifetime_ratio/(lifetime_plant*annual m_flow)</t>
        </is>
      </c>
      <c r="I208" t="inlineStr">
        <is>
          <t>pump, 40W</t>
        </is>
      </c>
    </row>
    <row r="209"/>
    <row r="210" ht="16" customHeight="1">
      <c r="A210" s="1" t="inlineStr">
        <is>
          <t>Activity</t>
        </is>
      </c>
      <c r="B210" s="1" t="inlineStr">
        <is>
          <t>carbon dioxide, captured from lignite, post, pipeline 200km, storage 1000m</t>
        </is>
      </c>
    </row>
    <row r="211">
      <c r="A211" t="inlineStr">
        <is>
          <t>location</t>
        </is>
      </c>
      <c r="B211" t="inlineStr">
        <is>
          <t>RER</t>
        </is>
      </c>
    </row>
    <row r="212">
      <c r="A212" t="inlineStr">
        <is>
          <t>production amount</t>
        </is>
      </c>
      <c r="B212" t="n">
        <v>1</v>
      </c>
    </row>
    <row r="213">
      <c r="A213" t="inlineStr">
        <is>
          <t>reference product</t>
        </is>
      </c>
      <c r="B213" t="inlineStr">
        <is>
          <t>carbon dioxide, captured from lignite, post, pipeline 200km, storage 1000m</t>
        </is>
      </c>
    </row>
    <row r="214">
      <c r="A214" t="inlineStr">
        <is>
          <t>type</t>
        </is>
      </c>
      <c r="B214" t="inlineStr">
        <is>
          <t>process</t>
        </is>
      </c>
    </row>
    <row r="215">
      <c r="A215" t="inlineStr">
        <is>
          <t>unit</t>
        </is>
      </c>
      <c r="B215" t="inlineStr">
        <is>
          <t>kilogram</t>
        </is>
      </c>
    </row>
    <row r="216">
      <c r="A216" t="inlineStr">
        <is>
          <t>source</t>
        </is>
      </c>
      <c r="B216" t="inlineStr">
        <is>
          <t>Life cycle assessment of carbon capture and storage in power generation and industry in Europe, Volkart et al., 2013, International Journal of Greenhouse Gas Control</t>
        </is>
      </c>
    </row>
    <row r="217" ht="16" customHeight="1">
      <c r="A217" s="1" t="inlineStr">
        <is>
          <t>Exchanges</t>
        </is>
      </c>
    </row>
    <row r="218">
      <c r="A218" t="inlineStr">
        <is>
          <t>name</t>
        </is>
      </c>
      <c r="B218" t="inlineStr">
        <is>
          <t>amount</t>
        </is>
      </c>
      <c r="C218" t="inlineStr">
        <is>
          <t>location</t>
        </is>
      </c>
      <c r="D218" t="inlineStr">
        <is>
          <t>unit</t>
        </is>
      </c>
      <c r="E218" t="inlineStr">
        <is>
          <t>categories</t>
        </is>
      </c>
      <c r="F218" t="inlineStr">
        <is>
          <t>type</t>
        </is>
      </c>
      <c r="G218" t="inlineStr">
        <is>
          <t>uncertainty type</t>
        </is>
      </c>
      <c r="H218" t="inlineStr">
        <is>
          <t>comment</t>
        </is>
      </c>
      <c r="I218" t="inlineStr">
        <is>
          <t>reference product</t>
        </is>
      </c>
    </row>
    <row r="219">
      <c r="A219" t="inlineStr">
        <is>
          <t>Ammonia</t>
        </is>
      </c>
      <c r="B219" t="n">
        <v>0.000123</v>
      </c>
      <c r="D219" t="inlineStr">
        <is>
          <t>kilogram</t>
        </is>
      </c>
      <c r="E219" t="inlineStr">
        <is>
          <t>air</t>
        </is>
      </c>
      <c r="F219" t="inlineStr">
        <is>
          <t>biosphere</t>
        </is>
      </c>
      <c r="G219" t="n">
        <v>0</v>
      </c>
      <c r="H219" t="inlineStr">
        <is>
          <t>Moser et al. (2010)</t>
        </is>
      </c>
    </row>
    <row r="220">
      <c r="A220" t="inlineStr">
        <is>
          <t>Monoethanolamine</t>
        </is>
      </c>
      <c r="B220" t="n">
        <v>6e-06</v>
      </c>
      <c r="D220" t="inlineStr">
        <is>
          <t>kilogram</t>
        </is>
      </c>
      <c r="E220" t="inlineStr">
        <is>
          <t>air</t>
        </is>
      </c>
      <c r="F220" t="inlineStr">
        <is>
          <t>biosphere</t>
        </is>
      </c>
      <c r="G220" t="n">
        <v>0</v>
      </c>
      <c r="H220" t="inlineStr">
        <is>
          <t>Moser et al. (2010)</t>
        </is>
      </c>
    </row>
    <row r="221">
      <c r="A221" t="inlineStr">
        <is>
          <t>Water, cooling, unspecified natural origin</t>
        </is>
      </c>
      <c r="B221" t="n">
        <v>0.0832</v>
      </c>
      <c r="D221" t="inlineStr">
        <is>
          <t>cubic meter</t>
        </is>
      </c>
      <c r="E221" t="inlineStr">
        <is>
          <t>natural resource::in water</t>
        </is>
      </c>
      <c r="F221" t="inlineStr">
        <is>
          <t>biosphere</t>
        </is>
      </c>
      <c r="G221" t="n">
        <v>0</v>
      </c>
      <c r="H221" t="inlineStr">
        <is>
          <t>RECCS 2007</t>
        </is>
      </c>
    </row>
    <row r="222">
      <c r="A222" t="inlineStr">
        <is>
          <t>Water</t>
        </is>
      </c>
      <c r="B222" s="4">
        <f>((B221*1000)-(600*3.78541/1000))/1000</f>
        <v>8.0928753999999992E-2</v>
      </c>
      <c r="D222" t="inlineStr">
        <is>
          <t>cubic meter</t>
        </is>
      </c>
      <c r="E222" t="inlineStr">
        <is>
          <t>water</t>
        </is>
      </c>
      <c r="F222" t="inlineStr">
        <is>
          <t>biosphere</t>
        </is>
      </c>
      <c r="H222" t="inlineStr">
        <is>
          <t>We assume 600 gallons of water consumed per ton CO2 captured, the rest is evaporated. Very uncertain. Based on https://netl.doe.gov/sites/default/files/event-proceedings/2014/carbon_storage/10--Christopher-Harto.pdf</t>
        </is>
      </c>
    </row>
    <row r="223">
      <c r="A223" t="inlineStr">
        <is>
          <t>carbon dioxide, captured from lignite, post, pipeline 200km, storage 1000m</t>
        </is>
      </c>
      <c r="B223" t="n">
        <v>1</v>
      </c>
      <c r="C223" t="inlineStr">
        <is>
          <t>RER</t>
        </is>
      </c>
      <c r="D223" t="inlineStr">
        <is>
          <t>kilogram</t>
        </is>
      </c>
      <c r="E223" t="inlineStr">
        <is>
          <t>CCS Europe 2025::Lignite::Geological storage</t>
        </is>
      </c>
      <c r="F223" t="inlineStr">
        <is>
          <t>production</t>
        </is>
      </c>
      <c r="G223" t="n">
        <v>0</v>
      </c>
    </row>
    <row r="224">
      <c r="A224" t="inlineStr">
        <is>
          <t>carbon dioxide storage from lignite, post, pipeline 200km, storage 1000m</t>
        </is>
      </c>
      <c r="B224" t="n">
        <v>1</v>
      </c>
      <c r="C224" t="inlineStr">
        <is>
          <t>RER</t>
        </is>
      </c>
      <c r="D224" t="inlineStr">
        <is>
          <t>kilogram</t>
        </is>
      </c>
      <c r="E224" t="inlineStr">
        <is>
          <t>Materials/fuels</t>
        </is>
      </c>
      <c r="F224" t="inlineStr">
        <is>
          <t>technosphere</t>
        </is>
      </c>
      <c r="G224" t="n">
        <v>0</v>
      </c>
    </row>
    <row r="225">
      <c r="A225" t="inlineStr">
        <is>
          <t>electricity production, at lignite-fired power plant, post, pipeline 200km, storage 1000m</t>
        </is>
      </c>
      <c r="B225" t="n">
        <v>0</v>
      </c>
      <c r="C225" t="inlineStr">
        <is>
          <t>RER</t>
        </is>
      </c>
      <c r="D225" t="inlineStr">
        <is>
          <t>kilowatt hour</t>
        </is>
      </c>
      <c r="E225" t="inlineStr">
        <is>
          <t>Materials/fuels</t>
        </is>
      </c>
      <c r="F225" t="inlineStr">
        <is>
          <t>technosphere</t>
        </is>
      </c>
      <c r="G225" t="n">
        <v>0</v>
      </c>
      <c r="H225" t="inlineStr">
        <is>
          <t>E_capture = E_el*(1-(eff_CCS/eff_no CCS))</t>
        </is>
      </c>
    </row>
    <row r="226">
      <c r="A226" t="inlineStr">
        <is>
          <t>heat pump production, for heat and power co-generation unit, 160kW electrical</t>
        </is>
      </c>
      <c r="B226" t="n">
        <v>5.39e-11</v>
      </c>
      <c r="C226" t="inlineStr">
        <is>
          <t>RER</t>
        </is>
      </c>
      <c r="D226" t="inlineStr">
        <is>
          <t>unit</t>
        </is>
      </c>
      <c r="E226" t="inlineStr">
        <is>
          <t>Materials/fuels</t>
        </is>
      </c>
      <c r="F226" t="inlineStr">
        <is>
          <t>technosphere</t>
        </is>
      </c>
      <c r="G226" t="n">
        <v>0</v>
      </c>
      <c r="H226" t="inlineStr">
        <is>
          <t>n_HX = n_total*lifetime_ratio/(lifetime_plant*annual m_flow)</t>
        </is>
      </c>
      <c r="I226" t="inlineStr">
        <is>
          <t>heat pump, for heat and power co-generation unit, 160kW electrical</t>
        </is>
      </c>
    </row>
    <row r="227">
      <c r="A227" t="inlineStr">
        <is>
          <t>market for absorption chiller, 100kW</t>
        </is>
      </c>
      <c r="B227" t="n">
        <v>3.23e-10</v>
      </c>
      <c r="C227" t="inlineStr">
        <is>
          <t>GLO</t>
        </is>
      </c>
      <c r="D227" t="inlineStr">
        <is>
          <t>unit</t>
        </is>
      </c>
      <c r="E227" t="inlineStr">
        <is>
          <t>Materials/fuels</t>
        </is>
      </c>
      <c r="F227" t="inlineStr">
        <is>
          <t>technosphere</t>
        </is>
      </c>
      <c r="G227" t="n">
        <v>0</v>
      </c>
      <c r="H227" t="inlineStr">
        <is>
          <t>n_absorption chiller = n_total*lifetime_ratio/(lifetime_plant*annual m_flow)</t>
        </is>
      </c>
      <c r="I227" t="inlineStr">
        <is>
          <t>absorption chiller, 100kW</t>
        </is>
      </c>
    </row>
    <row r="228">
      <c r="A228" t="inlineStr">
        <is>
          <t>market for charcoal</t>
        </is>
      </c>
      <c r="B228" t="n">
        <v>8.26e-05</v>
      </c>
      <c r="C228" t="inlineStr">
        <is>
          <t>GLO</t>
        </is>
      </c>
      <c r="D228" t="inlineStr">
        <is>
          <t>kilogram</t>
        </is>
      </c>
      <c r="E228" t="inlineStr">
        <is>
          <t>Materials/fuels</t>
        </is>
      </c>
      <c r="F228" t="inlineStr">
        <is>
          <t>technosphere</t>
        </is>
      </c>
      <c r="G228" t="n">
        <v>0</v>
      </c>
      <c r="H228" t="inlineStr">
        <is>
          <t>RECCS 2007</t>
        </is>
      </c>
      <c r="I228" t="inlineStr">
        <is>
          <t>charcoal</t>
        </is>
      </c>
    </row>
    <row r="229">
      <c r="A229" t="inlineStr">
        <is>
          <t>market for gas turbine, 10MW electrical</t>
        </is>
      </c>
      <c r="B229" t="n">
        <v>5.39e-11</v>
      </c>
      <c r="C229" t="inlineStr">
        <is>
          <t>GLO</t>
        </is>
      </c>
      <c r="D229" t="inlineStr">
        <is>
          <t>unit</t>
        </is>
      </c>
      <c r="E229" t="inlineStr">
        <is>
          <t>Materials/fuels</t>
        </is>
      </c>
      <c r="F229" t="inlineStr">
        <is>
          <t>technosphere</t>
        </is>
      </c>
      <c r="G229" t="n">
        <v>0</v>
      </c>
      <c r="H229" t="inlineStr">
        <is>
          <t>n_GT = n_total*lifetime_ratio/(lifetime_plant*annual m_flow)</t>
        </is>
      </c>
      <c r="I229" t="inlineStr">
        <is>
          <t>gas turbine, 10MW electrical</t>
        </is>
      </c>
    </row>
    <row r="230">
      <c r="A230" t="inlineStr">
        <is>
          <t>market for liquid storage tank, chemicals, organics</t>
        </is>
      </c>
      <c r="B230" t="n">
        <v>1.81e-11</v>
      </c>
      <c r="C230" t="inlineStr">
        <is>
          <t>GLO</t>
        </is>
      </c>
      <c r="D230" t="inlineStr">
        <is>
          <t>unit</t>
        </is>
      </c>
      <c r="E230" t="inlineStr">
        <is>
          <t>Materials/fuels</t>
        </is>
      </c>
      <c r="F230" t="inlineStr">
        <is>
          <t>technosphere</t>
        </is>
      </c>
      <c r="G230" t="n">
        <v>0</v>
      </c>
      <c r="H230" t="inlineStr">
        <is>
          <t>n_tank = V_total*lifetime_ratio/(V_ref*lifetime plant*annual m_flow)</t>
        </is>
      </c>
      <c r="I230" t="inlineStr">
        <is>
          <t>liquid storage tank, chemicals, organics</t>
        </is>
      </c>
    </row>
    <row r="231">
      <c r="A231" t="inlineStr">
        <is>
          <t>market for monoethanolamine</t>
        </is>
      </c>
      <c r="B231" t="n">
        <v>0.000284</v>
      </c>
      <c r="C231" t="inlineStr">
        <is>
          <t>GLO</t>
        </is>
      </c>
      <c r="D231" t="inlineStr">
        <is>
          <t>kilogram</t>
        </is>
      </c>
      <c r="E231" t="inlineStr">
        <is>
          <t>Materials/fuels</t>
        </is>
      </c>
      <c r="F231" t="inlineStr">
        <is>
          <t>technosphere</t>
        </is>
      </c>
      <c r="G231" t="n">
        <v>0</v>
      </c>
      <c r="H231" t="inlineStr">
        <is>
          <t>Moser et al. (2010)</t>
        </is>
      </c>
      <c r="I231" t="inlineStr">
        <is>
          <t>monoethanolamine</t>
        </is>
      </c>
    </row>
    <row r="232">
      <c r="A232" t="inlineStr">
        <is>
          <t>market for pump, 40W</t>
        </is>
      </c>
      <c r="B232" t="n">
        <v>3.77e-10</v>
      </c>
      <c r="C232" t="inlineStr">
        <is>
          <t>GLO</t>
        </is>
      </c>
      <c r="D232" t="inlineStr">
        <is>
          <t>unit</t>
        </is>
      </c>
      <c r="E232" t="inlineStr">
        <is>
          <t>Materials/fuels</t>
        </is>
      </c>
      <c r="F232" t="inlineStr">
        <is>
          <t>technosphere</t>
        </is>
      </c>
      <c r="G232" t="n">
        <v>0</v>
      </c>
      <c r="H232" t="inlineStr">
        <is>
          <t>n_pump = n_total*lifetime_ratio/(lifetime_plant*annual m_flow)</t>
        </is>
      </c>
      <c r="I232" t="inlineStr">
        <is>
          <t>pump, 40W</t>
        </is>
      </c>
    </row>
    <row r="233">
      <c r="A233" t="inlineStr">
        <is>
          <t>market for sodium hydroxide, without water, in 50% solution state</t>
        </is>
      </c>
      <c r="B233" t="n">
        <v>0.000304</v>
      </c>
      <c r="C233" t="inlineStr">
        <is>
          <t>GLO</t>
        </is>
      </c>
      <c r="D233" t="inlineStr">
        <is>
          <t>kilogram</t>
        </is>
      </c>
      <c r="E233" t="inlineStr">
        <is>
          <t>Materials/fuels</t>
        </is>
      </c>
      <c r="F233" t="inlineStr">
        <is>
          <t>technosphere</t>
        </is>
      </c>
      <c r="G233" t="n">
        <v>0</v>
      </c>
      <c r="H233" t="inlineStr">
        <is>
          <t>RECCS 2007</t>
        </is>
      </c>
      <c r="I233" t="inlineStr">
        <is>
          <t>sodium hydroxide, without water, in 50% solution state</t>
        </is>
      </c>
    </row>
    <row r="234">
      <c r="A234" t="inlineStr">
        <is>
          <t>treatment of spent solvent mixture, hazardous waste incineration</t>
        </is>
      </c>
      <c r="B234" t="n">
        <v>-0.000227</v>
      </c>
      <c r="C234" t="inlineStr">
        <is>
          <t>CH</t>
        </is>
      </c>
      <c r="D234" t="inlineStr">
        <is>
          <t>kilogram</t>
        </is>
      </c>
      <c r="E234" t="inlineStr">
        <is>
          <t>Waste to treatment</t>
        </is>
      </c>
      <c r="F234" t="inlineStr">
        <is>
          <t>technosphere</t>
        </is>
      </c>
      <c r="G234" t="n">
        <v>0</v>
      </c>
      <c r="H234" t="inlineStr">
        <is>
          <t>Moser et al. (2010), disposal of the solvent degradation products</t>
        </is>
      </c>
      <c r="I234" t="inlineStr">
        <is>
          <t>spent solvent mixture</t>
        </is>
      </c>
    </row>
    <row r="235"/>
    <row r="236" ht="16" customHeight="1">
      <c r="A236" s="1" t="inlineStr">
        <is>
          <t>Activity</t>
        </is>
      </c>
      <c r="B236" s="1" t="inlineStr">
        <is>
          <t>carbon dioxide, captured from lignite, pre, pipeline 200km, storage 1000m</t>
        </is>
      </c>
    </row>
    <row r="237">
      <c r="A237" t="inlineStr">
        <is>
          <t>location</t>
        </is>
      </c>
      <c r="B237" t="inlineStr">
        <is>
          <t>RER</t>
        </is>
      </c>
    </row>
    <row r="238">
      <c r="A238" t="inlineStr">
        <is>
          <t>production amount</t>
        </is>
      </c>
      <c r="B238" t="n">
        <v>1</v>
      </c>
    </row>
    <row r="239">
      <c r="A239" t="inlineStr">
        <is>
          <t>reference product</t>
        </is>
      </c>
      <c r="B239" t="inlineStr">
        <is>
          <t>carbon dioxide, captured from lignite, pre, pipeline 200km, storage 1000m</t>
        </is>
      </c>
    </row>
    <row r="240">
      <c r="A240" t="inlineStr">
        <is>
          <t>type</t>
        </is>
      </c>
      <c r="B240" t="inlineStr">
        <is>
          <t>process</t>
        </is>
      </c>
    </row>
    <row r="241">
      <c r="A241" t="inlineStr">
        <is>
          <t>unit</t>
        </is>
      </c>
      <c r="B241" t="inlineStr">
        <is>
          <t>kilogram</t>
        </is>
      </c>
    </row>
    <row r="242">
      <c r="A242" t="inlineStr">
        <is>
          <t>source</t>
        </is>
      </c>
      <c r="B242" t="inlineStr">
        <is>
          <t>Life cycle assessment of carbon capture and storage in power generation and industry in Europe, Volkart et al., 2013, International Journal of Greenhouse Gas Control</t>
        </is>
      </c>
    </row>
    <row r="243" ht="16" customHeight="1">
      <c r="A243" s="1" t="inlineStr">
        <is>
          <t>Exchanges</t>
        </is>
      </c>
    </row>
    <row r="244">
      <c r="A244" t="inlineStr">
        <is>
          <t>name</t>
        </is>
      </c>
      <c r="B244" t="inlineStr">
        <is>
          <t>amount</t>
        </is>
      </c>
      <c r="C244" t="inlineStr">
        <is>
          <t>location</t>
        </is>
      </c>
      <c r="D244" t="inlineStr">
        <is>
          <t>unit</t>
        </is>
      </c>
      <c r="E244" t="inlineStr">
        <is>
          <t>categories</t>
        </is>
      </c>
      <c r="F244" t="inlineStr">
        <is>
          <t>type</t>
        </is>
      </c>
      <c r="G244" t="inlineStr">
        <is>
          <t>uncertainty type</t>
        </is>
      </c>
      <c r="H244" t="inlineStr">
        <is>
          <t>comment</t>
        </is>
      </c>
      <c r="I244" t="inlineStr">
        <is>
          <t>reference product</t>
        </is>
      </c>
    </row>
    <row r="245">
      <c r="A245" t="inlineStr">
        <is>
          <t>Water, cooling, unspecified natural origin</t>
        </is>
      </c>
      <c r="B245" t="n">
        <v>0.0832</v>
      </c>
      <c r="D245" t="inlineStr">
        <is>
          <t>cubic meter</t>
        </is>
      </c>
      <c r="E245" t="inlineStr">
        <is>
          <t>natural resource::in water</t>
        </is>
      </c>
      <c r="F245" t="inlineStr">
        <is>
          <t>biosphere</t>
        </is>
      </c>
      <c r="G245" t="n">
        <v>0</v>
      </c>
      <c r="H245" t="inlineStr">
        <is>
          <t>assumed to be analogous to MEA (RECCS 2007)</t>
        </is>
      </c>
    </row>
    <row r="246">
      <c r="A246" t="inlineStr">
        <is>
          <t>Water</t>
        </is>
      </c>
      <c r="B246" s="4">
        <f>((B245*1000)-(600*3.78541/1000))/1000</f>
        <v>8.0928753999999992E-2</v>
      </c>
      <c r="D246" t="inlineStr">
        <is>
          <t>cubic meter</t>
        </is>
      </c>
      <c r="E246" t="inlineStr">
        <is>
          <t>water</t>
        </is>
      </c>
      <c r="F246" t="inlineStr">
        <is>
          <t>biosphere</t>
        </is>
      </c>
      <c r="H246" t="inlineStr">
        <is>
          <t>We assume 600 gallons of water consumed per ton CO2 captured, the rest is evaporated. Very uncertain. Based on https://netl.doe.gov/sites/default/files/event-proceedings/2014/carbon_storage/10--Christopher-Harto.pdf</t>
        </is>
      </c>
    </row>
    <row r="247">
      <c r="A247" t="inlineStr">
        <is>
          <t>carbon dioxide, captured from lignite, pre, pipeline 200km, storage 1000m</t>
        </is>
      </c>
      <c r="B247" t="n">
        <v>1</v>
      </c>
      <c r="C247" t="inlineStr">
        <is>
          <t>RER</t>
        </is>
      </c>
      <c r="D247" t="inlineStr">
        <is>
          <t>kilogram</t>
        </is>
      </c>
      <c r="E247" t="inlineStr">
        <is>
          <t>CCS Europe 2025::Lignite::Geological storage</t>
        </is>
      </c>
      <c r="F247" t="inlineStr">
        <is>
          <t>production</t>
        </is>
      </c>
    </row>
    <row r="248">
      <c r="A248" t="inlineStr">
        <is>
          <t>carbon dioxide storage from lignite, pre, pipeline 200km, storage 1000m</t>
        </is>
      </c>
      <c r="B248" t="n">
        <v>1</v>
      </c>
      <c r="C248" t="inlineStr">
        <is>
          <t>RER</t>
        </is>
      </c>
      <c r="D248" t="inlineStr">
        <is>
          <t>kilogram</t>
        </is>
      </c>
      <c r="E248" t="inlineStr">
        <is>
          <t>Materials/fuels</t>
        </is>
      </c>
      <c r="F248" t="inlineStr">
        <is>
          <t>technosphere</t>
        </is>
      </c>
      <c r="G248" t="n">
        <v>0</v>
      </c>
    </row>
    <row r="249">
      <c r="A249" t="inlineStr">
        <is>
          <t>electricity production, at lignite-fired IGCC power plant, pre, pipeline 200km, storage 1000m</t>
        </is>
      </c>
      <c r="B249" t="n">
        <v>0</v>
      </c>
      <c r="C249" t="inlineStr">
        <is>
          <t>RER</t>
        </is>
      </c>
      <c r="D249" t="inlineStr">
        <is>
          <t>kilowatt hour</t>
        </is>
      </c>
      <c r="E249" t="inlineStr">
        <is>
          <t>Materials/fuels</t>
        </is>
      </c>
      <c r="F249" t="inlineStr">
        <is>
          <t>technosphere</t>
        </is>
      </c>
      <c r="G249" t="n">
        <v>0</v>
      </c>
      <c r="H249" t="inlineStr">
        <is>
          <t>E_capture = E_el*(1-(eff_CCS/eff_no CCS))</t>
        </is>
      </c>
    </row>
    <row r="250">
      <c r="A250" t="inlineStr">
        <is>
          <t>Selexol (Dimethylether of polyethylene glycol)</t>
        </is>
      </c>
      <c r="B250" t="n">
        <v>7e-06</v>
      </c>
      <c r="C250" t="inlineStr">
        <is>
          <t>RER</t>
        </is>
      </c>
      <c r="D250" t="inlineStr">
        <is>
          <t>kilogram</t>
        </is>
      </c>
      <c r="E250" t="inlineStr">
        <is>
          <t>Materials/fuels</t>
        </is>
      </c>
      <c r="F250" t="inlineStr">
        <is>
          <t>technosphere</t>
        </is>
      </c>
      <c r="G250" t="n">
        <v>0</v>
      </c>
      <c r="H250" t="inlineStr">
        <is>
          <t>Singh et al. (2011)</t>
        </is>
      </c>
    </row>
    <row r="251">
      <c r="A251" t="inlineStr">
        <is>
          <t>heat pump production, for heat and power co-generation unit, 160kW electrical</t>
        </is>
      </c>
      <c r="B251" t="n">
        <v>1.13e-10</v>
      </c>
      <c r="C251" t="inlineStr">
        <is>
          <t>RER</t>
        </is>
      </c>
      <c r="D251" t="inlineStr">
        <is>
          <t>unit</t>
        </is>
      </c>
      <c r="E251" t="inlineStr">
        <is>
          <t>Materials/fuels</t>
        </is>
      </c>
      <c r="F251" t="inlineStr">
        <is>
          <t>technosphere</t>
        </is>
      </c>
      <c r="G251" t="n">
        <v>0</v>
      </c>
      <c r="H251" t="inlineStr">
        <is>
          <t>n_HX = n_total*lifetime_ratio/(lifetime_plant*annual m_flow)</t>
        </is>
      </c>
      <c r="I251" t="inlineStr">
        <is>
          <t>heat pump, for heat and power co-generation unit, 160kW electrical</t>
        </is>
      </c>
    </row>
    <row r="252">
      <c r="A252" t="inlineStr">
        <is>
          <t>market for absorption chiller, 100kW</t>
        </is>
      </c>
      <c r="B252" t="n">
        <v>2.25e-10</v>
      </c>
      <c r="C252" t="inlineStr">
        <is>
          <t>GLO</t>
        </is>
      </c>
      <c r="D252" t="inlineStr">
        <is>
          <t>unit</t>
        </is>
      </c>
      <c r="E252" t="inlineStr">
        <is>
          <t>Materials/fuels</t>
        </is>
      </c>
      <c r="F252" t="inlineStr">
        <is>
          <t>technosphere</t>
        </is>
      </c>
      <c r="G252" t="n">
        <v>0</v>
      </c>
      <c r="H252" t="inlineStr">
        <is>
          <t>n_absorption chiller = n_total*lifetime_ratio/(lifetime_plant*annual m_flow)</t>
        </is>
      </c>
      <c r="I252" t="inlineStr">
        <is>
          <t>absorption chiller, 100kW</t>
        </is>
      </c>
    </row>
    <row r="253">
      <c r="A253" t="inlineStr">
        <is>
          <t>market for gas turbine, 10MW electrical</t>
        </is>
      </c>
      <c r="B253" t="n">
        <v>1.13e-10</v>
      </c>
      <c r="C253" t="inlineStr">
        <is>
          <t>GLO</t>
        </is>
      </c>
      <c r="D253" t="inlineStr">
        <is>
          <t>unit</t>
        </is>
      </c>
      <c r="E253" t="inlineStr">
        <is>
          <t>Materials/fuels</t>
        </is>
      </c>
      <c r="F253" t="inlineStr">
        <is>
          <t>technosphere</t>
        </is>
      </c>
      <c r="G253" t="n">
        <v>0</v>
      </c>
      <c r="H253" t="inlineStr">
        <is>
          <t>n_GT = n_total*lifetime_ratio/(lifetime_plant*annual m_flow)</t>
        </is>
      </c>
      <c r="I253" t="inlineStr">
        <is>
          <t>gas turbine, 10MW electrical</t>
        </is>
      </c>
    </row>
    <row r="254">
      <c r="A254" t="inlineStr">
        <is>
          <t>market for liquid storage tank, chemicals, organics</t>
        </is>
      </c>
      <c r="B254" t="n">
        <v>3.12e-11</v>
      </c>
      <c r="C254" t="inlineStr">
        <is>
          <t>GLO</t>
        </is>
      </c>
      <c r="D254" t="inlineStr">
        <is>
          <t>unit</t>
        </is>
      </c>
      <c r="E254" t="inlineStr">
        <is>
          <t>Materials/fuels</t>
        </is>
      </c>
      <c r="F254" t="inlineStr">
        <is>
          <t>technosphere</t>
        </is>
      </c>
      <c r="G254" t="n">
        <v>0</v>
      </c>
      <c r="H254" t="inlineStr">
        <is>
          <t>n_tank = V_total*lifetime_ratio/(V_ref*lifetime plant*annual m_flow)</t>
        </is>
      </c>
      <c r="I254" t="inlineStr">
        <is>
          <t>liquid storage tank, chemicals, organics</t>
        </is>
      </c>
    </row>
    <row r="255">
      <c r="A255" t="inlineStr">
        <is>
          <t>market for pump, 40W</t>
        </is>
      </c>
      <c r="B255" t="n">
        <v>1.13e-10</v>
      </c>
      <c r="C255" t="inlineStr">
        <is>
          <t>GLO</t>
        </is>
      </c>
      <c r="D255" t="inlineStr">
        <is>
          <t>unit</t>
        </is>
      </c>
      <c r="E255" t="inlineStr">
        <is>
          <t>Materials/fuels</t>
        </is>
      </c>
      <c r="F255" t="inlineStr">
        <is>
          <t>technosphere</t>
        </is>
      </c>
      <c r="G255" t="n">
        <v>0</v>
      </c>
      <c r="H255" t="inlineStr">
        <is>
          <t>n_pump = n_total*lifetime_ratio/(lifetime_plant*annual m_flow)</t>
        </is>
      </c>
      <c r="I255" t="inlineStr">
        <is>
          <t>pump, 40W</t>
        </is>
      </c>
    </row>
    <row r="256">
      <c r="A256" t="inlineStr">
        <is>
          <t>treatment of spent solvent mixture, hazardous waste incineration</t>
        </is>
      </c>
      <c r="B256" t="n">
        <v>-7e-06</v>
      </c>
      <c r="C256" t="inlineStr">
        <is>
          <t>CH</t>
        </is>
      </c>
      <c r="D256" t="inlineStr">
        <is>
          <t>kilogram</t>
        </is>
      </c>
      <c r="E256" t="inlineStr">
        <is>
          <t>Waste to treatment</t>
        </is>
      </c>
      <c r="F256" t="inlineStr">
        <is>
          <t>technosphere</t>
        </is>
      </c>
      <c r="G256" t="n">
        <v>0</v>
      </c>
      <c r="H256" t="inlineStr">
        <is>
          <t>Singh et al. (2011), disposal of the solvent degradation products</t>
        </is>
      </c>
      <c r="I256" t="inlineStr">
        <is>
          <t>spent solvent mixture</t>
        </is>
      </c>
    </row>
    <row r="257"/>
    <row r="258" ht="16" customHeight="1">
      <c r="A258" s="1" t="inlineStr">
        <is>
          <t>Activity</t>
        </is>
      </c>
      <c r="B258" s="1" t="inlineStr">
        <is>
          <t>carbon dioxide, captured from natural gas, post, 200km pipeline, storage 1000m</t>
        </is>
      </c>
    </row>
    <row r="259">
      <c r="A259" t="inlineStr">
        <is>
          <t>location</t>
        </is>
      </c>
      <c r="B259" t="inlineStr">
        <is>
          <t>RER</t>
        </is>
      </c>
    </row>
    <row r="260">
      <c r="A260" t="inlineStr">
        <is>
          <t>production amount</t>
        </is>
      </c>
      <c r="B260" t="n">
        <v>1</v>
      </c>
    </row>
    <row r="261">
      <c r="A261" t="inlineStr">
        <is>
          <t>reference product</t>
        </is>
      </c>
      <c r="B261" t="inlineStr">
        <is>
          <t>carbon dioxide, captured from natural gas, post, 200km pipeline, storage 1000m</t>
        </is>
      </c>
    </row>
    <row r="262">
      <c r="A262" t="inlineStr">
        <is>
          <t>type</t>
        </is>
      </c>
      <c r="B262" t="inlineStr">
        <is>
          <t>process</t>
        </is>
      </c>
    </row>
    <row r="263">
      <c r="A263" t="inlineStr">
        <is>
          <t>unit</t>
        </is>
      </c>
      <c r="B263" t="inlineStr">
        <is>
          <t>kilogram</t>
        </is>
      </c>
    </row>
    <row r="264">
      <c r="A264" t="inlineStr">
        <is>
          <t>source</t>
        </is>
      </c>
      <c r="B264" t="inlineStr">
        <is>
          <t>Life cycle assessment of carbon capture and storage in power generation and industry in Europe, Volkart et al., 2013, International Journal of Greenhouse Gas Control</t>
        </is>
      </c>
    </row>
    <row r="265" ht="16" customHeight="1">
      <c r="A265" s="1" t="inlineStr">
        <is>
          <t>Exchanges</t>
        </is>
      </c>
    </row>
    <row r="266">
      <c r="A266" t="inlineStr">
        <is>
          <t>name</t>
        </is>
      </c>
      <c r="B266" t="inlineStr">
        <is>
          <t>amount</t>
        </is>
      </c>
      <c r="C266" t="inlineStr">
        <is>
          <t>location</t>
        </is>
      </c>
      <c r="D266" t="inlineStr">
        <is>
          <t>unit</t>
        </is>
      </c>
      <c r="E266" t="inlineStr">
        <is>
          <t>categories</t>
        </is>
      </c>
      <c r="F266" t="inlineStr">
        <is>
          <t>type</t>
        </is>
      </c>
      <c r="G266" t="inlineStr">
        <is>
          <t>uncertainty type</t>
        </is>
      </c>
      <c r="H266" t="inlineStr">
        <is>
          <t>comment</t>
        </is>
      </c>
      <c r="I266" t="inlineStr">
        <is>
          <t>simapro name</t>
        </is>
      </c>
      <c r="J266" t="inlineStr">
        <is>
          <t>negative</t>
        </is>
      </c>
      <c r="K266" t="inlineStr">
        <is>
          <t>reference product</t>
        </is>
      </c>
    </row>
    <row r="267">
      <c r="A267" t="inlineStr">
        <is>
          <t>Ammonia</t>
        </is>
      </c>
      <c r="B267" t="n">
        <v>0.000123</v>
      </c>
      <c r="D267" t="inlineStr">
        <is>
          <t>kilogram</t>
        </is>
      </c>
      <c r="E267" t="inlineStr">
        <is>
          <t>air</t>
        </is>
      </c>
      <c r="F267" t="inlineStr">
        <is>
          <t>biosphere</t>
        </is>
      </c>
      <c r="G267" t="n">
        <v>0</v>
      </c>
      <c r="H267" t="inlineStr">
        <is>
          <t>Moser et al. (2010)</t>
        </is>
      </c>
    </row>
    <row r="268">
      <c r="A268" t="inlineStr">
        <is>
          <t>Monoethanolamine</t>
        </is>
      </c>
      <c r="B268" t="n">
        <v>6e-06</v>
      </c>
      <c r="D268" t="inlineStr">
        <is>
          <t>kilogram</t>
        </is>
      </c>
      <c r="E268" t="inlineStr">
        <is>
          <t>air</t>
        </is>
      </c>
      <c r="F268" t="inlineStr">
        <is>
          <t>biosphere</t>
        </is>
      </c>
      <c r="G268" t="n">
        <v>0</v>
      </c>
      <c r="H268" t="inlineStr">
        <is>
          <t>Moser et al. (2010)</t>
        </is>
      </c>
    </row>
    <row r="269">
      <c r="A269" t="inlineStr">
        <is>
          <t>Water, cooling, unspecified natural origin</t>
        </is>
      </c>
      <c r="B269" t="n">
        <v>0.0832</v>
      </c>
      <c r="D269" t="inlineStr">
        <is>
          <t>cubic meter</t>
        </is>
      </c>
      <c r="E269" t="inlineStr">
        <is>
          <t>natural resource::in water</t>
        </is>
      </c>
      <c r="F269" t="inlineStr">
        <is>
          <t>biosphere</t>
        </is>
      </c>
      <c r="G269" t="n">
        <v>0</v>
      </c>
      <c r="H269" t="inlineStr">
        <is>
          <t>RECCS 2007</t>
        </is>
      </c>
    </row>
    <row r="270">
      <c r="A270" t="inlineStr">
        <is>
          <t>Water</t>
        </is>
      </c>
      <c r="B270" s="4">
        <f>((B269*1000)-(600*3.78541/1000))/1000</f>
        <v>8.0928753999999992E-2</v>
      </c>
      <c r="D270" t="inlineStr">
        <is>
          <t>cubic meter</t>
        </is>
      </c>
      <c r="E270" t="inlineStr">
        <is>
          <t>water</t>
        </is>
      </c>
      <c r="F270" t="inlineStr">
        <is>
          <t>biosphere</t>
        </is>
      </c>
      <c r="H270" t="inlineStr">
        <is>
          <t>We assume 600 gallons of water consumed per ton CO2 captured, the rest is evaporated. Very uncertain. Based on https://netl.doe.gov/sites/default/files/event-proceedings/2014/carbon_storage/10--Christopher-Harto.pdf</t>
        </is>
      </c>
    </row>
    <row r="271">
      <c r="A271" t="inlineStr">
        <is>
          <t>carbon dioxide, captured from natural gas, post, 200km pipeline, storage 1000m</t>
        </is>
      </c>
      <c r="B271" t="n">
        <v>1</v>
      </c>
      <c r="C271" t="inlineStr">
        <is>
          <t>RER</t>
        </is>
      </c>
      <c r="D271" t="inlineStr">
        <is>
          <t>kilogram</t>
        </is>
      </c>
      <c r="E271" t="inlineStr">
        <is>
          <t>CCS Europe 2025::Natural gas::Geological storage</t>
        </is>
      </c>
      <c r="F271" t="inlineStr">
        <is>
          <t>production</t>
        </is>
      </c>
      <c r="G271" t="n">
        <v>0</v>
      </c>
      <c r="I271" t="inlineStr">
        <is>
          <t>carbon dioxide, captured from natural gas, post, 200km pipeline, storage 1000m U</t>
        </is>
      </c>
      <c r="K271" t="inlineStr">
        <is>
          <t>carbon dioxide, captured from natural gas, post, 200km pipeline, storage 1000m</t>
        </is>
      </c>
    </row>
    <row r="272">
      <c r="A272" t="inlineStr">
        <is>
          <t>carbon dioxide storage from natural gas, post, 200km pipeline, storage 1000m</t>
        </is>
      </c>
      <c r="B272" t="n">
        <v>1</v>
      </c>
      <c r="C272" t="inlineStr">
        <is>
          <t>RER</t>
        </is>
      </c>
      <c r="D272" t="inlineStr">
        <is>
          <t>kilogram</t>
        </is>
      </c>
      <c r="E272" t="inlineStr">
        <is>
          <t>Materials/fuels</t>
        </is>
      </c>
      <c r="F272" t="inlineStr">
        <is>
          <t>technosphere</t>
        </is>
      </c>
      <c r="G272" t="n">
        <v>0</v>
      </c>
      <c r="H272" t="inlineStr">
        <is>
          <t>1 kg carbon dioxide stored per 1 kg carbon dioxide, capturedd</t>
        </is>
      </c>
      <c r="I272" t="inlineStr">
        <is>
          <t>carbon dioxide storage from natural gas, post, 200km pipeline, storage 1000m U</t>
        </is>
      </c>
    </row>
    <row r="273">
      <c r="A273" t="inlineStr">
        <is>
          <t>electricity production, at natural gas-fired combined cycle power plant, post, pipeline 200km, storage 1000m</t>
        </is>
      </c>
      <c r="B273" t="n">
        <v>0</v>
      </c>
      <c r="C273" t="inlineStr">
        <is>
          <t>RER</t>
        </is>
      </c>
      <c r="D273" t="inlineStr">
        <is>
          <t>kilowatt hour</t>
        </is>
      </c>
      <c r="E273" t="inlineStr">
        <is>
          <t>Materials/fuels</t>
        </is>
      </c>
      <c r="F273" t="inlineStr">
        <is>
          <t>technosphere</t>
        </is>
      </c>
      <c r="G273" t="n">
        <v>0</v>
      </c>
      <c r="H273" t="inlineStr">
        <is>
          <t>E_capture = E_el*(1-(eff_CCS/eff_no CCS))</t>
        </is>
      </c>
      <c r="I273" t="inlineStr">
        <is>
          <t>electricity production, at natural gas-fired power plant, post, pipeline 200km, storage 1000m U</t>
        </is>
      </c>
    </row>
    <row r="274">
      <c r="A274" t="inlineStr">
        <is>
          <t>heat pump production, for heat and power co-generation unit, 160kW electrical</t>
        </is>
      </c>
      <c r="B274" t="n">
        <v>8.27e-11</v>
      </c>
      <c r="C274" t="inlineStr">
        <is>
          <t>RER</t>
        </is>
      </c>
      <c r="D274" t="inlineStr">
        <is>
          <t>unit</t>
        </is>
      </c>
      <c r="E274" t="inlineStr">
        <is>
          <t>Materials/fuels</t>
        </is>
      </c>
      <c r="F274" t="inlineStr">
        <is>
          <t>technosphere</t>
        </is>
      </c>
      <c r="G274" t="n">
        <v>0</v>
      </c>
      <c r="H274" t="inlineStr">
        <is>
          <t>n_HX = n_total*lifetime_ratio/(lifetime_plant*annual m_flow)</t>
        </is>
      </c>
      <c r="I274" t="inlineStr">
        <is>
          <t>Heat exchanger of cogen unit 160kWe/I U</t>
        </is>
      </c>
      <c r="K274" t="inlineStr">
        <is>
          <t>heat pump, for heat and power co-generation unit, 160kW electrical</t>
        </is>
      </c>
    </row>
    <row r="275">
      <c r="A275" t="inlineStr">
        <is>
          <t>market for absorption chiller, 100kW</t>
        </is>
      </c>
      <c r="B275" t="n">
        <v>7.44e-10</v>
      </c>
      <c r="C275" t="inlineStr">
        <is>
          <t>GLO</t>
        </is>
      </c>
      <c r="D275" t="inlineStr">
        <is>
          <t>unit</t>
        </is>
      </c>
      <c r="E275" t="inlineStr">
        <is>
          <t>Materials/fuels</t>
        </is>
      </c>
      <c r="F275" t="inlineStr">
        <is>
          <t>technosphere</t>
        </is>
      </c>
      <c r="G275" t="n">
        <v>0</v>
      </c>
      <c r="H275" t="inlineStr">
        <is>
          <t>n_absorption chiller = n_total*lifetime_ratio/(lifetime_plant*annual m_flow)</t>
        </is>
      </c>
      <c r="I275" t="inlineStr">
        <is>
          <t>Absorption chiller 100kW/CH/I U</t>
        </is>
      </c>
      <c r="K275" t="inlineStr">
        <is>
          <t>absorption chiller, 100kW</t>
        </is>
      </c>
    </row>
    <row r="276">
      <c r="A276" t="inlineStr">
        <is>
          <t>market for charcoal</t>
        </is>
      </c>
      <c r="B276" t="n">
        <v>8.26e-05</v>
      </c>
      <c r="C276" t="inlineStr">
        <is>
          <t>GLO</t>
        </is>
      </c>
      <c r="D276" t="inlineStr">
        <is>
          <t>kilogram</t>
        </is>
      </c>
      <c r="E276" t="inlineStr">
        <is>
          <t>Materials/fuels</t>
        </is>
      </c>
      <c r="F276" t="inlineStr">
        <is>
          <t>technosphere</t>
        </is>
      </c>
      <c r="G276" t="n">
        <v>0</v>
      </c>
      <c r="H276" t="inlineStr">
        <is>
          <t>RECCS 2007</t>
        </is>
      </c>
      <c r="I276" t="inlineStr">
        <is>
          <t>Charcoal, at plant/GLO U</t>
        </is>
      </c>
      <c r="K276" t="inlineStr">
        <is>
          <t>charcoal</t>
        </is>
      </c>
    </row>
    <row r="277">
      <c r="A277" t="inlineStr">
        <is>
          <t>market for gas turbine, 10MW electrical</t>
        </is>
      </c>
      <c r="B277" t="n">
        <v>3.31e-10</v>
      </c>
      <c r="C277" t="inlineStr">
        <is>
          <t>GLO</t>
        </is>
      </c>
      <c r="D277" t="inlineStr">
        <is>
          <t>unit</t>
        </is>
      </c>
      <c r="E277" t="inlineStr">
        <is>
          <t>Materials/fuels</t>
        </is>
      </c>
      <c r="F277" t="inlineStr">
        <is>
          <t>technosphere</t>
        </is>
      </c>
      <c r="G277" t="n">
        <v>0</v>
      </c>
      <c r="H277" t="inlineStr">
        <is>
          <t>n_GT = n_total*lifetime_ratio/(lifetime_plant*annual m_flow)</t>
        </is>
      </c>
      <c r="I277" t="inlineStr">
        <is>
          <t>Gas turbine, 10MWe, at production plant/I U</t>
        </is>
      </c>
      <c r="K277" t="inlineStr">
        <is>
          <t>gas turbine, 10MW electrical</t>
        </is>
      </c>
    </row>
    <row r="278">
      <c r="A278" t="inlineStr">
        <is>
          <t>market for liquid storage tank, chemicals, organics</t>
        </is>
      </c>
      <c r="B278" t="n">
        <v>5.14e-12</v>
      </c>
      <c r="C278" t="inlineStr">
        <is>
          <t>GLO</t>
        </is>
      </c>
      <c r="D278" t="inlineStr">
        <is>
          <t>unit</t>
        </is>
      </c>
      <c r="E278" t="inlineStr">
        <is>
          <t>Materials/fuels</t>
        </is>
      </c>
      <c r="F278" t="inlineStr">
        <is>
          <t>technosphere</t>
        </is>
      </c>
      <c r="G278" t="n">
        <v>0</v>
      </c>
      <c r="H278" t="inlineStr">
        <is>
          <t>n_tank = V_total*lifetime_ratio/(V_ref*lifetime plant*annual m_flow)</t>
        </is>
      </c>
      <c r="I278" t="inlineStr">
        <is>
          <t>Liquid storage tank, chemicals, organics/CH/I U</t>
        </is>
      </c>
      <c r="K278" t="inlineStr">
        <is>
          <t>liquid storage tank, chemicals, organics</t>
        </is>
      </c>
    </row>
    <row r="279">
      <c r="A279" t="inlineStr">
        <is>
          <t>market for monoethanolamine</t>
        </is>
      </c>
      <c r="B279" t="n">
        <v>0.000284</v>
      </c>
      <c r="C279" t="inlineStr">
        <is>
          <t>GLO</t>
        </is>
      </c>
      <c r="D279" t="inlineStr">
        <is>
          <t>kilogram</t>
        </is>
      </c>
      <c r="E279" t="inlineStr">
        <is>
          <t>Materials/fuels</t>
        </is>
      </c>
      <c r="F279" t="inlineStr">
        <is>
          <t>technosphere</t>
        </is>
      </c>
      <c r="G279" t="n">
        <v>0</v>
      </c>
      <c r="H279" t="inlineStr">
        <is>
          <t>Moser et al. (2010)</t>
        </is>
      </c>
      <c r="I279" t="inlineStr">
        <is>
          <t>Monoethanolamine, at plant U</t>
        </is>
      </c>
      <c r="K279" t="inlineStr">
        <is>
          <t>monoethanolamine</t>
        </is>
      </c>
    </row>
    <row r="280">
      <c r="A280" t="inlineStr">
        <is>
          <t>market for pump, 40W</t>
        </is>
      </c>
      <c r="B280" t="n">
        <v>5.79e-10</v>
      </c>
      <c r="C280" t="inlineStr">
        <is>
          <t>GLO</t>
        </is>
      </c>
      <c r="D280" t="inlineStr">
        <is>
          <t>unit</t>
        </is>
      </c>
      <c r="E280" t="inlineStr">
        <is>
          <t>Materials/fuels</t>
        </is>
      </c>
      <c r="F280" t="inlineStr">
        <is>
          <t>technosphere</t>
        </is>
      </c>
      <c r="G280" t="n">
        <v>0</v>
      </c>
      <c r="H280" t="inlineStr">
        <is>
          <t>n_pump = n_total*lifetime_ratio/(lifetime_plant*annual m_flow)</t>
        </is>
      </c>
      <c r="I280" t="inlineStr">
        <is>
          <t>Pump 40W, at plant/CH/I U</t>
        </is>
      </c>
      <c r="K280" t="inlineStr">
        <is>
          <t>pump, 40W</t>
        </is>
      </c>
    </row>
    <row r="281">
      <c r="A281" t="inlineStr">
        <is>
          <t>market for sodium hydroxide, without water, in 50% solution state</t>
        </is>
      </c>
      <c r="B281" t="n">
        <v>0.000304</v>
      </c>
      <c r="C281" t="inlineStr">
        <is>
          <t>GLO</t>
        </is>
      </c>
      <c r="D281" t="inlineStr">
        <is>
          <t>kilogram</t>
        </is>
      </c>
      <c r="E281" t="inlineStr">
        <is>
          <t>Materials/fuels</t>
        </is>
      </c>
      <c r="F281" t="inlineStr">
        <is>
          <t>technosphere</t>
        </is>
      </c>
      <c r="G281" t="n">
        <v>0</v>
      </c>
      <c r="H281" t="inlineStr">
        <is>
          <t>RECCS 2007</t>
        </is>
      </c>
      <c r="I281" t="inlineStr">
        <is>
          <t>Sodium hydroxide, 50% in hydrogenO, production mix, at plant U</t>
        </is>
      </c>
      <c r="K281" t="inlineStr">
        <is>
          <t>sodium hydroxide, without water, in 50% solution state</t>
        </is>
      </c>
    </row>
    <row r="282">
      <c r="A282" t="inlineStr">
        <is>
          <t>treatment of spent solvent mixture, hazardous waste incineration</t>
        </is>
      </c>
      <c r="B282" t="n">
        <v>-0.000227</v>
      </c>
      <c r="C282" t="inlineStr">
        <is>
          <t>CH</t>
        </is>
      </c>
      <c r="D282" t="inlineStr">
        <is>
          <t>kilogram</t>
        </is>
      </c>
      <c r="E282" t="inlineStr">
        <is>
          <t>Waste to treatment</t>
        </is>
      </c>
      <c r="F282" t="inlineStr">
        <is>
          <t>technosphere</t>
        </is>
      </c>
      <c r="G282" t="n">
        <v>0</v>
      </c>
      <c r="H282" t="inlineStr">
        <is>
          <t>Moser et al. (2010), disposal of the solvent degradation products</t>
        </is>
      </c>
      <c r="I282" t="inlineStr">
        <is>
          <t>Disposal, solvents mixture, 16.5% water, to hazardous waste incineration/CH U</t>
        </is>
      </c>
      <c r="K282" t="inlineStr">
        <is>
          <t>spent solvent mixture</t>
        </is>
      </c>
    </row>
    <row r="283"/>
    <row r="284" ht="16" customHeight="1">
      <c r="A284" s="1" t="inlineStr">
        <is>
          <t>Activity</t>
        </is>
      </c>
      <c r="B284" s="1" t="inlineStr">
        <is>
          <t>carbon dioxide, captured from natural gas, post, 400km pipeline, storage 1000m</t>
        </is>
      </c>
    </row>
    <row r="285">
      <c r="A285" t="inlineStr">
        <is>
          <t>location</t>
        </is>
      </c>
      <c r="B285" t="inlineStr">
        <is>
          <t>RER</t>
        </is>
      </c>
    </row>
    <row r="286">
      <c r="A286" t="inlineStr">
        <is>
          <t>production amount</t>
        </is>
      </c>
      <c r="B286" t="n">
        <v>1</v>
      </c>
    </row>
    <row r="287">
      <c r="A287" t="inlineStr">
        <is>
          <t>reference product</t>
        </is>
      </c>
      <c r="B287" t="inlineStr">
        <is>
          <t>carbon dioxide, captured from natural gas, post, 400km pipeline, storage 1000m</t>
        </is>
      </c>
    </row>
    <row r="288">
      <c r="A288" t="inlineStr">
        <is>
          <t>type</t>
        </is>
      </c>
      <c r="B288" t="inlineStr">
        <is>
          <t>process</t>
        </is>
      </c>
    </row>
    <row r="289">
      <c r="A289" t="inlineStr">
        <is>
          <t>unit</t>
        </is>
      </c>
      <c r="B289" t="inlineStr">
        <is>
          <t>kilogram</t>
        </is>
      </c>
    </row>
    <row r="290">
      <c r="A290" t="inlineStr">
        <is>
          <t>source</t>
        </is>
      </c>
      <c r="B290" t="inlineStr">
        <is>
          <t>Life cycle assessment of carbon capture and storage in power generation and industry in Europe, Volkart et al., 2013, International Journal of Greenhouse Gas Control</t>
        </is>
      </c>
    </row>
    <row r="291" ht="16" customHeight="1">
      <c r="A291" s="1" t="inlineStr">
        <is>
          <t>Exchanges</t>
        </is>
      </c>
    </row>
    <row r="292">
      <c r="A292" t="inlineStr">
        <is>
          <t>name</t>
        </is>
      </c>
      <c r="B292" t="inlineStr">
        <is>
          <t>amount</t>
        </is>
      </c>
      <c r="C292" t="inlineStr">
        <is>
          <t>location</t>
        </is>
      </c>
      <c r="D292" t="inlineStr">
        <is>
          <t>unit</t>
        </is>
      </c>
      <c r="E292" t="inlineStr">
        <is>
          <t>categories</t>
        </is>
      </c>
      <c r="F292" t="inlineStr">
        <is>
          <t>type</t>
        </is>
      </c>
      <c r="G292" t="inlineStr">
        <is>
          <t>uncertainty type</t>
        </is>
      </c>
      <c r="H292" t="inlineStr">
        <is>
          <t>comment</t>
        </is>
      </c>
      <c r="I292" t="inlineStr">
        <is>
          <t>simapro name</t>
        </is>
      </c>
      <c r="J292" t="inlineStr">
        <is>
          <t>negative</t>
        </is>
      </c>
      <c r="K292" t="inlineStr">
        <is>
          <t>reference product</t>
        </is>
      </c>
    </row>
    <row r="293">
      <c r="A293" t="inlineStr">
        <is>
          <t>Ammonia</t>
        </is>
      </c>
      <c r="B293" t="n">
        <v>0.000123</v>
      </c>
      <c r="D293" t="inlineStr">
        <is>
          <t>kilogram</t>
        </is>
      </c>
      <c r="E293" t="inlineStr">
        <is>
          <t>air</t>
        </is>
      </c>
      <c r="F293" t="inlineStr">
        <is>
          <t>biosphere</t>
        </is>
      </c>
      <c r="G293" t="n">
        <v>0</v>
      </c>
      <c r="H293" t="inlineStr">
        <is>
          <t>Moser et al. (2010)</t>
        </is>
      </c>
    </row>
    <row r="294">
      <c r="A294" t="inlineStr">
        <is>
          <t>Monoethanolamine</t>
        </is>
      </c>
      <c r="B294" t="n">
        <v>6e-06</v>
      </c>
      <c r="D294" t="inlineStr">
        <is>
          <t>kilogram</t>
        </is>
      </c>
      <c r="E294" t="inlineStr">
        <is>
          <t>air</t>
        </is>
      </c>
      <c r="F294" t="inlineStr">
        <is>
          <t>biosphere</t>
        </is>
      </c>
      <c r="G294" t="n">
        <v>0</v>
      </c>
      <c r="H294" t="inlineStr">
        <is>
          <t>Moser et al. (2010)</t>
        </is>
      </c>
    </row>
    <row r="295">
      <c r="A295" t="inlineStr">
        <is>
          <t>Water, cooling, unspecified natural origin</t>
        </is>
      </c>
      <c r="B295" t="n">
        <v>0.0832</v>
      </c>
      <c r="D295" t="inlineStr">
        <is>
          <t>cubic meter</t>
        </is>
      </c>
      <c r="E295" t="inlineStr">
        <is>
          <t>natural resource::in water</t>
        </is>
      </c>
      <c r="F295" t="inlineStr">
        <is>
          <t>biosphere</t>
        </is>
      </c>
      <c r="G295" t="n">
        <v>0</v>
      </c>
      <c r="H295" t="inlineStr">
        <is>
          <t>RECCS 2007</t>
        </is>
      </c>
    </row>
    <row r="296">
      <c r="A296" t="inlineStr">
        <is>
          <t>Water</t>
        </is>
      </c>
      <c r="B296" s="4">
        <f>((B295*1000)-(600*3.78541/1000))/1000</f>
        <v>8.0928753999999992E-2</v>
      </c>
      <c r="D296" t="inlineStr">
        <is>
          <t>cubic meter</t>
        </is>
      </c>
      <c r="E296" t="inlineStr">
        <is>
          <t>water</t>
        </is>
      </c>
      <c r="F296" t="inlineStr">
        <is>
          <t>biosphere</t>
        </is>
      </c>
      <c r="H296" t="inlineStr">
        <is>
          <t>We assume 600 gallons of water consumed per ton CO2 captured, the rest is evaporated. Very uncertain. Based on https://netl.doe.gov/sites/default/files/event-proceedings/2014/carbon_storage/10--Christopher-Harto.pdf</t>
        </is>
      </c>
    </row>
    <row r="297">
      <c r="A297" t="inlineStr">
        <is>
          <t>carbon dioxide, captured from natural gas, post, 400km pipeline, storage 1000m</t>
        </is>
      </c>
      <c r="B297" t="n">
        <v>1</v>
      </c>
      <c r="C297" t="inlineStr">
        <is>
          <t>RER</t>
        </is>
      </c>
      <c r="D297" t="inlineStr">
        <is>
          <t>kilogram</t>
        </is>
      </c>
      <c r="E297" t="inlineStr">
        <is>
          <t>CCS Europe 2025::Natural gas::Geological storage</t>
        </is>
      </c>
      <c r="F297" t="inlineStr">
        <is>
          <t>production</t>
        </is>
      </c>
      <c r="I297" t="inlineStr">
        <is>
          <t>carbon dioxide, captured from natural gas, post, 400km pipeline, storage 1000m U</t>
        </is>
      </c>
    </row>
    <row r="298">
      <c r="A298" t="inlineStr">
        <is>
          <t>carbon dioxide storage from natural gas, post, 400km pipeline, storage 1000m</t>
        </is>
      </c>
      <c r="B298" t="n">
        <v>1</v>
      </c>
      <c r="C298" t="inlineStr">
        <is>
          <t>RER</t>
        </is>
      </c>
      <c r="D298" t="inlineStr">
        <is>
          <t>kilogram</t>
        </is>
      </c>
      <c r="E298" t="inlineStr">
        <is>
          <t>Materials/fuels</t>
        </is>
      </c>
      <c r="F298" t="inlineStr">
        <is>
          <t>technosphere</t>
        </is>
      </c>
      <c r="G298" t="n">
        <v>0</v>
      </c>
      <c r="H298" t="inlineStr">
        <is>
          <t>1 kg carbon dioxide stored per 1 kg carbon dioxide, capturedd</t>
        </is>
      </c>
      <c r="I298" t="inlineStr">
        <is>
          <t>carbon dioxide storage from natural gas, post, 400km pipeline, storage 1000m U</t>
        </is>
      </c>
    </row>
    <row r="299">
      <c r="A299" t="inlineStr">
        <is>
          <t>electricity production, at natural gas-fired combined cycle power plant, post, pipeline 200km, storage 1000m</t>
        </is>
      </c>
      <c r="B299" t="n">
        <v>0</v>
      </c>
      <c r="C299" t="inlineStr">
        <is>
          <t>RER</t>
        </is>
      </c>
      <c r="D299" t="inlineStr">
        <is>
          <t>kilowatt hour</t>
        </is>
      </c>
      <c r="E299" t="inlineStr">
        <is>
          <t>Materials/fuels</t>
        </is>
      </c>
      <c r="F299" t="inlineStr">
        <is>
          <t>technosphere</t>
        </is>
      </c>
      <c r="G299" t="n">
        <v>0</v>
      </c>
      <c r="H299" t="inlineStr">
        <is>
          <t>E_capture = E_el*(1-(eff_CCS/eff_no CCS))</t>
        </is>
      </c>
      <c r="I299" t="inlineStr">
        <is>
          <t>electricity production, at natural gas-fired power plant, post, pipeline 200km, storage 1000m U</t>
        </is>
      </c>
    </row>
    <row r="300">
      <c r="A300" t="inlineStr">
        <is>
          <t>heat pump production, for heat and power co-generation unit, 160kW electrical</t>
        </is>
      </c>
      <c r="B300" t="n">
        <v>8.27e-11</v>
      </c>
      <c r="C300" t="inlineStr">
        <is>
          <t>RER</t>
        </is>
      </c>
      <c r="D300" t="inlineStr">
        <is>
          <t>unit</t>
        </is>
      </c>
      <c r="E300" t="inlineStr">
        <is>
          <t>Materials/fuels</t>
        </is>
      </c>
      <c r="F300" t="inlineStr">
        <is>
          <t>technosphere</t>
        </is>
      </c>
      <c r="G300" t="n">
        <v>0</v>
      </c>
      <c r="H300" t="inlineStr">
        <is>
          <t>n_HX = n_total*lifetime_ratio/(lifetime_plant*annual m_flow)</t>
        </is>
      </c>
      <c r="I300" t="inlineStr">
        <is>
          <t>Heat exchanger of cogen unit 160kWe/I U</t>
        </is>
      </c>
      <c r="K300" t="inlineStr">
        <is>
          <t>heat pump, for heat and power co-generation unit, 160kW electrical</t>
        </is>
      </c>
    </row>
    <row r="301">
      <c r="A301" t="inlineStr">
        <is>
          <t>market for absorption chiller, 100kW</t>
        </is>
      </c>
      <c r="B301" t="n">
        <v>7.44e-10</v>
      </c>
      <c r="C301" t="inlineStr">
        <is>
          <t>GLO</t>
        </is>
      </c>
      <c r="D301" t="inlineStr">
        <is>
          <t>unit</t>
        </is>
      </c>
      <c r="E301" t="inlineStr">
        <is>
          <t>Materials/fuels</t>
        </is>
      </c>
      <c r="F301" t="inlineStr">
        <is>
          <t>technosphere</t>
        </is>
      </c>
      <c r="G301" t="n">
        <v>0</v>
      </c>
      <c r="H301" t="inlineStr">
        <is>
          <t>n_absorption chiller = n_total*lifetime_ratio/(lifetime_plant*annual m_flow)</t>
        </is>
      </c>
      <c r="I301" t="inlineStr">
        <is>
          <t>Absorption chiller 100kW/CH/I U</t>
        </is>
      </c>
      <c r="K301" t="inlineStr">
        <is>
          <t>absorption chiller, 100kW</t>
        </is>
      </c>
    </row>
    <row r="302">
      <c r="A302" t="inlineStr">
        <is>
          <t>market for charcoal</t>
        </is>
      </c>
      <c r="B302" t="n">
        <v>8.26e-05</v>
      </c>
      <c r="C302" t="inlineStr">
        <is>
          <t>GLO</t>
        </is>
      </c>
      <c r="D302" t="inlineStr">
        <is>
          <t>kilogram</t>
        </is>
      </c>
      <c r="E302" t="inlineStr">
        <is>
          <t>Materials/fuels</t>
        </is>
      </c>
      <c r="F302" t="inlineStr">
        <is>
          <t>technosphere</t>
        </is>
      </c>
      <c r="G302" t="n">
        <v>0</v>
      </c>
      <c r="H302" t="inlineStr">
        <is>
          <t>RECCS 2007</t>
        </is>
      </c>
      <c r="I302" t="inlineStr">
        <is>
          <t>Charcoal, at plant/GLO U</t>
        </is>
      </c>
      <c r="K302" t="inlineStr">
        <is>
          <t>charcoal</t>
        </is>
      </c>
    </row>
    <row r="303">
      <c r="A303" t="inlineStr">
        <is>
          <t>market for gas turbine, 10MW electrical</t>
        </is>
      </c>
      <c r="B303" t="n">
        <v>3.31e-10</v>
      </c>
      <c r="C303" t="inlineStr">
        <is>
          <t>GLO</t>
        </is>
      </c>
      <c r="D303" t="inlineStr">
        <is>
          <t>unit</t>
        </is>
      </c>
      <c r="E303" t="inlineStr">
        <is>
          <t>Materials/fuels</t>
        </is>
      </c>
      <c r="F303" t="inlineStr">
        <is>
          <t>technosphere</t>
        </is>
      </c>
      <c r="G303" t="n">
        <v>0</v>
      </c>
      <c r="H303" t="inlineStr">
        <is>
          <t>n_GT = n_total*lifetime_ratio/(lifetime_plant*annual m_flow)</t>
        </is>
      </c>
      <c r="I303" t="inlineStr">
        <is>
          <t>Gas turbine, 10MWe, at production plant/I U</t>
        </is>
      </c>
      <c r="K303" t="inlineStr">
        <is>
          <t>gas turbine, 10MW electrical</t>
        </is>
      </c>
    </row>
    <row r="304">
      <c r="A304" t="inlineStr">
        <is>
          <t>market for liquid storage tank, chemicals, organics</t>
        </is>
      </c>
      <c r="B304" t="n">
        <v>5.14e-12</v>
      </c>
      <c r="C304" t="inlineStr">
        <is>
          <t>GLO</t>
        </is>
      </c>
      <c r="D304" t="inlineStr">
        <is>
          <t>unit</t>
        </is>
      </c>
      <c r="E304" t="inlineStr">
        <is>
          <t>Materials/fuels</t>
        </is>
      </c>
      <c r="F304" t="inlineStr">
        <is>
          <t>technosphere</t>
        </is>
      </c>
      <c r="G304" t="n">
        <v>0</v>
      </c>
      <c r="H304" t="inlineStr">
        <is>
          <t>n_tank = V_total*lifetime_ratio/(V_ref*lifetime plant*annual m_flow)</t>
        </is>
      </c>
      <c r="I304" t="inlineStr">
        <is>
          <t>Liquid storage tank, chemicals, organics/CH/I U</t>
        </is>
      </c>
      <c r="K304" t="inlineStr">
        <is>
          <t>liquid storage tank, chemicals, organics</t>
        </is>
      </c>
    </row>
    <row r="305">
      <c r="A305" t="inlineStr">
        <is>
          <t>market for monoethanolamine</t>
        </is>
      </c>
      <c r="B305" t="n">
        <v>0.000284</v>
      </c>
      <c r="C305" t="inlineStr">
        <is>
          <t>GLO</t>
        </is>
      </c>
      <c r="D305" t="inlineStr">
        <is>
          <t>kilogram</t>
        </is>
      </c>
      <c r="E305" t="inlineStr">
        <is>
          <t>Materials/fuels</t>
        </is>
      </c>
      <c r="F305" t="inlineStr">
        <is>
          <t>technosphere</t>
        </is>
      </c>
      <c r="G305" t="n">
        <v>0</v>
      </c>
      <c r="H305" t="inlineStr">
        <is>
          <t>Moser et al. (2010)</t>
        </is>
      </c>
      <c r="I305" t="inlineStr">
        <is>
          <t>Monoethanolamine, at plant U</t>
        </is>
      </c>
      <c r="K305" t="inlineStr">
        <is>
          <t>monoethanolamine</t>
        </is>
      </c>
    </row>
    <row r="306">
      <c r="A306" t="inlineStr">
        <is>
          <t>market for pump, 40W</t>
        </is>
      </c>
      <c r="B306" t="n">
        <v>5.79e-10</v>
      </c>
      <c r="C306" t="inlineStr">
        <is>
          <t>GLO</t>
        </is>
      </c>
      <c r="D306" t="inlineStr">
        <is>
          <t>unit</t>
        </is>
      </c>
      <c r="E306" t="inlineStr">
        <is>
          <t>Materials/fuels</t>
        </is>
      </c>
      <c r="F306" t="inlineStr">
        <is>
          <t>technosphere</t>
        </is>
      </c>
      <c r="G306" t="n">
        <v>0</v>
      </c>
      <c r="H306" t="inlineStr">
        <is>
          <t>n_pump = n_total*lifetime_ratio/(lifetime_plant*annual m_flow)</t>
        </is>
      </c>
      <c r="I306" t="inlineStr">
        <is>
          <t>Pump 40W, at plant/CH/I U</t>
        </is>
      </c>
      <c r="K306" t="inlineStr">
        <is>
          <t>pump, 40W</t>
        </is>
      </c>
    </row>
    <row r="307">
      <c r="A307" t="inlineStr">
        <is>
          <t>market for sodium hydroxide, without water, in 50% solution state</t>
        </is>
      </c>
      <c r="B307" t="n">
        <v>0.000304</v>
      </c>
      <c r="C307" t="inlineStr">
        <is>
          <t>GLO</t>
        </is>
      </c>
      <c r="D307" t="inlineStr">
        <is>
          <t>kilogram</t>
        </is>
      </c>
      <c r="E307" t="inlineStr">
        <is>
          <t>Materials/fuels</t>
        </is>
      </c>
      <c r="F307" t="inlineStr">
        <is>
          <t>technosphere</t>
        </is>
      </c>
      <c r="G307" t="n">
        <v>0</v>
      </c>
      <c r="H307" t="inlineStr">
        <is>
          <t>RECCS 2007</t>
        </is>
      </c>
      <c r="I307" t="inlineStr">
        <is>
          <t>Sodium hydroxide, 50% in hydrogenO, production mix, at plant U</t>
        </is>
      </c>
      <c r="K307" t="inlineStr">
        <is>
          <t>sodium hydroxide, without water, in 50% solution state</t>
        </is>
      </c>
    </row>
    <row r="308">
      <c r="A308" t="inlineStr">
        <is>
          <t>treatment of spent solvent mixture, hazardous waste incineration</t>
        </is>
      </c>
      <c r="B308" t="n">
        <v>-0.000227</v>
      </c>
      <c r="C308" t="inlineStr">
        <is>
          <t>CH</t>
        </is>
      </c>
      <c r="D308" t="inlineStr">
        <is>
          <t>kilogram</t>
        </is>
      </c>
      <c r="E308" t="inlineStr">
        <is>
          <t>Waste to treatment</t>
        </is>
      </c>
      <c r="F308" t="inlineStr">
        <is>
          <t>technosphere</t>
        </is>
      </c>
      <c r="G308" t="n">
        <v>0</v>
      </c>
      <c r="H308" t="inlineStr">
        <is>
          <t>Moser et al. (2010), disposal of the solvent degradation products</t>
        </is>
      </c>
      <c r="I308" t="inlineStr">
        <is>
          <t>Disposal, solvents mixture, 16.5% water, to hazardous waste incineration/CH U</t>
        </is>
      </c>
      <c r="K308" t="inlineStr">
        <is>
          <t>spent solvent mixture</t>
        </is>
      </c>
    </row>
    <row r="309"/>
    <row r="310" ht="16" customHeight="1">
      <c r="A310" s="1" t="inlineStr">
        <is>
          <t>Activity</t>
        </is>
      </c>
      <c r="B310" s="1" t="inlineStr">
        <is>
          <t>carbon dioxide, captured from natural gas, pre, 200km pipeline, storage 1000m</t>
        </is>
      </c>
    </row>
    <row r="311">
      <c r="A311" t="inlineStr">
        <is>
          <t>location</t>
        </is>
      </c>
      <c r="B311" t="inlineStr">
        <is>
          <t>RER</t>
        </is>
      </c>
    </row>
    <row r="312">
      <c r="A312" t="inlineStr">
        <is>
          <t>production amount</t>
        </is>
      </c>
      <c r="B312" t="n">
        <v>1</v>
      </c>
    </row>
    <row r="313">
      <c r="A313" t="inlineStr">
        <is>
          <t>reference product</t>
        </is>
      </c>
      <c r="B313" t="inlineStr">
        <is>
          <t>carbon dioxide, captured from natural gas, pre, 200km pipeline, storage 1000m</t>
        </is>
      </c>
    </row>
    <row r="314">
      <c r="A314" t="inlineStr">
        <is>
          <t>type</t>
        </is>
      </c>
      <c r="B314" t="inlineStr">
        <is>
          <t>process</t>
        </is>
      </c>
    </row>
    <row r="315">
      <c r="A315" t="inlineStr">
        <is>
          <t>unit</t>
        </is>
      </c>
      <c r="B315" t="inlineStr">
        <is>
          <t>kilogram</t>
        </is>
      </c>
    </row>
    <row r="316">
      <c r="A316" t="inlineStr">
        <is>
          <t>source</t>
        </is>
      </c>
      <c r="B316" t="inlineStr">
        <is>
          <t>Life cycle assessment of carbon capture and storage in power generation and industry in Europe, Volkart et al., 2013, International Journal of Greenhouse Gas Control</t>
        </is>
      </c>
    </row>
    <row r="317" ht="16" customHeight="1">
      <c r="A317" s="1" t="inlineStr">
        <is>
          <t>Exchanges</t>
        </is>
      </c>
    </row>
    <row r="318">
      <c r="A318" t="inlineStr">
        <is>
          <t>name</t>
        </is>
      </c>
      <c r="B318" t="inlineStr">
        <is>
          <t>amount</t>
        </is>
      </c>
      <c r="C318" t="inlineStr">
        <is>
          <t>location</t>
        </is>
      </c>
      <c r="D318" t="inlineStr">
        <is>
          <t>unit</t>
        </is>
      </c>
      <c r="E318" t="inlineStr">
        <is>
          <t>categories</t>
        </is>
      </c>
      <c r="F318" t="inlineStr">
        <is>
          <t>type</t>
        </is>
      </c>
      <c r="G318" t="inlineStr">
        <is>
          <t>uncertainty type</t>
        </is>
      </c>
      <c r="H318" t="inlineStr">
        <is>
          <t>comment</t>
        </is>
      </c>
      <c r="I318" t="inlineStr">
        <is>
          <t>simapro name</t>
        </is>
      </c>
      <c r="J318" t="inlineStr">
        <is>
          <t>negative</t>
        </is>
      </c>
      <c r="K318" t="inlineStr">
        <is>
          <t>reference product</t>
        </is>
      </c>
    </row>
    <row r="319">
      <c r="A319" t="inlineStr">
        <is>
          <t>Water, cooling, unspecified natural origin</t>
        </is>
      </c>
      <c r="B319" t="n">
        <v>0.0832</v>
      </c>
      <c r="D319" t="inlineStr">
        <is>
          <t>cubic meter</t>
        </is>
      </c>
      <c r="E319" t="inlineStr">
        <is>
          <t>natural resource::in water</t>
        </is>
      </c>
      <c r="F319" t="inlineStr">
        <is>
          <t>biosphere</t>
        </is>
      </c>
      <c r="G319" t="n">
        <v>0</v>
      </c>
      <c r="H319" t="inlineStr">
        <is>
          <t>RECCS 2007</t>
        </is>
      </c>
    </row>
    <row r="320">
      <c r="A320" t="inlineStr">
        <is>
          <t>Water</t>
        </is>
      </c>
      <c r="B320" s="4">
        <f>((B319*1000)-(600*3.78541/1000))/1000</f>
        <v>8.0928753999999992E-2</v>
      </c>
      <c r="D320" t="inlineStr">
        <is>
          <t>cubic meter</t>
        </is>
      </c>
      <c r="E320" t="inlineStr">
        <is>
          <t>water</t>
        </is>
      </c>
      <c r="F320" t="inlineStr">
        <is>
          <t>biosphere</t>
        </is>
      </c>
      <c r="H320" t="inlineStr">
        <is>
          <t>We assume 600 gallons of water consumed per ton CO2 captured, the rest is evaporated. Very uncertain. Based on https://netl.doe.gov/sites/default/files/event-proceedings/2014/carbon_storage/10--Christopher-Harto.pdf</t>
        </is>
      </c>
    </row>
    <row r="321">
      <c r="A321" t="inlineStr">
        <is>
          <t>carbon dioxide, captured from natural gas, pre, 200km pipeline, storage 1000m</t>
        </is>
      </c>
      <c r="B321" t="n">
        <v>1</v>
      </c>
      <c r="C321" t="inlineStr">
        <is>
          <t>RER</t>
        </is>
      </c>
      <c r="D321" t="inlineStr">
        <is>
          <t>kilogram</t>
        </is>
      </c>
      <c r="E321" t="inlineStr">
        <is>
          <t>CCS Europe 2025::Natural gas::Geological storage</t>
        </is>
      </c>
      <c r="F321" t="inlineStr">
        <is>
          <t>production</t>
        </is>
      </c>
      <c r="I321" t="inlineStr">
        <is>
          <t>carbon dioxide, captured from natural gas, pre, 200km pipeline, storage 1000m U</t>
        </is>
      </c>
      <c r="K321" t="inlineStr">
        <is>
          <t>carbon dioxide, captured from natural gas, pre, 200km pipeline, storage 1000m</t>
        </is>
      </c>
    </row>
    <row r="322">
      <c r="A322" t="inlineStr">
        <is>
          <t>carbon dioxide storage from natural gas, pre, 200km pipeline, storage 1000m</t>
        </is>
      </c>
      <c r="B322" t="n">
        <v>1</v>
      </c>
      <c r="C322" t="inlineStr">
        <is>
          <t>RER</t>
        </is>
      </c>
      <c r="D322" t="inlineStr">
        <is>
          <t>kilogram</t>
        </is>
      </c>
      <c r="E322" t="inlineStr">
        <is>
          <t>Materials/fuels</t>
        </is>
      </c>
      <c r="F322" t="inlineStr">
        <is>
          <t>technosphere</t>
        </is>
      </c>
      <c r="G322" t="n">
        <v>0</v>
      </c>
      <c r="H322" t="inlineStr">
        <is>
          <t>1 kg carbon dioxide stored per 1 kg carbon dioxide, capturedd</t>
        </is>
      </c>
      <c r="I322" t="inlineStr">
        <is>
          <t>carbon dioxide storage from natural gas, pre, 200km pipeline, storage 1000m U</t>
        </is>
      </c>
    </row>
    <row r="323">
      <c r="A323" t="inlineStr">
        <is>
          <t>electricity production, at hydrogen-fired combined cycle power plant, by auto-thermal reforming of natural gas, pre, pipeline 200km, storage 1000m</t>
        </is>
      </c>
      <c r="B323" t="n">
        <v>0</v>
      </c>
      <c r="C323" t="inlineStr">
        <is>
          <t>RER</t>
        </is>
      </c>
      <c r="D323" t="inlineStr">
        <is>
          <t>kilowatt hour</t>
        </is>
      </c>
      <c r="E323" t="inlineStr">
        <is>
          <t>Materials/fuels</t>
        </is>
      </c>
      <c r="F323" t="inlineStr">
        <is>
          <t>technosphere</t>
        </is>
      </c>
      <c r="G323" t="n">
        <v>0</v>
      </c>
      <c r="H323" t="inlineStr">
        <is>
          <t>E_capture = E_el*(1-(eff_CCS/eff_no CCS))</t>
        </is>
      </c>
      <c r="I323" t="inlineStr">
        <is>
          <t>electricity production, at natural gas-fired power plant, pre, pipeline 200km, storage 1000m U</t>
        </is>
      </c>
    </row>
    <row r="324">
      <c r="A324" t="inlineStr">
        <is>
          <t>Selexol (Dimethylether of polyethylene glycol)</t>
        </is>
      </c>
      <c r="B324" t="n">
        <v>7e-06</v>
      </c>
      <c r="C324" t="inlineStr">
        <is>
          <t>RER</t>
        </is>
      </c>
      <c r="D324" t="inlineStr">
        <is>
          <t>kilogram</t>
        </is>
      </c>
      <c r="E324" t="inlineStr">
        <is>
          <t>Materials/fuels</t>
        </is>
      </c>
      <c r="F324" t="inlineStr">
        <is>
          <t>technosphere</t>
        </is>
      </c>
      <c r="G324" t="n">
        <v>0</v>
      </c>
      <c r="H324" t="inlineStr">
        <is>
          <t>Singh et al. (2011)</t>
        </is>
      </c>
    </row>
    <row r="325">
      <c r="A325" t="inlineStr">
        <is>
          <t>heat pump production, for heat and power co-generation unit, 160kW electrical</t>
        </is>
      </c>
      <c r="B325" t="n">
        <v>1.53e-10</v>
      </c>
      <c r="C325" t="inlineStr">
        <is>
          <t>RER</t>
        </is>
      </c>
      <c r="D325" t="inlineStr">
        <is>
          <t>unit</t>
        </is>
      </c>
      <c r="E325" t="inlineStr">
        <is>
          <t>Materials/fuels</t>
        </is>
      </c>
      <c r="F325" t="inlineStr">
        <is>
          <t>technosphere</t>
        </is>
      </c>
      <c r="G325" t="n">
        <v>0</v>
      </c>
      <c r="H325" t="inlineStr">
        <is>
          <t>n_HX = n_total*lifetime_ratio/(lifetime_plant*annual m_flow)</t>
        </is>
      </c>
      <c r="I325" t="inlineStr">
        <is>
          <t>Heat exchanger of cogen unit 160kWe/I U</t>
        </is>
      </c>
      <c r="K325" t="inlineStr">
        <is>
          <t>heat pump, for heat and power co-generation unit, 160kW electrical</t>
        </is>
      </c>
    </row>
    <row r="326">
      <c r="A326" t="inlineStr">
        <is>
          <t>market for absorption chiller, 100kW</t>
        </is>
      </c>
      <c r="B326" t="n">
        <v>5.36e-10</v>
      </c>
      <c r="C326" t="inlineStr">
        <is>
          <t>GLO</t>
        </is>
      </c>
      <c r="D326" t="inlineStr">
        <is>
          <t>unit</t>
        </is>
      </c>
      <c r="E326" t="inlineStr">
        <is>
          <t>Materials/fuels</t>
        </is>
      </c>
      <c r="F326" t="inlineStr">
        <is>
          <t>technosphere</t>
        </is>
      </c>
      <c r="G326" t="n">
        <v>0</v>
      </c>
      <c r="H326" t="inlineStr">
        <is>
          <t>n_absorption chiller = n_total*lifetime_ratio/(lifetime_plant*annual m_flow)</t>
        </is>
      </c>
      <c r="I326" t="inlineStr">
        <is>
          <t>Absorption chiller 100kW/CH/I U</t>
        </is>
      </c>
      <c r="K326" t="inlineStr">
        <is>
          <t>absorption chiller, 100kW</t>
        </is>
      </c>
    </row>
    <row r="327">
      <c r="A327" t="inlineStr">
        <is>
          <t>market for gas turbine, 10MW electrical</t>
        </is>
      </c>
      <c r="B327" t="n">
        <v>3.83e-10</v>
      </c>
      <c r="C327" t="inlineStr">
        <is>
          <t>GLO</t>
        </is>
      </c>
      <c r="D327" t="inlineStr">
        <is>
          <t>unit</t>
        </is>
      </c>
      <c r="E327" t="inlineStr">
        <is>
          <t>Materials/fuels</t>
        </is>
      </c>
      <c r="F327" t="inlineStr">
        <is>
          <t>technosphere</t>
        </is>
      </c>
      <c r="G327" t="n">
        <v>0</v>
      </c>
      <c r="H327" t="inlineStr">
        <is>
          <t>n_GT = n_total*lifetime_ratio/(lifetime_plant*annual m_flow)</t>
        </is>
      </c>
      <c r="I327" t="inlineStr">
        <is>
          <t>Gas turbine, 10MWe, at production plant/I U</t>
        </is>
      </c>
      <c r="K327" t="inlineStr">
        <is>
          <t>gas turbine, 10MW electrical</t>
        </is>
      </c>
    </row>
    <row r="328">
      <c r="A328" t="inlineStr">
        <is>
          <t>market for liquid storage tank, chemicals, organics</t>
        </is>
      </c>
      <c r="B328" t="n">
        <v>7.14e-12</v>
      </c>
      <c r="C328" t="inlineStr">
        <is>
          <t>GLO</t>
        </is>
      </c>
      <c r="D328" t="inlineStr">
        <is>
          <t>unit</t>
        </is>
      </c>
      <c r="E328" t="inlineStr">
        <is>
          <t>Materials/fuels</t>
        </is>
      </c>
      <c r="F328" t="inlineStr">
        <is>
          <t>technosphere</t>
        </is>
      </c>
      <c r="G328" t="n">
        <v>0</v>
      </c>
      <c r="H328" t="inlineStr">
        <is>
          <t>n_tank = V_total*lifetime_ratio/(V_ref*lifetime plant*annual m_flow)</t>
        </is>
      </c>
      <c r="I328" t="inlineStr">
        <is>
          <t>Liquid storage tank, chemicals, organics/CH/I U</t>
        </is>
      </c>
      <c r="K328" t="inlineStr">
        <is>
          <t>liquid storage tank, chemicals, organics</t>
        </is>
      </c>
    </row>
    <row r="329">
      <c r="A329" t="inlineStr">
        <is>
          <t>market for pump, 40W</t>
        </is>
      </c>
      <c r="B329" t="n">
        <v>1.53e-10</v>
      </c>
      <c r="C329" t="inlineStr">
        <is>
          <t>GLO</t>
        </is>
      </c>
      <c r="D329" t="inlineStr">
        <is>
          <t>unit</t>
        </is>
      </c>
      <c r="E329" t="inlineStr">
        <is>
          <t>Materials/fuels</t>
        </is>
      </c>
      <c r="F329" t="inlineStr">
        <is>
          <t>technosphere</t>
        </is>
      </c>
      <c r="G329" t="n">
        <v>0</v>
      </c>
      <c r="H329" t="inlineStr">
        <is>
          <t>n_pump = n_total*lifetime_ratio/(lifetime_plant*annual m_flow)</t>
        </is>
      </c>
      <c r="I329" t="inlineStr">
        <is>
          <t>Pump 40W, at plant/CH/I U</t>
        </is>
      </c>
      <c r="K329" t="inlineStr">
        <is>
          <t>pump, 40W</t>
        </is>
      </c>
    </row>
    <row r="330">
      <c r="A330" t="inlineStr">
        <is>
          <t>treatment of spent solvent mixture, hazardous waste incineration</t>
        </is>
      </c>
      <c r="B330" t="n">
        <v>-7e-06</v>
      </c>
      <c r="C330" t="inlineStr">
        <is>
          <t>CH</t>
        </is>
      </c>
      <c r="D330" t="inlineStr">
        <is>
          <t>kilogram</t>
        </is>
      </c>
      <c r="E330" t="inlineStr">
        <is>
          <t>Waste to treatment</t>
        </is>
      </c>
      <c r="F330" t="inlineStr">
        <is>
          <t>technosphere</t>
        </is>
      </c>
      <c r="G330" t="n">
        <v>0</v>
      </c>
      <c r="H330" t="inlineStr">
        <is>
          <t>Singh et al. (2011), disposal of the solvent degradation products</t>
        </is>
      </c>
      <c r="I330" t="inlineStr">
        <is>
          <t>Disposal, solvents mixture, 16.5% water, to hazardous waste incineration/CH U</t>
        </is>
      </c>
      <c r="K330" t="inlineStr">
        <is>
          <t>spent solvent mixture</t>
        </is>
      </c>
    </row>
    <row r="331"/>
    <row r="332" ht="16" customHeight="1">
      <c r="A332" s="1" t="inlineStr">
        <is>
          <t>Activity</t>
        </is>
      </c>
      <c r="B332" s="1" t="inlineStr">
        <is>
          <t>carbon dioxide storage at synthetic natural gas plant, post, 200km pipeline, storage 1000m</t>
        </is>
      </c>
    </row>
    <row r="333">
      <c r="A333" t="inlineStr">
        <is>
          <t>location</t>
        </is>
      </c>
      <c r="B333" t="inlineStr">
        <is>
          <t>RER</t>
        </is>
      </c>
    </row>
    <row r="334">
      <c r="A334" t="inlineStr">
        <is>
          <t>production amount</t>
        </is>
      </c>
      <c r="B334" t="n">
        <v>1</v>
      </c>
    </row>
    <row r="335">
      <c r="A335" t="inlineStr">
        <is>
          <t>reference product</t>
        </is>
      </c>
      <c r="B335" t="inlineStr">
        <is>
          <t>carbon dioxide storage at synthetic natural gas plant, post, 200km pipeline, storage 1000m</t>
        </is>
      </c>
    </row>
    <row r="336">
      <c r="A336" t="inlineStr">
        <is>
          <t>type</t>
        </is>
      </c>
      <c r="B336" t="inlineStr">
        <is>
          <t>process</t>
        </is>
      </c>
    </row>
    <row r="337">
      <c r="A337" t="inlineStr">
        <is>
          <t>unit</t>
        </is>
      </c>
      <c r="B337" t="inlineStr">
        <is>
          <t>kilogram</t>
        </is>
      </c>
    </row>
    <row r="338">
      <c r="A338" t="inlineStr">
        <is>
          <t>source</t>
        </is>
      </c>
      <c r="B338" t="inlineStr">
        <is>
          <t>Life cycle assessment of carbon capture and storage in power generation and industry in Europe, Volkart et al., 2013, International Journal of Greenhouse Gas Control</t>
        </is>
      </c>
    </row>
    <row r="339" ht="16" customHeight="1">
      <c r="A339" s="1" t="inlineStr">
        <is>
          <t>Exchanges</t>
        </is>
      </c>
    </row>
    <row r="340">
      <c r="A340" t="inlineStr">
        <is>
          <t>name</t>
        </is>
      </c>
      <c r="B340" t="inlineStr">
        <is>
          <t>amount</t>
        </is>
      </c>
      <c r="C340" t="inlineStr">
        <is>
          <t>location</t>
        </is>
      </c>
      <c r="D340" t="inlineStr">
        <is>
          <t>unit</t>
        </is>
      </c>
      <c r="E340" t="inlineStr">
        <is>
          <t>categories</t>
        </is>
      </c>
      <c r="F340" t="inlineStr">
        <is>
          <t>type</t>
        </is>
      </c>
      <c r="G340" t="inlineStr">
        <is>
          <t>uncertainty type</t>
        </is>
      </c>
      <c r="H340" t="inlineStr">
        <is>
          <t>comment</t>
        </is>
      </c>
      <c r="I340" t="inlineStr">
        <is>
          <t>negative</t>
        </is>
      </c>
      <c r="J340" t="inlineStr">
        <is>
          <t>reference product</t>
        </is>
      </c>
    </row>
    <row r="341">
      <c r="A341" t="inlineStr">
        <is>
          <t>carbon dioxide storage at synthetic natural gas plant, post, 200km pipeline, storage 1000m</t>
        </is>
      </c>
      <c r="B341" t="n">
        <v>1</v>
      </c>
      <c r="C341" t="inlineStr">
        <is>
          <t>RER</t>
        </is>
      </c>
      <c r="D341" t="inlineStr">
        <is>
          <t>kilogram</t>
        </is>
      </c>
      <c r="E341" t="inlineStr">
        <is>
          <t>CCS Europe 2025::Wood::Geological storage::SNGCC</t>
        </is>
      </c>
      <c r="F341" t="inlineStr">
        <is>
          <t>production</t>
        </is>
      </c>
    </row>
    <row r="342">
      <c r="A342" t="inlineStr">
        <is>
          <t>drilling, deep borehole</t>
        </is>
      </c>
      <c r="B342" t="n">
        <v>1.69e-08</v>
      </c>
      <c r="C342" t="inlineStr">
        <is>
          <t>RER</t>
        </is>
      </c>
      <c r="D342" t="inlineStr">
        <is>
          <t>meter</t>
        </is>
      </c>
      <c r="E342" t="inlineStr">
        <is>
          <t>Materials/fuels</t>
        </is>
      </c>
      <c r="F342" t="inlineStr">
        <is>
          <t>technosphere</t>
        </is>
      </c>
      <c r="G342" t="n">
        <v>0</v>
      </c>
      <c r="H342" t="inlineStr">
        <is>
          <t>l_drilling = (n_injection wells+n_monitoring wells)*storage depth/(lifetime*annual_m_flow)</t>
        </is>
      </c>
    </row>
    <row r="343">
      <c r="A343" t="inlineStr">
        <is>
          <t>market for gas turbine, 10MW electrical</t>
        </is>
      </c>
      <c r="B343" t="n">
        <v>2.54e-11</v>
      </c>
      <c r="C343" t="inlineStr">
        <is>
          <t>GLO</t>
        </is>
      </c>
      <c r="D343" t="inlineStr">
        <is>
          <t>unit</t>
        </is>
      </c>
      <c r="E343" t="inlineStr">
        <is>
          <t>Materials/fuels</t>
        </is>
      </c>
      <c r="F343" t="inlineStr">
        <is>
          <t>technosphere</t>
        </is>
      </c>
      <c r="G343" t="n">
        <v>0</v>
      </c>
      <c r="H343" t="inlineStr">
        <is>
          <t>n_turbine = n_injection wells/(lifetime*annual m_flow)</t>
        </is>
      </c>
      <c r="I343" t="n">
        <v>0</v>
      </c>
      <c r="J343" t="inlineStr">
        <is>
          <t>gas turbine, 10MW electrical</t>
        </is>
      </c>
    </row>
    <row r="344">
      <c r="A344" t="inlineStr">
        <is>
          <t>market group for electricity, medium voltage</t>
        </is>
      </c>
      <c r="B344" t="n">
        <v>0.009480000000000001</v>
      </c>
      <c r="C344" t="inlineStr">
        <is>
          <t>ENTSO-E</t>
        </is>
      </c>
      <c r="D344" t="inlineStr">
        <is>
          <t>kilowatt hour</t>
        </is>
      </c>
      <c r="E344" t="inlineStr">
        <is>
          <t>Materials/fuels</t>
        </is>
      </c>
      <c r="F344" t="inlineStr">
        <is>
          <t>technosphere</t>
        </is>
      </c>
      <c r="G344" t="n">
        <v>0</v>
      </c>
      <c r="H344" t="inlineStr">
        <is>
          <t>E = 87,85*ln((p_hydrostat+p_over)_pipeline)*(m_flow_project*8760h/a)/annual_m_flow</t>
        </is>
      </c>
      <c r="I344" t="n">
        <v>0</v>
      </c>
      <c r="J344" t="inlineStr">
        <is>
          <t>electricity, medium voltage</t>
        </is>
      </c>
    </row>
    <row r="345">
      <c r="A345" t="inlineStr">
        <is>
          <t>transport, pipeline, supercritical carbon dioxide, 200km without recompression</t>
        </is>
      </c>
      <c r="B345" t="n">
        <v>0.0297</v>
      </c>
      <c r="C345" t="inlineStr">
        <is>
          <t>RER</t>
        </is>
      </c>
      <c r="D345" t="inlineStr">
        <is>
          <t>ton kilometer</t>
        </is>
      </c>
      <c r="E345" t="inlineStr">
        <is>
          <t>Materials/fuels</t>
        </is>
      </c>
      <c r="F345" t="inlineStr">
        <is>
          <t>technosphere</t>
        </is>
      </c>
      <c r="G345" t="n">
        <v>0</v>
      </c>
      <c r="H345" t="inlineStr">
        <is>
          <t>tkm = l_no comp*m_flow_project/(m_flow_dataset*1000kg/t)</t>
        </is>
      </c>
      <c r="I345" t="n">
        <v>0</v>
      </c>
    </row>
    <row r="346"/>
    <row r="347" ht="16" customHeight="1">
      <c r="A347" s="1" t="inlineStr">
        <is>
          <t>Activity</t>
        </is>
      </c>
      <c r="B347" s="1" t="inlineStr">
        <is>
          <t>carbon dioxide storage at synthetic natural gas plant, post, 400km pipeline, storage 3000m</t>
        </is>
      </c>
    </row>
    <row r="348">
      <c r="A348" t="inlineStr">
        <is>
          <t>location</t>
        </is>
      </c>
      <c r="B348" t="inlineStr">
        <is>
          <t>RER</t>
        </is>
      </c>
    </row>
    <row r="349">
      <c r="A349" t="inlineStr">
        <is>
          <t>production amount</t>
        </is>
      </c>
      <c r="B349" t="n">
        <v>1</v>
      </c>
    </row>
    <row r="350">
      <c r="A350" t="inlineStr">
        <is>
          <t>reference product</t>
        </is>
      </c>
      <c r="B350" t="inlineStr">
        <is>
          <t>carbon dioxide storage at synthetic natural gas plant, post, 400km pipeline, storage 3000m</t>
        </is>
      </c>
    </row>
    <row r="351">
      <c r="A351" t="inlineStr">
        <is>
          <t>type</t>
        </is>
      </c>
      <c r="B351" t="inlineStr">
        <is>
          <t>process</t>
        </is>
      </c>
    </row>
    <row r="352">
      <c r="A352" t="inlineStr">
        <is>
          <t>unit</t>
        </is>
      </c>
      <c r="B352" t="inlineStr">
        <is>
          <t>kilogram</t>
        </is>
      </c>
    </row>
    <row r="353">
      <c r="A353" t="inlineStr">
        <is>
          <t>source</t>
        </is>
      </c>
      <c r="B353" t="inlineStr">
        <is>
          <t>Life cycle assessment of carbon capture and storage in power generation and industry in Europe, Volkart et al., 2013, International Journal of Greenhouse Gas Control</t>
        </is>
      </c>
    </row>
    <row r="354" ht="16" customHeight="1">
      <c r="A354" s="1" t="inlineStr">
        <is>
          <t>Exchanges</t>
        </is>
      </c>
    </row>
    <row r="355">
      <c r="A355" t="inlineStr">
        <is>
          <t>name</t>
        </is>
      </c>
      <c r="B355" t="inlineStr">
        <is>
          <t>amount</t>
        </is>
      </c>
      <c r="C355" t="inlineStr">
        <is>
          <t>location</t>
        </is>
      </c>
      <c r="D355" t="inlineStr">
        <is>
          <t>unit</t>
        </is>
      </c>
      <c r="E355" t="inlineStr">
        <is>
          <t>categories</t>
        </is>
      </c>
      <c r="F355" t="inlineStr">
        <is>
          <t>type</t>
        </is>
      </c>
      <c r="G355" t="inlineStr">
        <is>
          <t>uncertainty type</t>
        </is>
      </c>
      <c r="H355" t="inlineStr">
        <is>
          <t>comment</t>
        </is>
      </c>
      <c r="I355" t="inlineStr">
        <is>
          <t>negative</t>
        </is>
      </c>
      <c r="J355" t="inlineStr">
        <is>
          <t>reference product</t>
        </is>
      </c>
    </row>
    <row r="356">
      <c r="A356" t="inlineStr">
        <is>
          <t>carbon dioxide storage at synthetic natural gas plant, post, 400km pipeline, storage 3000m</t>
        </is>
      </c>
      <c r="B356" t="n">
        <v>1</v>
      </c>
      <c r="C356" t="inlineStr">
        <is>
          <t>RER</t>
        </is>
      </c>
      <c r="D356" t="inlineStr">
        <is>
          <t>kilogram</t>
        </is>
      </c>
      <c r="E356" t="inlineStr">
        <is>
          <t>CCS Europe 2025::Wood::Geological storage::SNGCC</t>
        </is>
      </c>
      <c r="F356" t="inlineStr">
        <is>
          <t>production</t>
        </is>
      </c>
    </row>
    <row r="357">
      <c r="A357" t="inlineStr">
        <is>
          <t>drilling, deep borehole</t>
        </is>
      </c>
      <c r="B357" t="n">
        <v>5.07e-08</v>
      </c>
      <c r="C357" t="inlineStr">
        <is>
          <t>RER</t>
        </is>
      </c>
      <c r="D357" t="inlineStr">
        <is>
          <t>meter</t>
        </is>
      </c>
      <c r="E357" t="inlineStr">
        <is>
          <t>Materials/fuels</t>
        </is>
      </c>
      <c r="F357" t="inlineStr">
        <is>
          <t>technosphere</t>
        </is>
      </c>
      <c r="G357" t="n">
        <v>0</v>
      </c>
      <c r="H357" t="inlineStr">
        <is>
          <t>l_drilling = (n_injection wells+n_monitoring wells)*storage depth/(lifetime*annual_m_flow)</t>
        </is>
      </c>
    </row>
    <row r="358">
      <c r="A358" t="inlineStr">
        <is>
          <t>market for gas turbine, 10MW electrical</t>
        </is>
      </c>
      <c r="B358" t="n">
        <v>2.54e-11</v>
      </c>
      <c r="C358" t="inlineStr">
        <is>
          <t>GLO</t>
        </is>
      </c>
      <c r="D358" t="inlineStr">
        <is>
          <t>unit</t>
        </is>
      </c>
      <c r="E358" t="inlineStr">
        <is>
          <t>Materials/fuels</t>
        </is>
      </c>
      <c r="F358" t="inlineStr">
        <is>
          <t>technosphere</t>
        </is>
      </c>
      <c r="G358" t="n">
        <v>0</v>
      </c>
      <c r="H358" t="inlineStr">
        <is>
          <t>n_turbine = n_injection wells/(lifetime*annual m_flow)</t>
        </is>
      </c>
      <c r="I358" t="n">
        <v>0</v>
      </c>
      <c r="J358" t="inlineStr">
        <is>
          <t>gas turbine, 10MW electrical</t>
        </is>
      </c>
    </row>
    <row r="359">
      <c r="A359" t="inlineStr">
        <is>
          <t>market group for electricity, medium voltage</t>
        </is>
      </c>
      <c r="B359" t="n">
        <v>0.0334</v>
      </c>
      <c r="C359" t="inlineStr">
        <is>
          <t>ENTSO-E</t>
        </is>
      </c>
      <c r="D359" t="inlineStr">
        <is>
          <t>kilowatt hour</t>
        </is>
      </c>
      <c r="E359" t="inlineStr">
        <is>
          <t>Materials/fuels</t>
        </is>
      </c>
      <c r="F359" t="inlineStr">
        <is>
          <t>technosphere</t>
        </is>
      </c>
      <c r="G359" t="n">
        <v>0</v>
      </c>
      <c r="H359" t="inlineStr">
        <is>
          <t>E = 87,85*ln((p_hydrostat+p_over)_pipeline)*(m_flow_project*8760h/a)/annual_m_flow</t>
        </is>
      </c>
      <c r="I359" t="n">
        <v>0</v>
      </c>
      <c r="J359" t="inlineStr">
        <is>
          <t>electricity, medium voltage</t>
        </is>
      </c>
    </row>
    <row r="360">
      <c r="A360" t="inlineStr">
        <is>
          <t>transport, pipeline, supercritical carbon dioxide, 200km with recompression</t>
        </is>
      </c>
      <c r="B360" t="n">
        <v>0.0297</v>
      </c>
      <c r="C360" t="inlineStr">
        <is>
          <t>RER</t>
        </is>
      </c>
      <c r="D360" t="inlineStr">
        <is>
          <t>ton kilometer</t>
        </is>
      </c>
      <c r="E360" t="inlineStr">
        <is>
          <t>Materials/fuels</t>
        </is>
      </c>
      <c r="F360" t="inlineStr">
        <is>
          <t>technosphere</t>
        </is>
      </c>
      <c r="G360" t="n">
        <v>0</v>
      </c>
      <c r="H360" t="inlineStr">
        <is>
          <t>tkm = l_no comp*m_flow_project/(m_flow_dataset*1000kg/t)</t>
        </is>
      </c>
    </row>
    <row r="361">
      <c r="A361" t="inlineStr">
        <is>
          <t>transport, pipeline, supercritical carbon dioxide, 200km without recompression</t>
        </is>
      </c>
      <c r="B361" t="n">
        <v>0.0297</v>
      </c>
      <c r="C361" t="inlineStr">
        <is>
          <t>RER</t>
        </is>
      </c>
      <c r="D361" t="inlineStr">
        <is>
          <t>ton kilometer</t>
        </is>
      </c>
      <c r="E361" t="inlineStr">
        <is>
          <t>Materials/fuels</t>
        </is>
      </c>
      <c r="F361" t="inlineStr">
        <is>
          <t>technosphere</t>
        </is>
      </c>
      <c r="G361" t="n">
        <v>0</v>
      </c>
      <c r="H361" t="inlineStr">
        <is>
          <t>tkm = l_no comp*m_flow_project/(m_flow_dataset*1000kg/t)</t>
        </is>
      </c>
      <c r="I361" t="n">
        <v>0</v>
      </c>
    </row>
    <row r="362"/>
    <row r="363" ht="16" customHeight="1">
      <c r="A363" s="1" t="inlineStr">
        <is>
          <t>Activity</t>
        </is>
      </c>
      <c r="B363" s="1" t="inlineStr">
        <is>
          <t>carbon dioxide storage at hydrogen production plant, pre, pipeline 400km, storage 3000m</t>
        </is>
      </c>
    </row>
    <row r="364">
      <c r="A364" t="inlineStr">
        <is>
          <t>location</t>
        </is>
      </c>
      <c r="B364" t="inlineStr">
        <is>
          <t>RER</t>
        </is>
      </c>
    </row>
    <row r="365">
      <c r="A365" t="inlineStr">
        <is>
          <t>production amount</t>
        </is>
      </c>
      <c r="B365" t="n">
        <v>1</v>
      </c>
    </row>
    <row r="366">
      <c r="A366" t="inlineStr">
        <is>
          <t>reference product</t>
        </is>
      </c>
      <c r="B366" t="inlineStr">
        <is>
          <t>carbon dioxide storage at hydrogen production plant, pre, pipeline 400km, storage 3000m</t>
        </is>
      </c>
    </row>
    <row r="367">
      <c r="A367" t="inlineStr">
        <is>
          <t>type</t>
        </is>
      </c>
      <c r="B367" t="inlineStr">
        <is>
          <t>process</t>
        </is>
      </c>
    </row>
    <row r="368">
      <c r="A368" t="inlineStr">
        <is>
          <t>unit</t>
        </is>
      </c>
      <c r="B368" t="inlineStr">
        <is>
          <t>kilogram</t>
        </is>
      </c>
    </row>
    <row r="369">
      <c r="A369" t="inlineStr">
        <is>
          <t>source</t>
        </is>
      </c>
      <c r="B369" t="inlineStr">
        <is>
          <t>Life cycle assessment of carbon capture and storage in power generation and industry in Europe, Volkart et al., 2013, International Journal of Greenhouse Gas Control</t>
        </is>
      </c>
    </row>
    <row r="370" ht="16" customHeight="1">
      <c r="A370" s="1" t="inlineStr">
        <is>
          <t>Exchanges</t>
        </is>
      </c>
    </row>
    <row r="371">
      <c r="A371" t="inlineStr">
        <is>
          <t>name</t>
        </is>
      </c>
      <c r="B371" t="inlineStr">
        <is>
          <t>amount</t>
        </is>
      </c>
      <c r="C371" t="inlineStr">
        <is>
          <t>location</t>
        </is>
      </c>
      <c r="D371" t="inlineStr">
        <is>
          <t>unit</t>
        </is>
      </c>
      <c r="E371" t="inlineStr">
        <is>
          <t>categories</t>
        </is>
      </c>
      <c r="F371" t="inlineStr">
        <is>
          <t>type</t>
        </is>
      </c>
      <c r="G371" t="inlineStr">
        <is>
          <t>uncertainty type</t>
        </is>
      </c>
      <c r="H371" t="inlineStr">
        <is>
          <t>comment</t>
        </is>
      </c>
      <c r="I371" t="inlineStr">
        <is>
          <t>negative</t>
        </is>
      </c>
      <c r="J371" t="inlineStr">
        <is>
          <t>reference product</t>
        </is>
      </c>
    </row>
    <row r="372">
      <c r="A372" t="inlineStr">
        <is>
          <t>carbon dioxide storage at hydrogen production plant, pre, pipeline 400km, storage 3000m</t>
        </is>
      </c>
      <c r="B372" t="n">
        <v>1</v>
      </c>
      <c r="C372" t="inlineStr">
        <is>
          <t>RER</t>
        </is>
      </c>
      <c r="D372" t="inlineStr">
        <is>
          <t>kilogram</t>
        </is>
      </c>
      <c r="E372" t="inlineStr">
        <is>
          <t>CCS Europe 2025::Wood::Geological storage::BIGCC</t>
        </is>
      </c>
      <c r="F372" t="inlineStr">
        <is>
          <t>production</t>
        </is>
      </c>
      <c r="J372" t="inlineStr">
        <is>
          <t>carbon dioxide storage at hydrogen production plant, pre, pipeline 400km, storage 3000m</t>
        </is>
      </c>
    </row>
    <row r="373">
      <c r="A373" t="inlineStr">
        <is>
          <t>drilling, deep borehole</t>
        </is>
      </c>
      <c r="B373" t="n">
        <v>5.07e-08</v>
      </c>
      <c r="C373" t="inlineStr">
        <is>
          <t>RER</t>
        </is>
      </c>
      <c r="D373" t="inlineStr">
        <is>
          <t>meter</t>
        </is>
      </c>
      <c r="E373" t="inlineStr">
        <is>
          <t>Materials/fuels</t>
        </is>
      </c>
      <c r="F373" t="inlineStr">
        <is>
          <t>technosphere</t>
        </is>
      </c>
      <c r="G373" t="n">
        <v>0</v>
      </c>
      <c r="H373" t="inlineStr">
        <is>
          <t>l_drilling = (n_injection wells+n_monitoring wells)*storage depth/(lifetime*annual_m_flow)</t>
        </is>
      </c>
    </row>
    <row r="374">
      <c r="A374" t="inlineStr">
        <is>
          <t>market for gas turbine, 10MW electrical</t>
        </is>
      </c>
      <c r="B374" t="n">
        <v>2.54e-11</v>
      </c>
      <c r="C374" t="inlineStr">
        <is>
          <t>GLO</t>
        </is>
      </c>
      <c r="D374" t="inlineStr">
        <is>
          <t>unit</t>
        </is>
      </c>
      <c r="E374" t="inlineStr">
        <is>
          <t>Materials/fuels</t>
        </is>
      </c>
      <c r="F374" t="inlineStr">
        <is>
          <t>technosphere</t>
        </is>
      </c>
      <c r="G374" t="n">
        <v>0</v>
      </c>
      <c r="H374" t="inlineStr">
        <is>
          <t>n_turbine = n_injection wells/(lifetime*annual m_flow)</t>
        </is>
      </c>
      <c r="I374" t="n">
        <v>0</v>
      </c>
      <c r="J374" t="inlineStr">
        <is>
          <t>gas turbine, 10MW electrical</t>
        </is>
      </c>
    </row>
    <row r="375">
      <c r="A375" t="inlineStr">
        <is>
          <t>market group for electricity, medium voltage</t>
        </is>
      </c>
      <c r="B375" t="n">
        <v>0.0334</v>
      </c>
      <c r="C375" t="inlineStr">
        <is>
          <t>ENTSO-E</t>
        </is>
      </c>
      <c r="D375" t="inlineStr">
        <is>
          <t>kilowatt hour</t>
        </is>
      </c>
      <c r="E375" t="inlineStr">
        <is>
          <t>Materials/fuels</t>
        </is>
      </c>
      <c r="F375" t="inlineStr">
        <is>
          <t>technosphere</t>
        </is>
      </c>
      <c r="G375" t="n">
        <v>0</v>
      </c>
      <c r="H375" t="inlineStr">
        <is>
          <t>E = 87,85*ln((p_hydrostat+p_over)_pipeline)*(m_flow_project*8760h/a)/annual_m_flow</t>
        </is>
      </c>
      <c r="I375" t="n">
        <v>0</v>
      </c>
      <c r="J375" t="inlineStr">
        <is>
          <t>electricity, medium voltage</t>
        </is>
      </c>
    </row>
    <row r="376">
      <c r="A376" t="inlineStr">
        <is>
          <t>transport, pipeline, supercritical carbon dioxide, 200km with recompression</t>
        </is>
      </c>
      <c r="B376" t="n">
        <v>0.00152</v>
      </c>
      <c r="C376" t="inlineStr">
        <is>
          <t>RER</t>
        </is>
      </c>
      <c r="D376" t="inlineStr">
        <is>
          <t>ton kilometer</t>
        </is>
      </c>
      <c r="E376" t="inlineStr">
        <is>
          <t>Materials/fuels</t>
        </is>
      </c>
      <c r="F376" t="inlineStr">
        <is>
          <t>technosphere</t>
        </is>
      </c>
      <c r="G376" t="n">
        <v>0</v>
      </c>
    </row>
    <row r="377">
      <c r="A377" t="inlineStr">
        <is>
          <t>transport, pipeline, supercritical carbon dioxide, 200km without recompression</t>
        </is>
      </c>
      <c r="B377" t="n">
        <v>0.00152</v>
      </c>
      <c r="C377" t="inlineStr">
        <is>
          <t>RER</t>
        </is>
      </c>
      <c r="D377" t="inlineStr">
        <is>
          <t>ton kilometer</t>
        </is>
      </c>
      <c r="E377" t="inlineStr">
        <is>
          <t>Materials/fuels</t>
        </is>
      </c>
      <c r="F377" t="inlineStr">
        <is>
          <t>technosphere</t>
        </is>
      </c>
      <c r="G377" t="n">
        <v>0</v>
      </c>
      <c r="H377" t="inlineStr">
        <is>
          <t>tkm = l_no comp*m_flow_project/(m_flow_dataset*1000kg/t)</t>
        </is>
      </c>
      <c r="I377" t="n">
        <v>0</v>
      </c>
    </row>
    <row r="378"/>
    <row r="379" ht="16" customHeight="1">
      <c r="A379" s="1" t="inlineStr">
        <is>
          <t>Activity</t>
        </is>
      </c>
      <c r="B379" s="1" t="inlineStr">
        <is>
          <t>carbon dioxide storage at wood burning power plant 20 MW post, pipeline 200km, storage 1000m</t>
        </is>
      </c>
    </row>
    <row r="380">
      <c r="A380" t="inlineStr">
        <is>
          <t>location</t>
        </is>
      </c>
      <c r="B380" t="inlineStr">
        <is>
          <t>RER</t>
        </is>
      </c>
    </row>
    <row r="381">
      <c r="A381" t="inlineStr">
        <is>
          <t>production amount</t>
        </is>
      </c>
      <c r="B381" t="n">
        <v>1</v>
      </c>
    </row>
    <row r="382">
      <c r="A382" t="inlineStr">
        <is>
          <t>reference product</t>
        </is>
      </c>
      <c r="B382" t="inlineStr">
        <is>
          <t>carbon dioxide storage at wood burning power plant 20 MW post, pipeline 200km, storage 1000m</t>
        </is>
      </c>
    </row>
    <row r="383">
      <c r="A383" t="inlineStr">
        <is>
          <t>type</t>
        </is>
      </c>
      <c r="B383" t="inlineStr">
        <is>
          <t>process</t>
        </is>
      </c>
    </row>
    <row r="384">
      <c r="A384" t="inlineStr">
        <is>
          <t>unit</t>
        </is>
      </c>
      <c r="B384" t="inlineStr">
        <is>
          <t>kilogram</t>
        </is>
      </c>
    </row>
    <row r="385">
      <c r="A385" t="inlineStr">
        <is>
          <t>source</t>
        </is>
      </c>
      <c r="B385" t="inlineStr">
        <is>
          <t>Life cycle assessment of carbon capture and storage in power generation and industry in Europe, Volkart et al., 2013, International Journal of Greenhouse Gas Control</t>
        </is>
      </c>
    </row>
    <row r="386" ht="16" customHeight="1">
      <c r="A386" s="1" t="inlineStr">
        <is>
          <t>Exchanges</t>
        </is>
      </c>
    </row>
    <row r="387">
      <c r="A387" t="inlineStr">
        <is>
          <t>name</t>
        </is>
      </c>
      <c r="B387" t="inlineStr">
        <is>
          <t>amount</t>
        </is>
      </c>
      <c r="C387" t="inlineStr">
        <is>
          <t>location</t>
        </is>
      </c>
      <c r="D387" t="inlineStr">
        <is>
          <t>unit</t>
        </is>
      </c>
      <c r="E387" t="inlineStr">
        <is>
          <t>categories</t>
        </is>
      </c>
      <c r="F387" t="inlineStr">
        <is>
          <t>type</t>
        </is>
      </c>
      <c r="G387" t="inlineStr">
        <is>
          <t>uncertainty type</t>
        </is>
      </c>
      <c r="H387" t="inlineStr">
        <is>
          <t>comment</t>
        </is>
      </c>
      <c r="I387" t="inlineStr">
        <is>
          <t>negative</t>
        </is>
      </c>
      <c r="J387" t="inlineStr">
        <is>
          <t>reference product</t>
        </is>
      </c>
    </row>
    <row r="388">
      <c r="A388" t="inlineStr">
        <is>
          <t>carbon dioxide storage at wood burning power plant 20 MW post, pipeline 200km, storage 1000m</t>
        </is>
      </c>
      <c r="B388" t="n">
        <v>1</v>
      </c>
      <c r="C388" t="inlineStr">
        <is>
          <t>RER</t>
        </is>
      </c>
      <c r="D388" t="inlineStr">
        <is>
          <t>kilogram</t>
        </is>
      </c>
      <c r="E388" t="inlineStr">
        <is>
          <t>CCS Europe 2025::Wood::Geological storage::Combustion</t>
        </is>
      </c>
      <c r="F388" t="inlineStr">
        <is>
          <t>production</t>
        </is>
      </c>
      <c r="J388" t="inlineStr">
        <is>
          <t>carbon dioxide storage at wood burning power plant 20 MW post, pipeline 200km, storage 1000m</t>
        </is>
      </c>
    </row>
    <row r="389">
      <c r="A389" t="inlineStr">
        <is>
          <t>drilling, deep borehole</t>
        </is>
      </c>
      <c r="B389" t="n">
        <v>1.69e-08</v>
      </c>
      <c r="C389" t="inlineStr">
        <is>
          <t>RER</t>
        </is>
      </c>
      <c r="D389" t="inlineStr">
        <is>
          <t>meter</t>
        </is>
      </c>
      <c r="E389" t="inlineStr">
        <is>
          <t>Materials/fuels</t>
        </is>
      </c>
      <c r="F389" t="inlineStr">
        <is>
          <t>technosphere</t>
        </is>
      </c>
      <c r="G389" t="n">
        <v>0</v>
      </c>
      <c r="H389" t="inlineStr">
        <is>
          <t>l_drilling = (n_injection wells+n_monitoring wells)*storage depth/(lifetime*annual_m_flow)</t>
        </is>
      </c>
    </row>
    <row r="390">
      <c r="A390" t="inlineStr">
        <is>
          <t>market for gas turbine, 10MW electrical</t>
        </is>
      </c>
      <c r="B390" t="n">
        <v>2.54e-11</v>
      </c>
      <c r="C390" t="inlineStr">
        <is>
          <t>GLO</t>
        </is>
      </c>
      <c r="D390" t="inlineStr">
        <is>
          <t>unit</t>
        </is>
      </c>
      <c r="E390" t="inlineStr">
        <is>
          <t>Materials/fuels</t>
        </is>
      </c>
      <c r="F390" t="inlineStr">
        <is>
          <t>technosphere</t>
        </is>
      </c>
      <c r="G390" t="n">
        <v>0</v>
      </c>
      <c r="H390" t="inlineStr">
        <is>
          <t>n_turbine = n_injection wells/(lifetime*annual m_flow)</t>
        </is>
      </c>
      <c r="I390" t="n">
        <v>0</v>
      </c>
      <c r="J390" t="inlineStr">
        <is>
          <t>gas turbine, 10MW electrical</t>
        </is>
      </c>
    </row>
    <row r="391">
      <c r="A391" t="inlineStr">
        <is>
          <t>market group for electricity, medium voltage</t>
        </is>
      </c>
      <c r="B391" t="n">
        <v>0.009480000000000001</v>
      </c>
      <c r="C391" t="inlineStr">
        <is>
          <t>ENTSO-E</t>
        </is>
      </c>
      <c r="D391" t="inlineStr">
        <is>
          <t>kilowatt hour</t>
        </is>
      </c>
      <c r="E391" t="inlineStr">
        <is>
          <t>Materials/fuels</t>
        </is>
      </c>
      <c r="F391" t="inlineStr">
        <is>
          <t>technosphere</t>
        </is>
      </c>
      <c r="G391" t="n">
        <v>0</v>
      </c>
      <c r="H391" t="inlineStr">
        <is>
          <t>E = 87,85*ln((p_hydrostat+p_over)_pipeline)*(m_flow_project*8760h/a)/annual_m_flow</t>
        </is>
      </c>
      <c r="I391" t="n">
        <v>0</v>
      </c>
      <c r="J391" t="inlineStr">
        <is>
          <t>electricity, medium voltage</t>
        </is>
      </c>
    </row>
    <row r="392">
      <c r="A392" t="inlineStr">
        <is>
          <t>transport, pipeline, supercritical carbon dioxide, 200km without recompression</t>
        </is>
      </c>
      <c r="B392" t="n">
        <v>0.00431</v>
      </c>
      <c r="C392" t="inlineStr">
        <is>
          <t>RER</t>
        </is>
      </c>
      <c r="D392" t="inlineStr">
        <is>
          <t>ton kilometer</t>
        </is>
      </c>
      <c r="E392" t="inlineStr">
        <is>
          <t>Materials/fuels</t>
        </is>
      </c>
      <c r="F392" t="inlineStr">
        <is>
          <t>technosphere</t>
        </is>
      </c>
      <c r="G392" t="n">
        <v>0</v>
      </c>
      <c r="H392" t="inlineStr">
        <is>
          <t>tkm = l_no comp*m_flow_project/(m_flow_dataset*1000kg/t)</t>
        </is>
      </c>
      <c r="I392" t="n">
        <v>0</v>
      </c>
    </row>
    <row r="393"/>
    <row r="394" ht="16" customHeight="1">
      <c r="A394" s="1" t="inlineStr">
        <is>
          <t>Activity</t>
        </is>
      </c>
      <c r="B394" s="1" t="inlineStr">
        <is>
          <t>carbon dioxide storage at wood burning power plant 20 MW post, pipeline 400km, storage 3000m</t>
        </is>
      </c>
    </row>
    <row r="395">
      <c r="A395" t="inlineStr">
        <is>
          <t>location</t>
        </is>
      </c>
      <c r="B395" t="inlineStr">
        <is>
          <t>RER</t>
        </is>
      </c>
    </row>
    <row r="396">
      <c r="A396" t="inlineStr">
        <is>
          <t>production amount</t>
        </is>
      </c>
      <c r="B396" t="n">
        <v>1</v>
      </c>
    </row>
    <row r="397">
      <c r="A397" t="inlineStr">
        <is>
          <t>reference product</t>
        </is>
      </c>
      <c r="B397" t="inlineStr">
        <is>
          <t>carbon dioxide storage at wood burning power plant 20 MW post, pipeline 400km, storage 3000m</t>
        </is>
      </c>
    </row>
    <row r="398">
      <c r="A398" t="inlineStr">
        <is>
          <t>type</t>
        </is>
      </c>
      <c r="B398" t="inlineStr">
        <is>
          <t>process</t>
        </is>
      </c>
    </row>
    <row r="399">
      <c r="A399" t="inlineStr">
        <is>
          <t>unit</t>
        </is>
      </c>
      <c r="B399" t="inlineStr">
        <is>
          <t>kilogram</t>
        </is>
      </c>
    </row>
    <row r="400">
      <c r="A400" t="inlineStr">
        <is>
          <t>source</t>
        </is>
      </c>
      <c r="B400" t="inlineStr">
        <is>
          <t>Life cycle assessment of carbon capture and storage in power generation and industry in Europe, Volkart et al., 2013, International Journal of Greenhouse Gas Control</t>
        </is>
      </c>
    </row>
    <row r="401" ht="16" customHeight="1">
      <c r="A401" s="1" t="inlineStr">
        <is>
          <t>Exchanges</t>
        </is>
      </c>
    </row>
    <row r="402">
      <c r="A402" t="inlineStr">
        <is>
          <t>name</t>
        </is>
      </c>
      <c r="B402" t="inlineStr">
        <is>
          <t>amount</t>
        </is>
      </c>
      <c r="C402" t="inlineStr">
        <is>
          <t>location</t>
        </is>
      </c>
      <c r="D402" t="inlineStr">
        <is>
          <t>unit</t>
        </is>
      </c>
      <c r="E402" t="inlineStr">
        <is>
          <t>categories</t>
        </is>
      </c>
      <c r="F402" t="inlineStr">
        <is>
          <t>type</t>
        </is>
      </c>
      <c r="G402" t="inlineStr">
        <is>
          <t>uncertainty type</t>
        </is>
      </c>
      <c r="H402" t="inlineStr">
        <is>
          <t>comment</t>
        </is>
      </c>
      <c r="I402" t="inlineStr">
        <is>
          <t>negative</t>
        </is>
      </c>
      <c r="J402" t="inlineStr">
        <is>
          <t>reference product</t>
        </is>
      </c>
    </row>
    <row r="403">
      <c r="A403" t="inlineStr">
        <is>
          <t>carbon dioxide storage at wood burning power plant 20 MW post, pipeline 400km, storage 3000m</t>
        </is>
      </c>
      <c r="B403" t="n">
        <v>1</v>
      </c>
      <c r="C403" t="inlineStr">
        <is>
          <t>RER</t>
        </is>
      </c>
      <c r="D403" t="inlineStr">
        <is>
          <t>kilogram</t>
        </is>
      </c>
      <c r="E403" t="inlineStr">
        <is>
          <t>CCS Europe 2025::Wood::Geological storage::Combustion</t>
        </is>
      </c>
      <c r="F403" t="inlineStr">
        <is>
          <t>production</t>
        </is>
      </c>
    </row>
    <row r="404">
      <c r="A404" t="inlineStr">
        <is>
          <t>drilling, deep borehole</t>
        </is>
      </c>
      <c r="B404" t="n">
        <v>5.07e-08</v>
      </c>
      <c r="C404" t="inlineStr">
        <is>
          <t>RER</t>
        </is>
      </c>
      <c r="D404" t="inlineStr">
        <is>
          <t>meter</t>
        </is>
      </c>
      <c r="E404" t="inlineStr">
        <is>
          <t>Materials/fuels</t>
        </is>
      </c>
      <c r="F404" t="inlineStr">
        <is>
          <t>technosphere</t>
        </is>
      </c>
      <c r="G404" t="n">
        <v>0</v>
      </c>
      <c r="H404" t="inlineStr">
        <is>
          <t>l_drilling = (n_injection wells+n_monitoring wells)*storage depth/(lifetime*annual_m_flow)</t>
        </is>
      </c>
    </row>
    <row r="405">
      <c r="A405" t="inlineStr">
        <is>
          <t>market for gas turbine, 10MW electrical</t>
        </is>
      </c>
      <c r="B405" t="n">
        <v>2.54e-11</v>
      </c>
      <c r="C405" t="inlineStr">
        <is>
          <t>GLO</t>
        </is>
      </c>
      <c r="D405" t="inlineStr">
        <is>
          <t>unit</t>
        </is>
      </c>
      <c r="E405" t="inlineStr">
        <is>
          <t>Materials/fuels</t>
        </is>
      </c>
      <c r="F405" t="inlineStr">
        <is>
          <t>technosphere</t>
        </is>
      </c>
      <c r="G405" t="n">
        <v>0</v>
      </c>
      <c r="H405" t="inlineStr">
        <is>
          <t>n_turbine = n_injection wells/(lifetime*annual m_flow)</t>
        </is>
      </c>
      <c r="I405" t="n">
        <v>0</v>
      </c>
      <c r="J405" t="inlineStr">
        <is>
          <t>gas turbine, 10MW electrical</t>
        </is>
      </c>
    </row>
    <row r="406">
      <c r="A406" t="inlineStr">
        <is>
          <t>market group for electricity, medium voltage</t>
        </is>
      </c>
      <c r="B406" t="n">
        <v>0.0334</v>
      </c>
      <c r="C406" t="inlineStr">
        <is>
          <t>ENTSO-E</t>
        </is>
      </c>
      <c r="D406" t="inlineStr">
        <is>
          <t>kilowatt hour</t>
        </is>
      </c>
      <c r="E406" t="inlineStr">
        <is>
          <t>Materials/fuels</t>
        </is>
      </c>
      <c r="F406" t="inlineStr">
        <is>
          <t>technosphere</t>
        </is>
      </c>
      <c r="G406" t="n">
        <v>0</v>
      </c>
      <c r="H406" t="inlineStr">
        <is>
          <t>E = 87,85*ln((p_hydrostat+p_over)_pipeline)*(m_flow_project*8760h/a)/annual_m_flow</t>
        </is>
      </c>
      <c r="I406" t="n">
        <v>0</v>
      </c>
      <c r="J406" t="inlineStr">
        <is>
          <t>electricity, medium voltage</t>
        </is>
      </c>
    </row>
    <row r="407">
      <c r="A407" t="inlineStr">
        <is>
          <t>transport, pipeline, supercritical carbon dioxide, 200km with recompression</t>
        </is>
      </c>
      <c r="B407" t="n">
        <v>0.00431</v>
      </c>
      <c r="C407" t="inlineStr">
        <is>
          <t>RER</t>
        </is>
      </c>
      <c r="D407" t="inlineStr">
        <is>
          <t>ton kilometer</t>
        </is>
      </c>
      <c r="E407" t="inlineStr">
        <is>
          <t>Materials/fuels</t>
        </is>
      </c>
      <c r="F407" t="inlineStr">
        <is>
          <t>technosphere</t>
        </is>
      </c>
      <c r="G407" t="n">
        <v>0</v>
      </c>
      <c r="H407" t="inlineStr">
        <is>
          <t>tkm = l_no comp*m_flow_project/(m_flow_dataset*1000kg/t)</t>
        </is>
      </c>
    </row>
    <row r="408">
      <c r="A408" t="inlineStr">
        <is>
          <t>transport, pipeline, supercritical carbon dioxide, 200km without recompression</t>
        </is>
      </c>
      <c r="B408" t="n">
        <v>0.00431</v>
      </c>
      <c r="C408" t="inlineStr">
        <is>
          <t>RER</t>
        </is>
      </c>
      <c r="D408" t="inlineStr">
        <is>
          <t>ton kilometer</t>
        </is>
      </c>
      <c r="E408" t="inlineStr">
        <is>
          <t>Materials/fuels</t>
        </is>
      </c>
      <c r="F408" t="inlineStr">
        <is>
          <t>technosphere</t>
        </is>
      </c>
      <c r="G408" t="n">
        <v>0</v>
      </c>
      <c r="H408" t="inlineStr">
        <is>
          <t>tkm = l_no comp*m_flow_project/(m_flow_dataset*1000kg/t)</t>
        </is>
      </c>
      <c r="I408" t="n">
        <v>0</v>
      </c>
    </row>
    <row r="409"/>
    <row r="410" ht="16" customHeight="1">
      <c r="A410" s="1" t="inlineStr">
        <is>
          <t>Activity</t>
        </is>
      </c>
      <c r="B410" s="1" t="inlineStr">
        <is>
          <t>carbon dioxide storage from hard coal, oxy, pipeline 200km, storage 1000m</t>
        </is>
      </c>
    </row>
    <row r="411">
      <c r="A411" t="inlineStr">
        <is>
          <t>location</t>
        </is>
      </c>
      <c r="B411" t="inlineStr">
        <is>
          <t>RER</t>
        </is>
      </c>
    </row>
    <row r="412">
      <c r="A412" t="inlineStr">
        <is>
          <t>production amount</t>
        </is>
      </c>
      <c r="B412" t="n">
        <v>1</v>
      </c>
    </row>
    <row r="413">
      <c r="A413" t="inlineStr">
        <is>
          <t>reference product</t>
        </is>
      </c>
      <c r="B413" t="inlineStr">
        <is>
          <t>carbon dioxide storage from hard coal, oxy, pipeline 200km, storage 1000m</t>
        </is>
      </c>
    </row>
    <row r="414">
      <c r="A414" t="inlineStr">
        <is>
          <t>type</t>
        </is>
      </c>
      <c r="B414" t="inlineStr">
        <is>
          <t>process</t>
        </is>
      </c>
    </row>
    <row r="415">
      <c r="A415" t="inlineStr">
        <is>
          <t>unit</t>
        </is>
      </c>
      <c r="B415" t="inlineStr">
        <is>
          <t>kilogram</t>
        </is>
      </c>
    </row>
    <row r="416">
      <c r="A416" t="inlineStr">
        <is>
          <t>source</t>
        </is>
      </c>
      <c r="B416" t="inlineStr">
        <is>
          <t>Life cycle assessment of carbon capture and storage in power generation and industry in Europe, Volkart et al., 2013, International Journal of Greenhouse Gas Control</t>
        </is>
      </c>
    </row>
    <row r="417" ht="16" customHeight="1">
      <c r="A417" s="1" t="inlineStr">
        <is>
          <t>Exchanges</t>
        </is>
      </c>
    </row>
    <row r="418">
      <c r="A418" t="inlineStr">
        <is>
          <t>name</t>
        </is>
      </c>
      <c r="B418" t="inlineStr">
        <is>
          <t>amount</t>
        </is>
      </c>
      <c r="C418" t="inlineStr">
        <is>
          <t>location</t>
        </is>
      </c>
      <c r="D418" t="inlineStr">
        <is>
          <t>unit</t>
        </is>
      </c>
      <c r="E418" t="inlineStr">
        <is>
          <t>categories</t>
        </is>
      </c>
      <c r="F418" t="inlineStr">
        <is>
          <t>type</t>
        </is>
      </c>
      <c r="G418" t="inlineStr">
        <is>
          <t>uncertainty type</t>
        </is>
      </c>
      <c r="H418" t="inlineStr">
        <is>
          <t>comment</t>
        </is>
      </c>
      <c r="I418" t="inlineStr">
        <is>
          <t>negative</t>
        </is>
      </c>
      <c r="J418" t="inlineStr">
        <is>
          <t>reference product</t>
        </is>
      </c>
    </row>
    <row r="419">
      <c r="A419" t="inlineStr">
        <is>
          <t>carbon dioxide storage from hard coal, oxy, pipeline 200km, storage 1000m</t>
        </is>
      </c>
      <c r="B419" t="n">
        <v>1</v>
      </c>
      <c r="C419" t="inlineStr">
        <is>
          <t>RER</t>
        </is>
      </c>
      <c r="D419" t="inlineStr">
        <is>
          <t>kilogram</t>
        </is>
      </c>
      <c r="E419" t="inlineStr">
        <is>
          <t>CCS Europe 2025::Hard coal::Geological storage</t>
        </is>
      </c>
      <c r="F419" t="inlineStr">
        <is>
          <t>production</t>
        </is>
      </c>
    </row>
    <row r="420">
      <c r="A420" t="inlineStr">
        <is>
          <t>drilling, deep borehole</t>
        </is>
      </c>
      <c r="B420" t="n">
        <v>1.69e-08</v>
      </c>
      <c r="C420" t="inlineStr">
        <is>
          <t>RER</t>
        </is>
      </c>
      <c r="D420" t="inlineStr">
        <is>
          <t>meter</t>
        </is>
      </c>
      <c r="E420" t="inlineStr">
        <is>
          <t>Materials/fuels</t>
        </is>
      </c>
      <c r="F420" t="inlineStr">
        <is>
          <t>technosphere</t>
        </is>
      </c>
      <c r="G420" t="n">
        <v>0</v>
      </c>
      <c r="H420" t="inlineStr">
        <is>
          <t>l_drilling = (n_injection wells+n_monitoring wells)*storage depth/(lifetime*annual_m_flow)</t>
        </is>
      </c>
    </row>
    <row r="421">
      <c r="A421" t="inlineStr">
        <is>
          <t>market for gas turbine, 10MW electrical</t>
        </is>
      </c>
      <c r="B421" t="n">
        <v>2.54e-11</v>
      </c>
      <c r="C421" t="inlineStr">
        <is>
          <t>GLO</t>
        </is>
      </c>
      <c r="D421" t="inlineStr">
        <is>
          <t>unit</t>
        </is>
      </c>
      <c r="E421" t="inlineStr">
        <is>
          <t>Materials/fuels</t>
        </is>
      </c>
      <c r="F421" t="inlineStr">
        <is>
          <t>technosphere</t>
        </is>
      </c>
      <c r="G421" t="n">
        <v>0</v>
      </c>
      <c r="H421" t="inlineStr">
        <is>
          <t>n_turbine = n_injection wells/(lifetime*annual m_flow)</t>
        </is>
      </c>
      <c r="I421" t="n">
        <v>0</v>
      </c>
      <c r="J421" t="inlineStr">
        <is>
          <t>gas turbine, 10MW electrical</t>
        </is>
      </c>
    </row>
    <row r="422">
      <c r="A422" t="inlineStr">
        <is>
          <t>market group for electricity, medium voltage</t>
        </is>
      </c>
      <c r="B422" t="n">
        <v>0.009480000000000001</v>
      </c>
      <c r="C422" t="inlineStr">
        <is>
          <t>ENTSO-E</t>
        </is>
      </c>
      <c r="D422" t="inlineStr">
        <is>
          <t>kilowatt hour</t>
        </is>
      </c>
      <c r="E422" t="inlineStr">
        <is>
          <t>Materials/fuels</t>
        </is>
      </c>
      <c r="F422" t="inlineStr">
        <is>
          <t>technosphere</t>
        </is>
      </c>
      <c r="G422" t="n">
        <v>0</v>
      </c>
      <c r="H422" t="inlineStr">
        <is>
          <t>E = 87,85*ln((p_hydrostat+p_over)_pipeline)*(m_flow_project*8760h/a)/annual_m_flow</t>
        </is>
      </c>
      <c r="I422" t="n">
        <v>0</v>
      </c>
      <c r="J422" t="inlineStr">
        <is>
          <t>electricity, medium voltage</t>
        </is>
      </c>
    </row>
    <row r="423">
      <c r="A423" t="inlineStr">
        <is>
          <t>transport, pipeline, supercritical carbon dioxide, 200km without recompression</t>
        </is>
      </c>
      <c r="B423" t="n">
        <v>0.0921</v>
      </c>
      <c r="C423" t="inlineStr">
        <is>
          <t>RER</t>
        </is>
      </c>
      <c r="D423" t="inlineStr">
        <is>
          <t>ton kilometer</t>
        </is>
      </c>
      <c r="E423" t="inlineStr">
        <is>
          <t>Materials/fuels</t>
        </is>
      </c>
      <c r="F423" t="inlineStr">
        <is>
          <t>technosphere</t>
        </is>
      </c>
      <c r="G423" t="n">
        <v>0</v>
      </c>
      <c r="H423" t="inlineStr">
        <is>
          <t>tkm = l_no comp*m_flow_project/(m_flow_dataset*1000kg/t)</t>
        </is>
      </c>
      <c r="I423" t="n">
        <v>0</v>
      </c>
    </row>
    <row r="424"/>
    <row r="425" ht="16" customHeight="1">
      <c r="A425" s="1" t="inlineStr">
        <is>
          <t>Activity</t>
        </is>
      </c>
      <c r="B425" s="1" t="inlineStr">
        <is>
          <t>carbon dioxide storage from hard coal, oxy, pipeline 400km, storage 3000m</t>
        </is>
      </c>
    </row>
    <row r="426">
      <c r="A426" t="inlineStr">
        <is>
          <t>location</t>
        </is>
      </c>
      <c r="B426" t="inlineStr">
        <is>
          <t>RER</t>
        </is>
      </c>
    </row>
    <row r="427">
      <c r="A427" t="inlineStr">
        <is>
          <t>production amount</t>
        </is>
      </c>
      <c r="B427" t="n">
        <v>1</v>
      </c>
    </row>
    <row r="428">
      <c r="A428" t="inlineStr">
        <is>
          <t>reference product</t>
        </is>
      </c>
      <c r="B428" t="inlineStr">
        <is>
          <t>carbon dioxide storage from hard coal, oxy, pipeline 400km, storage 3000m</t>
        </is>
      </c>
    </row>
    <row r="429">
      <c r="A429" t="inlineStr">
        <is>
          <t>type</t>
        </is>
      </c>
      <c r="B429" t="inlineStr">
        <is>
          <t>process</t>
        </is>
      </c>
    </row>
    <row r="430">
      <c r="A430" t="inlineStr">
        <is>
          <t>unit</t>
        </is>
      </c>
      <c r="B430" t="inlineStr">
        <is>
          <t>kilogram</t>
        </is>
      </c>
    </row>
    <row r="431">
      <c r="A431" t="inlineStr">
        <is>
          <t>source</t>
        </is>
      </c>
      <c r="B431" t="inlineStr">
        <is>
          <t>Life cycle assessment of carbon capture and storage in power generation and industry in Europe, Volkart et al., 2013, International Journal of Greenhouse Gas Control</t>
        </is>
      </c>
    </row>
    <row r="432" ht="16" customHeight="1">
      <c r="A432" s="1" t="inlineStr">
        <is>
          <t>Exchanges</t>
        </is>
      </c>
    </row>
    <row r="433">
      <c r="A433" t="inlineStr">
        <is>
          <t>name</t>
        </is>
      </c>
      <c r="B433" t="inlineStr">
        <is>
          <t>amount</t>
        </is>
      </c>
      <c r="C433" t="inlineStr">
        <is>
          <t>location</t>
        </is>
      </c>
      <c r="D433" t="inlineStr">
        <is>
          <t>unit</t>
        </is>
      </c>
      <c r="E433" t="inlineStr">
        <is>
          <t>categories</t>
        </is>
      </c>
      <c r="F433" t="inlineStr">
        <is>
          <t>type</t>
        </is>
      </c>
      <c r="G433" t="inlineStr">
        <is>
          <t>uncertainty type</t>
        </is>
      </c>
      <c r="H433" t="inlineStr">
        <is>
          <t>comment</t>
        </is>
      </c>
      <c r="I433" t="inlineStr">
        <is>
          <t>negative</t>
        </is>
      </c>
      <c r="J433" t="inlineStr">
        <is>
          <t>reference product</t>
        </is>
      </c>
    </row>
    <row r="434">
      <c r="A434" t="inlineStr">
        <is>
          <t>carbon dioxide storage from hard coal, oxy, pipeline 400km, storage 3000m</t>
        </is>
      </c>
      <c r="B434" t="n">
        <v>1</v>
      </c>
      <c r="C434" t="inlineStr">
        <is>
          <t>RER</t>
        </is>
      </c>
      <c r="D434" t="inlineStr">
        <is>
          <t>kilogram</t>
        </is>
      </c>
      <c r="E434" t="inlineStr">
        <is>
          <t>CCS Europe 2025::Hard coal::Geological storage</t>
        </is>
      </c>
      <c r="F434" t="inlineStr">
        <is>
          <t>production</t>
        </is>
      </c>
    </row>
    <row r="435">
      <c r="A435" t="inlineStr">
        <is>
          <t>drilling, deep borehole</t>
        </is>
      </c>
      <c r="B435" t="n">
        <v>5.07e-08</v>
      </c>
      <c r="C435" t="inlineStr">
        <is>
          <t>RER</t>
        </is>
      </c>
      <c r="D435" t="inlineStr">
        <is>
          <t>meter</t>
        </is>
      </c>
      <c r="E435" t="inlineStr">
        <is>
          <t>Materials/fuels</t>
        </is>
      </c>
      <c r="F435" t="inlineStr">
        <is>
          <t>technosphere</t>
        </is>
      </c>
      <c r="G435" t="n">
        <v>0</v>
      </c>
      <c r="H435" t="inlineStr">
        <is>
          <t>l_drilling = (n_injection wells+n_monitoring wells)*storage depth/(lifetime*annual_m_flow)</t>
        </is>
      </c>
    </row>
    <row r="436">
      <c r="A436" t="inlineStr">
        <is>
          <t>market for gas turbine, 10MW electrical</t>
        </is>
      </c>
      <c r="B436" t="n">
        <v>2.54e-11</v>
      </c>
      <c r="C436" t="inlineStr">
        <is>
          <t>GLO</t>
        </is>
      </c>
      <c r="D436" t="inlineStr">
        <is>
          <t>unit</t>
        </is>
      </c>
      <c r="E436" t="inlineStr">
        <is>
          <t>Materials/fuels</t>
        </is>
      </c>
      <c r="F436" t="inlineStr">
        <is>
          <t>technosphere</t>
        </is>
      </c>
      <c r="G436" t="n">
        <v>0</v>
      </c>
      <c r="H436" t="inlineStr">
        <is>
          <t>n_turbine = n_injection wells/(lifetime*annual m_flow)</t>
        </is>
      </c>
      <c r="I436" t="n">
        <v>0</v>
      </c>
      <c r="J436" t="inlineStr">
        <is>
          <t>gas turbine, 10MW electrical</t>
        </is>
      </c>
    </row>
    <row r="437">
      <c r="A437" t="inlineStr">
        <is>
          <t>market group for electricity, medium voltage</t>
        </is>
      </c>
      <c r="B437" t="n">
        <v>0.0334</v>
      </c>
      <c r="C437" t="inlineStr">
        <is>
          <t>ENTSO-E</t>
        </is>
      </c>
      <c r="D437" t="inlineStr">
        <is>
          <t>kilowatt hour</t>
        </is>
      </c>
      <c r="E437" t="inlineStr">
        <is>
          <t>Materials/fuels</t>
        </is>
      </c>
      <c r="F437" t="inlineStr">
        <is>
          <t>technosphere</t>
        </is>
      </c>
      <c r="G437" t="n">
        <v>0</v>
      </c>
      <c r="H437" t="inlineStr">
        <is>
          <t>E = 87,85*ln((p_hydrostat+p_over)_pipeline)*(m_flow_project*8760h/a)/annual_m_flow</t>
        </is>
      </c>
      <c r="I437" t="n">
        <v>0</v>
      </c>
      <c r="J437" t="inlineStr">
        <is>
          <t>electricity, medium voltage</t>
        </is>
      </c>
    </row>
    <row r="438">
      <c r="A438" t="inlineStr">
        <is>
          <t>transport, pipeline, supercritical carbon dioxide, 200km with recompression</t>
        </is>
      </c>
      <c r="B438" t="n">
        <v>0.0921</v>
      </c>
      <c r="C438" t="inlineStr">
        <is>
          <t>RER</t>
        </is>
      </c>
      <c r="D438" t="inlineStr">
        <is>
          <t>ton kilometer</t>
        </is>
      </c>
      <c r="E438" t="inlineStr">
        <is>
          <t>Materials/fuels</t>
        </is>
      </c>
      <c r="F438" t="inlineStr">
        <is>
          <t>technosphere</t>
        </is>
      </c>
      <c r="G438" t="n">
        <v>0</v>
      </c>
      <c r="H438" t="inlineStr">
        <is>
          <t>tkm = l_with comp*m_flow_project/(m_flow_dataset*1000kg/t)</t>
        </is>
      </c>
      <c r="I438" t="n">
        <v>0</v>
      </c>
    </row>
    <row r="439">
      <c r="A439" t="inlineStr">
        <is>
          <t>transport, pipeline, supercritical carbon dioxide, 200km without recompression</t>
        </is>
      </c>
      <c r="B439" t="n">
        <v>0.0921</v>
      </c>
      <c r="C439" t="inlineStr">
        <is>
          <t>RER</t>
        </is>
      </c>
      <c r="D439" t="inlineStr">
        <is>
          <t>ton kilometer</t>
        </is>
      </c>
      <c r="E439" t="inlineStr">
        <is>
          <t>Materials/fuels</t>
        </is>
      </c>
      <c r="F439" t="inlineStr">
        <is>
          <t>technosphere</t>
        </is>
      </c>
      <c r="G439" t="n">
        <v>0</v>
      </c>
      <c r="H439" t="inlineStr">
        <is>
          <t>tkm = l_no comp*m_flow_project/(m_flow_dataset*1000kg/t)</t>
        </is>
      </c>
      <c r="I439" t="n">
        <v>0</v>
      </c>
    </row>
    <row r="440"/>
    <row r="441" ht="16" customHeight="1">
      <c r="A441" s="1" t="inlineStr">
        <is>
          <t>Activity</t>
        </is>
      </c>
      <c r="B441" s="1" t="inlineStr">
        <is>
          <t>carbon dioxide storage from hard coal, post, pipeline 200km, storage 1000m</t>
        </is>
      </c>
    </row>
    <row r="442">
      <c r="A442" t="inlineStr">
        <is>
          <t>location</t>
        </is>
      </c>
      <c r="B442" t="inlineStr">
        <is>
          <t>RER</t>
        </is>
      </c>
    </row>
    <row r="443">
      <c r="A443" t="inlineStr">
        <is>
          <t>production amount</t>
        </is>
      </c>
      <c r="B443" t="n">
        <v>1</v>
      </c>
    </row>
    <row r="444">
      <c r="A444" t="inlineStr">
        <is>
          <t>reference product</t>
        </is>
      </c>
      <c r="B444" t="inlineStr">
        <is>
          <t>carbon dioxide storage from hard coal, post, pipeline 200km, storage 1000m</t>
        </is>
      </c>
    </row>
    <row r="445">
      <c r="A445" t="inlineStr">
        <is>
          <t>type</t>
        </is>
      </c>
      <c r="B445" t="inlineStr">
        <is>
          <t>process</t>
        </is>
      </c>
    </row>
    <row r="446">
      <c r="A446" t="inlineStr">
        <is>
          <t>unit</t>
        </is>
      </c>
      <c r="B446" t="inlineStr">
        <is>
          <t>kilogram</t>
        </is>
      </c>
    </row>
    <row r="447">
      <c r="A447" t="inlineStr">
        <is>
          <t>source</t>
        </is>
      </c>
      <c r="B447" t="inlineStr">
        <is>
          <t>Life cycle assessment of carbon capture and storage in power generation and industry in Europe, Volkart et al., 2013, International Journal of Greenhouse Gas Control</t>
        </is>
      </c>
    </row>
    <row r="448" ht="16" customHeight="1">
      <c r="A448" s="1" t="inlineStr">
        <is>
          <t>Exchanges</t>
        </is>
      </c>
    </row>
    <row r="449">
      <c r="A449" t="inlineStr">
        <is>
          <t>name</t>
        </is>
      </c>
      <c r="B449" t="inlineStr">
        <is>
          <t>amount</t>
        </is>
      </c>
      <c r="C449" t="inlineStr">
        <is>
          <t>location</t>
        </is>
      </c>
      <c r="D449" t="inlineStr">
        <is>
          <t>unit</t>
        </is>
      </c>
      <c r="E449" t="inlineStr">
        <is>
          <t>categories</t>
        </is>
      </c>
      <c r="F449" t="inlineStr">
        <is>
          <t>type</t>
        </is>
      </c>
      <c r="G449" t="inlineStr">
        <is>
          <t>uncertainty type</t>
        </is>
      </c>
      <c r="H449" t="inlineStr">
        <is>
          <t>comment</t>
        </is>
      </c>
      <c r="I449" t="inlineStr">
        <is>
          <t>reference product</t>
        </is>
      </c>
    </row>
    <row r="450">
      <c r="A450" t="inlineStr">
        <is>
          <t>carbon dioxide storage from hard coal, post, pipeline 200km, storage 1000m</t>
        </is>
      </c>
      <c r="B450" t="n">
        <v>1</v>
      </c>
      <c r="C450" t="inlineStr">
        <is>
          <t>RER</t>
        </is>
      </c>
      <c r="D450" t="inlineStr">
        <is>
          <t>kilogram</t>
        </is>
      </c>
      <c r="E450" t="inlineStr">
        <is>
          <t>CCS Europe 2025::Hard coal::Geological storage</t>
        </is>
      </c>
      <c r="F450" t="inlineStr">
        <is>
          <t>production</t>
        </is>
      </c>
      <c r="I450" t="inlineStr">
        <is>
          <t>carbon dioxide storage from hard coal, post, pipeline 200km, storage 1000m</t>
        </is>
      </c>
    </row>
    <row r="451">
      <c r="A451" t="inlineStr">
        <is>
          <t>drilling, deep borehole</t>
        </is>
      </c>
      <c r="B451" t="n">
        <v>1.69e-08</v>
      </c>
      <c r="C451" t="inlineStr">
        <is>
          <t>RER</t>
        </is>
      </c>
      <c r="D451" t="inlineStr">
        <is>
          <t>meter</t>
        </is>
      </c>
      <c r="E451" t="inlineStr">
        <is>
          <t>Materials/fuels</t>
        </is>
      </c>
      <c r="F451" t="inlineStr">
        <is>
          <t>technosphere</t>
        </is>
      </c>
      <c r="G451" t="n">
        <v>0</v>
      </c>
      <c r="H451" t="inlineStr">
        <is>
          <t>l_drilling = (n_injection wells+n_monitoring wells)*storage depth/(lifetime*annual_m_flow)</t>
        </is>
      </c>
    </row>
    <row r="452">
      <c r="A452" t="inlineStr">
        <is>
          <t>market for gas turbine, 10MW electrical</t>
        </is>
      </c>
      <c r="B452" t="n">
        <v>2.54e-11</v>
      </c>
      <c r="C452" t="inlineStr">
        <is>
          <t>GLO</t>
        </is>
      </c>
      <c r="D452" t="inlineStr">
        <is>
          <t>unit</t>
        </is>
      </c>
      <c r="E452" t="inlineStr">
        <is>
          <t>Materials/fuels</t>
        </is>
      </c>
      <c r="F452" t="inlineStr">
        <is>
          <t>technosphere</t>
        </is>
      </c>
      <c r="G452" t="n">
        <v>0</v>
      </c>
      <c r="H452" t="inlineStr">
        <is>
          <t>n_turbine = n_injection wells/(lifetime*annual m_flow)</t>
        </is>
      </c>
      <c r="I452" t="inlineStr">
        <is>
          <t>gas turbine, 10MW electrical</t>
        </is>
      </c>
    </row>
    <row r="453">
      <c r="A453" t="inlineStr">
        <is>
          <t>market group for electricity, medium voltage</t>
        </is>
      </c>
      <c r="B453" t="n">
        <v>0.009480000000000001</v>
      </c>
      <c r="C453" t="inlineStr">
        <is>
          <t>ENTSO-E</t>
        </is>
      </c>
      <c r="D453" t="inlineStr">
        <is>
          <t>kilowatt hour</t>
        </is>
      </c>
      <c r="E453" t="inlineStr">
        <is>
          <t>Materials/fuels</t>
        </is>
      </c>
      <c r="F453" t="inlineStr">
        <is>
          <t>technosphere</t>
        </is>
      </c>
      <c r="G453" t="n">
        <v>0</v>
      </c>
      <c r="H453" t="inlineStr">
        <is>
          <t>E = 87,85*ln((p_hydrostat+p_over)_pipeline)*(m_flow_project*8760h/a)/annual_m_flow</t>
        </is>
      </c>
      <c r="I453" t="inlineStr">
        <is>
          <t>electricity, medium voltage</t>
        </is>
      </c>
    </row>
    <row r="454">
      <c r="A454" t="inlineStr">
        <is>
          <t>transport, pipeline, supercritical carbon dioxide, 200km without recompression</t>
        </is>
      </c>
      <c r="B454" t="n">
        <v>0.0973</v>
      </c>
      <c r="C454" t="inlineStr">
        <is>
          <t>RER</t>
        </is>
      </c>
      <c r="D454" t="inlineStr">
        <is>
          <t>ton kilometer</t>
        </is>
      </c>
      <c r="E454" t="inlineStr">
        <is>
          <t>Materials/fuels</t>
        </is>
      </c>
      <c r="F454" t="inlineStr">
        <is>
          <t>technosphere</t>
        </is>
      </c>
      <c r="G454" t="n">
        <v>0</v>
      </c>
      <c r="H454" t="inlineStr">
        <is>
          <t>tkm = l_no comp*m_flow_project/(m_flow_dataset*1000kg/t)</t>
        </is>
      </c>
    </row>
    <row r="455"/>
    <row r="456" ht="16" customHeight="1">
      <c r="A456" s="1" t="inlineStr">
        <is>
          <t>Activity</t>
        </is>
      </c>
      <c r="B456" s="1" t="inlineStr">
        <is>
          <t>carbon dioxide storage from hard coal, post, pipeline 400km, storage 1000m</t>
        </is>
      </c>
    </row>
    <row r="457">
      <c r="A457" t="inlineStr">
        <is>
          <t>location</t>
        </is>
      </c>
      <c r="B457" t="inlineStr">
        <is>
          <t>RER</t>
        </is>
      </c>
    </row>
    <row r="458">
      <c r="A458" t="inlineStr">
        <is>
          <t>production amount</t>
        </is>
      </c>
      <c r="B458" t="n">
        <v>1</v>
      </c>
    </row>
    <row r="459">
      <c r="A459" t="inlineStr">
        <is>
          <t>reference product</t>
        </is>
      </c>
      <c r="B459" t="inlineStr">
        <is>
          <t>carbon dioxide storage from hard coal, post, pipeline 400km, storage 1000m</t>
        </is>
      </c>
    </row>
    <row r="460">
      <c r="A460" t="inlineStr">
        <is>
          <t>type</t>
        </is>
      </c>
      <c r="B460" t="inlineStr">
        <is>
          <t>process</t>
        </is>
      </c>
    </row>
    <row r="461">
      <c r="A461" t="inlineStr">
        <is>
          <t>unit</t>
        </is>
      </c>
      <c r="B461" t="inlineStr">
        <is>
          <t>kilogram</t>
        </is>
      </c>
    </row>
    <row r="462">
      <c r="A462" t="inlineStr">
        <is>
          <t>source</t>
        </is>
      </c>
      <c r="B462" t="inlineStr">
        <is>
          <t>Life cycle assessment of carbon capture and storage in power generation and industry in Europe, Volkart et al., 2013, International Journal of Greenhouse Gas Control</t>
        </is>
      </c>
    </row>
    <row r="463" ht="16" customHeight="1">
      <c r="A463" s="1" t="inlineStr">
        <is>
          <t>Exchanges</t>
        </is>
      </c>
    </row>
    <row r="464">
      <c r="A464" t="inlineStr">
        <is>
          <t>name</t>
        </is>
      </c>
      <c r="B464" t="inlineStr">
        <is>
          <t>amount</t>
        </is>
      </c>
      <c r="C464" t="inlineStr">
        <is>
          <t>location</t>
        </is>
      </c>
      <c r="D464" t="inlineStr">
        <is>
          <t>unit</t>
        </is>
      </c>
      <c r="E464" t="inlineStr">
        <is>
          <t>categories</t>
        </is>
      </c>
      <c r="F464" t="inlineStr">
        <is>
          <t>type</t>
        </is>
      </c>
      <c r="G464" t="inlineStr">
        <is>
          <t>uncertainty type</t>
        </is>
      </c>
      <c r="H464" t="inlineStr">
        <is>
          <t>comment</t>
        </is>
      </c>
      <c r="I464" t="inlineStr">
        <is>
          <t>reference product</t>
        </is>
      </c>
    </row>
    <row r="465">
      <c r="A465" t="inlineStr">
        <is>
          <t>carbon dioxide storage from hard coal, post, pipeline 400km, storage 1000m</t>
        </is>
      </c>
      <c r="B465" t="n">
        <v>1</v>
      </c>
      <c r="C465" t="inlineStr">
        <is>
          <t>RER</t>
        </is>
      </c>
      <c r="D465" t="inlineStr">
        <is>
          <t>kilogram</t>
        </is>
      </c>
      <c r="E465" t="inlineStr">
        <is>
          <t>CCS Europe 2025::Hard coal::Geological storage</t>
        </is>
      </c>
      <c r="F465" t="inlineStr">
        <is>
          <t>production</t>
        </is>
      </c>
    </row>
    <row r="466">
      <c r="A466" t="inlineStr">
        <is>
          <t>drilling, deep borehole</t>
        </is>
      </c>
      <c r="B466" t="n">
        <v>1.69e-08</v>
      </c>
      <c r="C466" t="inlineStr">
        <is>
          <t>RER</t>
        </is>
      </c>
      <c r="D466" t="inlineStr">
        <is>
          <t>meter</t>
        </is>
      </c>
      <c r="E466" t="inlineStr">
        <is>
          <t>Materials/fuels</t>
        </is>
      </c>
      <c r="F466" t="inlineStr">
        <is>
          <t>technosphere</t>
        </is>
      </c>
      <c r="G466" t="n">
        <v>0</v>
      </c>
      <c r="H466" t="inlineStr">
        <is>
          <t>l_drilling = (n_injection wells+n_monitoring wells)*storage depth/(lifetime*annual_m_flow)</t>
        </is>
      </c>
    </row>
    <row r="467">
      <c r="A467" t="inlineStr">
        <is>
          <t>market for gas turbine, 10MW electrical</t>
        </is>
      </c>
      <c r="B467" t="n">
        <v>2.54e-11</v>
      </c>
      <c r="C467" t="inlineStr">
        <is>
          <t>GLO</t>
        </is>
      </c>
      <c r="D467" t="inlineStr">
        <is>
          <t>unit</t>
        </is>
      </c>
      <c r="E467" t="inlineStr">
        <is>
          <t>Materials/fuels</t>
        </is>
      </c>
      <c r="F467" t="inlineStr">
        <is>
          <t>technosphere</t>
        </is>
      </c>
      <c r="G467" t="n">
        <v>0</v>
      </c>
      <c r="H467" t="inlineStr">
        <is>
          <t>n_turbine = n_injection wells/(lifetime*annual m_flow)</t>
        </is>
      </c>
      <c r="I467" t="inlineStr">
        <is>
          <t>gas turbine, 10MW electrical</t>
        </is>
      </c>
    </row>
    <row r="468">
      <c r="A468" t="inlineStr">
        <is>
          <t>market group for electricity, medium voltage</t>
        </is>
      </c>
      <c r="B468" t="n">
        <v>0.009480000000000001</v>
      </c>
      <c r="C468" t="inlineStr">
        <is>
          <t>ENTSO-E</t>
        </is>
      </c>
      <c r="D468" t="inlineStr">
        <is>
          <t>kilowatt hour</t>
        </is>
      </c>
      <c r="E468" t="inlineStr">
        <is>
          <t>Materials/fuels</t>
        </is>
      </c>
      <c r="F468" t="inlineStr">
        <is>
          <t>technosphere</t>
        </is>
      </c>
      <c r="G468" t="n">
        <v>0</v>
      </c>
      <c r="H468" t="inlineStr">
        <is>
          <t>E = 87,85*ln((p_hydrostat+p_over)_pipeline)*(m_flow_project*8760h/a)/annual_m_flow</t>
        </is>
      </c>
      <c r="I468" t="inlineStr">
        <is>
          <t>electricity, medium voltage</t>
        </is>
      </c>
    </row>
    <row r="469">
      <c r="A469" t="inlineStr">
        <is>
          <t>transport, pipeline, supercritical carbon dioxide, 200km with recompression</t>
        </is>
      </c>
      <c r="B469" t="n">
        <v>0.0973</v>
      </c>
      <c r="C469" t="inlineStr">
        <is>
          <t>RER</t>
        </is>
      </c>
      <c r="D469" t="inlineStr">
        <is>
          <t>ton kilometer</t>
        </is>
      </c>
      <c r="E469" t="inlineStr">
        <is>
          <t>Materials/fuels</t>
        </is>
      </c>
      <c r="F469" t="inlineStr">
        <is>
          <t>technosphere</t>
        </is>
      </c>
      <c r="G469" t="n">
        <v>0</v>
      </c>
    </row>
    <row r="470">
      <c r="A470" t="inlineStr">
        <is>
          <t>transport, pipeline, supercritical carbon dioxide, 200km without recompression</t>
        </is>
      </c>
      <c r="B470" t="n">
        <v>0.0973</v>
      </c>
      <c r="C470" t="inlineStr">
        <is>
          <t>RER</t>
        </is>
      </c>
      <c r="D470" t="inlineStr">
        <is>
          <t>ton kilometer</t>
        </is>
      </c>
      <c r="E470" t="inlineStr">
        <is>
          <t>Materials/fuels</t>
        </is>
      </c>
      <c r="F470" t="inlineStr">
        <is>
          <t>technosphere</t>
        </is>
      </c>
      <c r="G470" t="n">
        <v>0</v>
      </c>
      <c r="H470" t="inlineStr">
        <is>
          <t>tkm = l_no comp*m_flow_project/(m_flow_dataset*1000kg/t)</t>
        </is>
      </c>
    </row>
    <row r="471"/>
    <row r="472" ht="16" customHeight="1">
      <c r="A472" s="1" t="inlineStr">
        <is>
          <t>Activity</t>
        </is>
      </c>
      <c r="B472" s="1" t="inlineStr">
        <is>
          <t>carbon dioxide storage from hard coal, post, pipeline 400km, storage 3000m</t>
        </is>
      </c>
    </row>
    <row r="473">
      <c r="A473" t="inlineStr">
        <is>
          <t>location</t>
        </is>
      </c>
      <c r="B473" t="inlineStr">
        <is>
          <t>RER</t>
        </is>
      </c>
    </row>
    <row r="474">
      <c r="A474" t="inlineStr">
        <is>
          <t>production amount</t>
        </is>
      </c>
      <c r="B474" t="n">
        <v>1</v>
      </c>
    </row>
    <row r="475">
      <c r="A475" t="inlineStr">
        <is>
          <t>reference product</t>
        </is>
      </c>
      <c r="B475" t="inlineStr">
        <is>
          <t>carbon dioxide storage from hard coal, post, pipeline 400km, storage 3000m</t>
        </is>
      </c>
    </row>
    <row r="476">
      <c r="A476" t="inlineStr">
        <is>
          <t>type</t>
        </is>
      </c>
      <c r="B476" t="inlineStr">
        <is>
          <t>process</t>
        </is>
      </c>
    </row>
    <row r="477">
      <c r="A477" t="inlineStr">
        <is>
          <t>unit</t>
        </is>
      </c>
      <c r="B477" t="inlineStr">
        <is>
          <t>kilogram</t>
        </is>
      </c>
    </row>
    <row r="478">
      <c r="A478" t="inlineStr">
        <is>
          <t>source</t>
        </is>
      </c>
      <c r="B478" t="inlineStr">
        <is>
          <t>Life cycle assessment of carbon capture and storage in power generation and industry in Europe, Volkart et al., 2013, International Journal of Greenhouse Gas Control</t>
        </is>
      </c>
    </row>
    <row r="479" ht="16" customHeight="1">
      <c r="A479" s="1" t="inlineStr">
        <is>
          <t>Exchanges</t>
        </is>
      </c>
    </row>
    <row r="480">
      <c r="A480" t="inlineStr">
        <is>
          <t>name</t>
        </is>
      </c>
      <c r="B480" t="inlineStr">
        <is>
          <t>amount</t>
        </is>
      </c>
      <c r="C480" t="inlineStr">
        <is>
          <t>location</t>
        </is>
      </c>
      <c r="D480" t="inlineStr">
        <is>
          <t>unit</t>
        </is>
      </c>
      <c r="E480" t="inlineStr">
        <is>
          <t>categories</t>
        </is>
      </c>
      <c r="F480" t="inlineStr">
        <is>
          <t>type</t>
        </is>
      </c>
      <c r="G480" t="inlineStr">
        <is>
          <t>uncertainty type</t>
        </is>
      </c>
      <c r="H480" t="inlineStr">
        <is>
          <t>comment</t>
        </is>
      </c>
      <c r="I480" t="inlineStr">
        <is>
          <t>reference product</t>
        </is>
      </c>
    </row>
    <row r="481">
      <c r="A481" t="inlineStr">
        <is>
          <t>carbon dioxide storage from hard coal, post, pipeline 400km, storage 3000m</t>
        </is>
      </c>
      <c r="B481" t="n">
        <v>1</v>
      </c>
      <c r="C481" t="inlineStr">
        <is>
          <t>RER</t>
        </is>
      </c>
      <c r="D481" t="inlineStr">
        <is>
          <t>kilogram</t>
        </is>
      </c>
      <c r="E481" t="inlineStr">
        <is>
          <t>CCS Europe 2025::Hard coal::Geological storage</t>
        </is>
      </c>
      <c r="F481" t="inlineStr">
        <is>
          <t>production</t>
        </is>
      </c>
    </row>
    <row r="482">
      <c r="A482" t="inlineStr">
        <is>
          <t>drilling, deep borehole</t>
        </is>
      </c>
      <c r="B482" t="n">
        <v>5.07e-08</v>
      </c>
      <c r="C482" t="inlineStr">
        <is>
          <t>RER</t>
        </is>
      </c>
      <c r="D482" t="inlineStr">
        <is>
          <t>meter</t>
        </is>
      </c>
      <c r="E482" t="inlineStr">
        <is>
          <t>Materials/fuels</t>
        </is>
      </c>
      <c r="F482" t="inlineStr">
        <is>
          <t>technosphere</t>
        </is>
      </c>
      <c r="G482" t="n">
        <v>0</v>
      </c>
      <c r="H482" t="inlineStr">
        <is>
          <t>l_drilling = (n_injection wells+n_monitoring wells)*storage depth/(lifetime*annual_m_flow)</t>
        </is>
      </c>
    </row>
    <row r="483">
      <c r="A483" t="inlineStr">
        <is>
          <t>market for gas turbine, 10MW electrical</t>
        </is>
      </c>
      <c r="B483" t="n">
        <v>2.54e-11</v>
      </c>
      <c r="C483" t="inlineStr">
        <is>
          <t>GLO</t>
        </is>
      </c>
      <c r="D483" t="inlineStr">
        <is>
          <t>unit</t>
        </is>
      </c>
      <c r="E483" t="inlineStr">
        <is>
          <t>Materials/fuels</t>
        </is>
      </c>
      <c r="F483" t="inlineStr">
        <is>
          <t>technosphere</t>
        </is>
      </c>
      <c r="G483" t="n">
        <v>0</v>
      </c>
      <c r="H483" t="inlineStr">
        <is>
          <t>n_turbine = n_injection wells/(lifetime*annual m_flow)</t>
        </is>
      </c>
      <c r="I483" t="inlineStr">
        <is>
          <t>gas turbine, 10MW electrical</t>
        </is>
      </c>
    </row>
    <row r="484">
      <c r="A484" t="inlineStr">
        <is>
          <t>market group for electricity, medium voltage</t>
        </is>
      </c>
      <c r="B484" t="n">
        <v>0.0334</v>
      </c>
      <c r="C484" t="inlineStr">
        <is>
          <t>ENTSO-E</t>
        </is>
      </c>
      <c r="D484" t="inlineStr">
        <is>
          <t>kilowatt hour</t>
        </is>
      </c>
      <c r="E484" t="inlineStr">
        <is>
          <t>Materials/fuels</t>
        </is>
      </c>
      <c r="F484" t="inlineStr">
        <is>
          <t>technosphere</t>
        </is>
      </c>
      <c r="G484" t="n">
        <v>0</v>
      </c>
      <c r="H484" t="inlineStr">
        <is>
          <t>E = 87,85*ln((p_hydrostat+p_over)_pipeline)*(m_flow_project*8760h/a)/annual_m_flow</t>
        </is>
      </c>
      <c r="I484" t="inlineStr">
        <is>
          <t>electricity, medium voltage</t>
        </is>
      </c>
    </row>
    <row r="485">
      <c r="A485" t="inlineStr">
        <is>
          <t>transport, pipeline, supercritical carbon dioxide, 200km with recompression</t>
        </is>
      </c>
      <c r="B485" t="n">
        <v>0.0973</v>
      </c>
      <c r="C485" t="inlineStr">
        <is>
          <t>RER</t>
        </is>
      </c>
      <c r="D485" t="inlineStr">
        <is>
          <t>ton kilometer</t>
        </is>
      </c>
      <c r="E485" t="inlineStr">
        <is>
          <t>Materials/fuels</t>
        </is>
      </c>
      <c r="F485" t="inlineStr">
        <is>
          <t>technosphere</t>
        </is>
      </c>
      <c r="G485" t="n">
        <v>0</v>
      </c>
      <c r="H485" t="inlineStr">
        <is>
          <t>tkm = l_with comp*m_flow_project/(m_flow_dataset*1000kg/t)</t>
        </is>
      </c>
    </row>
    <row r="486">
      <c r="A486" t="inlineStr">
        <is>
          <t>transport, pipeline, supercritical carbon dioxide, 200km without recompression</t>
        </is>
      </c>
      <c r="B486" t="n">
        <v>0.0973</v>
      </c>
      <c r="C486" t="inlineStr">
        <is>
          <t>RER</t>
        </is>
      </c>
      <c r="D486" t="inlineStr">
        <is>
          <t>ton kilometer</t>
        </is>
      </c>
      <c r="E486" t="inlineStr">
        <is>
          <t>Materials/fuels</t>
        </is>
      </c>
      <c r="F486" t="inlineStr">
        <is>
          <t>technosphere</t>
        </is>
      </c>
      <c r="G486" t="n">
        <v>0</v>
      </c>
      <c r="H486" t="inlineStr">
        <is>
          <t>tkm = l_no comp*m_flow_project/(m_flow_dataset*1000kg/t)</t>
        </is>
      </c>
    </row>
    <row r="487"/>
    <row r="488" ht="16" customHeight="1">
      <c r="A488" s="1" t="inlineStr">
        <is>
          <t>Activity</t>
        </is>
      </c>
      <c r="B488" s="1" t="inlineStr">
        <is>
          <t>carbon dioxide storage from hard coal, pre, pipeline 200km, storage 1000m</t>
        </is>
      </c>
    </row>
    <row r="489">
      <c r="A489" t="inlineStr">
        <is>
          <t>location</t>
        </is>
      </c>
      <c r="B489" t="inlineStr">
        <is>
          <t>RER</t>
        </is>
      </c>
    </row>
    <row r="490">
      <c r="A490" t="inlineStr">
        <is>
          <t>production amount</t>
        </is>
      </c>
      <c r="B490" t="n">
        <v>1</v>
      </c>
    </row>
    <row r="491">
      <c r="A491" t="inlineStr">
        <is>
          <t>reference product</t>
        </is>
      </c>
      <c r="B491" t="inlineStr">
        <is>
          <t>carbon dioxide storage from hard coal, pre, pipeline 200km, storage 1000m</t>
        </is>
      </c>
    </row>
    <row r="492">
      <c r="A492" t="inlineStr">
        <is>
          <t>type</t>
        </is>
      </c>
      <c r="B492" t="inlineStr">
        <is>
          <t>process</t>
        </is>
      </c>
    </row>
    <row r="493">
      <c r="A493" t="inlineStr">
        <is>
          <t>unit</t>
        </is>
      </c>
      <c r="B493" t="inlineStr">
        <is>
          <t>kilogram</t>
        </is>
      </c>
    </row>
    <row r="494">
      <c r="A494" t="inlineStr">
        <is>
          <t>source</t>
        </is>
      </c>
      <c r="B494" t="inlineStr">
        <is>
          <t>Life cycle assessment of carbon capture and storage in power generation and industry in Europe, Volkart et al., 2013, International Journal of Greenhouse Gas Control</t>
        </is>
      </c>
    </row>
    <row r="495" ht="16" customHeight="1">
      <c r="A495" s="1" t="inlineStr">
        <is>
          <t>Exchanges</t>
        </is>
      </c>
    </row>
    <row r="496">
      <c r="A496" t="inlineStr">
        <is>
          <t>name</t>
        </is>
      </c>
      <c r="B496" t="inlineStr">
        <is>
          <t>amount</t>
        </is>
      </c>
      <c r="C496" t="inlineStr">
        <is>
          <t>location</t>
        </is>
      </c>
      <c r="D496" t="inlineStr">
        <is>
          <t>unit</t>
        </is>
      </c>
      <c r="E496" t="inlineStr">
        <is>
          <t>categories</t>
        </is>
      </c>
      <c r="F496" t="inlineStr">
        <is>
          <t>type</t>
        </is>
      </c>
      <c r="G496" t="inlineStr">
        <is>
          <t>uncertainty type</t>
        </is>
      </c>
      <c r="H496" t="inlineStr">
        <is>
          <t>comment</t>
        </is>
      </c>
      <c r="I496" t="inlineStr">
        <is>
          <t>reference product</t>
        </is>
      </c>
    </row>
    <row r="497">
      <c r="A497" t="inlineStr">
        <is>
          <t>carbon dioxide storage from hard coal, pre, pipeline 200km, storage 1000m</t>
        </is>
      </c>
      <c r="B497" t="n">
        <v>1</v>
      </c>
      <c r="C497" t="inlineStr">
        <is>
          <t>RER</t>
        </is>
      </c>
      <c r="D497" t="inlineStr">
        <is>
          <t>kilogram</t>
        </is>
      </c>
      <c r="E497" t="inlineStr">
        <is>
          <t>CCS Europe 2025::Hard coal::Geological storage</t>
        </is>
      </c>
      <c r="F497" t="inlineStr">
        <is>
          <t>production</t>
        </is>
      </c>
    </row>
    <row r="498">
      <c r="A498" t="inlineStr">
        <is>
          <t>drilling, deep borehole</t>
        </is>
      </c>
      <c r="B498" t="n">
        <v>1.69e-08</v>
      </c>
      <c r="C498" t="inlineStr">
        <is>
          <t>RER</t>
        </is>
      </c>
      <c r="D498" t="inlineStr">
        <is>
          <t>meter</t>
        </is>
      </c>
      <c r="E498" t="inlineStr">
        <is>
          <t>Materials/fuels</t>
        </is>
      </c>
      <c r="F498" t="inlineStr">
        <is>
          <t>technosphere</t>
        </is>
      </c>
      <c r="G498" t="n">
        <v>0</v>
      </c>
      <c r="H498" t="inlineStr">
        <is>
          <t>l_drilling = (n_injection wells+n_monitoring wells)*storage depth/(lifetime*annual_m_flow)</t>
        </is>
      </c>
    </row>
    <row r="499">
      <c r="A499" t="inlineStr">
        <is>
          <t>market for gas turbine, 10MW electrical</t>
        </is>
      </c>
      <c r="B499" t="n">
        <v>2.54e-11</v>
      </c>
      <c r="C499" t="inlineStr">
        <is>
          <t>GLO</t>
        </is>
      </c>
      <c r="D499" t="inlineStr">
        <is>
          <t>unit</t>
        </is>
      </c>
      <c r="E499" t="inlineStr">
        <is>
          <t>Materials/fuels</t>
        </is>
      </c>
      <c r="F499" t="inlineStr">
        <is>
          <t>technosphere</t>
        </is>
      </c>
      <c r="G499" t="n">
        <v>0</v>
      </c>
      <c r="H499" t="inlineStr">
        <is>
          <t>n_turbine = n_injection wells/(lifetime*annual m_flow)</t>
        </is>
      </c>
      <c r="I499" t="inlineStr">
        <is>
          <t>gas turbine, 10MW electrical</t>
        </is>
      </c>
    </row>
    <row r="500">
      <c r="A500" t="inlineStr">
        <is>
          <t>market group for electricity, medium voltage</t>
        </is>
      </c>
      <c r="B500" t="n">
        <v>0.009480000000000001</v>
      </c>
      <c r="C500" t="inlineStr">
        <is>
          <t>ENTSO-E</t>
        </is>
      </c>
      <c r="D500" t="inlineStr">
        <is>
          <t>kilowatt hour</t>
        </is>
      </c>
      <c r="E500" t="inlineStr">
        <is>
          <t>Materials/fuels</t>
        </is>
      </c>
      <c r="F500" t="inlineStr">
        <is>
          <t>technosphere</t>
        </is>
      </c>
      <c r="G500" t="n">
        <v>0</v>
      </c>
      <c r="H500" t="inlineStr">
        <is>
          <t>E = 87,85*ln((p_hydrostat+p_over)_pipeline)*(m_flow_project*8760h/a)/annual_m_flow</t>
        </is>
      </c>
      <c r="I500" t="inlineStr">
        <is>
          <t>electricity, medium voltage</t>
        </is>
      </c>
    </row>
    <row r="501">
      <c r="A501" t="inlineStr">
        <is>
          <t>transport, pipeline, supercritical carbon dioxide, 200km without recompression</t>
        </is>
      </c>
      <c r="B501" t="n">
        <v>0.128</v>
      </c>
      <c r="C501" t="inlineStr">
        <is>
          <t>RER</t>
        </is>
      </c>
      <c r="D501" t="inlineStr">
        <is>
          <t>ton kilometer</t>
        </is>
      </c>
      <c r="E501" t="inlineStr">
        <is>
          <t>Materials/fuels</t>
        </is>
      </c>
      <c r="F501" t="inlineStr">
        <is>
          <t>technosphere</t>
        </is>
      </c>
      <c r="G501" t="n">
        <v>0</v>
      </c>
      <c r="H501" t="inlineStr">
        <is>
          <t>tkm = l_no comp*m_flow_project/(m_flow_dataset*1000kg/t)</t>
        </is>
      </c>
    </row>
    <row r="502"/>
    <row r="503" ht="16" customHeight="1">
      <c r="A503" s="1" t="inlineStr">
        <is>
          <t>Activity</t>
        </is>
      </c>
      <c r="B503" s="1" t="inlineStr">
        <is>
          <t>carbon dioxide storage from hard coal, pre, pipeline 400km, storage 3000m</t>
        </is>
      </c>
    </row>
    <row r="504">
      <c r="A504" t="inlineStr">
        <is>
          <t>location</t>
        </is>
      </c>
      <c r="B504" t="inlineStr">
        <is>
          <t>RER</t>
        </is>
      </c>
    </row>
    <row r="505">
      <c r="A505" t="inlineStr">
        <is>
          <t>production amount</t>
        </is>
      </c>
      <c r="B505" t="n">
        <v>1</v>
      </c>
    </row>
    <row r="506">
      <c r="A506" t="inlineStr">
        <is>
          <t>reference product</t>
        </is>
      </c>
      <c r="B506" t="inlineStr">
        <is>
          <t>carbon dioxide storage from hard coal, pre, pipeline 400km, storage 3000m</t>
        </is>
      </c>
    </row>
    <row r="507">
      <c r="A507" t="inlineStr">
        <is>
          <t>type</t>
        </is>
      </c>
      <c r="B507" t="inlineStr">
        <is>
          <t>process</t>
        </is>
      </c>
    </row>
    <row r="508">
      <c r="A508" t="inlineStr">
        <is>
          <t>unit</t>
        </is>
      </c>
      <c r="B508" t="inlineStr">
        <is>
          <t>kilogram</t>
        </is>
      </c>
    </row>
    <row r="509">
      <c r="A509" t="inlineStr">
        <is>
          <t>source</t>
        </is>
      </c>
      <c r="B509" t="inlineStr">
        <is>
          <t>Life cycle assessment of carbon capture and storage in power generation and industry in Europe, Volkart et al., 2013, International Journal of Greenhouse Gas Control</t>
        </is>
      </c>
    </row>
    <row r="510" ht="16" customHeight="1">
      <c r="A510" s="1" t="inlineStr">
        <is>
          <t>Exchanges</t>
        </is>
      </c>
    </row>
    <row r="511">
      <c r="A511" t="inlineStr">
        <is>
          <t>name</t>
        </is>
      </c>
      <c r="B511" t="inlineStr">
        <is>
          <t>amount</t>
        </is>
      </c>
      <c r="C511" t="inlineStr">
        <is>
          <t>location</t>
        </is>
      </c>
      <c r="D511" t="inlineStr">
        <is>
          <t>unit</t>
        </is>
      </c>
      <c r="E511" t="inlineStr">
        <is>
          <t>categories</t>
        </is>
      </c>
      <c r="F511" t="inlineStr">
        <is>
          <t>type</t>
        </is>
      </c>
      <c r="G511" t="inlineStr">
        <is>
          <t>uncertainty type</t>
        </is>
      </c>
      <c r="H511" t="inlineStr">
        <is>
          <t>loc</t>
        </is>
      </c>
      <c r="I511" t="inlineStr">
        <is>
          <t>scale</t>
        </is>
      </c>
      <c r="J511" t="inlineStr">
        <is>
          <t>allocation</t>
        </is>
      </c>
      <c r="K511" t="inlineStr">
        <is>
          <t>comment</t>
        </is>
      </c>
      <c r="L511" t="inlineStr">
        <is>
          <t>negative</t>
        </is>
      </c>
      <c r="M511" t="inlineStr">
        <is>
          <t>reference product</t>
        </is>
      </c>
    </row>
    <row r="512">
      <c r="A512" t="inlineStr">
        <is>
          <t>carbon dioxide storage from hard coal, pre, pipeline 400km, storage 3000m</t>
        </is>
      </c>
      <c r="B512" t="n">
        <v>1</v>
      </c>
      <c r="C512" t="inlineStr">
        <is>
          <t>RER</t>
        </is>
      </c>
      <c r="D512" t="inlineStr">
        <is>
          <t>kilogram</t>
        </is>
      </c>
      <c r="E512" t="inlineStr">
        <is>
          <t>CCS Europe 2025::Hard coal::Geological storage</t>
        </is>
      </c>
      <c r="F512" t="inlineStr">
        <is>
          <t>production</t>
        </is>
      </c>
      <c r="J512" t="n">
        <v>100</v>
      </c>
    </row>
    <row r="513">
      <c r="A513" t="inlineStr">
        <is>
          <t>drilling, deep borehole</t>
        </is>
      </c>
      <c r="B513" t="n">
        <v>5.07e-08</v>
      </c>
      <c r="C513" t="inlineStr">
        <is>
          <t>RER</t>
        </is>
      </c>
      <c r="D513" t="inlineStr">
        <is>
          <t>meter</t>
        </is>
      </c>
      <c r="E513" t="inlineStr">
        <is>
          <t>Materials/fuels</t>
        </is>
      </c>
      <c r="F513" t="inlineStr">
        <is>
          <t>technosphere</t>
        </is>
      </c>
      <c r="G513" t="n">
        <v>0</v>
      </c>
      <c r="H513" t="n">
        <v>5.07e-08</v>
      </c>
      <c r="K513" t="inlineStr">
        <is>
          <t>l_drilling = (n_injection wells+n_monitoring wells)*storage depth/(lifetime*annual_m_flow)</t>
        </is>
      </c>
    </row>
    <row r="514">
      <c r="A514" t="inlineStr">
        <is>
          <t>market for gas turbine, 10MW electrical</t>
        </is>
      </c>
      <c r="B514" t="n">
        <v>2.54e-11</v>
      </c>
      <c r="C514" t="inlineStr">
        <is>
          <t>GLO</t>
        </is>
      </c>
      <c r="D514" t="inlineStr">
        <is>
          <t>unit</t>
        </is>
      </c>
      <c r="E514" t="inlineStr">
        <is>
          <t>Materials/fuels</t>
        </is>
      </c>
      <c r="F514" t="inlineStr">
        <is>
          <t>technosphere</t>
        </is>
      </c>
      <c r="G514" t="n">
        <v>0</v>
      </c>
      <c r="H514" t="n">
        <v>-24.39627194190406</v>
      </c>
      <c r="I514" t="n">
        <v>0</v>
      </c>
      <c r="K514" t="inlineStr">
        <is>
          <t>n_turbine = n_injection wells/(lifetime*annual m_flow)</t>
        </is>
      </c>
      <c r="L514" t="n">
        <v>0</v>
      </c>
      <c r="M514" t="inlineStr">
        <is>
          <t>gas turbine, 10MW electrical</t>
        </is>
      </c>
    </row>
    <row r="515">
      <c r="A515" t="inlineStr">
        <is>
          <t>market group for electricity, medium voltage</t>
        </is>
      </c>
      <c r="B515" t="n">
        <v>0.0334</v>
      </c>
      <c r="C515" t="inlineStr">
        <is>
          <t>ENTSO-E</t>
        </is>
      </c>
      <c r="D515" t="inlineStr">
        <is>
          <t>kilowatt hour</t>
        </is>
      </c>
      <c r="E515" t="inlineStr">
        <is>
          <t>Materials/fuels</t>
        </is>
      </c>
      <c r="F515" t="inlineStr">
        <is>
          <t>technosphere</t>
        </is>
      </c>
      <c r="G515" t="n">
        <v>0</v>
      </c>
      <c r="H515" t="n">
        <v>-3.399199378999482</v>
      </c>
      <c r="I515" t="n">
        <v>0</v>
      </c>
      <c r="K515" t="inlineStr">
        <is>
          <t>E = 87,85*ln((p_hydrostat+p_over)_pipeline)*(m_flow_project*8760h/a)/annual_m_flow</t>
        </is>
      </c>
      <c r="L515" t="n">
        <v>0</v>
      </c>
      <c r="M515" t="inlineStr">
        <is>
          <t>electricity, medium voltage</t>
        </is>
      </c>
    </row>
    <row r="516">
      <c r="A516" t="inlineStr">
        <is>
          <t>transport, pipeline, supercritical carbon dioxide, 200km with recompression</t>
        </is>
      </c>
      <c r="B516" t="n">
        <v>0.128</v>
      </c>
      <c r="C516" t="inlineStr">
        <is>
          <t>RER</t>
        </is>
      </c>
      <c r="D516" t="inlineStr">
        <is>
          <t>ton kilometer</t>
        </is>
      </c>
      <c r="E516" t="inlineStr">
        <is>
          <t>Materials/fuels</t>
        </is>
      </c>
      <c r="F516" t="inlineStr">
        <is>
          <t>technosphere</t>
        </is>
      </c>
      <c r="G516" t="n">
        <v>0</v>
      </c>
      <c r="H516" t="n">
        <v>-2.05572501506252</v>
      </c>
      <c r="I516" t="n">
        <v>0</v>
      </c>
      <c r="K516" t="inlineStr">
        <is>
          <t>tkm = l_with comp*m_flow_project/(m_flow_dataset*1000kg/t)</t>
        </is>
      </c>
      <c r="L516" t="n">
        <v>0</v>
      </c>
    </row>
    <row r="517">
      <c r="A517" t="inlineStr">
        <is>
          <t>transport, pipeline, supercritical carbon dioxide, 200km without recompression</t>
        </is>
      </c>
      <c r="B517" t="n">
        <v>0.128</v>
      </c>
      <c r="C517" t="inlineStr">
        <is>
          <t>RER</t>
        </is>
      </c>
      <c r="D517" t="inlineStr">
        <is>
          <t>ton kilometer</t>
        </is>
      </c>
      <c r="E517" t="inlineStr">
        <is>
          <t>Materials/fuels</t>
        </is>
      </c>
      <c r="F517" t="inlineStr">
        <is>
          <t>technosphere</t>
        </is>
      </c>
      <c r="G517" t="n">
        <v>0</v>
      </c>
      <c r="H517" t="n">
        <v>-2.05572501506252</v>
      </c>
      <c r="I517" t="n">
        <v>0</v>
      </c>
      <c r="K517" t="inlineStr">
        <is>
          <t>tkm = l_no comp*m_flow_project/(m_flow_dataset*1000kg/t)</t>
        </is>
      </c>
      <c r="L517" t="n">
        <v>0</v>
      </c>
    </row>
    <row r="518"/>
    <row r="519" ht="16" customHeight="1">
      <c r="A519" s="1" t="inlineStr">
        <is>
          <t>Activity</t>
        </is>
      </c>
      <c r="B519" s="1" t="inlineStr">
        <is>
          <t>carbon dioxide storage from lignite, oxy, pipeline 200km, storage 1000m</t>
        </is>
      </c>
    </row>
    <row r="520">
      <c r="A520" t="inlineStr">
        <is>
          <t>location</t>
        </is>
      </c>
      <c r="B520" t="inlineStr">
        <is>
          <t>RER</t>
        </is>
      </c>
    </row>
    <row r="521">
      <c r="A521" t="inlineStr">
        <is>
          <t>production amount</t>
        </is>
      </c>
      <c r="B521" t="n">
        <v>1</v>
      </c>
    </row>
    <row r="522">
      <c r="A522" t="inlineStr">
        <is>
          <t>reference product</t>
        </is>
      </c>
      <c r="B522" t="inlineStr">
        <is>
          <t>carbon dioxide storage from lignite, oxy, pipeline 200km, storage 1000m</t>
        </is>
      </c>
    </row>
    <row r="523">
      <c r="A523" t="inlineStr">
        <is>
          <t>type</t>
        </is>
      </c>
      <c r="B523" t="inlineStr">
        <is>
          <t>process</t>
        </is>
      </c>
    </row>
    <row r="524">
      <c r="A524" t="inlineStr">
        <is>
          <t>unit</t>
        </is>
      </c>
      <c r="B524" t="inlineStr">
        <is>
          <t>kilogram</t>
        </is>
      </c>
    </row>
    <row r="525">
      <c r="A525" t="inlineStr">
        <is>
          <t>source</t>
        </is>
      </c>
      <c r="B525" t="inlineStr">
        <is>
          <t>Life cycle assessment of carbon capture and storage in power generation and industry in Europe, Volkart et al., 2013, International Journal of Greenhouse Gas Control</t>
        </is>
      </c>
    </row>
    <row r="526" ht="16" customHeight="1">
      <c r="A526" s="1" t="inlineStr">
        <is>
          <t>Exchanges</t>
        </is>
      </c>
    </row>
    <row r="527">
      <c r="A527" t="inlineStr">
        <is>
          <t>name</t>
        </is>
      </c>
      <c r="B527" t="inlineStr">
        <is>
          <t>amount</t>
        </is>
      </c>
      <c r="C527" t="inlineStr">
        <is>
          <t>location</t>
        </is>
      </c>
      <c r="D527" t="inlineStr">
        <is>
          <t>unit</t>
        </is>
      </c>
      <c r="E527" t="inlineStr">
        <is>
          <t>categories</t>
        </is>
      </c>
      <c r="F527" t="inlineStr">
        <is>
          <t>type</t>
        </is>
      </c>
      <c r="G527" t="inlineStr">
        <is>
          <t>uncertainty type</t>
        </is>
      </c>
      <c r="H527" t="inlineStr">
        <is>
          <t>loc</t>
        </is>
      </c>
      <c r="I527" t="inlineStr">
        <is>
          <t>scale</t>
        </is>
      </c>
      <c r="J527" t="inlineStr">
        <is>
          <t>allocation</t>
        </is>
      </c>
      <c r="K527" t="inlineStr">
        <is>
          <t>comment</t>
        </is>
      </c>
      <c r="L527" t="inlineStr">
        <is>
          <t>negative</t>
        </is>
      </c>
      <c r="M527" t="inlineStr">
        <is>
          <t>reference product</t>
        </is>
      </c>
    </row>
    <row r="528">
      <c r="A528" t="inlineStr">
        <is>
          <t>carbon dioxide storage from lignite, oxy, pipeline 200km, storage 1000m</t>
        </is>
      </c>
      <c r="B528" t="n">
        <v>1</v>
      </c>
      <c r="C528" t="inlineStr">
        <is>
          <t>RER</t>
        </is>
      </c>
      <c r="D528" t="inlineStr">
        <is>
          <t>kilogram</t>
        </is>
      </c>
      <c r="E528" t="inlineStr">
        <is>
          <t>CCS Europe 2025::Lignite::Geological storage</t>
        </is>
      </c>
      <c r="F528" t="inlineStr">
        <is>
          <t>production</t>
        </is>
      </c>
      <c r="J528" t="n">
        <v>100</v>
      </c>
    </row>
    <row r="529">
      <c r="A529" t="inlineStr">
        <is>
          <t>drilling, deep borehole</t>
        </is>
      </c>
      <c r="B529" t="n">
        <v>1.69e-08</v>
      </c>
      <c r="C529" t="inlineStr">
        <is>
          <t>RER</t>
        </is>
      </c>
      <c r="D529" t="inlineStr">
        <is>
          <t>meter</t>
        </is>
      </c>
      <c r="E529" t="inlineStr">
        <is>
          <t>Materials/fuels</t>
        </is>
      </c>
      <c r="F529" t="inlineStr">
        <is>
          <t>technosphere</t>
        </is>
      </c>
      <c r="G529" t="n">
        <v>0</v>
      </c>
      <c r="H529" t="n">
        <v>1.69e-08</v>
      </c>
      <c r="K529" t="inlineStr">
        <is>
          <t>l_drilling = (n_injection wells+n_monitoring wells)*storage depth/(lifetime*annual_m_flow)</t>
        </is>
      </c>
    </row>
    <row r="530">
      <c r="A530" t="inlineStr">
        <is>
          <t>market for gas turbine, 10MW electrical</t>
        </is>
      </c>
      <c r="B530" t="n">
        <v>2.54e-11</v>
      </c>
      <c r="C530" t="inlineStr">
        <is>
          <t>GLO</t>
        </is>
      </c>
      <c r="D530" t="inlineStr">
        <is>
          <t>unit</t>
        </is>
      </c>
      <c r="E530" t="inlineStr">
        <is>
          <t>Materials/fuels</t>
        </is>
      </c>
      <c r="F530" t="inlineStr">
        <is>
          <t>technosphere</t>
        </is>
      </c>
      <c r="G530" t="n">
        <v>0</v>
      </c>
      <c r="H530" t="n">
        <v>-24.39627194190406</v>
      </c>
      <c r="I530" t="n">
        <v>0</v>
      </c>
      <c r="K530" t="inlineStr">
        <is>
          <t>n_turbine = n_injection wells/(lifetime*annual m_flow)</t>
        </is>
      </c>
      <c r="L530" t="n">
        <v>0</v>
      </c>
      <c r="M530" t="inlineStr">
        <is>
          <t>gas turbine, 10MW electrical</t>
        </is>
      </c>
    </row>
    <row r="531">
      <c r="A531" t="inlineStr">
        <is>
          <t>market group for electricity, medium voltage</t>
        </is>
      </c>
      <c r="B531" t="n">
        <v>0.009480000000000001</v>
      </c>
      <c r="C531" t="inlineStr">
        <is>
          <t>ENTSO-E</t>
        </is>
      </c>
      <c r="D531" t="inlineStr">
        <is>
          <t>kilowatt hour</t>
        </is>
      </c>
      <c r="E531" t="inlineStr">
        <is>
          <t>Materials/fuels</t>
        </is>
      </c>
      <c r="F531" t="inlineStr">
        <is>
          <t>technosphere</t>
        </is>
      </c>
      <c r="G531" t="n">
        <v>0</v>
      </c>
      <c r="H531" t="n">
        <v>-4.658570962715206</v>
      </c>
      <c r="I531" t="n">
        <v>0</v>
      </c>
      <c r="K531" t="inlineStr">
        <is>
          <t>E = 87,85*ln((p_hydrostat+p_over)_pipeline)*(m_flow_project*8760h/a)/annual_m_flow</t>
        </is>
      </c>
      <c r="L531" t="n">
        <v>0</v>
      </c>
      <c r="M531" t="inlineStr">
        <is>
          <t>electricity, medium voltage</t>
        </is>
      </c>
    </row>
    <row r="532">
      <c r="A532" t="inlineStr">
        <is>
          <t>transport, pipeline, supercritical carbon dioxide, 200km without recompression</t>
        </is>
      </c>
      <c r="B532" t="n">
        <v>0.155</v>
      </c>
      <c r="C532" t="inlineStr">
        <is>
          <t>RER</t>
        </is>
      </c>
      <c r="D532" t="inlineStr">
        <is>
          <t>ton kilometer</t>
        </is>
      </c>
      <c r="E532" t="inlineStr">
        <is>
          <t>Materials/fuels</t>
        </is>
      </c>
      <c r="F532" t="inlineStr">
        <is>
          <t>technosphere</t>
        </is>
      </c>
      <c r="G532" t="n">
        <v>0</v>
      </c>
      <c r="H532" t="n">
        <v>-1.86433016206289</v>
      </c>
      <c r="I532" t="n">
        <v>0</v>
      </c>
      <c r="K532" t="inlineStr">
        <is>
          <t>tkm = l_no comp*m_flow_project/(m_flow_dataset*1000kg/t)</t>
        </is>
      </c>
      <c r="L532" t="n">
        <v>0</v>
      </c>
    </row>
    <row r="533"/>
    <row r="534" ht="16" customHeight="1">
      <c r="A534" s="1" t="inlineStr">
        <is>
          <t>Activity</t>
        </is>
      </c>
      <c r="B534" s="1" t="inlineStr">
        <is>
          <t>carbon dioxide storage from lignite, oxy, pipeline 400km, storage 3000m</t>
        </is>
      </c>
    </row>
    <row r="535">
      <c r="A535" t="inlineStr">
        <is>
          <t>location</t>
        </is>
      </c>
      <c r="B535" t="inlineStr">
        <is>
          <t>RER</t>
        </is>
      </c>
    </row>
    <row r="536">
      <c r="A536" t="inlineStr">
        <is>
          <t>production amount</t>
        </is>
      </c>
      <c r="B536" t="n">
        <v>1</v>
      </c>
    </row>
    <row r="537">
      <c r="A537" t="inlineStr">
        <is>
          <t>reference product</t>
        </is>
      </c>
      <c r="B537" t="inlineStr">
        <is>
          <t>carbon dioxide storage from lignite, oxy, pipeline 400km, storage 3000m</t>
        </is>
      </c>
    </row>
    <row r="538">
      <c r="A538" t="inlineStr">
        <is>
          <t>type</t>
        </is>
      </c>
      <c r="B538" t="inlineStr">
        <is>
          <t>process</t>
        </is>
      </c>
    </row>
    <row r="539">
      <c r="A539" t="inlineStr">
        <is>
          <t>unit</t>
        </is>
      </c>
      <c r="B539" t="inlineStr">
        <is>
          <t>kilogram</t>
        </is>
      </c>
    </row>
    <row r="540">
      <c r="A540" t="inlineStr">
        <is>
          <t>source</t>
        </is>
      </c>
      <c r="B540" t="inlineStr">
        <is>
          <t>Life cycle assessment of carbon capture and storage in power generation and industry in Europe, Volkart et al., 2013, International Journal of Greenhouse Gas Control</t>
        </is>
      </c>
    </row>
    <row r="541" ht="16" customHeight="1">
      <c r="A541" s="1" t="inlineStr">
        <is>
          <t>Exchanges</t>
        </is>
      </c>
    </row>
    <row r="542">
      <c r="A542" t="inlineStr">
        <is>
          <t>name</t>
        </is>
      </c>
      <c r="B542" t="inlineStr">
        <is>
          <t>amount</t>
        </is>
      </c>
      <c r="C542" t="inlineStr">
        <is>
          <t>location</t>
        </is>
      </c>
      <c r="D542" t="inlineStr">
        <is>
          <t>unit</t>
        </is>
      </c>
      <c r="E542" t="inlineStr">
        <is>
          <t>categories</t>
        </is>
      </c>
      <c r="F542" t="inlineStr">
        <is>
          <t>type</t>
        </is>
      </c>
      <c r="G542" t="inlineStr">
        <is>
          <t>uncertainty type</t>
        </is>
      </c>
      <c r="H542" t="inlineStr">
        <is>
          <t>loc</t>
        </is>
      </c>
      <c r="I542" t="inlineStr">
        <is>
          <t>scale</t>
        </is>
      </c>
      <c r="J542" t="inlineStr">
        <is>
          <t>allocation</t>
        </is>
      </c>
      <c r="K542" t="inlineStr">
        <is>
          <t>comment</t>
        </is>
      </c>
      <c r="L542" t="inlineStr">
        <is>
          <t>negative</t>
        </is>
      </c>
      <c r="M542" t="inlineStr">
        <is>
          <t>reference product</t>
        </is>
      </c>
    </row>
    <row r="543">
      <c r="A543" t="inlineStr">
        <is>
          <t>carbon dioxide storage from lignite, oxy, pipeline 400km, storage 3000m</t>
        </is>
      </c>
      <c r="B543" t="n">
        <v>1</v>
      </c>
      <c r="C543" t="inlineStr">
        <is>
          <t>RER</t>
        </is>
      </c>
      <c r="D543" t="inlineStr">
        <is>
          <t>kilogram</t>
        </is>
      </c>
      <c r="E543" t="inlineStr">
        <is>
          <t>CCS Europe 2025::Lignite::Geological storage</t>
        </is>
      </c>
      <c r="F543" t="inlineStr">
        <is>
          <t>production</t>
        </is>
      </c>
      <c r="J543" t="n">
        <v>100</v>
      </c>
    </row>
    <row r="544">
      <c r="A544" t="inlineStr">
        <is>
          <t>drilling, deep borehole</t>
        </is>
      </c>
      <c r="B544" t="n">
        <v>5.07e-08</v>
      </c>
      <c r="C544" t="inlineStr">
        <is>
          <t>RER</t>
        </is>
      </c>
      <c r="D544" t="inlineStr">
        <is>
          <t>meter</t>
        </is>
      </c>
      <c r="E544" t="inlineStr">
        <is>
          <t>Materials/fuels</t>
        </is>
      </c>
      <c r="F544" t="inlineStr">
        <is>
          <t>technosphere</t>
        </is>
      </c>
      <c r="G544" t="n">
        <v>0</v>
      </c>
      <c r="H544" t="n">
        <v>5.07e-08</v>
      </c>
      <c r="K544" t="inlineStr">
        <is>
          <t>l_drilling = (n_injection wells+n_monitoring wells)*storage depth/(lifetime*annual_m_flow)</t>
        </is>
      </c>
    </row>
    <row r="545">
      <c r="A545" t="inlineStr">
        <is>
          <t>market for gas turbine, 10MW electrical</t>
        </is>
      </c>
      <c r="B545" t="n">
        <v>2.54e-11</v>
      </c>
      <c r="C545" t="inlineStr">
        <is>
          <t>GLO</t>
        </is>
      </c>
      <c r="D545" t="inlineStr">
        <is>
          <t>unit</t>
        </is>
      </c>
      <c r="E545" t="inlineStr">
        <is>
          <t>Materials/fuels</t>
        </is>
      </c>
      <c r="F545" t="inlineStr">
        <is>
          <t>technosphere</t>
        </is>
      </c>
      <c r="G545" t="n">
        <v>0</v>
      </c>
      <c r="H545" t="n">
        <v>-24.39627194190406</v>
      </c>
      <c r="I545" t="n">
        <v>0</v>
      </c>
      <c r="K545" t="inlineStr">
        <is>
          <t>n_turbine = n_injection wells/(lifetime*annual m_flow)</t>
        </is>
      </c>
      <c r="L545" t="n">
        <v>0</v>
      </c>
      <c r="M545" t="inlineStr">
        <is>
          <t>gas turbine, 10MW electrical</t>
        </is>
      </c>
    </row>
    <row r="546">
      <c r="A546" t="inlineStr">
        <is>
          <t>market group for electricity, medium voltage</t>
        </is>
      </c>
      <c r="B546" t="n">
        <v>0.0334</v>
      </c>
      <c r="C546" t="inlineStr">
        <is>
          <t>ENTSO-E</t>
        </is>
      </c>
      <c r="D546" t="inlineStr">
        <is>
          <t>kilowatt hour</t>
        </is>
      </c>
      <c r="E546" t="inlineStr">
        <is>
          <t>Materials/fuels</t>
        </is>
      </c>
      <c r="F546" t="inlineStr">
        <is>
          <t>technosphere</t>
        </is>
      </c>
      <c r="G546" t="n">
        <v>0</v>
      </c>
      <c r="H546" t="n">
        <v>-3.399199378999482</v>
      </c>
      <c r="I546" t="n">
        <v>0</v>
      </c>
      <c r="K546" t="inlineStr">
        <is>
          <t>E = 87,85*ln((p_hydrostat+p_over)_pipeline)*(m_flow_project*8760h/a)/annual_m_flow</t>
        </is>
      </c>
      <c r="L546" t="n">
        <v>0</v>
      </c>
      <c r="M546" t="inlineStr">
        <is>
          <t>electricity, medium voltage</t>
        </is>
      </c>
    </row>
    <row r="547">
      <c r="A547" t="inlineStr">
        <is>
          <t>transport, pipeline, supercritical carbon dioxide, 200km with recompression</t>
        </is>
      </c>
      <c r="B547" t="n">
        <v>0.155</v>
      </c>
      <c r="C547" t="inlineStr">
        <is>
          <t>RER</t>
        </is>
      </c>
      <c r="D547" t="inlineStr">
        <is>
          <t>ton kilometer</t>
        </is>
      </c>
      <c r="E547" t="inlineStr">
        <is>
          <t>Materials/fuels</t>
        </is>
      </c>
      <c r="F547" t="inlineStr">
        <is>
          <t>technosphere</t>
        </is>
      </c>
      <c r="G547" t="n">
        <v>0</v>
      </c>
      <c r="H547" t="n">
        <v>-1.86433016206289</v>
      </c>
      <c r="I547" t="n">
        <v>0</v>
      </c>
      <c r="K547" t="inlineStr">
        <is>
          <t>tkm = l_with comp*m_flow_project/(m_flow_dataset*1000kg/t)</t>
        </is>
      </c>
      <c r="L547" t="n">
        <v>0</v>
      </c>
    </row>
    <row r="548">
      <c r="A548" t="inlineStr">
        <is>
          <t>transport, pipeline, supercritical carbon dioxide, 200km without recompression</t>
        </is>
      </c>
      <c r="B548" t="n">
        <v>0.155</v>
      </c>
      <c r="C548" t="inlineStr">
        <is>
          <t>RER</t>
        </is>
      </c>
      <c r="D548" t="inlineStr">
        <is>
          <t>ton kilometer</t>
        </is>
      </c>
      <c r="E548" t="inlineStr">
        <is>
          <t>Materials/fuels</t>
        </is>
      </c>
      <c r="F548" t="inlineStr">
        <is>
          <t>technosphere</t>
        </is>
      </c>
      <c r="G548" t="n">
        <v>0</v>
      </c>
      <c r="H548" t="n">
        <v>-1.86433016206289</v>
      </c>
      <c r="I548" t="n">
        <v>0</v>
      </c>
      <c r="K548" t="inlineStr">
        <is>
          <t>tkm = l_no comp*m_flow_project/(m_flow_dataset*1000kg/t)</t>
        </is>
      </c>
      <c r="L548" t="n">
        <v>0</v>
      </c>
    </row>
    <row r="549"/>
    <row r="550" ht="16" customHeight="1">
      <c r="A550" s="1" t="inlineStr">
        <is>
          <t>Activity</t>
        </is>
      </c>
      <c r="B550" s="1" t="inlineStr">
        <is>
          <t>carbon dioxide storage from lignite, post, pipeline 200km, storage 1000m</t>
        </is>
      </c>
    </row>
    <row r="551">
      <c r="A551" t="inlineStr">
        <is>
          <t>location</t>
        </is>
      </c>
      <c r="B551" t="inlineStr">
        <is>
          <t>RER</t>
        </is>
      </c>
    </row>
    <row r="552">
      <c r="A552" t="inlineStr">
        <is>
          <t>production amount</t>
        </is>
      </c>
      <c r="B552" t="n">
        <v>1</v>
      </c>
    </row>
    <row r="553">
      <c r="A553" t="inlineStr">
        <is>
          <t>reference product</t>
        </is>
      </c>
      <c r="B553" t="inlineStr">
        <is>
          <t>carbon dioxide storage from lignite, post, pipeline 200km, storage 1000m</t>
        </is>
      </c>
    </row>
    <row r="554">
      <c r="A554" t="inlineStr">
        <is>
          <t>type</t>
        </is>
      </c>
      <c r="B554" t="inlineStr">
        <is>
          <t>process</t>
        </is>
      </c>
    </row>
    <row r="555">
      <c r="A555" t="inlineStr">
        <is>
          <t>unit</t>
        </is>
      </c>
      <c r="B555" t="inlineStr">
        <is>
          <t>kilogram</t>
        </is>
      </c>
    </row>
    <row r="556">
      <c r="A556" t="inlineStr">
        <is>
          <t>source</t>
        </is>
      </c>
      <c r="B556" t="inlineStr">
        <is>
          <t>Life cycle assessment of carbon capture and storage in power generation and industry in Europe, Volkart et al., 2013, International Journal of Greenhouse Gas Control</t>
        </is>
      </c>
    </row>
    <row r="557" ht="16" customHeight="1">
      <c r="A557" s="1" t="inlineStr">
        <is>
          <t>Exchanges</t>
        </is>
      </c>
    </row>
    <row r="558">
      <c r="A558" t="inlineStr">
        <is>
          <t>name</t>
        </is>
      </c>
      <c r="B558" t="inlineStr">
        <is>
          <t>amount</t>
        </is>
      </c>
      <c r="C558" t="inlineStr">
        <is>
          <t>location</t>
        </is>
      </c>
      <c r="D558" t="inlineStr">
        <is>
          <t>unit</t>
        </is>
      </c>
      <c r="E558" t="inlineStr">
        <is>
          <t>categories</t>
        </is>
      </c>
      <c r="F558" t="inlineStr">
        <is>
          <t>type</t>
        </is>
      </c>
      <c r="G558" t="inlineStr">
        <is>
          <t>uncertainty type</t>
        </is>
      </c>
      <c r="H558" t="inlineStr">
        <is>
          <t>loc</t>
        </is>
      </c>
      <c r="I558" t="inlineStr">
        <is>
          <t>scale</t>
        </is>
      </c>
      <c r="J558" t="inlineStr">
        <is>
          <t>allocation</t>
        </is>
      </c>
      <c r="K558" t="inlineStr">
        <is>
          <t>comment</t>
        </is>
      </c>
      <c r="L558" t="inlineStr">
        <is>
          <t>negative</t>
        </is>
      </c>
      <c r="M558" t="inlineStr">
        <is>
          <t>reference product</t>
        </is>
      </c>
    </row>
    <row r="559">
      <c r="A559" t="inlineStr">
        <is>
          <t>carbon dioxide storage from lignite, post, pipeline 200km, storage 1000m</t>
        </is>
      </c>
      <c r="B559" t="n">
        <v>1</v>
      </c>
      <c r="C559" t="inlineStr">
        <is>
          <t>RER</t>
        </is>
      </c>
      <c r="D559" t="inlineStr">
        <is>
          <t>kilogram</t>
        </is>
      </c>
      <c r="E559" t="inlineStr">
        <is>
          <t>CCS Europe 2025::Lignite::Geological storage</t>
        </is>
      </c>
      <c r="F559" t="inlineStr">
        <is>
          <t>production</t>
        </is>
      </c>
      <c r="J559" t="n">
        <v>100</v>
      </c>
    </row>
    <row r="560">
      <c r="A560" t="inlineStr">
        <is>
          <t>drilling, deep borehole</t>
        </is>
      </c>
      <c r="B560" t="n">
        <v>1.69e-08</v>
      </c>
      <c r="C560" t="inlineStr">
        <is>
          <t>RER</t>
        </is>
      </c>
      <c r="D560" t="inlineStr">
        <is>
          <t>meter</t>
        </is>
      </c>
      <c r="E560" t="inlineStr">
        <is>
          <t>Materials/fuels</t>
        </is>
      </c>
      <c r="F560" t="inlineStr">
        <is>
          <t>technosphere</t>
        </is>
      </c>
      <c r="G560" t="n">
        <v>0</v>
      </c>
      <c r="H560" t="n">
        <v>1.69e-08</v>
      </c>
      <c r="K560" t="inlineStr">
        <is>
          <t>l_drilling = (n_injection wells+n_monitoring wells)*storage depth/(lifetime*annual_m_flow)</t>
        </is>
      </c>
    </row>
    <row r="561">
      <c r="A561" t="inlineStr">
        <is>
          <t>market for gas turbine, 10MW electrical</t>
        </is>
      </c>
      <c r="B561" t="n">
        <v>2.54e-11</v>
      </c>
      <c r="C561" t="inlineStr">
        <is>
          <t>GLO</t>
        </is>
      </c>
      <c r="D561" t="inlineStr">
        <is>
          <t>unit</t>
        </is>
      </c>
      <c r="E561" t="inlineStr">
        <is>
          <t>Materials/fuels</t>
        </is>
      </c>
      <c r="F561" t="inlineStr">
        <is>
          <t>technosphere</t>
        </is>
      </c>
      <c r="G561" t="n">
        <v>0</v>
      </c>
      <c r="H561" t="n">
        <v>-24.39627194190406</v>
      </c>
      <c r="I561" t="n">
        <v>0</v>
      </c>
      <c r="K561" t="inlineStr">
        <is>
          <t>n_turbine = n_injection wells/(lifetime*annual m_flow)</t>
        </is>
      </c>
      <c r="L561" t="n">
        <v>0</v>
      </c>
      <c r="M561" t="inlineStr">
        <is>
          <t>gas turbine, 10MW electrical</t>
        </is>
      </c>
    </row>
    <row r="562">
      <c r="A562" t="inlineStr">
        <is>
          <t>market group for electricity, medium voltage</t>
        </is>
      </c>
      <c r="B562" t="n">
        <v>0.009480000000000001</v>
      </c>
      <c r="C562" t="inlineStr">
        <is>
          <t>ENTSO-E</t>
        </is>
      </c>
      <c r="D562" t="inlineStr">
        <is>
          <t>kilowatt hour</t>
        </is>
      </c>
      <c r="E562" t="inlineStr">
        <is>
          <t>Materials/fuels</t>
        </is>
      </c>
      <c r="F562" t="inlineStr">
        <is>
          <t>technosphere</t>
        </is>
      </c>
      <c r="G562" t="n">
        <v>0</v>
      </c>
      <c r="H562" t="n">
        <v>-4.658570962715206</v>
      </c>
      <c r="I562" t="n">
        <v>0</v>
      </c>
      <c r="K562" t="inlineStr">
        <is>
          <t>E = 87,85*ln((p_hydrostat+p_over)_pipeline)*(m_flow_project*8760h/a)/annual_m_flow</t>
        </is>
      </c>
      <c r="L562" t="n">
        <v>0</v>
      </c>
      <c r="M562" t="inlineStr">
        <is>
          <t>electricity, medium voltage</t>
        </is>
      </c>
    </row>
    <row r="563">
      <c r="A563" t="inlineStr">
        <is>
          <t>transport, pipeline, supercritical carbon dioxide, 200km without recompression</t>
        </is>
      </c>
      <c r="B563" t="n">
        <v>0.153</v>
      </c>
      <c r="C563" t="inlineStr">
        <is>
          <t>RER</t>
        </is>
      </c>
      <c r="D563" t="inlineStr">
        <is>
          <t>ton kilometer</t>
        </is>
      </c>
      <c r="E563" t="inlineStr">
        <is>
          <t>Materials/fuels</t>
        </is>
      </c>
      <c r="F563" t="inlineStr">
        <is>
          <t>technosphere</t>
        </is>
      </c>
      <c r="G563" t="n">
        <v>0</v>
      </c>
      <c r="H563" t="n">
        <v>-1.877317357589702</v>
      </c>
      <c r="I563" t="n">
        <v>0</v>
      </c>
      <c r="K563" t="inlineStr">
        <is>
          <t>tkm = l_no comp*m_flow_project/(m_flow_dataset*1000kg/t)</t>
        </is>
      </c>
      <c r="L563" t="n">
        <v>0</v>
      </c>
    </row>
    <row r="564"/>
    <row r="565" ht="16" customHeight="1">
      <c r="A565" s="1" t="inlineStr">
        <is>
          <t>Activity</t>
        </is>
      </c>
      <c r="B565" s="1" t="inlineStr">
        <is>
          <t>carbon dioxide storage from lignite, post, pipeline 400km, storage 3000m</t>
        </is>
      </c>
    </row>
    <row r="566">
      <c r="A566" t="inlineStr">
        <is>
          <t>location</t>
        </is>
      </c>
      <c r="B566" t="inlineStr">
        <is>
          <t>RER</t>
        </is>
      </c>
    </row>
    <row r="567">
      <c r="A567" t="inlineStr">
        <is>
          <t>production amount</t>
        </is>
      </c>
      <c r="B567" t="n">
        <v>1</v>
      </c>
    </row>
    <row r="568">
      <c r="A568" t="inlineStr">
        <is>
          <t>reference product</t>
        </is>
      </c>
      <c r="B568" t="inlineStr">
        <is>
          <t>carbon dioxide storage from lignite, post, pipeline 400km, storage 3000m</t>
        </is>
      </c>
    </row>
    <row r="569">
      <c r="A569" t="inlineStr">
        <is>
          <t>type</t>
        </is>
      </c>
      <c r="B569" t="inlineStr">
        <is>
          <t>process</t>
        </is>
      </c>
    </row>
    <row r="570">
      <c r="A570" t="inlineStr">
        <is>
          <t>unit</t>
        </is>
      </c>
      <c r="B570" t="inlineStr">
        <is>
          <t>kilogram</t>
        </is>
      </c>
    </row>
    <row r="571">
      <c r="A571" t="inlineStr">
        <is>
          <t>source</t>
        </is>
      </c>
      <c r="B571" t="inlineStr">
        <is>
          <t>Life cycle assessment of carbon capture and storage in power generation and industry in Europe, Volkart et al., 2013, International Journal of Greenhouse Gas Control</t>
        </is>
      </c>
    </row>
    <row r="572" ht="16" customHeight="1">
      <c r="A572" s="1" t="inlineStr">
        <is>
          <t>Exchanges</t>
        </is>
      </c>
    </row>
    <row r="573">
      <c r="A573" t="inlineStr">
        <is>
          <t>name</t>
        </is>
      </c>
      <c r="B573" t="inlineStr">
        <is>
          <t>amount</t>
        </is>
      </c>
      <c r="C573" t="inlineStr">
        <is>
          <t>location</t>
        </is>
      </c>
      <c r="D573" t="inlineStr">
        <is>
          <t>unit</t>
        </is>
      </c>
      <c r="E573" t="inlineStr">
        <is>
          <t>categories</t>
        </is>
      </c>
      <c r="F573" t="inlineStr">
        <is>
          <t>type</t>
        </is>
      </c>
      <c r="G573" t="inlineStr">
        <is>
          <t>uncertainty type</t>
        </is>
      </c>
      <c r="H573" t="inlineStr">
        <is>
          <t>loc</t>
        </is>
      </c>
      <c r="I573" t="inlineStr">
        <is>
          <t>scale</t>
        </is>
      </c>
      <c r="J573" t="inlineStr">
        <is>
          <t>allocation</t>
        </is>
      </c>
      <c r="K573" t="inlineStr">
        <is>
          <t>comment</t>
        </is>
      </c>
      <c r="L573" t="inlineStr">
        <is>
          <t>negative</t>
        </is>
      </c>
      <c r="M573" t="inlineStr">
        <is>
          <t>reference product</t>
        </is>
      </c>
    </row>
    <row r="574">
      <c r="A574" t="inlineStr">
        <is>
          <t>carbon dioxide storage from lignite, post, pipeline 400km, storage 3000m</t>
        </is>
      </c>
      <c r="B574" t="n">
        <v>1</v>
      </c>
      <c r="C574" t="inlineStr">
        <is>
          <t>RER</t>
        </is>
      </c>
      <c r="D574" t="inlineStr">
        <is>
          <t>kilogram</t>
        </is>
      </c>
      <c r="E574" t="inlineStr">
        <is>
          <t>CCS Europe 2025::Lignite::Geological storage</t>
        </is>
      </c>
      <c r="F574" t="inlineStr">
        <is>
          <t>production</t>
        </is>
      </c>
      <c r="J574" t="n">
        <v>100</v>
      </c>
    </row>
    <row r="575">
      <c r="A575" t="inlineStr">
        <is>
          <t>drilling, deep borehole</t>
        </is>
      </c>
      <c r="B575" t="n">
        <v>5.07e-08</v>
      </c>
      <c r="C575" t="inlineStr">
        <is>
          <t>RER</t>
        </is>
      </c>
      <c r="D575" t="inlineStr">
        <is>
          <t>meter</t>
        </is>
      </c>
      <c r="E575" t="inlineStr">
        <is>
          <t>Materials/fuels</t>
        </is>
      </c>
      <c r="F575" t="inlineStr">
        <is>
          <t>technosphere</t>
        </is>
      </c>
      <c r="G575" t="n">
        <v>0</v>
      </c>
      <c r="H575" t="n">
        <v>5.07e-08</v>
      </c>
      <c r="K575" t="inlineStr">
        <is>
          <t>l_drilling = (n_injection wells+n_monitoring wells)*storage depth/(lifetime*annual_m_flow)</t>
        </is>
      </c>
    </row>
    <row r="576">
      <c r="A576" t="inlineStr">
        <is>
          <t>market for gas turbine, 10MW electrical</t>
        </is>
      </c>
      <c r="B576" t="n">
        <v>2.54e-11</v>
      </c>
      <c r="C576" t="inlineStr">
        <is>
          <t>GLO</t>
        </is>
      </c>
      <c r="D576" t="inlineStr">
        <is>
          <t>unit</t>
        </is>
      </c>
      <c r="E576" t="inlineStr">
        <is>
          <t>Materials/fuels</t>
        </is>
      </c>
      <c r="F576" t="inlineStr">
        <is>
          <t>technosphere</t>
        </is>
      </c>
      <c r="G576" t="n">
        <v>0</v>
      </c>
      <c r="H576" t="n">
        <v>-24.39627194190406</v>
      </c>
      <c r="I576" t="n">
        <v>0</v>
      </c>
      <c r="K576" t="inlineStr">
        <is>
          <t>n_turbine = n_injection wells/(lifetime*annual m_flow)</t>
        </is>
      </c>
      <c r="L576" t="n">
        <v>0</v>
      </c>
      <c r="M576" t="inlineStr">
        <is>
          <t>gas turbine, 10MW electrical</t>
        </is>
      </c>
    </row>
    <row r="577">
      <c r="A577" t="inlineStr">
        <is>
          <t>market group for electricity, medium voltage</t>
        </is>
      </c>
      <c r="B577" t="n">
        <v>0.0334</v>
      </c>
      <c r="C577" t="inlineStr">
        <is>
          <t>ENTSO-E</t>
        </is>
      </c>
      <c r="D577" t="inlineStr">
        <is>
          <t>kilowatt hour</t>
        </is>
      </c>
      <c r="E577" t="inlineStr">
        <is>
          <t>Materials/fuels</t>
        </is>
      </c>
      <c r="F577" t="inlineStr">
        <is>
          <t>technosphere</t>
        </is>
      </c>
      <c r="G577" t="n">
        <v>0</v>
      </c>
      <c r="H577" t="n">
        <v>-3.399199378999482</v>
      </c>
      <c r="I577" t="n">
        <v>0</v>
      </c>
      <c r="K577" t="inlineStr">
        <is>
          <t>E = 87,85*ln((p_hydrostat+p_over)_pipeline)*(m_flow_project*8760h/a)/annual_m_flow</t>
        </is>
      </c>
      <c r="L577" t="n">
        <v>0</v>
      </c>
      <c r="M577" t="inlineStr">
        <is>
          <t>electricity, medium voltage</t>
        </is>
      </c>
    </row>
    <row r="578">
      <c r="A578" t="inlineStr">
        <is>
          <t>transport, pipeline, supercritical carbon dioxide, 200km with recompression</t>
        </is>
      </c>
      <c r="B578" t="n">
        <v>0.153</v>
      </c>
      <c r="C578" t="inlineStr">
        <is>
          <t>RER</t>
        </is>
      </c>
      <c r="D578" t="inlineStr">
        <is>
          <t>ton kilometer</t>
        </is>
      </c>
      <c r="E578" t="inlineStr">
        <is>
          <t>Materials/fuels</t>
        </is>
      </c>
      <c r="F578" t="inlineStr">
        <is>
          <t>technosphere</t>
        </is>
      </c>
      <c r="G578" t="n">
        <v>0</v>
      </c>
      <c r="H578" t="n">
        <v>-1.877317357589702</v>
      </c>
      <c r="I578" t="n">
        <v>0</v>
      </c>
      <c r="K578" t="inlineStr">
        <is>
          <t>tkm = l_with comp*m_flow_project/(m_flow_dataset*1000kg/t)</t>
        </is>
      </c>
      <c r="L578" t="n">
        <v>0</v>
      </c>
    </row>
    <row r="579">
      <c r="A579" t="inlineStr">
        <is>
          <t>transport, pipeline, supercritical carbon dioxide, 200km without recompression</t>
        </is>
      </c>
      <c r="B579" t="n">
        <v>0.153</v>
      </c>
      <c r="C579" t="inlineStr">
        <is>
          <t>RER</t>
        </is>
      </c>
      <c r="D579" t="inlineStr">
        <is>
          <t>ton kilometer</t>
        </is>
      </c>
      <c r="E579" t="inlineStr">
        <is>
          <t>Materials/fuels</t>
        </is>
      </c>
      <c r="F579" t="inlineStr">
        <is>
          <t>technosphere</t>
        </is>
      </c>
      <c r="G579" t="n">
        <v>0</v>
      </c>
      <c r="H579" t="n">
        <v>-1.877317357589702</v>
      </c>
      <c r="I579" t="n">
        <v>0</v>
      </c>
      <c r="K579" t="inlineStr">
        <is>
          <t>tkm = l_no comp*m_flow_project/(m_flow_dataset*1000kg/t)</t>
        </is>
      </c>
      <c r="L579" t="n">
        <v>0</v>
      </c>
    </row>
    <row r="580"/>
    <row r="581" ht="16" customHeight="1">
      <c r="A581" s="1" t="inlineStr">
        <is>
          <t>Activity</t>
        </is>
      </c>
      <c r="B581" s="1" t="inlineStr">
        <is>
          <t>carbon dioxide storage from lignite, pre, pipeline 200km, storage 1000m</t>
        </is>
      </c>
    </row>
    <row r="582">
      <c r="A582" t="inlineStr">
        <is>
          <t>location</t>
        </is>
      </c>
      <c r="B582" t="inlineStr">
        <is>
          <t>RER</t>
        </is>
      </c>
    </row>
    <row r="583">
      <c r="A583" t="inlineStr">
        <is>
          <t>production amount</t>
        </is>
      </c>
      <c r="B583" t="n">
        <v>1</v>
      </c>
    </row>
    <row r="584">
      <c r="A584" t="inlineStr">
        <is>
          <t>reference product</t>
        </is>
      </c>
      <c r="B584" t="inlineStr">
        <is>
          <t>carbon dioxide storage from lignite, pre, pipeline 200km, storage 1000m</t>
        </is>
      </c>
    </row>
    <row r="585">
      <c r="A585" t="inlineStr">
        <is>
          <t>type</t>
        </is>
      </c>
      <c r="B585" t="inlineStr">
        <is>
          <t>process</t>
        </is>
      </c>
    </row>
    <row r="586">
      <c r="A586" t="inlineStr">
        <is>
          <t>unit</t>
        </is>
      </c>
      <c r="B586" t="inlineStr">
        <is>
          <t>kilogram</t>
        </is>
      </c>
    </row>
    <row r="587">
      <c r="A587" t="inlineStr">
        <is>
          <t>source</t>
        </is>
      </c>
      <c r="B587" t="inlineStr">
        <is>
          <t>Life cycle assessment of carbon capture and storage in power generation and industry in Europe, Volkart et al., 2013, International Journal of Greenhouse Gas Control</t>
        </is>
      </c>
    </row>
    <row r="588" ht="16" customHeight="1">
      <c r="A588" s="1" t="inlineStr">
        <is>
          <t>Exchanges</t>
        </is>
      </c>
    </row>
    <row r="589">
      <c r="A589" t="inlineStr">
        <is>
          <t>name</t>
        </is>
      </c>
      <c r="B589" t="inlineStr">
        <is>
          <t>amount</t>
        </is>
      </c>
      <c r="C589" t="inlineStr">
        <is>
          <t>location</t>
        </is>
      </c>
      <c r="D589" t="inlineStr">
        <is>
          <t>unit</t>
        </is>
      </c>
      <c r="E589" t="inlineStr">
        <is>
          <t>categories</t>
        </is>
      </c>
      <c r="F589" t="inlineStr">
        <is>
          <t>type</t>
        </is>
      </c>
      <c r="G589" t="inlineStr">
        <is>
          <t>uncertainty type</t>
        </is>
      </c>
      <c r="H589" t="inlineStr">
        <is>
          <t>loc</t>
        </is>
      </c>
      <c r="I589" t="inlineStr">
        <is>
          <t>scale</t>
        </is>
      </c>
      <c r="J589" t="inlineStr">
        <is>
          <t>allocation</t>
        </is>
      </c>
      <c r="K589" t="inlineStr">
        <is>
          <t>comment</t>
        </is>
      </c>
      <c r="L589" t="inlineStr">
        <is>
          <t>negative</t>
        </is>
      </c>
      <c r="M589" t="inlineStr">
        <is>
          <t>reference product</t>
        </is>
      </c>
    </row>
    <row r="590">
      <c r="A590" t="inlineStr">
        <is>
          <t>carbon dioxide storage from lignite, pre, pipeline 200km, storage 1000m</t>
        </is>
      </c>
      <c r="B590" t="n">
        <v>1</v>
      </c>
      <c r="C590" t="inlineStr">
        <is>
          <t>RER</t>
        </is>
      </c>
      <c r="D590" t="inlineStr">
        <is>
          <t>kilogram</t>
        </is>
      </c>
      <c r="E590" t="inlineStr">
        <is>
          <t>CCS Europe 2025::Lignite::Geological storage</t>
        </is>
      </c>
      <c r="F590" t="inlineStr">
        <is>
          <t>production</t>
        </is>
      </c>
      <c r="J590" t="n">
        <v>100</v>
      </c>
    </row>
    <row r="591">
      <c r="A591" t="inlineStr">
        <is>
          <t>drilling, deep borehole</t>
        </is>
      </c>
      <c r="B591" t="n">
        <v>1.69e-08</v>
      </c>
      <c r="C591" t="inlineStr">
        <is>
          <t>RER</t>
        </is>
      </c>
      <c r="D591" t="inlineStr">
        <is>
          <t>meter</t>
        </is>
      </c>
      <c r="E591" t="inlineStr">
        <is>
          <t>Materials/fuels</t>
        </is>
      </c>
      <c r="F591" t="inlineStr">
        <is>
          <t>technosphere</t>
        </is>
      </c>
      <c r="G591" t="n">
        <v>0</v>
      </c>
      <c r="H591" t="n">
        <v>1.69e-08</v>
      </c>
      <c r="K591" t="inlineStr">
        <is>
          <t>l_drilling = (n_injection wells+n_monitoring wells)*storage depth/(lifetime*annual_m_flow)</t>
        </is>
      </c>
    </row>
    <row r="592">
      <c r="A592" t="inlineStr">
        <is>
          <t>market for gas turbine, 10MW electrical</t>
        </is>
      </c>
      <c r="B592" t="n">
        <v>2.54e-11</v>
      </c>
      <c r="C592" t="inlineStr">
        <is>
          <t>GLO</t>
        </is>
      </c>
      <c r="D592" t="inlineStr">
        <is>
          <t>unit</t>
        </is>
      </c>
      <c r="E592" t="inlineStr">
        <is>
          <t>Materials/fuels</t>
        </is>
      </c>
      <c r="F592" t="inlineStr">
        <is>
          <t>technosphere</t>
        </is>
      </c>
      <c r="G592" t="n">
        <v>0</v>
      </c>
      <c r="H592" t="n">
        <v>-24.39627194190406</v>
      </c>
      <c r="I592" t="n">
        <v>0</v>
      </c>
      <c r="K592" t="inlineStr">
        <is>
          <t>n_turbine = n_injection wells/(lifetime*annual m_flow)</t>
        </is>
      </c>
      <c r="L592" t="n">
        <v>0</v>
      </c>
      <c r="M592" t="inlineStr">
        <is>
          <t>gas turbine, 10MW electrical</t>
        </is>
      </c>
    </row>
    <row r="593">
      <c r="A593" t="inlineStr">
        <is>
          <t>market group for electricity, medium voltage</t>
        </is>
      </c>
      <c r="B593" t="n">
        <v>0.009480000000000001</v>
      </c>
      <c r="C593" t="inlineStr">
        <is>
          <t>ENTSO-E</t>
        </is>
      </c>
      <c r="D593" t="inlineStr">
        <is>
          <t>kilowatt hour</t>
        </is>
      </c>
      <c r="E593" t="inlineStr">
        <is>
          <t>Materials/fuels</t>
        </is>
      </c>
      <c r="F593" t="inlineStr">
        <is>
          <t>technosphere</t>
        </is>
      </c>
      <c r="G593" t="n">
        <v>0</v>
      </c>
      <c r="H593" t="n">
        <v>-4.658570962715206</v>
      </c>
      <c r="I593" t="n">
        <v>0</v>
      </c>
      <c r="K593" t="inlineStr">
        <is>
          <t>E = 87,85*ln((p_hydrostat+p_over)_pipeline)*(m_flow_project*8760h/a)/annual_m_flow</t>
        </is>
      </c>
      <c r="L593" t="n">
        <v>0</v>
      </c>
      <c r="M593" t="inlineStr">
        <is>
          <t>electricity, medium voltage</t>
        </is>
      </c>
    </row>
    <row r="594">
      <c r="A594" t="inlineStr">
        <is>
          <t>transport, pipeline, supercritical carbon dioxide, 200km without recompression</t>
        </is>
      </c>
      <c r="B594" t="n">
        <v>0.134</v>
      </c>
      <c r="C594" t="inlineStr">
        <is>
          <t>RER</t>
        </is>
      </c>
      <c r="D594" t="inlineStr">
        <is>
          <t>ton kilometer</t>
        </is>
      </c>
      <c r="E594" t="inlineStr">
        <is>
          <t>Materials/fuels</t>
        </is>
      </c>
      <c r="F594" t="inlineStr">
        <is>
          <t>technosphere</t>
        </is>
      </c>
      <c r="G594" t="n">
        <v>0</v>
      </c>
      <c r="H594" t="n">
        <v>-2.009915479031226</v>
      </c>
      <c r="I594" t="n">
        <v>0</v>
      </c>
      <c r="K594" t="inlineStr">
        <is>
          <t>tkm = l_no comp*m_flow_project/(m_flow_dataset*1000kg/t)</t>
        </is>
      </c>
      <c r="L594" t="n">
        <v>0</v>
      </c>
    </row>
    <row r="595"/>
    <row r="596" ht="16" customHeight="1">
      <c r="A596" s="1" t="inlineStr">
        <is>
          <t>Activity</t>
        </is>
      </c>
      <c r="B596" s="1" t="inlineStr">
        <is>
          <t>carbon dioxide storage from lignite, pre, pipeline 400km, storage 3000m</t>
        </is>
      </c>
    </row>
    <row r="597">
      <c r="A597" t="inlineStr">
        <is>
          <t>location</t>
        </is>
      </c>
      <c r="B597" t="inlineStr">
        <is>
          <t>RER</t>
        </is>
      </c>
    </row>
    <row r="598">
      <c r="A598" t="inlineStr">
        <is>
          <t>production amount</t>
        </is>
      </c>
      <c r="B598" t="n">
        <v>1</v>
      </c>
    </row>
    <row r="599">
      <c r="A599" t="inlineStr">
        <is>
          <t>reference product</t>
        </is>
      </c>
      <c r="B599" t="inlineStr">
        <is>
          <t>carbon dioxide storage from lignite, pre, pipeline 400km, storage 3000m</t>
        </is>
      </c>
    </row>
    <row r="600">
      <c r="A600" t="inlineStr">
        <is>
          <t>type</t>
        </is>
      </c>
      <c r="B600" t="inlineStr">
        <is>
          <t>process</t>
        </is>
      </c>
    </row>
    <row r="601">
      <c r="A601" t="inlineStr">
        <is>
          <t>unit</t>
        </is>
      </c>
      <c r="B601" t="inlineStr">
        <is>
          <t>kilogram</t>
        </is>
      </c>
    </row>
    <row r="602">
      <c r="A602" t="inlineStr">
        <is>
          <t>source</t>
        </is>
      </c>
      <c r="B602" t="inlineStr">
        <is>
          <t>Life cycle assessment of carbon capture and storage in power generation and industry in Europe, Volkart et al., 2013, International Journal of Greenhouse Gas Control</t>
        </is>
      </c>
    </row>
    <row r="603" ht="16" customHeight="1">
      <c r="A603" s="1" t="inlineStr">
        <is>
          <t>Exchanges</t>
        </is>
      </c>
    </row>
    <row r="604">
      <c r="A604" t="inlineStr">
        <is>
          <t>name</t>
        </is>
      </c>
      <c r="B604" t="inlineStr">
        <is>
          <t>amount</t>
        </is>
      </c>
      <c r="C604" t="inlineStr">
        <is>
          <t>location</t>
        </is>
      </c>
      <c r="D604" t="inlineStr">
        <is>
          <t>unit</t>
        </is>
      </c>
      <c r="E604" t="inlineStr">
        <is>
          <t>categories</t>
        </is>
      </c>
      <c r="F604" t="inlineStr">
        <is>
          <t>type</t>
        </is>
      </c>
      <c r="G604" t="inlineStr">
        <is>
          <t>uncertainty type</t>
        </is>
      </c>
      <c r="H604" t="inlineStr">
        <is>
          <t>loc</t>
        </is>
      </c>
      <c r="I604" t="inlineStr">
        <is>
          <t>scale</t>
        </is>
      </c>
      <c r="J604" t="inlineStr">
        <is>
          <t>allocation</t>
        </is>
      </c>
      <c r="K604" t="inlineStr">
        <is>
          <t>comment</t>
        </is>
      </c>
      <c r="L604" t="inlineStr">
        <is>
          <t>negative</t>
        </is>
      </c>
      <c r="M604" t="inlineStr">
        <is>
          <t>reference product</t>
        </is>
      </c>
    </row>
    <row r="605">
      <c r="A605" t="inlineStr">
        <is>
          <t>carbon dioxide storage from lignite, pre, pipeline 400km, storage 3000m</t>
        </is>
      </c>
      <c r="B605" t="n">
        <v>1</v>
      </c>
      <c r="C605" t="inlineStr">
        <is>
          <t>RER</t>
        </is>
      </c>
      <c r="D605" t="inlineStr">
        <is>
          <t>kilogram</t>
        </is>
      </c>
      <c r="E605" t="inlineStr">
        <is>
          <t>CCS Europe 2025::Lignite::Geological storage</t>
        </is>
      </c>
      <c r="F605" t="inlineStr">
        <is>
          <t>production</t>
        </is>
      </c>
      <c r="J605" t="n">
        <v>100</v>
      </c>
    </row>
    <row r="606">
      <c r="A606" t="inlineStr">
        <is>
          <t>drilling, deep borehole</t>
        </is>
      </c>
      <c r="B606" t="n">
        <v>5.07e-08</v>
      </c>
      <c r="C606" t="inlineStr">
        <is>
          <t>RER</t>
        </is>
      </c>
      <c r="D606" t="inlineStr">
        <is>
          <t>meter</t>
        </is>
      </c>
      <c r="E606" t="inlineStr">
        <is>
          <t>Materials/fuels</t>
        </is>
      </c>
      <c r="F606" t="inlineStr">
        <is>
          <t>technosphere</t>
        </is>
      </c>
      <c r="G606" t="n">
        <v>0</v>
      </c>
      <c r="H606" t="n">
        <v>5.07e-08</v>
      </c>
      <c r="K606" t="inlineStr">
        <is>
          <t>l_drilling = (n_injection wells+n_monitoring wells)*storage depth/(lifetime*annual_m_flow)</t>
        </is>
      </c>
    </row>
    <row r="607">
      <c r="A607" t="inlineStr">
        <is>
          <t>market for gas turbine, 10MW electrical</t>
        </is>
      </c>
      <c r="B607" t="n">
        <v>2.54e-11</v>
      </c>
      <c r="C607" t="inlineStr">
        <is>
          <t>GLO</t>
        </is>
      </c>
      <c r="D607" t="inlineStr">
        <is>
          <t>unit</t>
        </is>
      </c>
      <c r="E607" t="inlineStr">
        <is>
          <t>Materials/fuels</t>
        </is>
      </c>
      <c r="F607" t="inlineStr">
        <is>
          <t>technosphere</t>
        </is>
      </c>
      <c r="G607" t="n">
        <v>0</v>
      </c>
      <c r="H607" t="n">
        <v>-24.39627194190406</v>
      </c>
      <c r="I607" t="n">
        <v>0</v>
      </c>
      <c r="K607" t="inlineStr">
        <is>
          <t>n_turbine = n_injection wells/(lifetime*annual m_flow)</t>
        </is>
      </c>
      <c r="L607" t="n">
        <v>0</v>
      </c>
      <c r="M607" t="inlineStr">
        <is>
          <t>gas turbine, 10MW electrical</t>
        </is>
      </c>
    </row>
    <row r="608">
      <c r="A608" t="inlineStr">
        <is>
          <t>market group for electricity, medium voltage</t>
        </is>
      </c>
      <c r="B608" t="n">
        <v>0.0334</v>
      </c>
      <c r="C608" t="inlineStr">
        <is>
          <t>ENTSO-E</t>
        </is>
      </c>
      <c r="D608" t="inlineStr">
        <is>
          <t>kilowatt hour</t>
        </is>
      </c>
      <c r="E608" t="inlineStr">
        <is>
          <t>Materials/fuels</t>
        </is>
      </c>
      <c r="F608" t="inlineStr">
        <is>
          <t>technosphere</t>
        </is>
      </c>
      <c r="G608" t="n">
        <v>0</v>
      </c>
      <c r="H608" t="n">
        <v>-3.399199378999482</v>
      </c>
      <c r="I608" t="n">
        <v>0</v>
      </c>
      <c r="K608" t="inlineStr">
        <is>
          <t>E = 87,85*ln((p_hydrostat+p_over)_pipeline)*(m_flow_project*8760h/a)/annual_m_flow</t>
        </is>
      </c>
      <c r="L608" t="n">
        <v>0</v>
      </c>
      <c r="M608" t="inlineStr">
        <is>
          <t>electricity, medium voltage</t>
        </is>
      </c>
    </row>
    <row r="609">
      <c r="A609" t="inlineStr">
        <is>
          <t>transport, pipeline, supercritical carbon dioxide, 200km with recompression</t>
        </is>
      </c>
      <c r="B609" t="n">
        <v>0.134</v>
      </c>
      <c r="C609" t="inlineStr">
        <is>
          <t>RER</t>
        </is>
      </c>
      <c r="D609" t="inlineStr">
        <is>
          <t>ton kilometer</t>
        </is>
      </c>
      <c r="E609" t="inlineStr">
        <is>
          <t>Materials/fuels</t>
        </is>
      </c>
      <c r="F609" t="inlineStr">
        <is>
          <t>technosphere</t>
        </is>
      </c>
      <c r="G609" t="n">
        <v>0</v>
      </c>
      <c r="H609" t="n">
        <v>-2.009915479031226</v>
      </c>
      <c r="I609" t="n">
        <v>0</v>
      </c>
      <c r="K609" t="inlineStr">
        <is>
          <t>tkm = l_with comp*m_flow_project/(m_flow_dataset*1000kg/t)</t>
        </is>
      </c>
      <c r="L609" t="n">
        <v>0</v>
      </c>
    </row>
    <row r="610">
      <c r="A610" t="inlineStr">
        <is>
          <t>transport, pipeline, supercritical carbon dioxide, 200km without recompression</t>
        </is>
      </c>
      <c r="B610" t="n">
        <v>0.134</v>
      </c>
      <c r="C610" t="inlineStr">
        <is>
          <t>RER</t>
        </is>
      </c>
      <c r="D610" t="inlineStr">
        <is>
          <t>ton kilometer</t>
        </is>
      </c>
      <c r="E610" t="inlineStr">
        <is>
          <t>Materials/fuels</t>
        </is>
      </c>
      <c r="F610" t="inlineStr">
        <is>
          <t>technosphere</t>
        </is>
      </c>
      <c r="G610" t="n">
        <v>0</v>
      </c>
      <c r="H610" t="n">
        <v>-2.009915479031226</v>
      </c>
      <c r="I610" t="n">
        <v>0</v>
      </c>
      <c r="K610" t="inlineStr">
        <is>
          <t>tkm = l_no comp*m_flow_project/(m_flow_dataset*1000kg/t)</t>
        </is>
      </c>
      <c r="L610" t="n">
        <v>0</v>
      </c>
    </row>
    <row r="611"/>
    <row r="612" ht="16" customHeight="1">
      <c r="A612" s="1" t="inlineStr">
        <is>
          <t>Activity</t>
        </is>
      </c>
      <c r="B612" s="1" t="inlineStr">
        <is>
          <t>carbon dioxide storage from natural gas, post, 200km pipeline, storage 1000m</t>
        </is>
      </c>
    </row>
    <row r="613">
      <c r="A613" t="inlineStr">
        <is>
          <t>location</t>
        </is>
      </c>
      <c r="B613" t="inlineStr">
        <is>
          <t>RER</t>
        </is>
      </c>
    </row>
    <row r="614">
      <c r="A614" t="inlineStr">
        <is>
          <t>production amount</t>
        </is>
      </c>
      <c r="B614" t="n">
        <v>1</v>
      </c>
    </row>
    <row r="615">
      <c r="A615" t="inlineStr">
        <is>
          <t>reference product</t>
        </is>
      </c>
      <c r="B615" t="inlineStr">
        <is>
          <t>carbon dioxide storage from natural gas, post, 200km pipeline, storage 1000m</t>
        </is>
      </c>
    </row>
    <row r="616">
      <c r="A616" t="inlineStr">
        <is>
          <t>type</t>
        </is>
      </c>
      <c r="B616" t="inlineStr">
        <is>
          <t>process</t>
        </is>
      </c>
    </row>
    <row r="617">
      <c r="A617" t="inlineStr">
        <is>
          <t>unit</t>
        </is>
      </c>
      <c r="B617" t="inlineStr">
        <is>
          <t>kilogram</t>
        </is>
      </c>
    </row>
    <row r="618">
      <c r="A618" t="inlineStr">
        <is>
          <t>source</t>
        </is>
      </c>
      <c r="B618" t="inlineStr">
        <is>
          <t>Life cycle assessment of carbon capture and storage in power generation and industry in Europe, Volkart et al., 2013, International Journal of Greenhouse Gas Control</t>
        </is>
      </c>
    </row>
    <row r="619" ht="16" customHeight="1">
      <c r="A619" s="1" t="inlineStr">
        <is>
          <t>Exchanges</t>
        </is>
      </c>
    </row>
    <row r="620">
      <c r="A620" t="inlineStr">
        <is>
          <t>name</t>
        </is>
      </c>
      <c r="B620" t="inlineStr">
        <is>
          <t>amount</t>
        </is>
      </c>
      <c r="C620" t="inlineStr">
        <is>
          <t>location</t>
        </is>
      </c>
      <c r="D620" t="inlineStr">
        <is>
          <t>unit</t>
        </is>
      </c>
      <c r="E620" t="inlineStr">
        <is>
          <t>categories</t>
        </is>
      </c>
      <c r="F620" t="inlineStr">
        <is>
          <t>type</t>
        </is>
      </c>
      <c r="G620" t="inlineStr">
        <is>
          <t>uncertainty type</t>
        </is>
      </c>
      <c r="H620" t="inlineStr">
        <is>
          <t>loc</t>
        </is>
      </c>
      <c r="I620" t="inlineStr">
        <is>
          <t>scale</t>
        </is>
      </c>
      <c r="J620" t="inlineStr">
        <is>
          <t>allocation</t>
        </is>
      </c>
      <c r="K620" t="inlineStr">
        <is>
          <t>comment</t>
        </is>
      </c>
      <c r="L620" t="inlineStr">
        <is>
          <t>negative</t>
        </is>
      </c>
      <c r="M620" t="inlineStr">
        <is>
          <t>reference product</t>
        </is>
      </c>
    </row>
    <row r="621">
      <c r="A621" t="inlineStr">
        <is>
          <t>carbon dioxide storage from natural gas, post, 200km pipeline, storage 1000m</t>
        </is>
      </c>
      <c r="B621" t="n">
        <v>1</v>
      </c>
      <c r="C621" t="inlineStr">
        <is>
          <t>RER</t>
        </is>
      </c>
      <c r="D621" t="inlineStr">
        <is>
          <t>kilogram</t>
        </is>
      </c>
      <c r="E621" t="inlineStr">
        <is>
          <t>CCS Europe 2025::Natural gas::Geological storage</t>
        </is>
      </c>
      <c r="F621" t="inlineStr">
        <is>
          <t>production</t>
        </is>
      </c>
      <c r="J621" t="n">
        <v>100</v>
      </c>
    </row>
    <row r="622">
      <c r="A622" t="inlineStr">
        <is>
          <t>drilling, deep borehole</t>
        </is>
      </c>
      <c r="B622" t="n">
        <v>1.69e-08</v>
      </c>
      <c r="C622" t="inlineStr">
        <is>
          <t>RER</t>
        </is>
      </c>
      <c r="D622" t="inlineStr">
        <is>
          <t>meter</t>
        </is>
      </c>
      <c r="E622" t="inlineStr">
        <is>
          <t>Materials/fuels</t>
        </is>
      </c>
      <c r="F622" t="inlineStr">
        <is>
          <t>technosphere</t>
        </is>
      </c>
      <c r="G622" t="n">
        <v>0</v>
      </c>
      <c r="H622" t="n">
        <v>1.69e-08</v>
      </c>
      <c r="K622" t="inlineStr">
        <is>
          <t>l_drilling = (n_injection wells+n_monitoring wells)*storage depth/(lifetime*annual_m_flow)</t>
        </is>
      </c>
    </row>
    <row r="623">
      <c r="A623" t="inlineStr">
        <is>
          <t>market for gas turbine, 10MW electrical</t>
        </is>
      </c>
      <c r="B623" t="n">
        <v>2.54e-11</v>
      </c>
      <c r="C623" t="inlineStr">
        <is>
          <t>GLO</t>
        </is>
      </c>
      <c r="D623" t="inlineStr">
        <is>
          <t>unit</t>
        </is>
      </c>
      <c r="E623" t="inlineStr">
        <is>
          <t>Materials/fuels</t>
        </is>
      </c>
      <c r="F623" t="inlineStr">
        <is>
          <t>technosphere</t>
        </is>
      </c>
      <c r="G623" t="n">
        <v>0</v>
      </c>
      <c r="H623" t="n">
        <v>-24.39627194190406</v>
      </c>
      <c r="I623" t="n">
        <v>0</v>
      </c>
      <c r="K623" t="inlineStr">
        <is>
          <t>n_turbine = n_injection wells/(lifetime*annual m_flow)</t>
        </is>
      </c>
      <c r="L623" t="n">
        <v>0</v>
      </c>
      <c r="M623" t="inlineStr">
        <is>
          <t>gas turbine, 10MW electrical</t>
        </is>
      </c>
    </row>
    <row r="624">
      <c r="A624" t="inlineStr">
        <is>
          <t>market group for electricity, medium voltage</t>
        </is>
      </c>
      <c r="B624" t="n">
        <v>0.009480000000000001</v>
      </c>
      <c r="C624" t="inlineStr">
        <is>
          <t>ENTSO-E</t>
        </is>
      </c>
      <c r="D624" t="inlineStr">
        <is>
          <t>kilowatt hour</t>
        </is>
      </c>
      <c r="E624" t="inlineStr">
        <is>
          <t>Materials/fuels</t>
        </is>
      </c>
      <c r="F624" t="inlineStr">
        <is>
          <t>technosphere</t>
        </is>
      </c>
      <c r="G624" t="n">
        <v>0</v>
      </c>
      <c r="H624" t="n">
        <v>-4.658570962715206</v>
      </c>
      <c r="I624" t="n">
        <v>0</v>
      </c>
      <c r="K624" t="inlineStr">
        <is>
          <t>E = 87,85*ln((p_hydrostat+p_over)_pipeline)*(m_flow_project*8760h/a)/annual_m_flow</t>
        </is>
      </c>
      <c r="L624" t="n">
        <v>0</v>
      </c>
      <c r="M624" t="inlineStr">
        <is>
          <t>electricity, medium voltage</t>
        </is>
      </c>
    </row>
    <row r="625">
      <c r="A625" t="inlineStr">
        <is>
          <t>transport, pipeline, supercritical carbon dioxide, 200km without recompression</t>
        </is>
      </c>
      <c r="B625" t="n">
        <v>0.0307</v>
      </c>
      <c r="C625" t="inlineStr">
        <is>
          <t>RER</t>
        </is>
      </c>
      <c r="D625" t="inlineStr">
        <is>
          <t>ton kilometer</t>
        </is>
      </c>
      <c r="E625" t="inlineStr">
        <is>
          <t>Materials/fuels</t>
        </is>
      </c>
      <c r="F625" t="inlineStr">
        <is>
          <t>technosphere</t>
        </is>
      </c>
      <c r="G625" t="n">
        <v>0</v>
      </c>
      <c r="H625" t="n">
        <v>-3.483492624388985</v>
      </c>
      <c r="I625" t="n">
        <v>0</v>
      </c>
      <c r="K625" t="inlineStr">
        <is>
          <t>tkm = l_no comp*m_flow_project/(m_flow_dataset*1000kg/t)</t>
        </is>
      </c>
      <c r="L625" t="n">
        <v>0</v>
      </c>
    </row>
    <row r="626"/>
    <row r="627" ht="16" customHeight="1">
      <c r="A627" s="1" t="inlineStr">
        <is>
          <t>Activity</t>
        </is>
      </c>
      <c r="B627" s="1" t="inlineStr">
        <is>
          <t>carbon dioxide storage from natural gas, post, 400km pipeline, storage 1000m</t>
        </is>
      </c>
    </row>
    <row r="628">
      <c r="A628" t="inlineStr">
        <is>
          <t>location</t>
        </is>
      </c>
      <c r="B628" t="inlineStr">
        <is>
          <t>RER</t>
        </is>
      </c>
    </row>
    <row r="629">
      <c r="A629" t="inlineStr">
        <is>
          <t>production amount</t>
        </is>
      </c>
      <c r="B629" t="n">
        <v>1</v>
      </c>
    </row>
    <row r="630">
      <c r="A630" t="inlineStr">
        <is>
          <t>reference product</t>
        </is>
      </c>
      <c r="B630" t="inlineStr">
        <is>
          <t>carbon dioxide storage from natural gas, post, 400km pipeline, storage 1000m</t>
        </is>
      </c>
    </row>
    <row r="631">
      <c r="A631" t="inlineStr">
        <is>
          <t>type</t>
        </is>
      </c>
      <c r="B631" t="inlineStr">
        <is>
          <t>process</t>
        </is>
      </c>
    </row>
    <row r="632">
      <c r="A632" t="inlineStr">
        <is>
          <t>unit</t>
        </is>
      </c>
      <c r="B632" t="inlineStr">
        <is>
          <t>kilogram</t>
        </is>
      </c>
    </row>
    <row r="633">
      <c r="A633" t="inlineStr">
        <is>
          <t>source</t>
        </is>
      </c>
      <c r="B633" t="inlineStr">
        <is>
          <t>Life cycle assessment of carbon capture and storage in power generation and industry in Europe, Volkart et al., 2013, International Journal of Greenhouse Gas Control</t>
        </is>
      </c>
    </row>
    <row r="634" ht="16" customHeight="1">
      <c r="A634" s="1" t="inlineStr">
        <is>
          <t>Exchanges</t>
        </is>
      </c>
    </row>
    <row r="635">
      <c r="A635" t="inlineStr">
        <is>
          <t>name</t>
        </is>
      </c>
      <c r="B635" t="inlineStr">
        <is>
          <t>amount</t>
        </is>
      </c>
      <c r="C635" t="inlineStr">
        <is>
          <t>location</t>
        </is>
      </c>
      <c r="D635" t="inlineStr">
        <is>
          <t>unit</t>
        </is>
      </c>
      <c r="E635" t="inlineStr">
        <is>
          <t>categories</t>
        </is>
      </c>
      <c r="F635" t="inlineStr">
        <is>
          <t>type</t>
        </is>
      </c>
      <c r="G635" t="inlineStr">
        <is>
          <t>uncertainty type</t>
        </is>
      </c>
      <c r="H635" t="inlineStr">
        <is>
          <t>loc</t>
        </is>
      </c>
      <c r="I635" t="inlineStr">
        <is>
          <t>scale</t>
        </is>
      </c>
      <c r="J635" t="inlineStr">
        <is>
          <t>allocation</t>
        </is>
      </c>
      <c r="K635" t="inlineStr">
        <is>
          <t>comment</t>
        </is>
      </c>
      <c r="L635" t="inlineStr">
        <is>
          <t>negative</t>
        </is>
      </c>
      <c r="M635" t="inlineStr">
        <is>
          <t>reference product</t>
        </is>
      </c>
    </row>
    <row r="636">
      <c r="A636" t="inlineStr">
        <is>
          <t>carbon dioxide storage from natural gas, post, 400km pipeline, storage 1000m</t>
        </is>
      </c>
      <c r="B636" t="n">
        <v>1</v>
      </c>
      <c r="C636" t="inlineStr">
        <is>
          <t>RER</t>
        </is>
      </c>
      <c r="D636" t="inlineStr">
        <is>
          <t>kilogram</t>
        </is>
      </c>
      <c r="E636" t="inlineStr">
        <is>
          <t>CCS Europe 2025::Natural gas::Geological storage</t>
        </is>
      </c>
      <c r="F636" t="inlineStr">
        <is>
          <t>production</t>
        </is>
      </c>
      <c r="J636" t="n">
        <v>100</v>
      </c>
    </row>
    <row r="637">
      <c r="A637" t="inlineStr">
        <is>
          <t>drilling, deep borehole</t>
        </is>
      </c>
      <c r="B637" t="n">
        <v>1.69e-08</v>
      </c>
      <c r="C637" t="inlineStr">
        <is>
          <t>RER</t>
        </is>
      </c>
      <c r="D637" t="inlineStr">
        <is>
          <t>meter</t>
        </is>
      </c>
      <c r="E637" t="inlineStr">
        <is>
          <t>Materials/fuels</t>
        </is>
      </c>
      <c r="F637" t="inlineStr">
        <is>
          <t>technosphere</t>
        </is>
      </c>
      <c r="G637" t="n">
        <v>0</v>
      </c>
      <c r="H637" t="n">
        <v>1.69e-08</v>
      </c>
      <c r="K637" t="inlineStr">
        <is>
          <t>l_drilling = (n_injection wells+n_monitoring wells)*storage depth/(lifetime*annual_m_flow)</t>
        </is>
      </c>
    </row>
    <row r="638">
      <c r="A638" t="inlineStr">
        <is>
          <t>market for gas turbine, 10MW electrical</t>
        </is>
      </c>
      <c r="B638" t="n">
        <v>2.54e-11</v>
      </c>
      <c r="C638" t="inlineStr">
        <is>
          <t>GLO</t>
        </is>
      </c>
      <c r="D638" t="inlineStr">
        <is>
          <t>unit</t>
        </is>
      </c>
      <c r="E638" t="inlineStr">
        <is>
          <t>Materials/fuels</t>
        </is>
      </c>
      <c r="F638" t="inlineStr">
        <is>
          <t>technosphere</t>
        </is>
      </c>
      <c r="G638" t="n">
        <v>0</v>
      </c>
      <c r="H638" t="n">
        <v>-24.39627194190406</v>
      </c>
      <c r="I638" t="n">
        <v>0</v>
      </c>
      <c r="K638" t="inlineStr">
        <is>
          <t>n_turbine = n_injection wells/(lifetime*annual m_flow)</t>
        </is>
      </c>
      <c r="L638" t="n">
        <v>0</v>
      </c>
      <c r="M638" t="inlineStr">
        <is>
          <t>gas turbine, 10MW electrical</t>
        </is>
      </c>
    </row>
    <row r="639">
      <c r="A639" t="inlineStr">
        <is>
          <t>market group for electricity, medium voltage</t>
        </is>
      </c>
      <c r="B639" t="n">
        <v>0.009480000000000001</v>
      </c>
      <c r="C639" t="inlineStr">
        <is>
          <t>ENTSO-E</t>
        </is>
      </c>
      <c r="D639" t="inlineStr">
        <is>
          <t>kilowatt hour</t>
        </is>
      </c>
      <c r="E639" t="inlineStr">
        <is>
          <t>Materials/fuels</t>
        </is>
      </c>
      <c r="F639" t="inlineStr">
        <is>
          <t>technosphere</t>
        </is>
      </c>
      <c r="G639" t="n">
        <v>0</v>
      </c>
      <c r="H639" t="n">
        <v>-4.658570962715206</v>
      </c>
      <c r="I639" t="n">
        <v>0</v>
      </c>
      <c r="K639" t="inlineStr">
        <is>
          <t>E = 87,85*ln((p_hydrostat+p_over)_pipeline)*(m_flow_project*8760h/a)/annual_m_flow</t>
        </is>
      </c>
      <c r="L639" t="n">
        <v>0</v>
      </c>
      <c r="M639" t="inlineStr">
        <is>
          <t>electricity, medium voltage</t>
        </is>
      </c>
    </row>
    <row r="640">
      <c r="A640" t="inlineStr">
        <is>
          <t>transport, pipeline, supercritical carbon dioxide, 200km with recompression</t>
        </is>
      </c>
      <c r="B640" t="n">
        <v>0.0234</v>
      </c>
      <c r="C640" t="inlineStr">
        <is>
          <t>RER</t>
        </is>
      </c>
      <c r="D640" t="inlineStr">
        <is>
          <t>ton kilometer</t>
        </is>
      </c>
      <c r="E640" t="inlineStr">
        <is>
          <t>Materials/fuels</t>
        </is>
      </c>
      <c r="F640" t="inlineStr">
        <is>
          <t>technosphere</t>
        </is>
      </c>
      <c r="G640" t="n">
        <v>0</v>
      </c>
      <c r="H640" t="n">
        <v>0.0234</v>
      </c>
    </row>
    <row r="641">
      <c r="A641" t="inlineStr">
        <is>
          <t>transport, pipeline, supercritical carbon dioxide, 200km without recompression</t>
        </is>
      </c>
      <c r="B641" t="n">
        <v>0.0234</v>
      </c>
      <c r="C641" t="inlineStr">
        <is>
          <t>RER</t>
        </is>
      </c>
      <c r="D641" t="inlineStr">
        <is>
          <t>ton kilometer</t>
        </is>
      </c>
      <c r="E641" t="inlineStr">
        <is>
          <t>Materials/fuels</t>
        </is>
      </c>
      <c r="F641" t="inlineStr">
        <is>
          <t>technosphere</t>
        </is>
      </c>
      <c r="G641" t="n">
        <v>0</v>
      </c>
      <c r="H641" t="n">
        <v>-3.755019256618481</v>
      </c>
      <c r="I641" t="n">
        <v>0</v>
      </c>
      <c r="K641" t="inlineStr">
        <is>
          <t>tkm = l_no comp*m_flow_project/(m_flow_dataset*1000kg/t)</t>
        </is>
      </c>
      <c r="L641" t="n">
        <v>0</v>
      </c>
    </row>
    <row r="642"/>
    <row r="643" ht="16" customHeight="1">
      <c r="A643" s="1" t="inlineStr">
        <is>
          <t>Activity</t>
        </is>
      </c>
      <c r="B643" s="1" t="inlineStr">
        <is>
          <t>carbon dioxide storage from natural gas, post, 400km pipeline, storage 3000m</t>
        </is>
      </c>
    </row>
    <row r="644">
      <c r="A644" t="inlineStr">
        <is>
          <t>location</t>
        </is>
      </c>
      <c r="B644" t="inlineStr">
        <is>
          <t>RER</t>
        </is>
      </c>
    </row>
    <row r="645">
      <c r="A645" t="inlineStr">
        <is>
          <t>production amount</t>
        </is>
      </c>
      <c r="B645" t="n">
        <v>1</v>
      </c>
    </row>
    <row r="646">
      <c r="A646" t="inlineStr">
        <is>
          <t>reference product</t>
        </is>
      </c>
      <c r="B646" t="inlineStr">
        <is>
          <t>carbon dioxide storage from natural gas, post, 400km pipeline, storage 3000m</t>
        </is>
      </c>
    </row>
    <row r="647">
      <c r="A647" t="inlineStr">
        <is>
          <t>type</t>
        </is>
      </c>
      <c r="B647" t="inlineStr">
        <is>
          <t>process</t>
        </is>
      </c>
    </row>
    <row r="648">
      <c r="A648" t="inlineStr">
        <is>
          <t>unit</t>
        </is>
      </c>
      <c r="B648" t="inlineStr">
        <is>
          <t>kilogram</t>
        </is>
      </c>
    </row>
    <row r="649">
      <c r="A649" t="inlineStr">
        <is>
          <t>source</t>
        </is>
      </c>
      <c r="B649" t="inlineStr">
        <is>
          <t>Life cycle assessment of carbon capture and storage in power generation and industry in Europe, Volkart et al., 2013, International Journal of Greenhouse Gas Control</t>
        </is>
      </c>
    </row>
    <row r="650" ht="16" customHeight="1">
      <c r="A650" s="1" t="inlineStr">
        <is>
          <t>Exchanges</t>
        </is>
      </c>
    </row>
    <row r="651">
      <c r="A651" t="inlineStr">
        <is>
          <t>name</t>
        </is>
      </c>
      <c r="B651" t="inlineStr">
        <is>
          <t>amount</t>
        </is>
      </c>
      <c r="C651" t="inlineStr">
        <is>
          <t>location</t>
        </is>
      </c>
      <c r="D651" t="inlineStr">
        <is>
          <t>unit</t>
        </is>
      </c>
      <c r="E651" t="inlineStr">
        <is>
          <t>categories</t>
        </is>
      </c>
      <c r="F651" t="inlineStr">
        <is>
          <t>type</t>
        </is>
      </c>
      <c r="G651" t="inlineStr">
        <is>
          <t>uncertainty type</t>
        </is>
      </c>
      <c r="H651" t="inlineStr">
        <is>
          <t>loc</t>
        </is>
      </c>
      <c r="I651" t="inlineStr">
        <is>
          <t>scale</t>
        </is>
      </c>
      <c r="J651" t="inlineStr">
        <is>
          <t>allocation</t>
        </is>
      </c>
      <c r="K651" t="inlineStr">
        <is>
          <t>comment</t>
        </is>
      </c>
      <c r="L651" t="inlineStr">
        <is>
          <t>negative</t>
        </is>
      </c>
      <c r="M651" t="inlineStr">
        <is>
          <t>reference product</t>
        </is>
      </c>
    </row>
    <row r="652">
      <c r="A652" t="inlineStr">
        <is>
          <t>carbon dioxide storage from natural gas, post, 400km pipeline, storage 3000m</t>
        </is>
      </c>
      <c r="B652" t="n">
        <v>1</v>
      </c>
      <c r="C652" t="inlineStr">
        <is>
          <t>RER</t>
        </is>
      </c>
      <c r="D652" t="inlineStr">
        <is>
          <t>kilogram</t>
        </is>
      </c>
      <c r="E652" t="inlineStr">
        <is>
          <t>CCS Europe 2025::Natural gas::Geological storage</t>
        </is>
      </c>
      <c r="F652" t="inlineStr">
        <is>
          <t>production</t>
        </is>
      </c>
      <c r="J652" t="n">
        <v>100</v>
      </c>
    </row>
    <row r="653">
      <c r="A653" t="inlineStr">
        <is>
          <t>drilling, deep borehole</t>
        </is>
      </c>
      <c r="B653" t="n">
        <v>5.07e-08</v>
      </c>
      <c r="C653" t="inlineStr">
        <is>
          <t>RER</t>
        </is>
      </c>
      <c r="D653" t="inlineStr">
        <is>
          <t>meter</t>
        </is>
      </c>
      <c r="E653" t="inlineStr">
        <is>
          <t>Materials/fuels</t>
        </is>
      </c>
      <c r="F653" t="inlineStr">
        <is>
          <t>technosphere</t>
        </is>
      </c>
      <c r="G653" t="n">
        <v>0</v>
      </c>
      <c r="H653" t="n">
        <v>5.07e-08</v>
      </c>
      <c r="K653" t="inlineStr">
        <is>
          <t>l_drilling = (n_injection wells+n_monitoring wells)*storage depth/(lifetime*annual_m_flow)</t>
        </is>
      </c>
    </row>
    <row r="654">
      <c r="A654" t="inlineStr">
        <is>
          <t>market for gas turbine, 10MW electrical</t>
        </is>
      </c>
      <c r="B654" t="n">
        <v>2.54e-11</v>
      </c>
      <c r="C654" t="inlineStr">
        <is>
          <t>GLO</t>
        </is>
      </c>
      <c r="D654" t="inlineStr">
        <is>
          <t>unit</t>
        </is>
      </c>
      <c r="E654" t="inlineStr">
        <is>
          <t>Materials/fuels</t>
        </is>
      </c>
      <c r="F654" t="inlineStr">
        <is>
          <t>technosphere</t>
        </is>
      </c>
      <c r="G654" t="n">
        <v>0</v>
      </c>
      <c r="H654" t="n">
        <v>-24.39627194190406</v>
      </c>
      <c r="I654" t="n">
        <v>0</v>
      </c>
      <c r="K654" t="inlineStr">
        <is>
          <t>n_turbine = n_injection wells/(lifetime*annual m_flow)</t>
        </is>
      </c>
      <c r="L654" t="n">
        <v>0</v>
      </c>
      <c r="M654" t="inlineStr">
        <is>
          <t>gas turbine, 10MW electrical</t>
        </is>
      </c>
    </row>
    <row r="655">
      <c r="A655" t="inlineStr">
        <is>
          <t>market group for electricity, medium voltage</t>
        </is>
      </c>
      <c r="B655" t="n">
        <v>0.0334</v>
      </c>
      <c r="C655" t="inlineStr">
        <is>
          <t>ENTSO-E</t>
        </is>
      </c>
      <c r="D655" t="inlineStr">
        <is>
          <t>kilowatt hour</t>
        </is>
      </c>
      <c r="E655" t="inlineStr">
        <is>
          <t>Materials/fuels</t>
        </is>
      </c>
      <c r="F655" t="inlineStr">
        <is>
          <t>technosphere</t>
        </is>
      </c>
      <c r="G655" t="n">
        <v>0</v>
      </c>
      <c r="H655" t="n">
        <v>-3.399199378999482</v>
      </c>
      <c r="I655" t="n">
        <v>0</v>
      </c>
      <c r="K655" t="inlineStr">
        <is>
          <t>E = 87,85*ln((p_hydrostat+p_over)_pipeline)*(m_flow_project*8760h/a)/annual_m_flow</t>
        </is>
      </c>
      <c r="L655" t="n">
        <v>0</v>
      </c>
      <c r="M655" t="inlineStr">
        <is>
          <t>electricity, medium voltage</t>
        </is>
      </c>
    </row>
    <row r="656">
      <c r="A656" t="inlineStr">
        <is>
          <t>transport, pipeline, supercritical carbon dioxide, 200km with recompression</t>
        </is>
      </c>
      <c r="B656" t="n">
        <v>0.0307</v>
      </c>
      <c r="C656" t="inlineStr">
        <is>
          <t>RER</t>
        </is>
      </c>
      <c r="D656" t="inlineStr">
        <is>
          <t>ton kilometer</t>
        </is>
      </c>
      <c r="E656" t="inlineStr">
        <is>
          <t>Materials/fuels</t>
        </is>
      </c>
      <c r="F656" t="inlineStr">
        <is>
          <t>technosphere</t>
        </is>
      </c>
      <c r="G656" t="n">
        <v>0</v>
      </c>
      <c r="H656" t="n">
        <v>-3.483492624388985</v>
      </c>
      <c r="I656" t="n">
        <v>0</v>
      </c>
      <c r="K656" t="inlineStr">
        <is>
          <t>tkm = l_with comp*m_flow_project/(m_flow_dataset*1000kg/t)</t>
        </is>
      </c>
      <c r="L656" t="n">
        <v>0</v>
      </c>
    </row>
    <row r="657">
      <c r="A657" t="inlineStr">
        <is>
          <t>transport, pipeline, supercritical carbon dioxide, 200km without recompression</t>
        </is>
      </c>
      <c r="B657" t="n">
        <v>0.0307</v>
      </c>
      <c r="C657" t="inlineStr">
        <is>
          <t>RER</t>
        </is>
      </c>
      <c r="D657" t="inlineStr">
        <is>
          <t>ton kilometer</t>
        </is>
      </c>
      <c r="E657" t="inlineStr">
        <is>
          <t>Materials/fuels</t>
        </is>
      </c>
      <c r="F657" t="inlineStr">
        <is>
          <t>technosphere</t>
        </is>
      </c>
      <c r="G657" t="n">
        <v>0</v>
      </c>
      <c r="H657" t="n">
        <v>-3.483492624388985</v>
      </c>
      <c r="I657" t="n">
        <v>0</v>
      </c>
      <c r="K657" t="inlineStr">
        <is>
          <t>tkm = l_no comp*m_flow_project/(m_flow_dataset*1000kg/t)</t>
        </is>
      </c>
      <c r="L657" t="n">
        <v>0</v>
      </c>
    </row>
    <row r="658"/>
    <row r="659" ht="16" customHeight="1">
      <c r="A659" s="1" t="inlineStr">
        <is>
          <t>Activity</t>
        </is>
      </c>
      <c r="B659" s="1" t="inlineStr">
        <is>
          <t>carbon dioxide storage from natural gas, pre, 200km pipeline, storage 1000m</t>
        </is>
      </c>
    </row>
    <row r="660">
      <c r="A660" t="inlineStr">
        <is>
          <t>location</t>
        </is>
      </c>
      <c r="B660" t="inlineStr">
        <is>
          <t>RER</t>
        </is>
      </c>
    </row>
    <row r="661">
      <c r="A661" t="inlineStr">
        <is>
          <t>production amount</t>
        </is>
      </c>
      <c r="B661" t="n">
        <v>1</v>
      </c>
    </row>
    <row r="662">
      <c r="A662" t="inlineStr">
        <is>
          <t>reference product</t>
        </is>
      </c>
      <c r="B662" t="inlineStr">
        <is>
          <t>carbon dioxide storage from natural gas, pre, 200km pipeline, storage 1000m</t>
        </is>
      </c>
    </row>
    <row r="663">
      <c r="A663" t="inlineStr">
        <is>
          <t>type</t>
        </is>
      </c>
      <c r="B663" t="inlineStr">
        <is>
          <t>process</t>
        </is>
      </c>
    </row>
    <row r="664">
      <c r="A664" t="inlineStr">
        <is>
          <t>unit</t>
        </is>
      </c>
      <c r="B664" t="inlineStr">
        <is>
          <t>kilogram</t>
        </is>
      </c>
    </row>
    <row r="665">
      <c r="A665" t="inlineStr">
        <is>
          <t>source</t>
        </is>
      </c>
      <c r="B665" t="inlineStr">
        <is>
          <t>Life cycle assessment of carbon capture and storage in power generation and industry in Europe, Volkart et al., 2013, International Journal of Greenhouse Gas Control</t>
        </is>
      </c>
    </row>
    <row r="666" ht="16" customHeight="1">
      <c r="A666" s="1" t="inlineStr">
        <is>
          <t>Exchanges</t>
        </is>
      </c>
    </row>
    <row r="667">
      <c r="A667" t="inlineStr">
        <is>
          <t>name</t>
        </is>
      </c>
      <c r="B667" t="inlineStr">
        <is>
          <t>amount</t>
        </is>
      </c>
      <c r="C667" t="inlineStr">
        <is>
          <t>location</t>
        </is>
      </c>
      <c r="D667" t="inlineStr">
        <is>
          <t>unit</t>
        </is>
      </c>
      <c r="E667" t="inlineStr">
        <is>
          <t>categories</t>
        </is>
      </c>
      <c r="F667" t="inlineStr">
        <is>
          <t>type</t>
        </is>
      </c>
      <c r="G667" t="inlineStr">
        <is>
          <t>uncertainty type</t>
        </is>
      </c>
      <c r="H667" t="inlineStr">
        <is>
          <t>loc</t>
        </is>
      </c>
      <c r="I667" t="inlineStr">
        <is>
          <t>scale</t>
        </is>
      </c>
      <c r="J667" t="inlineStr">
        <is>
          <t>allocation</t>
        </is>
      </c>
      <c r="K667" t="inlineStr">
        <is>
          <t>comment</t>
        </is>
      </c>
      <c r="L667" t="inlineStr">
        <is>
          <t>negative</t>
        </is>
      </c>
      <c r="M667" t="inlineStr">
        <is>
          <t>reference product</t>
        </is>
      </c>
    </row>
    <row r="668">
      <c r="A668" t="inlineStr">
        <is>
          <t>carbon dioxide storage from natural gas, pre, 200km pipeline, storage 1000m</t>
        </is>
      </c>
      <c r="B668" t="n">
        <v>1</v>
      </c>
      <c r="C668" t="inlineStr">
        <is>
          <t>RER</t>
        </is>
      </c>
      <c r="D668" t="inlineStr">
        <is>
          <t>kilogram</t>
        </is>
      </c>
      <c r="E668" t="inlineStr">
        <is>
          <t>CCS Europe 2025::Natural gas::Geological storage</t>
        </is>
      </c>
      <c r="F668" t="inlineStr">
        <is>
          <t>production</t>
        </is>
      </c>
      <c r="J668" t="n">
        <v>100</v>
      </c>
    </row>
    <row r="669">
      <c r="A669" t="inlineStr">
        <is>
          <t>drilling, deep borehole</t>
        </is>
      </c>
      <c r="B669" t="n">
        <v>1.69e-08</v>
      </c>
      <c r="C669" t="inlineStr">
        <is>
          <t>RER</t>
        </is>
      </c>
      <c r="D669" t="inlineStr">
        <is>
          <t>meter</t>
        </is>
      </c>
      <c r="E669" t="inlineStr">
        <is>
          <t>Materials/fuels</t>
        </is>
      </c>
      <c r="F669" t="inlineStr">
        <is>
          <t>technosphere</t>
        </is>
      </c>
      <c r="G669" t="n">
        <v>0</v>
      </c>
      <c r="H669" t="n">
        <v>1.69e-08</v>
      </c>
      <c r="K669" t="inlineStr">
        <is>
          <t>l_drilling = (n_injection wells+n_monitoring wells)*storage depth/(lifetime*annual_m_flow)</t>
        </is>
      </c>
    </row>
    <row r="670">
      <c r="A670" t="inlineStr">
        <is>
          <t>market for gas turbine, 10MW electrical</t>
        </is>
      </c>
      <c r="B670" t="n">
        <v>2.54e-11</v>
      </c>
      <c r="C670" t="inlineStr">
        <is>
          <t>GLO</t>
        </is>
      </c>
      <c r="D670" t="inlineStr">
        <is>
          <t>unit</t>
        </is>
      </c>
      <c r="E670" t="inlineStr">
        <is>
          <t>Materials/fuels</t>
        </is>
      </c>
      <c r="F670" t="inlineStr">
        <is>
          <t>technosphere</t>
        </is>
      </c>
      <c r="G670" t="n">
        <v>0</v>
      </c>
      <c r="H670" t="n">
        <v>-24.39627194190406</v>
      </c>
      <c r="I670" t="n">
        <v>0</v>
      </c>
      <c r="K670" t="inlineStr">
        <is>
          <t>n_turbine = n_injection wells/(lifetime*annual m_flow)</t>
        </is>
      </c>
      <c r="L670" t="n">
        <v>0</v>
      </c>
      <c r="M670" t="inlineStr">
        <is>
          <t>gas turbine, 10MW electrical</t>
        </is>
      </c>
    </row>
    <row r="671">
      <c r="A671" t="inlineStr">
        <is>
          <t>market group for electricity, medium voltage</t>
        </is>
      </c>
      <c r="B671" t="n">
        <v>0.009480000000000001</v>
      </c>
      <c r="C671" t="inlineStr">
        <is>
          <t>ENTSO-E</t>
        </is>
      </c>
      <c r="D671" t="inlineStr">
        <is>
          <t>kilowatt hour</t>
        </is>
      </c>
      <c r="E671" t="inlineStr">
        <is>
          <t>Materials/fuels</t>
        </is>
      </c>
      <c r="F671" t="inlineStr">
        <is>
          <t>technosphere</t>
        </is>
      </c>
      <c r="G671" t="n">
        <v>0</v>
      </c>
      <c r="H671" t="n">
        <v>-4.658570962715206</v>
      </c>
      <c r="I671" t="n">
        <v>0</v>
      </c>
      <c r="K671" t="inlineStr">
        <is>
          <t>E = 87,85*ln((p_hydrostat+p_over)_pipeline)*(m_flow_project*8760h/a)/annual_m_flow</t>
        </is>
      </c>
      <c r="L671" t="n">
        <v>0</v>
      </c>
      <c r="M671" t="inlineStr">
        <is>
          <t>electricity, medium voltage</t>
        </is>
      </c>
    </row>
    <row r="672">
      <c r="A672" t="inlineStr">
        <is>
          <t>transport, pipeline, supercritical carbon dioxide, 200km without recompression</t>
        </is>
      </c>
      <c r="B672" t="n">
        <v>0.0332</v>
      </c>
      <c r="C672" t="inlineStr">
        <is>
          <t>RER</t>
        </is>
      </c>
      <c r="D672" t="inlineStr">
        <is>
          <t>ton kilometer</t>
        </is>
      </c>
      <c r="E672" t="inlineStr">
        <is>
          <t>Materials/fuels</t>
        </is>
      </c>
      <c r="F672" t="inlineStr">
        <is>
          <t>technosphere</t>
        </is>
      </c>
      <c r="G672" t="n">
        <v>0</v>
      </c>
      <c r="H672" t="n">
        <v>-3.405205403059694</v>
      </c>
      <c r="I672" t="n">
        <v>0</v>
      </c>
      <c r="K672" t="inlineStr">
        <is>
          <t>tkm = l_no comp*m_flow_project/(m_flow_dataset*1000kg/t)</t>
        </is>
      </c>
      <c r="L672" t="n">
        <v>0</v>
      </c>
    </row>
    <row r="673"/>
    <row r="674" ht="16" customHeight="1">
      <c r="A674" s="1" t="inlineStr">
        <is>
          <t>Activity</t>
        </is>
      </c>
      <c r="B674" s="1" t="inlineStr">
        <is>
          <t>carbon dioxide storage from natural gas, pre, 400km pipeline, storage 3000m</t>
        </is>
      </c>
    </row>
    <row r="675">
      <c r="A675" t="inlineStr">
        <is>
          <t>location</t>
        </is>
      </c>
      <c r="B675" t="inlineStr">
        <is>
          <t>RER</t>
        </is>
      </c>
    </row>
    <row r="676">
      <c r="A676" t="inlineStr">
        <is>
          <t>production amount</t>
        </is>
      </c>
      <c r="B676" t="n">
        <v>1</v>
      </c>
    </row>
    <row r="677">
      <c r="A677" t="inlineStr">
        <is>
          <t>reference product</t>
        </is>
      </c>
      <c r="B677" t="inlineStr">
        <is>
          <t>carbon dioxide storage from natural gas, pre, 400km pipeline, storage 3000m</t>
        </is>
      </c>
    </row>
    <row r="678">
      <c r="A678" t="inlineStr">
        <is>
          <t>type</t>
        </is>
      </c>
      <c r="B678" t="inlineStr">
        <is>
          <t>process</t>
        </is>
      </c>
    </row>
    <row r="679">
      <c r="A679" t="inlineStr">
        <is>
          <t>unit</t>
        </is>
      </c>
      <c r="B679" t="inlineStr">
        <is>
          <t>kilogram</t>
        </is>
      </c>
    </row>
    <row r="680">
      <c r="A680" t="inlineStr">
        <is>
          <t>source</t>
        </is>
      </c>
      <c r="B680" t="inlineStr">
        <is>
          <t>Life cycle assessment of carbon capture and storage in power generation and industry in Europe, Volkart et al., 2013, International Journal of Greenhouse Gas Control</t>
        </is>
      </c>
    </row>
    <row r="681" ht="16" customHeight="1">
      <c r="A681" s="1" t="inlineStr">
        <is>
          <t>Exchanges</t>
        </is>
      </c>
    </row>
    <row r="682">
      <c r="A682" t="inlineStr">
        <is>
          <t>name</t>
        </is>
      </c>
      <c r="B682" t="inlineStr">
        <is>
          <t>amount</t>
        </is>
      </c>
      <c r="C682" t="inlineStr">
        <is>
          <t>location</t>
        </is>
      </c>
      <c r="D682" t="inlineStr">
        <is>
          <t>unit</t>
        </is>
      </c>
      <c r="E682" t="inlineStr">
        <is>
          <t>categories</t>
        </is>
      </c>
      <c r="F682" t="inlineStr">
        <is>
          <t>type</t>
        </is>
      </c>
      <c r="G682" t="inlineStr">
        <is>
          <t>uncertainty type</t>
        </is>
      </c>
      <c r="H682" t="inlineStr">
        <is>
          <t>loc</t>
        </is>
      </c>
      <c r="I682" t="inlineStr">
        <is>
          <t>scale</t>
        </is>
      </c>
      <c r="J682" t="inlineStr">
        <is>
          <t>allocation</t>
        </is>
      </c>
      <c r="K682" t="inlineStr">
        <is>
          <t>comment</t>
        </is>
      </c>
      <c r="L682" t="inlineStr">
        <is>
          <t>negative</t>
        </is>
      </c>
      <c r="M682" t="inlineStr">
        <is>
          <t>reference product</t>
        </is>
      </c>
    </row>
    <row r="683">
      <c r="A683" t="inlineStr">
        <is>
          <t>carbon dioxide storage from natural gas, pre, 400km pipeline, storage 3000m</t>
        </is>
      </c>
      <c r="B683" t="n">
        <v>1</v>
      </c>
      <c r="C683" t="inlineStr">
        <is>
          <t>RER</t>
        </is>
      </c>
      <c r="D683" t="inlineStr">
        <is>
          <t>kilogram</t>
        </is>
      </c>
      <c r="E683" t="inlineStr">
        <is>
          <t>CCS Europe 2025::Natural gas::Geological storage</t>
        </is>
      </c>
      <c r="F683" t="inlineStr">
        <is>
          <t>production</t>
        </is>
      </c>
      <c r="J683" t="n">
        <v>100</v>
      </c>
    </row>
    <row r="684">
      <c r="A684" t="inlineStr">
        <is>
          <t>drilling, deep borehole</t>
        </is>
      </c>
      <c r="B684" t="n">
        <v>5.07e-08</v>
      </c>
      <c r="C684" t="inlineStr">
        <is>
          <t>RER</t>
        </is>
      </c>
      <c r="D684" t="inlineStr">
        <is>
          <t>meter</t>
        </is>
      </c>
      <c r="E684" t="inlineStr">
        <is>
          <t>Materials/fuels</t>
        </is>
      </c>
      <c r="F684" t="inlineStr">
        <is>
          <t>technosphere</t>
        </is>
      </c>
      <c r="G684" t="n">
        <v>0</v>
      </c>
      <c r="H684" t="n">
        <v>5.07e-08</v>
      </c>
      <c r="K684" t="inlineStr">
        <is>
          <t>l_drilling = (n_injection wells+n_monitoring wells)*storage depth/(lifetime*annual_m_flow)</t>
        </is>
      </c>
    </row>
    <row r="685">
      <c r="A685" t="inlineStr">
        <is>
          <t>market for gas turbine, 10MW electrical</t>
        </is>
      </c>
      <c r="B685" t="n">
        <v>2.54e-11</v>
      </c>
      <c r="C685" t="inlineStr">
        <is>
          <t>GLO</t>
        </is>
      </c>
      <c r="D685" t="inlineStr">
        <is>
          <t>unit</t>
        </is>
      </c>
      <c r="E685" t="inlineStr">
        <is>
          <t>Materials/fuels</t>
        </is>
      </c>
      <c r="F685" t="inlineStr">
        <is>
          <t>technosphere</t>
        </is>
      </c>
      <c r="G685" t="n">
        <v>0</v>
      </c>
      <c r="H685" t="n">
        <v>-24.39627194190406</v>
      </c>
      <c r="I685" t="n">
        <v>0</v>
      </c>
      <c r="K685" t="inlineStr">
        <is>
          <t>n_turbine = n_injection wells/(lifetime*annual m_flow)</t>
        </is>
      </c>
      <c r="L685" t="n">
        <v>0</v>
      </c>
      <c r="M685" t="inlineStr">
        <is>
          <t>gas turbine, 10MW electrical</t>
        </is>
      </c>
    </row>
    <row r="686">
      <c r="A686" t="inlineStr">
        <is>
          <t>market group for electricity, medium voltage</t>
        </is>
      </c>
      <c r="B686" t="n">
        <v>0.0334</v>
      </c>
      <c r="C686" t="inlineStr">
        <is>
          <t>ENTSO-E</t>
        </is>
      </c>
      <c r="D686" t="inlineStr">
        <is>
          <t>kilowatt hour</t>
        </is>
      </c>
      <c r="E686" t="inlineStr">
        <is>
          <t>Materials/fuels</t>
        </is>
      </c>
      <c r="F686" t="inlineStr">
        <is>
          <t>technosphere</t>
        </is>
      </c>
      <c r="G686" t="n">
        <v>0</v>
      </c>
      <c r="H686" t="n">
        <v>-3.399199378999482</v>
      </c>
      <c r="I686" t="n">
        <v>0</v>
      </c>
      <c r="K686" t="inlineStr">
        <is>
          <t>E = 87,85*ln((p_hydrostat+p_over)_pipeline)*(m_flow_project*8760h/a)/annual_m_flow</t>
        </is>
      </c>
      <c r="L686" t="n">
        <v>0</v>
      </c>
      <c r="M686" t="inlineStr">
        <is>
          <t>electricity, medium voltage</t>
        </is>
      </c>
    </row>
    <row r="687">
      <c r="A687" t="inlineStr">
        <is>
          <t>transport, pipeline, supercritical carbon dioxide, 200km with recompression</t>
        </is>
      </c>
      <c r="B687" t="n">
        <v>0.0332</v>
      </c>
      <c r="C687" t="inlineStr">
        <is>
          <t>RER</t>
        </is>
      </c>
      <c r="D687" t="inlineStr">
        <is>
          <t>ton kilometer</t>
        </is>
      </c>
      <c r="E687" t="inlineStr">
        <is>
          <t>Materials/fuels</t>
        </is>
      </c>
      <c r="F687" t="inlineStr">
        <is>
          <t>technosphere</t>
        </is>
      </c>
      <c r="G687" t="n">
        <v>0</v>
      </c>
      <c r="H687" t="n">
        <v>-3.405205403059694</v>
      </c>
      <c r="I687" t="n">
        <v>0</v>
      </c>
      <c r="K687" t="inlineStr">
        <is>
          <t>tkm = l_with comp*m_flow_project/(m_flow_dataset*1000kg/t)</t>
        </is>
      </c>
      <c r="L687" t="n">
        <v>0</v>
      </c>
    </row>
    <row r="688">
      <c r="A688" t="inlineStr">
        <is>
          <t>transport, pipeline, supercritical carbon dioxide, 200km without recompression</t>
        </is>
      </c>
      <c r="B688" t="n">
        <v>0.0332</v>
      </c>
      <c r="C688" t="inlineStr">
        <is>
          <t>RER</t>
        </is>
      </c>
      <c r="D688" t="inlineStr">
        <is>
          <t>ton kilometer</t>
        </is>
      </c>
      <c r="E688" t="inlineStr">
        <is>
          <t>Materials/fuels</t>
        </is>
      </c>
      <c r="F688" t="inlineStr">
        <is>
          <t>technosphere</t>
        </is>
      </c>
      <c r="G688" t="n">
        <v>0</v>
      </c>
      <c r="H688" t="n">
        <v>-3.405205403059694</v>
      </c>
      <c r="I688" t="n">
        <v>0</v>
      </c>
      <c r="K688" t="inlineStr">
        <is>
          <t>tkm = l_no comp*m_flow_project/(m_flow_dataset*1000kg/t)</t>
        </is>
      </c>
      <c r="L688" t="n">
        <v>0</v>
      </c>
    </row>
    <row r="689"/>
    <row r="690" ht="16" customHeight="1">
      <c r="A690" s="1" t="inlineStr">
        <is>
          <t>Activity</t>
        </is>
      </c>
      <c r="B690" s="1" t="inlineStr">
        <is>
          <t>Construction, BIGCC power plant 450MW</t>
        </is>
      </c>
    </row>
    <row r="691">
      <c r="A691" t="inlineStr">
        <is>
          <t>location</t>
        </is>
      </c>
      <c r="B691" t="inlineStr">
        <is>
          <t>RER</t>
        </is>
      </c>
    </row>
    <row r="692">
      <c r="A692" t="inlineStr">
        <is>
          <t>production amount</t>
        </is>
      </c>
      <c r="B692" t="n">
        <v>1</v>
      </c>
    </row>
    <row r="693">
      <c r="A693" t="inlineStr">
        <is>
          <t>reference product</t>
        </is>
      </c>
      <c r="B693" t="inlineStr">
        <is>
          <t>Construction, BIGCC power plant 450MW</t>
        </is>
      </c>
    </row>
    <row r="694">
      <c r="A694" t="inlineStr">
        <is>
          <t>type</t>
        </is>
      </c>
      <c r="B694" t="inlineStr">
        <is>
          <t>process</t>
        </is>
      </c>
    </row>
    <row r="695">
      <c r="A695" t="inlineStr">
        <is>
          <t>unit</t>
        </is>
      </c>
      <c r="B695" t="inlineStr">
        <is>
          <t>unit</t>
        </is>
      </c>
    </row>
    <row r="696" ht="16" customHeight="1">
      <c r="A696" s="1" t="inlineStr">
        <is>
          <t>Exchanges</t>
        </is>
      </c>
    </row>
    <row r="697">
      <c r="A697" t="inlineStr">
        <is>
          <t>name</t>
        </is>
      </c>
      <c r="B697" t="inlineStr">
        <is>
          <t>amount</t>
        </is>
      </c>
      <c r="C697" t="inlineStr">
        <is>
          <t>location</t>
        </is>
      </c>
      <c r="D697" t="inlineStr">
        <is>
          <t>unit</t>
        </is>
      </c>
      <c r="E697" t="inlineStr">
        <is>
          <t>categories</t>
        </is>
      </c>
      <c r="F697" t="inlineStr">
        <is>
          <t>type</t>
        </is>
      </c>
      <c r="G697" t="inlineStr">
        <is>
          <t>uncertainty type</t>
        </is>
      </c>
      <c r="H697" t="inlineStr">
        <is>
          <t>loc</t>
        </is>
      </c>
      <c r="I697" t="inlineStr">
        <is>
          <t>scale</t>
        </is>
      </c>
      <c r="J697" t="inlineStr">
        <is>
          <t>allocation</t>
        </is>
      </c>
      <c r="K697" t="inlineStr">
        <is>
          <t>comment</t>
        </is>
      </c>
      <c r="L697" t="inlineStr">
        <is>
          <t>negative</t>
        </is>
      </c>
      <c r="M697" t="inlineStr">
        <is>
          <t>reference product</t>
        </is>
      </c>
    </row>
    <row r="698">
      <c r="A698" t="inlineStr">
        <is>
          <t>Occupation, construction site</t>
        </is>
      </c>
      <c r="B698" t="n">
        <v>2170000</v>
      </c>
      <c r="D698" t="inlineStr">
        <is>
          <t>square meter-year</t>
        </is>
      </c>
      <c r="E698" t="inlineStr">
        <is>
          <t>natural resource::land</t>
        </is>
      </c>
      <c r="F698" t="inlineStr">
        <is>
          <t>biosphere</t>
        </is>
      </c>
      <c r="G698" t="n">
        <v>0</v>
      </c>
      <c r="H698" t="n">
        <v>14.59023772551664</v>
      </c>
      <c r="I698" t="n">
        <v>0</v>
      </c>
      <c r="L698" t="n">
        <v>0</v>
      </c>
    </row>
    <row r="699">
      <c r="A699" t="inlineStr">
        <is>
          <t>Transformation, from annual crop, non-irrigated</t>
        </is>
      </c>
      <c r="B699" t="n">
        <v>543000</v>
      </c>
      <c r="D699" t="inlineStr">
        <is>
          <t>square meter</t>
        </is>
      </c>
      <c r="E699" t="inlineStr">
        <is>
          <t>natural resource::land</t>
        </is>
      </c>
      <c r="F699" t="inlineStr">
        <is>
          <t>biosphere</t>
        </is>
      </c>
      <c r="G699" t="n">
        <v>0</v>
      </c>
      <c r="H699" t="n">
        <v>13.20486459891607</v>
      </c>
      <c r="I699" t="n">
        <v>0</v>
      </c>
      <c r="L699" t="n">
        <v>0</v>
      </c>
    </row>
    <row r="700">
      <c r="A700" t="inlineStr">
        <is>
          <t>Transformation, to industrial area</t>
        </is>
      </c>
      <c r="B700" t="n">
        <v>81400</v>
      </c>
      <c r="D700" t="inlineStr">
        <is>
          <t>square meter</t>
        </is>
      </c>
      <c r="E700" t="inlineStr">
        <is>
          <t>natural resource::land</t>
        </is>
      </c>
      <c r="F700" t="inlineStr">
        <is>
          <t>biosphere</t>
        </is>
      </c>
      <c r="G700" t="n">
        <v>0</v>
      </c>
      <c r="H700" t="n">
        <v>11.30713055199063</v>
      </c>
      <c r="I700" t="n">
        <v>0</v>
      </c>
      <c r="L700" t="n">
        <v>0</v>
      </c>
    </row>
    <row r="701">
      <c r="A701" t="inlineStr">
        <is>
          <t>Transformation, to industrial area</t>
        </is>
      </c>
      <c r="B701" t="n">
        <v>271000</v>
      </c>
      <c r="D701" t="inlineStr">
        <is>
          <t>square meter</t>
        </is>
      </c>
      <c r="E701" t="inlineStr">
        <is>
          <t>natural resource::land</t>
        </is>
      </c>
      <c r="F701" t="inlineStr">
        <is>
          <t>biosphere</t>
        </is>
      </c>
      <c r="G701" t="n">
        <v>0</v>
      </c>
      <c r="H701" t="n">
        <v>12.50987409986184</v>
      </c>
      <c r="I701" t="n">
        <v>0</v>
      </c>
      <c r="L701" t="n">
        <v>0</v>
      </c>
    </row>
    <row r="702">
      <c r="A702" t="inlineStr">
        <is>
          <t>Transformation, to industrial area</t>
        </is>
      </c>
      <c r="B702" t="n">
        <v>109000</v>
      </c>
      <c r="D702" t="inlineStr">
        <is>
          <t>square meter</t>
        </is>
      </c>
      <c r="E702" t="inlineStr">
        <is>
          <t>natural resource::land</t>
        </is>
      </c>
      <c r="F702" t="inlineStr">
        <is>
          <t>biosphere</t>
        </is>
      </c>
      <c r="G702" t="n">
        <v>0</v>
      </c>
      <c r="H702" t="n">
        <v>11.59910316121128</v>
      </c>
      <c r="I702" t="n">
        <v>0</v>
      </c>
      <c r="L702" t="n">
        <v>0</v>
      </c>
    </row>
    <row r="703">
      <c r="A703" t="inlineStr">
        <is>
          <t>Transformation, to traffic area, rail network</t>
        </is>
      </c>
      <c r="B703" t="n">
        <v>27100</v>
      </c>
      <c r="D703" t="inlineStr">
        <is>
          <t>square meter</t>
        </is>
      </c>
      <c r="E703" t="inlineStr">
        <is>
          <t>natural resource::land</t>
        </is>
      </c>
      <c r="F703" t="inlineStr">
        <is>
          <t>biosphere</t>
        </is>
      </c>
      <c r="G703" t="n">
        <v>0</v>
      </c>
      <c r="H703" t="n">
        <v>10.20728900686779</v>
      </c>
      <c r="I703" t="n">
        <v>0</v>
      </c>
      <c r="L703" t="n">
        <v>0</v>
      </c>
    </row>
    <row r="704">
      <c r="A704" t="inlineStr">
        <is>
          <t>Transformation, to traffic area, road network</t>
        </is>
      </c>
      <c r="B704" t="n">
        <v>81400</v>
      </c>
      <c r="D704" t="inlineStr">
        <is>
          <t>square meter</t>
        </is>
      </c>
      <c r="E704" t="inlineStr">
        <is>
          <t>natural resource::land</t>
        </is>
      </c>
      <c r="F704" t="inlineStr">
        <is>
          <t>biosphere</t>
        </is>
      </c>
      <c r="G704" t="n">
        <v>0</v>
      </c>
      <c r="H704" t="n">
        <v>11.30713055199063</v>
      </c>
      <c r="I704" t="n">
        <v>0</v>
      </c>
      <c r="L704" t="n">
        <v>0</v>
      </c>
    </row>
    <row r="705">
      <c r="A705" t="inlineStr">
        <is>
          <t>Construction, BIGCC power plant 450MW</t>
        </is>
      </c>
      <c r="B705" t="n">
        <v>1</v>
      </c>
      <c r="C705" t="inlineStr">
        <is>
          <t>RER</t>
        </is>
      </c>
      <c r="D705" t="inlineStr">
        <is>
          <t>unit</t>
        </is>
      </c>
      <c r="F705" t="inlineStr">
        <is>
          <t>production</t>
        </is>
      </c>
      <c r="J705" t="n">
        <v>100</v>
      </c>
    </row>
    <row r="706">
      <c r="A706" t="inlineStr">
        <is>
          <t>alkyd paint production, white, water-based, product in 60% solution state</t>
        </is>
      </c>
      <c r="B706" t="n">
        <v>35900</v>
      </c>
      <c r="C706" t="inlineStr">
        <is>
          <t>RER</t>
        </is>
      </c>
      <c r="D706" t="inlineStr">
        <is>
          <t>kilogram</t>
        </is>
      </c>
      <c r="F706" t="inlineStr">
        <is>
          <t>technosphere</t>
        </is>
      </c>
      <c r="G706" t="n">
        <v>0</v>
      </c>
      <c r="H706" t="n">
        <v>10.48849257447637</v>
      </c>
      <c r="I706" t="n">
        <v>0</v>
      </c>
      <c r="L706" t="n">
        <v>0</v>
      </c>
      <c r="M706" t="inlineStr">
        <is>
          <t>alkyd paint, white, without water, in 60% solution state</t>
        </is>
      </c>
    </row>
    <row r="707">
      <c r="A707" t="inlineStr">
        <is>
          <t>aluminium, ingot, primary, import from Rest of Europe</t>
        </is>
      </c>
      <c r="B707" t="n">
        <v>252000</v>
      </c>
      <c r="C707" t="inlineStr">
        <is>
          <t>IAI Area, EU27 &amp; EFTA</t>
        </is>
      </c>
      <c r="D707" t="inlineStr">
        <is>
          <t>kilogram</t>
        </is>
      </c>
      <c r="F707" t="inlineStr">
        <is>
          <t>technosphere</t>
        </is>
      </c>
      <c r="G707" t="n">
        <v>0</v>
      </c>
      <c r="H707" t="n">
        <v>12.43718436649356</v>
      </c>
      <c r="I707" t="n">
        <v>0</v>
      </c>
      <c r="L707" t="n">
        <v>0</v>
      </c>
      <c r="M707" t="inlineStr">
        <is>
          <t>aluminium, primary, ingot</t>
        </is>
      </c>
    </row>
    <row r="708">
      <c r="A708" t="inlineStr">
        <is>
          <t>ceramic tile production</t>
        </is>
      </c>
      <c r="B708" t="n">
        <v>6550</v>
      </c>
      <c r="C708" t="inlineStr">
        <is>
          <t>CH</t>
        </is>
      </c>
      <c r="D708" t="inlineStr">
        <is>
          <t>kilogram</t>
        </is>
      </c>
      <c r="F708" t="inlineStr">
        <is>
          <t>technosphere</t>
        </is>
      </c>
      <c r="G708" t="n">
        <v>0</v>
      </c>
      <c r="H708" t="n">
        <v>8.787220328629298</v>
      </c>
      <c r="I708" t="n">
        <v>0</v>
      </c>
      <c r="L708" t="n">
        <v>0</v>
      </c>
      <c r="M708" t="inlineStr">
        <is>
          <t>ceramic tile</t>
        </is>
      </c>
    </row>
    <row r="709">
      <c r="A709" t="inlineStr">
        <is>
          <t>excavation, hydraulic digger</t>
        </is>
      </c>
      <c r="B709" t="n">
        <v>880000</v>
      </c>
      <c r="C709" t="inlineStr">
        <is>
          <t>RER</t>
        </is>
      </c>
      <c r="D709" t="inlineStr">
        <is>
          <t>cubic meter</t>
        </is>
      </c>
      <c r="F709" t="inlineStr">
        <is>
          <t>technosphere</t>
        </is>
      </c>
      <c r="G709" t="n">
        <v>0</v>
      </c>
      <c r="H709" t="n">
        <v>13.68767718645439</v>
      </c>
      <c r="I709" t="n">
        <v>0</v>
      </c>
      <c r="L709" t="n">
        <v>0</v>
      </c>
      <c r="M709" t="inlineStr">
        <is>
          <t>excavation, hydraulic digger</t>
        </is>
      </c>
    </row>
    <row r="710">
      <c r="A710" t="inlineStr">
        <is>
          <t>flat glass production, uncoated</t>
        </is>
      </c>
      <c r="B710" t="n">
        <v>14100</v>
      </c>
      <c r="C710" t="inlineStr">
        <is>
          <t>RER</t>
        </is>
      </c>
      <c r="D710" t="inlineStr">
        <is>
          <t>kilogram</t>
        </is>
      </c>
      <c r="F710" t="inlineStr">
        <is>
          <t>technosphere</t>
        </is>
      </c>
      <c r="G710" t="n">
        <v>0</v>
      </c>
      <c r="H710" t="n">
        <v>9.55393007636626</v>
      </c>
      <c r="I710" t="n">
        <v>0</v>
      </c>
      <c r="L710" t="n">
        <v>0</v>
      </c>
      <c r="M710" t="inlineStr">
        <is>
          <t>flat glass, uncoated</t>
        </is>
      </c>
    </row>
    <row r="711">
      <c r="A711" t="inlineStr">
        <is>
          <t>heat production, heavy fuel oil, at industrial furnace 1MW</t>
        </is>
      </c>
      <c r="B711" t="n">
        <v>232000000</v>
      </c>
      <c r="C711" t="inlineStr">
        <is>
          <t>Europe without Switzerland</t>
        </is>
      </c>
      <c r="D711" t="inlineStr">
        <is>
          <t>megajoule</t>
        </is>
      </c>
      <c r="F711" t="inlineStr">
        <is>
          <t>technosphere</t>
        </is>
      </c>
      <c r="G711" t="n">
        <v>0</v>
      </c>
      <c r="H711" t="n">
        <v>19.26224792963058</v>
      </c>
      <c r="I711" t="n">
        <v>0</v>
      </c>
      <c r="L711" t="n">
        <v>0</v>
      </c>
      <c r="M711" t="inlineStr">
        <is>
          <t>heat, district or industrial, other than natural gas</t>
        </is>
      </c>
    </row>
    <row r="712">
      <c r="A712" t="inlineStr">
        <is>
          <t>market for cast iron</t>
        </is>
      </c>
      <c r="B712" t="n">
        <v>634000</v>
      </c>
      <c r="C712" t="inlineStr">
        <is>
          <t>GLO</t>
        </is>
      </c>
      <c r="D712" t="inlineStr">
        <is>
          <t>kilogram</t>
        </is>
      </c>
      <c r="F712" t="inlineStr">
        <is>
          <t>technosphere</t>
        </is>
      </c>
      <c r="G712" t="n">
        <v>0</v>
      </c>
      <c r="H712" t="n">
        <v>13.35980423341936</v>
      </c>
      <c r="I712" t="n">
        <v>0</v>
      </c>
      <c r="L712" t="n">
        <v>0</v>
      </c>
      <c r="M712" t="inlineStr">
        <is>
          <t>cast iron</t>
        </is>
      </c>
    </row>
    <row r="713">
      <c r="A713" t="inlineStr">
        <is>
          <t>market for concrete, normal</t>
        </is>
      </c>
      <c r="B713" t="n">
        <v>127000</v>
      </c>
      <c r="C713" t="inlineStr">
        <is>
          <t>CH</t>
        </is>
      </c>
      <c r="D713" t="inlineStr">
        <is>
          <t>cubic meter</t>
        </is>
      </c>
      <c r="F713" t="inlineStr">
        <is>
          <t>technosphere</t>
        </is>
      </c>
      <c r="G713" t="n">
        <v>0</v>
      </c>
      <c r="H713" t="n">
        <v>11.75194236544073</v>
      </c>
      <c r="I713" t="n">
        <v>0</v>
      </c>
      <c r="L713" t="n">
        <v>0</v>
      </c>
      <c r="M713" t="inlineStr">
        <is>
          <t>concrete, normal</t>
        </is>
      </c>
    </row>
    <row r="714">
      <c r="A714" t="inlineStr">
        <is>
          <t>market for copper</t>
        </is>
      </c>
      <c r="B714" t="n">
        <v>1380000</v>
      </c>
      <c r="C714" t="inlineStr">
        <is>
          <t>GLO</t>
        </is>
      </c>
      <c r="D714" t="inlineStr">
        <is>
          <t>kilogram</t>
        </is>
      </c>
      <c r="F714" t="inlineStr">
        <is>
          <t>technosphere</t>
        </is>
      </c>
      <c r="G714" t="n">
        <v>0</v>
      </c>
      <c r="H714" t="n">
        <v>14.13759405713339</v>
      </c>
      <c r="I714" t="n">
        <v>0</v>
      </c>
      <c r="L714" t="n">
        <v>0</v>
      </c>
      <c r="M714" t="inlineStr">
        <is>
          <t>copper</t>
        </is>
      </c>
    </row>
    <row r="715">
      <c r="A715" t="inlineStr">
        <is>
          <t>market for lead</t>
        </is>
      </c>
      <c r="B715" t="n">
        <v>1720</v>
      </c>
      <c r="C715" t="inlineStr">
        <is>
          <t>GLO</t>
        </is>
      </c>
      <c r="D715" t="inlineStr">
        <is>
          <t>kilogram</t>
        </is>
      </c>
      <c r="F715" t="inlineStr">
        <is>
          <t>technosphere</t>
        </is>
      </c>
      <c r="G715" t="n">
        <v>0</v>
      </c>
      <c r="H715" t="n">
        <v>7.450079569807499</v>
      </c>
      <c r="I715" t="n">
        <v>0</v>
      </c>
      <c r="L715" t="n">
        <v>0</v>
      </c>
      <c r="M715" t="inlineStr">
        <is>
          <t>lead</t>
        </is>
      </c>
    </row>
    <row r="716">
      <c r="A716" t="inlineStr">
        <is>
          <t>market for lubricating oil</t>
        </is>
      </c>
      <c r="B716" t="n">
        <v>419000</v>
      </c>
      <c r="C716" t="inlineStr">
        <is>
          <t>RER</t>
        </is>
      </c>
      <c r="D716" t="inlineStr">
        <is>
          <t>kilogram</t>
        </is>
      </c>
      <c r="F716" t="inlineStr">
        <is>
          <t>technosphere</t>
        </is>
      </c>
      <c r="G716" t="n">
        <v>0</v>
      </c>
      <c r="H716" t="n">
        <v>12.94562619890428</v>
      </c>
      <c r="I716" t="n">
        <v>0</v>
      </c>
      <c r="L716" t="n">
        <v>0</v>
      </c>
      <c r="M716" t="inlineStr">
        <is>
          <t>lubricating oil</t>
        </is>
      </c>
    </row>
    <row r="717">
      <c r="A717" t="inlineStr">
        <is>
          <t>market for polyvinylfluoride</t>
        </is>
      </c>
      <c r="B717" t="n">
        <v>790000</v>
      </c>
      <c r="C717" t="inlineStr">
        <is>
          <t>GLO</t>
        </is>
      </c>
      <c r="D717" t="inlineStr">
        <is>
          <t>kilogram</t>
        </is>
      </c>
      <c r="F717" t="inlineStr">
        <is>
          <t>technosphere</t>
        </is>
      </c>
      <c r="G717" t="n">
        <v>0</v>
      </c>
      <c r="H717" t="n">
        <v>13.5797882244432</v>
      </c>
      <c r="I717" t="n">
        <v>0</v>
      </c>
      <c r="L717" t="n">
        <v>0</v>
      </c>
      <c r="M717" t="inlineStr">
        <is>
          <t>polyvinylfluoride</t>
        </is>
      </c>
    </row>
    <row r="718">
      <c r="A718" t="inlineStr">
        <is>
          <t>market for stone wool</t>
        </is>
      </c>
      <c r="B718" t="n">
        <v>1250000</v>
      </c>
      <c r="C718" t="inlineStr">
        <is>
          <t>GLO</t>
        </is>
      </c>
      <c r="D718" t="inlineStr">
        <is>
          <t>kilogram</t>
        </is>
      </c>
      <c r="F718" t="inlineStr">
        <is>
          <t>technosphere</t>
        </is>
      </c>
      <c r="G718" t="n">
        <v>0</v>
      </c>
      <c r="H718" t="n">
        <v>14.03865410927848</v>
      </c>
      <c r="I718" t="n">
        <v>0</v>
      </c>
      <c r="L718" t="n">
        <v>0</v>
      </c>
      <c r="M718" t="inlineStr">
        <is>
          <t>stone wool</t>
        </is>
      </c>
    </row>
    <row r="719">
      <c r="A719" t="inlineStr">
        <is>
          <t>market group for electricity, low voltage</t>
        </is>
      </c>
      <c r="B719" t="n">
        <v>18200000</v>
      </c>
      <c r="C719" t="inlineStr">
        <is>
          <t>ENTSO-E</t>
        </is>
      </c>
      <c r="D719" t="inlineStr">
        <is>
          <t>kilowatt hour</t>
        </is>
      </c>
      <c r="F719" t="inlineStr">
        <is>
          <t>technosphere</t>
        </is>
      </c>
      <c r="G719" t="n">
        <v>0</v>
      </c>
      <c r="H719" t="n">
        <v>16.71693215204703</v>
      </c>
      <c r="I719" t="n">
        <v>0</v>
      </c>
      <c r="L719" t="n">
        <v>0</v>
      </c>
      <c r="M719" t="inlineStr">
        <is>
          <t>electricity, low voltage</t>
        </is>
      </c>
    </row>
    <row r="720">
      <c r="A720" t="inlineStr">
        <is>
          <t>petroleum refinery operation</t>
        </is>
      </c>
      <c r="B720" t="n">
        <v>265000</v>
      </c>
      <c r="C720" t="inlineStr">
        <is>
          <t>CH</t>
        </is>
      </c>
      <c r="D720" t="inlineStr">
        <is>
          <t>kilogram</t>
        </is>
      </c>
      <c r="F720" t="inlineStr">
        <is>
          <t>technosphere</t>
        </is>
      </c>
      <c r="G720" t="n">
        <v>0</v>
      </c>
      <c r="H720" t="n">
        <v>12.48748510496836</v>
      </c>
      <c r="I720" t="n">
        <v>0</v>
      </c>
      <c r="L720" t="n">
        <v>0</v>
      </c>
      <c r="M720" t="inlineStr">
        <is>
          <t>kerosene</t>
        </is>
      </c>
    </row>
    <row r="721">
      <c r="A721" t="inlineStr">
        <is>
          <t>plywood production, for outdoor use</t>
        </is>
      </c>
      <c r="B721" t="n">
        <v>1.55</v>
      </c>
      <c r="C721" t="inlineStr">
        <is>
          <t>RER</t>
        </is>
      </c>
      <c r="D721" t="inlineStr">
        <is>
          <t>cubic meter</t>
        </is>
      </c>
      <c r="F721" t="inlineStr">
        <is>
          <t>technosphere</t>
        </is>
      </c>
      <c r="G721" t="n">
        <v>0</v>
      </c>
      <c r="H721" t="n">
        <v>0.4382549309311553</v>
      </c>
      <c r="I721" t="n">
        <v>0</v>
      </c>
      <c r="L721" t="n">
        <v>0</v>
      </c>
      <c r="M721" t="inlineStr">
        <is>
          <t>plywood, for outdoor use</t>
        </is>
      </c>
    </row>
    <row r="722">
      <c r="A722" t="inlineStr">
        <is>
          <t>polyethylene production, low density, granulate</t>
        </is>
      </c>
      <c r="B722" t="n">
        <v>67700</v>
      </c>
      <c r="C722" t="inlineStr">
        <is>
          <t>RER</t>
        </is>
      </c>
      <c r="D722" t="inlineStr">
        <is>
          <t>kilogram</t>
        </is>
      </c>
      <c r="F722" t="inlineStr">
        <is>
          <t>technosphere</t>
        </is>
      </c>
      <c r="G722" t="n">
        <v>0</v>
      </c>
      <c r="H722" t="n">
        <v>11.12284145890037</v>
      </c>
      <c r="I722" t="n">
        <v>0</v>
      </c>
      <c r="L722" t="n">
        <v>0</v>
      </c>
      <c r="M722" t="inlineStr">
        <is>
          <t>polyethylene, low density, granulate</t>
        </is>
      </c>
    </row>
    <row r="723">
      <c r="A723" t="inlineStr">
        <is>
          <t>polypropylene production, granulate</t>
        </is>
      </c>
      <c r="B723" t="n">
        <v>33900</v>
      </c>
      <c r="C723" t="inlineStr">
        <is>
          <t>RER</t>
        </is>
      </c>
      <c r="D723" t="inlineStr">
        <is>
          <t>kilogram</t>
        </is>
      </c>
      <c r="F723" t="inlineStr">
        <is>
          <t>technosphere</t>
        </is>
      </c>
      <c r="G723" t="n">
        <v>0</v>
      </c>
      <c r="H723" t="n">
        <v>10.43117029336854</v>
      </c>
      <c r="I723" t="n">
        <v>0</v>
      </c>
      <c r="L723" t="n">
        <v>0</v>
      </c>
      <c r="M723" t="inlineStr">
        <is>
          <t>polypropylene, granulate</t>
        </is>
      </c>
    </row>
    <row r="724">
      <c r="A724" t="inlineStr">
        <is>
          <t>polystyrene production, high impact</t>
        </is>
      </c>
      <c r="B724" t="n">
        <v>237000</v>
      </c>
      <c r="C724" t="inlineStr">
        <is>
          <t>RER</t>
        </is>
      </c>
      <c r="D724" t="inlineStr">
        <is>
          <t>kilogram</t>
        </is>
      </c>
      <c r="F724" t="inlineStr">
        <is>
          <t>technosphere</t>
        </is>
      </c>
      <c r="G724" t="n">
        <v>0</v>
      </c>
      <c r="H724" t="n">
        <v>12.37581542011727</v>
      </c>
      <c r="I724" t="n">
        <v>0</v>
      </c>
      <c r="L724" t="n">
        <v>0</v>
      </c>
      <c r="M724" t="inlineStr">
        <is>
          <t>polystyrene, high impact</t>
        </is>
      </c>
    </row>
    <row r="725">
      <c r="A725" t="inlineStr">
        <is>
          <t>primary zinc production from concentrate</t>
        </is>
      </c>
      <c r="B725" t="n">
        <v>7240</v>
      </c>
      <c r="C725" t="inlineStr">
        <is>
          <t>RoW</t>
        </is>
      </c>
      <c r="D725" t="inlineStr">
        <is>
          <t>kilogram</t>
        </is>
      </c>
      <c r="F725" t="inlineStr">
        <is>
          <t>technosphere</t>
        </is>
      </c>
      <c r="G725" t="n">
        <v>0</v>
      </c>
      <c r="H725" t="n">
        <v>8.887376485379763</v>
      </c>
      <c r="I725" t="n">
        <v>0</v>
      </c>
      <c r="L725" t="n">
        <v>0</v>
      </c>
      <c r="M725" t="inlineStr">
        <is>
          <t>indium rich leaching residues, from zinc production</t>
        </is>
      </c>
    </row>
    <row r="726">
      <c r="A726" t="inlineStr">
        <is>
          <t>steel production, converter, low-alloyed</t>
        </is>
      </c>
      <c r="B726" t="n">
        <v>17000000</v>
      </c>
      <c r="C726" t="inlineStr">
        <is>
          <t>RER</t>
        </is>
      </c>
      <c r="D726" t="inlineStr">
        <is>
          <t>kilogram</t>
        </is>
      </c>
      <c r="F726" t="inlineStr">
        <is>
          <t>technosphere</t>
        </is>
      </c>
      <c r="G726" t="n">
        <v>0</v>
      </c>
      <c r="H726" t="n">
        <v>16.64872390202049</v>
      </c>
      <c r="I726" t="n">
        <v>0</v>
      </c>
      <c r="L726" t="n">
        <v>0</v>
      </c>
      <c r="M726" t="inlineStr">
        <is>
          <t>steel, low-alloyed</t>
        </is>
      </c>
    </row>
    <row r="727">
      <c r="A727" t="inlineStr">
        <is>
          <t>steel production, converter, unalloyed</t>
        </is>
      </c>
      <c r="B727" t="n">
        <v>17000000</v>
      </c>
      <c r="C727" t="inlineStr">
        <is>
          <t>RER</t>
        </is>
      </c>
      <c r="D727" t="inlineStr">
        <is>
          <t>kilogram</t>
        </is>
      </c>
      <c r="F727" t="inlineStr">
        <is>
          <t>technosphere</t>
        </is>
      </c>
      <c r="G727" t="n">
        <v>0</v>
      </c>
      <c r="H727" t="n">
        <v>16.64872390202049</v>
      </c>
      <c r="I727" t="n">
        <v>0</v>
      </c>
      <c r="L727" t="n">
        <v>0</v>
      </c>
      <c r="M727" t="inlineStr">
        <is>
          <t>steel, unalloyed</t>
        </is>
      </c>
    </row>
    <row r="728">
      <c r="A728" t="inlineStr">
        <is>
          <t>steel production, electric, chromium steel 18/8</t>
        </is>
      </c>
      <c r="B728" t="n">
        <v>3870000</v>
      </c>
      <c r="C728" t="inlineStr">
        <is>
          <t>RER</t>
        </is>
      </c>
      <c r="D728" t="inlineStr">
        <is>
          <t>kilogram</t>
        </is>
      </c>
      <c r="F728" t="inlineStr">
        <is>
          <t>technosphere</t>
        </is>
      </c>
      <c r="G728" t="n">
        <v>0</v>
      </c>
      <c r="H728" t="n">
        <v>15.16876506500596</v>
      </c>
      <c r="I728" t="n">
        <v>0</v>
      </c>
      <c r="L728" t="n">
        <v>0</v>
      </c>
      <c r="M728" t="inlineStr">
        <is>
          <t>steel, chromium steel 18/8</t>
        </is>
      </c>
    </row>
    <row r="729">
      <c r="A729" t="inlineStr">
        <is>
          <t>transport, freight, lorry &gt;32 metric ton, EURO4</t>
        </is>
      </c>
      <c r="B729" t="n">
        <v>26700000</v>
      </c>
      <c r="C729" t="inlineStr">
        <is>
          <t>RER</t>
        </is>
      </c>
      <c r="D729" t="inlineStr">
        <is>
          <t>ton kilometer</t>
        </is>
      </c>
      <c r="F729" t="inlineStr">
        <is>
          <t>technosphere</t>
        </is>
      </c>
      <c r="G729" t="n">
        <v>0</v>
      </c>
      <c r="H729" t="n">
        <v>17.10017412337048</v>
      </c>
      <c r="I729" t="n">
        <v>0</v>
      </c>
      <c r="L729" t="n">
        <v>0</v>
      </c>
      <c r="M729" t="inlineStr">
        <is>
          <t>transport, freight, lorry &gt;32 metric ton, EURO4</t>
        </is>
      </c>
    </row>
    <row r="730">
      <c r="A730" t="inlineStr">
        <is>
          <t>treatment of aluminium scrap, new, at refiner</t>
        </is>
      </c>
      <c r="B730" t="n">
        <v>505000</v>
      </c>
      <c r="C730" t="inlineStr">
        <is>
          <t>RER</t>
        </is>
      </c>
      <c r="D730" t="inlineStr">
        <is>
          <t>kilogram</t>
        </is>
      </c>
      <c r="F730" t="inlineStr">
        <is>
          <t>technosphere</t>
        </is>
      </c>
      <c r="G730" t="n">
        <v>0</v>
      </c>
      <c r="H730" t="n">
        <v>13.1323137082575</v>
      </c>
      <c r="I730" t="n">
        <v>0</v>
      </c>
      <c r="L730" t="n">
        <v>0</v>
      </c>
      <c r="M730" t="inlineStr">
        <is>
          <t>aluminium oxide, non-metallurgical</t>
        </is>
      </c>
    </row>
    <row r="731">
      <c r="A731" t="inlineStr">
        <is>
          <t>treatment of aluminium scrap, post-consumer, prepared for recycling, at refiner</t>
        </is>
      </c>
      <c r="B731" t="n">
        <v>252000</v>
      </c>
      <c r="C731" t="inlineStr">
        <is>
          <t>RER</t>
        </is>
      </c>
      <c r="D731" t="inlineStr">
        <is>
          <t>kilogram</t>
        </is>
      </c>
      <c r="F731" t="inlineStr">
        <is>
          <t>technosphere</t>
        </is>
      </c>
      <c r="G731" t="n">
        <v>0</v>
      </c>
      <c r="H731" t="n">
        <v>12.43718436649356</v>
      </c>
      <c r="I731" t="n">
        <v>0</v>
      </c>
      <c r="L731" t="n">
        <v>0</v>
      </c>
      <c r="M731" t="inlineStr">
        <is>
          <t>aluminium, cast alloy</t>
        </is>
      </c>
    </row>
    <row r="732"/>
    <row r="733" ht="16" customHeight="1">
      <c r="A733" s="1" t="inlineStr">
        <is>
          <t>Activity</t>
        </is>
      </c>
      <c r="B733" s="1" t="inlineStr">
        <is>
          <t>Dismantling, BIGCC power plant 450MW</t>
        </is>
      </c>
    </row>
    <row r="734">
      <c r="A734" t="inlineStr">
        <is>
          <t>location</t>
        </is>
      </c>
      <c r="B734" t="inlineStr">
        <is>
          <t>RER</t>
        </is>
      </c>
    </row>
    <row r="735">
      <c r="A735" t="inlineStr">
        <is>
          <t>production amount</t>
        </is>
      </c>
      <c r="B735" t="n">
        <v>1</v>
      </c>
    </row>
    <row r="736">
      <c r="A736" t="inlineStr">
        <is>
          <t>reference product</t>
        </is>
      </c>
      <c r="B736" t="inlineStr">
        <is>
          <t>Dismantling, BIGCC power plant 450MW</t>
        </is>
      </c>
    </row>
    <row r="737">
      <c r="A737" t="inlineStr">
        <is>
          <t>type</t>
        </is>
      </c>
      <c r="B737" t="inlineStr">
        <is>
          <t>process</t>
        </is>
      </c>
    </row>
    <row r="738">
      <c r="A738" t="inlineStr">
        <is>
          <t>unit</t>
        </is>
      </c>
      <c r="B738" t="inlineStr">
        <is>
          <t>unit</t>
        </is>
      </c>
    </row>
    <row r="739" ht="16" customHeight="1">
      <c r="A739" s="1" t="inlineStr">
        <is>
          <t>Exchanges</t>
        </is>
      </c>
    </row>
    <row r="740">
      <c r="A740" t="inlineStr">
        <is>
          <t>name</t>
        </is>
      </c>
      <c r="B740" t="inlineStr">
        <is>
          <t>amount</t>
        </is>
      </c>
      <c r="C740" t="inlineStr">
        <is>
          <t>location</t>
        </is>
      </c>
      <c r="D740" t="inlineStr">
        <is>
          <t>unit</t>
        </is>
      </c>
      <c r="E740" t="inlineStr">
        <is>
          <t>categories</t>
        </is>
      </c>
      <c r="F740" t="inlineStr">
        <is>
          <t>type</t>
        </is>
      </c>
      <c r="G740" t="inlineStr">
        <is>
          <t>uncertainty type</t>
        </is>
      </c>
      <c r="H740" t="inlineStr">
        <is>
          <t>loc</t>
        </is>
      </c>
      <c r="I740" t="inlineStr">
        <is>
          <t>scale</t>
        </is>
      </c>
      <c r="J740" t="inlineStr">
        <is>
          <t>allocation</t>
        </is>
      </c>
      <c r="K740" t="inlineStr">
        <is>
          <t>comment</t>
        </is>
      </c>
      <c r="L740" t="inlineStr">
        <is>
          <t>negative</t>
        </is>
      </c>
      <c r="M740" t="inlineStr">
        <is>
          <t>reference product</t>
        </is>
      </c>
    </row>
    <row r="741">
      <c r="A741" t="inlineStr">
        <is>
          <t>Occupation, construction site</t>
        </is>
      </c>
      <c r="B741" t="n">
        <v>1090000</v>
      </c>
      <c r="D741" t="inlineStr">
        <is>
          <t>square meter-year</t>
        </is>
      </c>
      <c r="E741" t="inlineStr">
        <is>
          <t>natural resource::land</t>
        </is>
      </c>
      <c r="F741" t="inlineStr">
        <is>
          <t>biosphere</t>
        </is>
      </c>
      <c r="G741" t="n">
        <v>0</v>
      </c>
      <c r="H741" t="n">
        <v>13.90168825420533</v>
      </c>
      <c r="I741" t="n">
        <v>0</v>
      </c>
      <c r="L741" t="n">
        <v>0</v>
      </c>
    </row>
    <row r="742">
      <c r="A742" t="inlineStr">
        <is>
          <t>Transformation, from industrial area</t>
        </is>
      </c>
      <c r="B742" t="n">
        <v>81400</v>
      </c>
      <c r="D742" t="inlineStr">
        <is>
          <t>square meter</t>
        </is>
      </c>
      <c r="E742" t="inlineStr">
        <is>
          <t>natural resource::land</t>
        </is>
      </c>
      <c r="F742" t="inlineStr">
        <is>
          <t>biosphere</t>
        </is>
      </c>
      <c r="G742" t="n">
        <v>0</v>
      </c>
      <c r="H742" t="n">
        <v>11.30713055199063</v>
      </c>
      <c r="I742" t="n">
        <v>0</v>
      </c>
      <c r="L742" t="n">
        <v>0</v>
      </c>
    </row>
    <row r="743">
      <c r="A743" t="inlineStr">
        <is>
          <t>Transformation, from industrial area</t>
        </is>
      </c>
      <c r="B743" t="n">
        <v>271000</v>
      </c>
      <c r="D743" t="inlineStr">
        <is>
          <t>square meter</t>
        </is>
      </c>
      <c r="E743" t="inlineStr">
        <is>
          <t>natural resource::land</t>
        </is>
      </c>
      <c r="F743" t="inlineStr">
        <is>
          <t>biosphere</t>
        </is>
      </c>
      <c r="G743" t="n">
        <v>0</v>
      </c>
      <c r="H743" t="n">
        <v>12.50987409986184</v>
      </c>
      <c r="I743" t="n">
        <v>0</v>
      </c>
      <c r="L743" t="n">
        <v>0</v>
      </c>
    </row>
    <row r="744">
      <c r="A744" t="inlineStr">
        <is>
          <t>Transformation, from industrial area</t>
        </is>
      </c>
      <c r="B744" t="n">
        <v>109000</v>
      </c>
      <c r="D744" t="inlineStr">
        <is>
          <t>square meter</t>
        </is>
      </c>
      <c r="E744" t="inlineStr">
        <is>
          <t>natural resource::land</t>
        </is>
      </c>
      <c r="F744" t="inlineStr">
        <is>
          <t>biosphere</t>
        </is>
      </c>
      <c r="G744" t="n">
        <v>0</v>
      </c>
      <c r="H744" t="n">
        <v>11.59910316121128</v>
      </c>
      <c r="I744" t="n">
        <v>0</v>
      </c>
      <c r="L744" t="n">
        <v>0</v>
      </c>
    </row>
    <row r="745">
      <c r="A745" t="inlineStr">
        <is>
          <t>Transformation, to annual crop, non-irrigated</t>
        </is>
      </c>
      <c r="B745" t="n">
        <v>543000</v>
      </c>
      <c r="D745" t="inlineStr">
        <is>
          <t>square meter</t>
        </is>
      </c>
      <c r="E745" t="inlineStr">
        <is>
          <t>natural resource::land</t>
        </is>
      </c>
      <c r="F745" t="inlineStr">
        <is>
          <t>biosphere</t>
        </is>
      </c>
      <c r="G745" t="n">
        <v>0</v>
      </c>
      <c r="H745" t="n">
        <v>13.20486459891607</v>
      </c>
      <c r="I745" t="n">
        <v>0</v>
      </c>
      <c r="L745" t="n">
        <v>0</v>
      </c>
    </row>
    <row r="746">
      <c r="A746" t="inlineStr">
        <is>
          <t>Dismantling, BIGCC power plant 450MW</t>
        </is>
      </c>
      <c r="B746" t="n">
        <v>1</v>
      </c>
      <c r="C746" t="inlineStr">
        <is>
          <t>RER</t>
        </is>
      </c>
      <c r="D746" t="inlineStr">
        <is>
          <t>unit</t>
        </is>
      </c>
      <c r="E746" t="inlineStr">
        <is>
          <t>CCS Europe 2025::Infrastructure&amp;Background</t>
        </is>
      </c>
      <c r="F746" t="inlineStr">
        <is>
          <t>production</t>
        </is>
      </c>
      <c r="J746" t="n">
        <v>100</v>
      </c>
      <c r="N746" t="inlineStr">
        <is>
          <t>Dismantling, BIGCC power plant 450MW/I U</t>
        </is>
      </c>
    </row>
    <row r="747">
      <c r="A747" t="inlineStr">
        <is>
          <t>treatment of inert waste, sanitary landfill</t>
        </is>
      </c>
      <c r="B747" t="n">
        <v>-6550</v>
      </c>
      <c r="C747" t="inlineStr">
        <is>
          <t>CH</t>
        </is>
      </c>
      <c r="D747" t="inlineStr">
        <is>
          <t>kilogram</t>
        </is>
      </c>
      <c r="E747" t="inlineStr">
        <is>
          <t>Waste to treatment</t>
        </is>
      </c>
      <c r="F747" t="inlineStr">
        <is>
          <t>technosphere</t>
        </is>
      </c>
      <c r="G747" t="n">
        <v>0</v>
      </c>
      <c r="H747" t="n">
        <v>8.787220328629298</v>
      </c>
      <c r="I747" t="n">
        <v>0</v>
      </c>
      <c r="L747" t="n">
        <v>0</v>
      </c>
      <c r="M747" t="inlineStr">
        <is>
          <t>inert waste</t>
        </is>
      </c>
      <c r="N747" t="inlineStr">
        <is>
          <t>Disposal, inert material, 0% water, to sanitary landfill/CH U</t>
        </is>
      </c>
    </row>
    <row r="748">
      <c r="A748" t="inlineStr">
        <is>
          <t>treatment of lead in car shredder residue, municipal incineration</t>
        </is>
      </c>
      <c r="B748" t="n">
        <v>-1950</v>
      </c>
      <c r="C748" t="inlineStr">
        <is>
          <t>CH</t>
        </is>
      </c>
      <c r="D748" t="inlineStr">
        <is>
          <t>kilogram</t>
        </is>
      </c>
      <c r="E748" t="inlineStr">
        <is>
          <t>Waste to treatment</t>
        </is>
      </c>
      <c r="F748" t="inlineStr">
        <is>
          <t>technosphere</t>
        </is>
      </c>
      <c r="G748" t="n">
        <v>0</v>
      </c>
      <c r="H748" t="n">
        <v>7.575584651557793</v>
      </c>
      <c r="I748" t="n">
        <v>0</v>
      </c>
      <c r="L748" t="n">
        <v>0</v>
      </c>
      <c r="M748" t="inlineStr">
        <is>
          <t>lead in car shredder residue</t>
        </is>
      </c>
      <c r="N748" t="inlineStr">
        <is>
          <t>Disposal, lead in car shredder residue, 0% water, to municipal incineration/CH U</t>
        </is>
      </c>
    </row>
    <row r="749">
      <c r="A749" t="inlineStr">
        <is>
          <t>treatment of municipal solid waste, incineration</t>
        </is>
      </c>
      <c r="B749" t="n">
        <v>-1500000</v>
      </c>
      <c r="C749" t="inlineStr">
        <is>
          <t>CH</t>
        </is>
      </c>
      <c r="D749" t="inlineStr">
        <is>
          <t>kilogram</t>
        </is>
      </c>
      <c r="E749" t="inlineStr">
        <is>
          <t>Waste to treatment</t>
        </is>
      </c>
      <c r="F749" t="inlineStr">
        <is>
          <t>technosphere</t>
        </is>
      </c>
      <c r="G749" t="n">
        <v>0</v>
      </c>
      <c r="H749" t="n">
        <v>14.22097566607244</v>
      </c>
      <c r="I749" t="n">
        <v>0</v>
      </c>
      <c r="L749" t="n">
        <v>0</v>
      </c>
      <c r="M749" t="inlineStr">
        <is>
          <t>municipal solid waste</t>
        </is>
      </c>
      <c r="N749" t="inlineStr">
        <is>
          <t>Disposal, municipal solid waste, 22.9% water, to municipal incineration/CH U</t>
        </is>
      </c>
    </row>
    <row r="750">
      <c r="A750" t="inlineStr">
        <is>
          <t>treatment of scrap aluminium, municipal incineration</t>
        </is>
      </c>
      <c r="B750" t="n">
        <v>-407000</v>
      </c>
      <c r="C750" t="inlineStr">
        <is>
          <t>CH</t>
        </is>
      </c>
      <c r="D750" t="inlineStr">
        <is>
          <t>kilogram</t>
        </is>
      </c>
      <c r="E750" t="inlineStr">
        <is>
          <t>Waste to treatment</t>
        </is>
      </c>
      <c r="F750" t="inlineStr">
        <is>
          <t>technosphere</t>
        </is>
      </c>
      <c r="G750" t="n">
        <v>0</v>
      </c>
      <c r="H750" t="n">
        <v>12.91656846442473</v>
      </c>
      <c r="I750" t="n">
        <v>0</v>
      </c>
      <c r="L750" t="n">
        <v>0</v>
      </c>
      <c r="M750" t="inlineStr">
        <is>
          <t>scrap aluminium</t>
        </is>
      </c>
      <c r="N750" t="inlineStr">
        <is>
          <t>Disposal, aluminium, 0% water, to municipal incineration/CH U</t>
        </is>
      </c>
    </row>
    <row r="751">
      <c r="A751" t="inlineStr">
        <is>
          <t>treatment of scrap copper, municipal incineration</t>
        </is>
      </c>
      <c r="B751" t="n">
        <v>-1410000</v>
      </c>
      <c r="C751" t="inlineStr">
        <is>
          <t>CH</t>
        </is>
      </c>
      <c r="D751" t="inlineStr">
        <is>
          <t>kilogram</t>
        </is>
      </c>
      <c r="E751" t="inlineStr">
        <is>
          <t>Waste to treatment</t>
        </is>
      </c>
      <c r="F751" t="inlineStr">
        <is>
          <t>technosphere</t>
        </is>
      </c>
      <c r="G751" t="n">
        <v>0</v>
      </c>
      <c r="H751" t="n">
        <v>14.15910026235435</v>
      </c>
      <c r="I751" t="n">
        <v>0</v>
      </c>
      <c r="L751" t="n">
        <v>0</v>
      </c>
      <c r="M751" t="inlineStr">
        <is>
          <t>scrap copper</t>
        </is>
      </c>
      <c r="N751" t="inlineStr">
        <is>
          <t>Disposal, copper, 0% water, to municipal incineration/CH U</t>
        </is>
      </c>
    </row>
    <row r="752">
      <c r="A752" t="inlineStr">
        <is>
          <t>treatment of scrap steel, inert material landfill</t>
        </is>
      </c>
      <c r="B752" t="n">
        <v>-1960000</v>
      </c>
      <c r="C752" t="inlineStr">
        <is>
          <t>CH</t>
        </is>
      </c>
      <c r="D752" t="inlineStr">
        <is>
          <t>kilogram</t>
        </is>
      </c>
      <c r="E752" t="inlineStr">
        <is>
          <t>Waste to treatment</t>
        </is>
      </c>
      <c r="F752" t="inlineStr">
        <is>
          <t>technosphere</t>
        </is>
      </c>
      <c r="G752" t="n">
        <v>0</v>
      </c>
      <c r="H752" t="n">
        <v>14.4884550312067</v>
      </c>
      <c r="I752" t="n">
        <v>0</v>
      </c>
      <c r="L752" t="n">
        <v>0</v>
      </c>
      <c r="M752" t="inlineStr">
        <is>
          <t>scrap steel</t>
        </is>
      </c>
      <c r="N752" t="inlineStr">
        <is>
          <t>Disposal, steel, 0% water, to inert material landfill/CH U</t>
        </is>
      </c>
    </row>
    <row r="753">
      <c r="A753" t="inlineStr">
        <is>
          <t>treatment of waste aluminium, sanitary landfill</t>
        </is>
      </c>
      <c r="B753" t="n">
        <v>-102000</v>
      </c>
      <c r="C753" t="inlineStr">
        <is>
          <t>CH</t>
        </is>
      </c>
      <c r="D753" t="inlineStr">
        <is>
          <t>kilogram</t>
        </is>
      </c>
      <c r="E753" t="inlineStr">
        <is>
          <t>Waste to treatment</t>
        </is>
      </c>
      <c r="F753" t="inlineStr">
        <is>
          <t>technosphere</t>
        </is>
      </c>
      <c r="G753" t="n">
        <v>0</v>
      </c>
      <c r="H753" t="n">
        <v>11.53272809226641</v>
      </c>
      <c r="I753" t="n">
        <v>0</v>
      </c>
      <c r="L753" t="n">
        <v>0</v>
      </c>
      <c r="M753" t="inlineStr">
        <is>
          <t>waste aluminium</t>
        </is>
      </c>
      <c r="N753" t="inlineStr">
        <is>
          <t>Disposal, aluminium, 0% water, to sanitary landfill/CH U</t>
        </is>
      </c>
    </row>
    <row r="754">
      <c r="A754" t="inlineStr">
        <is>
          <t>treatment of waste bulk iron, excluding reinforcement, sorting plant</t>
        </is>
      </c>
      <c r="B754" t="n">
        <v>-5870000</v>
      </c>
      <c r="C754" t="inlineStr">
        <is>
          <t>CH</t>
        </is>
      </c>
      <c r="D754" t="inlineStr">
        <is>
          <t>kilogram</t>
        </is>
      </c>
      <c r="E754" t="inlineStr">
        <is>
          <t>Waste to treatment</t>
        </is>
      </c>
      <c r="F754" t="inlineStr">
        <is>
          <t>technosphere</t>
        </is>
      </c>
      <c r="G754" t="n">
        <v>0</v>
      </c>
      <c r="H754" t="n">
        <v>15.58536519180428</v>
      </c>
      <c r="I754" t="n">
        <v>0</v>
      </c>
      <c r="L754" t="n">
        <v>0</v>
      </c>
      <c r="M754" t="inlineStr">
        <is>
          <t>waste bulk iron, excluding reinforcement</t>
        </is>
      </c>
      <c r="N754" t="inlineStr">
        <is>
          <t>Disposal, building, bulk iron (excluding reinforcement), to sorting plant/CH U</t>
        </is>
      </c>
    </row>
    <row r="755">
      <c r="A755" t="inlineStr">
        <is>
          <t>treatment of waste concrete, not reinforced, collection for final disposal</t>
        </is>
      </c>
      <c r="B755" t="n">
        <v>-212000000</v>
      </c>
      <c r="C755" t="inlineStr">
        <is>
          <t>CH</t>
        </is>
      </c>
      <c r="D755" t="inlineStr">
        <is>
          <t>kilogram</t>
        </is>
      </c>
      <c r="E755" t="inlineStr">
        <is>
          <t>Waste to treatment</t>
        </is>
      </c>
      <c r="F755" t="inlineStr">
        <is>
          <t>technosphere</t>
        </is>
      </c>
      <c r="G755" t="n">
        <v>0</v>
      </c>
      <c r="H755" t="n">
        <v>19.17209683263629</v>
      </c>
      <c r="I755" t="n">
        <v>0</v>
      </c>
      <c r="L755" t="n">
        <v>0</v>
      </c>
      <c r="M755" t="inlineStr">
        <is>
          <t>waste concrete, not reinforced</t>
        </is>
      </c>
      <c r="N755" t="inlineStr">
        <is>
          <t>Disposal, building, concrete, not reinforced, to final disposal/CH U</t>
        </is>
      </c>
    </row>
    <row r="756">
      <c r="A756" t="inlineStr">
        <is>
          <t>treatment of waste concrete, not reinforced, recycling</t>
        </is>
      </c>
      <c r="B756" t="n">
        <v>-90900000</v>
      </c>
      <c r="C756" t="inlineStr">
        <is>
          <t>CH</t>
        </is>
      </c>
      <c r="D756" t="inlineStr">
        <is>
          <t>kilogram</t>
        </is>
      </c>
      <c r="E756" t="inlineStr">
        <is>
          <t>Waste to treatment</t>
        </is>
      </c>
      <c r="F756" t="inlineStr">
        <is>
          <t>technosphere</t>
        </is>
      </c>
      <c r="G756" t="n">
        <v>0</v>
      </c>
      <c r="H756" t="n">
        <v>18.32527055914771</v>
      </c>
      <c r="I756" t="n">
        <v>0</v>
      </c>
      <c r="L756" t="n">
        <v>0</v>
      </c>
      <c r="M756" t="inlineStr">
        <is>
          <t>waste concrete, not reinforced</t>
        </is>
      </c>
      <c r="N756" t="inlineStr">
        <is>
          <t>Disposal, building, concrete, not reinforced, to recycling/CH U</t>
        </is>
      </c>
    </row>
    <row r="757">
      <c r="A757" t="inlineStr">
        <is>
          <t>treatment of waste emulsion paint on wall, collection for final disposal</t>
        </is>
      </c>
      <c r="B757" t="n">
        <v>-35900</v>
      </c>
      <c r="C757" t="inlineStr">
        <is>
          <t>CH</t>
        </is>
      </c>
      <c r="D757" t="inlineStr">
        <is>
          <t>kilogram</t>
        </is>
      </c>
      <c r="E757" t="inlineStr">
        <is>
          <t>Waste to treatment</t>
        </is>
      </c>
      <c r="F757" t="inlineStr">
        <is>
          <t>technosphere</t>
        </is>
      </c>
      <c r="G757" t="n">
        <v>0</v>
      </c>
      <c r="H757" t="n">
        <v>10.48849257447637</v>
      </c>
      <c r="I757" t="n">
        <v>0</v>
      </c>
      <c r="L757" t="n">
        <v>0</v>
      </c>
      <c r="M757" t="inlineStr">
        <is>
          <t>waste emulsion paint, on wall</t>
        </is>
      </c>
      <c r="N757" t="inlineStr">
        <is>
          <t>Disposal, building, emulsion paint on walls, to final disposal/CH U</t>
        </is>
      </c>
    </row>
    <row r="758">
      <c r="A758" t="inlineStr">
        <is>
          <t>treatment of waste glass, inert material landfill</t>
        </is>
      </c>
      <c r="B758" t="n">
        <v>-8440</v>
      </c>
      <c r="C758" t="inlineStr">
        <is>
          <t>CH</t>
        </is>
      </c>
      <c r="D758" t="inlineStr">
        <is>
          <t>kilogram</t>
        </is>
      </c>
      <c r="E758" t="inlineStr">
        <is>
          <t>Waste to treatment</t>
        </is>
      </c>
      <c r="F758" t="inlineStr">
        <is>
          <t>technosphere</t>
        </is>
      </c>
      <c r="G758" t="n">
        <v>0</v>
      </c>
      <c r="H758" t="n">
        <v>9.040737587590003</v>
      </c>
      <c r="I758" t="n">
        <v>0</v>
      </c>
      <c r="L758" t="n">
        <v>0</v>
      </c>
      <c r="M758" t="inlineStr">
        <is>
          <t>waste glass</t>
        </is>
      </c>
      <c r="N758" t="inlineStr">
        <is>
          <t>Disposal, glass, 0% water, to inert material landfill/CH U</t>
        </is>
      </c>
    </row>
    <row r="759">
      <c r="A759" t="inlineStr">
        <is>
          <t>treatment of waste glass, municipal incineration</t>
        </is>
      </c>
      <c r="B759" t="n">
        <v>-5620</v>
      </c>
      <c r="C759" t="inlineStr">
        <is>
          <t>CH</t>
        </is>
      </c>
      <c r="D759" t="inlineStr">
        <is>
          <t>kilogram</t>
        </is>
      </c>
      <c r="E759" t="inlineStr">
        <is>
          <t>Waste to treatment</t>
        </is>
      </c>
      <c r="F759" t="inlineStr">
        <is>
          <t>technosphere</t>
        </is>
      </c>
      <c r="G759" t="n">
        <v>0</v>
      </c>
      <c r="H759" t="n">
        <v>8.634086942887738</v>
      </c>
      <c r="I759" t="n">
        <v>0</v>
      </c>
      <c r="L759" t="n">
        <v>0</v>
      </c>
      <c r="M759" t="inlineStr">
        <is>
          <t>waste glass</t>
        </is>
      </c>
      <c r="N759" t="inlineStr">
        <is>
          <t>Disposal, glass, 0% water, to municipal incineration/CH U</t>
        </is>
      </c>
    </row>
    <row r="760">
      <c r="A760" t="inlineStr">
        <is>
          <t>treatment of waste mineral wool, collection for final disposal</t>
        </is>
      </c>
      <c r="B760" t="n">
        <v>-504000</v>
      </c>
      <c r="C760" t="inlineStr">
        <is>
          <t>CH</t>
        </is>
      </c>
      <c r="D760" t="inlineStr">
        <is>
          <t>kilogram</t>
        </is>
      </c>
      <c r="E760" t="inlineStr">
        <is>
          <t>Waste to treatment</t>
        </is>
      </c>
      <c r="F760" t="inlineStr">
        <is>
          <t>technosphere</t>
        </is>
      </c>
      <c r="G760" t="n">
        <v>0</v>
      </c>
      <c r="H760" t="n">
        <v>13.13033154705351</v>
      </c>
      <c r="I760" t="n">
        <v>0</v>
      </c>
      <c r="L760" t="n">
        <v>0</v>
      </c>
      <c r="M760" t="inlineStr">
        <is>
          <t>waste mineral wool</t>
        </is>
      </c>
      <c r="N760" t="inlineStr">
        <is>
          <t>Disposal, building, mineral wool, to final disposal/CH U</t>
        </is>
      </c>
    </row>
    <row r="761">
      <c r="A761" t="inlineStr">
        <is>
          <t>treatment of waste mineral wool, recycling</t>
        </is>
      </c>
      <c r="B761" t="n">
        <v>-755000</v>
      </c>
      <c r="C761" t="inlineStr">
        <is>
          <t>CH</t>
        </is>
      </c>
      <c r="D761" t="inlineStr">
        <is>
          <t>kilogram</t>
        </is>
      </c>
      <c r="E761" t="inlineStr">
        <is>
          <t>Waste to treatment</t>
        </is>
      </c>
      <c r="F761" t="inlineStr">
        <is>
          <t>technosphere</t>
        </is>
      </c>
      <c r="G761" t="n">
        <v>0</v>
      </c>
      <c r="H761" t="n">
        <v>13.53447302823116</v>
      </c>
      <c r="I761" t="n">
        <v>0</v>
      </c>
      <c r="L761" t="n">
        <v>0</v>
      </c>
      <c r="M761" t="inlineStr">
        <is>
          <t>waste mineral wool</t>
        </is>
      </c>
      <c r="N761" t="inlineStr">
        <is>
          <t>Disposal, building, mineral wool, to recycling/CH U</t>
        </is>
      </c>
    </row>
    <row r="762">
      <c r="A762" t="inlineStr">
        <is>
          <t>treatment of waste polyethylene, municipal incineration</t>
        </is>
      </c>
      <c r="B762" t="n">
        <v>-54600</v>
      </c>
      <c r="C762" t="inlineStr">
        <is>
          <t>CH</t>
        </is>
      </c>
      <c r="D762" t="inlineStr">
        <is>
          <t>kilogram</t>
        </is>
      </c>
      <c r="E762" t="inlineStr">
        <is>
          <t>Waste to treatment</t>
        </is>
      </c>
      <c r="F762" t="inlineStr">
        <is>
          <t>technosphere</t>
        </is>
      </c>
      <c r="G762" t="n">
        <v>0</v>
      </c>
      <c r="H762" t="n">
        <v>10.907789161733</v>
      </c>
      <c r="I762" t="n">
        <v>0</v>
      </c>
      <c r="L762" t="n">
        <v>0</v>
      </c>
      <c r="M762" t="inlineStr">
        <is>
          <t>waste polyethylene</t>
        </is>
      </c>
      <c r="N762" t="inlineStr">
        <is>
          <t>Disposal, polyethylene, 0.4% water, to municipal incineration/CH U</t>
        </is>
      </c>
    </row>
    <row r="763">
      <c r="A763" t="inlineStr">
        <is>
          <t>treatment of waste polyethylene, sanitary landfill</t>
        </is>
      </c>
      <c r="B763" t="n">
        <v>-13700</v>
      </c>
      <c r="C763" t="inlineStr">
        <is>
          <t>CH</t>
        </is>
      </c>
      <c r="D763" t="inlineStr">
        <is>
          <t>kilogram</t>
        </is>
      </c>
      <c r="E763" t="inlineStr">
        <is>
          <t>Waste to treatment</t>
        </is>
      </c>
      <c r="F763" t="inlineStr">
        <is>
          <t>technosphere</t>
        </is>
      </c>
      <c r="G763" t="n">
        <v>0</v>
      </c>
      <c r="H763" t="n">
        <v>9.525151111816216</v>
      </c>
      <c r="I763" t="n">
        <v>0</v>
      </c>
      <c r="L763" t="n">
        <v>0</v>
      </c>
      <c r="M763" t="inlineStr">
        <is>
          <t>waste polyethylene</t>
        </is>
      </c>
      <c r="N763" t="inlineStr">
        <is>
          <t>Disposal, polyethylene, 0.4% water, to sanitary landfill/CH U</t>
        </is>
      </c>
    </row>
    <row r="764">
      <c r="A764" t="inlineStr">
        <is>
          <t>treatment of waste polypropylene, municipal incineration</t>
        </is>
      </c>
      <c r="B764" t="n">
        <v>-27300</v>
      </c>
      <c r="C764" t="inlineStr">
        <is>
          <t>CH</t>
        </is>
      </c>
      <c r="D764" t="inlineStr">
        <is>
          <t>kilogram</t>
        </is>
      </c>
      <c r="E764" t="inlineStr">
        <is>
          <t>Waste to treatment</t>
        </is>
      </c>
      <c r="F764" t="inlineStr">
        <is>
          <t>technosphere</t>
        </is>
      </c>
      <c r="G764" t="n">
        <v>0</v>
      </c>
      <c r="H764" t="n">
        <v>10.21464198117305</v>
      </c>
      <c r="I764" t="n">
        <v>0</v>
      </c>
      <c r="L764" t="n">
        <v>0</v>
      </c>
      <c r="M764" t="inlineStr">
        <is>
          <t>waste polypropylene</t>
        </is>
      </c>
      <c r="N764" t="inlineStr">
        <is>
          <t>Disposal, polypropylene, 15.9% water, to municipal incineration/CH U</t>
        </is>
      </c>
    </row>
    <row r="765">
      <c r="A765" t="inlineStr">
        <is>
          <t>treatment of waste polypropylene, sanitary landfill</t>
        </is>
      </c>
      <c r="B765" t="n">
        <v>-6830</v>
      </c>
      <c r="C765" t="inlineStr">
        <is>
          <t>CH</t>
        </is>
      </c>
      <c r="D765" t="inlineStr">
        <is>
          <t>kilogram</t>
        </is>
      </c>
      <c r="E765" t="inlineStr">
        <is>
          <t>Waste to treatment</t>
        </is>
      </c>
      <c r="F765" t="inlineStr">
        <is>
          <t>technosphere</t>
        </is>
      </c>
      <c r="G765" t="n">
        <v>0</v>
      </c>
      <c r="H765" t="n">
        <v>8.829079952564836</v>
      </c>
      <c r="I765" t="n">
        <v>0</v>
      </c>
      <c r="L765" t="n">
        <v>0</v>
      </c>
      <c r="M765" t="inlineStr">
        <is>
          <t>waste polypropylene</t>
        </is>
      </c>
      <c r="N765" t="inlineStr">
        <is>
          <t>Disposal, polypropylene, 15.9% water, to sanitary landfill/CH U</t>
        </is>
      </c>
    </row>
    <row r="766">
      <c r="A766" t="inlineStr">
        <is>
          <t>treatment of waste polystyrene, municipal incineration</t>
        </is>
      </c>
      <c r="B766" t="n">
        <v>-189000</v>
      </c>
      <c r="C766" t="inlineStr">
        <is>
          <t>CH</t>
        </is>
      </c>
      <c r="D766" t="inlineStr">
        <is>
          <t>kilogram</t>
        </is>
      </c>
      <c r="E766" t="inlineStr">
        <is>
          <t>Waste to treatment</t>
        </is>
      </c>
      <c r="F766" t="inlineStr">
        <is>
          <t>technosphere</t>
        </is>
      </c>
      <c r="G766" t="n">
        <v>0</v>
      </c>
      <c r="H766" t="n">
        <v>12.14950229404178</v>
      </c>
      <c r="I766" t="n">
        <v>0</v>
      </c>
      <c r="L766" t="n">
        <v>0</v>
      </c>
      <c r="M766" t="inlineStr">
        <is>
          <t>waste polystyrene</t>
        </is>
      </c>
      <c r="N766" t="inlineStr">
        <is>
          <t>Disposal, polystyrene, 0.2% water, to municipal incineration/CH U</t>
        </is>
      </c>
    </row>
    <row r="767">
      <c r="A767" t="inlineStr">
        <is>
          <t>treatment of waste polystyrene, sanitary landfill</t>
        </is>
      </c>
      <c r="B767" t="n">
        <v>-47300</v>
      </c>
      <c r="C767" t="inlineStr">
        <is>
          <t>CH</t>
        </is>
      </c>
      <c r="D767" t="inlineStr">
        <is>
          <t>kilogram</t>
        </is>
      </c>
      <c r="E767" t="inlineStr">
        <is>
          <t>Waste to treatment</t>
        </is>
      </c>
      <c r="F767" t="inlineStr">
        <is>
          <t>technosphere</t>
        </is>
      </c>
      <c r="G767" t="n">
        <v>0</v>
      </c>
      <c r="H767" t="n">
        <v>10.76426557448002</v>
      </c>
      <c r="I767" t="n">
        <v>0</v>
      </c>
      <c r="L767" t="n">
        <v>0</v>
      </c>
      <c r="M767" t="inlineStr">
        <is>
          <t>waste polystyrene</t>
        </is>
      </c>
      <c r="N767" t="inlineStr">
        <is>
          <t>Disposal, polystyrene, 0.2% water, to sanitary landfill/CH U</t>
        </is>
      </c>
    </row>
    <row r="768">
      <c r="A768" t="inlineStr">
        <is>
          <t>treatment of waste polyvinylchloride, municipal incineration</t>
        </is>
      </c>
      <c r="B768" t="n">
        <v>-289000</v>
      </c>
      <c r="C768" t="inlineStr">
        <is>
          <t>CH</t>
        </is>
      </c>
      <c r="D768" t="inlineStr">
        <is>
          <t>kilogram</t>
        </is>
      </c>
      <c r="E768" t="inlineStr">
        <is>
          <t>Waste to treatment</t>
        </is>
      </c>
      <c r="F768" t="inlineStr">
        <is>
          <t>technosphere</t>
        </is>
      </c>
      <c r="G768" t="n">
        <v>0</v>
      </c>
      <c r="H768" t="n">
        <v>12.57418196709457</v>
      </c>
      <c r="I768" t="n">
        <v>0</v>
      </c>
      <c r="L768" t="n">
        <v>0</v>
      </c>
      <c r="M768" t="inlineStr">
        <is>
          <t>waste polyvinylchloride</t>
        </is>
      </c>
      <c r="N768" t="inlineStr">
        <is>
          <t>Disposal, polyvinylchloride, 0.2% water, to municipal incineration/CH U</t>
        </is>
      </c>
    </row>
    <row r="769">
      <c r="A769" t="inlineStr">
        <is>
          <t>treatment of waste polyvinylchloride, sanitary landfill</t>
        </is>
      </c>
      <c r="B769" t="n">
        <v>-72300</v>
      </c>
      <c r="C769" t="inlineStr">
        <is>
          <t>CH</t>
        </is>
      </c>
      <c r="D769" t="inlineStr">
        <is>
          <t>kilogram</t>
        </is>
      </c>
      <c r="E769" t="inlineStr">
        <is>
          <t>Waste to treatment</t>
        </is>
      </c>
      <c r="F769" t="inlineStr">
        <is>
          <t>technosphere</t>
        </is>
      </c>
      <c r="G769" t="n">
        <v>0</v>
      </c>
      <c r="H769" t="n">
        <v>11.18857940814686</v>
      </c>
      <c r="I769" t="n">
        <v>0</v>
      </c>
      <c r="L769" t="n">
        <v>0</v>
      </c>
      <c r="M769" t="inlineStr">
        <is>
          <t>waste polyvinylchloride</t>
        </is>
      </c>
      <c r="N769" t="inlineStr">
        <is>
          <t>Disposal, polyvinylchloride, 0.2% water, to sanitary landfill/CH U</t>
        </is>
      </c>
    </row>
    <row r="770">
      <c r="A770" t="inlineStr">
        <is>
          <t>treatment of waste reinforcement steel, collection for final disposal</t>
        </is>
      </c>
      <c r="B770" t="n">
        <v>-1960000</v>
      </c>
      <c r="C770" t="inlineStr">
        <is>
          <t>CH</t>
        </is>
      </c>
      <c r="D770" t="inlineStr">
        <is>
          <t>kilogram</t>
        </is>
      </c>
      <c r="E770" t="inlineStr">
        <is>
          <t>Waste to treatment</t>
        </is>
      </c>
      <c r="F770" t="inlineStr">
        <is>
          <t>technosphere</t>
        </is>
      </c>
      <c r="G770" t="n">
        <v>0</v>
      </c>
      <c r="H770" t="n">
        <v>14.4884550312067</v>
      </c>
      <c r="I770" t="n">
        <v>0</v>
      </c>
      <c r="L770" t="n">
        <v>0</v>
      </c>
      <c r="M770" t="inlineStr">
        <is>
          <t>waste reinforcement steel</t>
        </is>
      </c>
      <c r="N770" t="inlineStr">
        <is>
          <t>Disposal, building, reinforcement steel, to final disposal/CH U</t>
        </is>
      </c>
    </row>
    <row r="771">
      <c r="A771" t="inlineStr">
        <is>
          <t>treatment of waste reinforcement steel, sorting plant</t>
        </is>
      </c>
      <c r="B771" t="n">
        <v>-9780000</v>
      </c>
      <c r="C771" t="inlineStr">
        <is>
          <t>CH</t>
        </is>
      </c>
      <c r="D771" t="inlineStr">
        <is>
          <t>kilogram</t>
        </is>
      </c>
      <c r="E771" t="inlineStr">
        <is>
          <t>Waste to treatment</t>
        </is>
      </c>
      <c r="F771" t="inlineStr">
        <is>
          <t>technosphere</t>
        </is>
      </c>
      <c r="G771" t="n">
        <v>0</v>
      </c>
      <c r="H771" t="n">
        <v>16.095850042011</v>
      </c>
      <c r="I771" t="n">
        <v>0</v>
      </c>
      <c r="L771" t="n">
        <v>0</v>
      </c>
      <c r="M771" t="inlineStr">
        <is>
          <t>waste reinforcement steel</t>
        </is>
      </c>
      <c r="N771" t="inlineStr">
        <is>
          <t>Disposal, building, reinforcement steel, to sorting plant/CH U</t>
        </is>
      </c>
    </row>
    <row r="772">
      <c r="A772" t="inlineStr">
        <is>
          <t>treatment of waste wood, untreated, municipal incineration</t>
        </is>
      </c>
      <c r="B772" t="n">
        <v>-1.55</v>
      </c>
      <c r="C772" t="inlineStr">
        <is>
          <t>CH</t>
        </is>
      </c>
      <c r="D772" t="inlineStr">
        <is>
          <t>kilogram</t>
        </is>
      </c>
      <c r="E772" t="inlineStr">
        <is>
          <t>Waste to treatment</t>
        </is>
      </c>
      <c r="F772" t="inlineStr">
        <is>
          <t>technosphere</t>
        </is>
      </c>
      <c r="G772" t="n">
        <v>0</v>
      </c>
      <c r="H772" t="n">
        <v>0.4382549309311553</v>
      </c>
      <c r="I772" t="n">
        <v>0</v>
      </c>
      <c r="L772" t="n">
        <v>0</v>
      </c>
      <c r="M772" t="inlineStr">
        <is>
          <t>waste wood, untreated</t>
        </is>
      </c>
      <c r="N772" t="inlineStr">
        <is>
          <t>Disposal, wood untreated, 20% water, to municipal incineration/CH U</t>
        </is>
      </c>
    </row>
    <row r="773">
      <c r="A773" t="inlineStr">
        <is>
          <t>treatment of zinc in car shredder residue, municipal incineration</t>
        </is>
      </c>
      <c r="B773" t="n">
        <v>-7990</v>
      </c>
      <c r="C773" t="inlineStr">
        <is>
          <t>CH</t>
        </is>
      </c>
      <c r="D773" t="inlineStr">
        <is>
          <t>kilogram</t>
        </is>
      </c>
      <c r="E773" t="inlineStr">
        <is>
          <t>Waste to treatment</t>
        </is>
      </c>
      <c r="F773" t="inlineStr">
        <is>
          <t>technosphere</t>
        </is>
      </c>
      <c r="G773" t="n">
        <v>0</v>
      </c>
      <c r="H773" t="n">
        <v>8.98594603876032</v>
      </c>
      <c r="I773" t="n">
        <v>0</v>
      </c>
      <c r="L773" t="n">
        <v>0</v>
      </c>
      <c r="M773" t="inlineStr">
        <is>
          <t>zinc in car shredder residue</t>
        </is>
      </c>
      <c r="N773" t="inlineStr">
        <is>
          <t>Disposal, zinc in car shredder residue, 0% water, to municipal incineration/CH U</t>
        </is>
      </c>
    </row>
    <row r="774"/>
    <row r="775" ht="16" customHeight="1">
      <c r="A775" s="1" t="inlineStr">
        <is>
          <t>Activity</t>
        </is>
      </c>
      <c r="B775" s="1" t="inlineStr">
        <is>
          <t>electricity production, at hard coal-fired IGCC power plant</t>
        </is>
      </c>
    </row>
    <row r="776">
      <c r="A776" t="inlineStr">
        <is>
          <t>location</t>
        </is>
      </c>
      <c r="B776" t="inlineStr">
        <is>
          <t>RER</t>
        </is>
      </c>
    </row>
    <row r="777">
      <c r="A777" t="inlineStr">
        <is>
          <t>production amount</t>
        </is>
      </c>
      <c r="B777" t="n">
        <v>1</v>
      </c>
    </row>
    <row r="778">
      <c r="A778" t="inlineStr">
        <is>
          <t>comment</t>
        </is>
      </c>
      <c r="B778" t="inlineStr">
        <is>
          <t>Integrated Gasification Combined Cycle. 900 MWel. 7500 full load hours per year. 40 years lifetime. 48% net electrical efficiency.</t>
        </is>
      </c>
    </row>
    <row r="779">
      <c r="A779" t="inlineStr">
        <is>
          <t>source</t>
        </is>
      </c>
      <c r="B779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780">
      <c r="A780" t="inlineStr">
        <is>
          <t>reference product</t>
        </is>
      </c>
      <c r="B780" t="inlineStr">
        <is>
          <t>electricity, high voltage</t>
        </is>
      </c>
    </row>
    <row r="781">
      <c r="A781" t="inlineStr">
        <is>
          <t>type</t>
        </is>
      </c>
      <c r="B781" t="inlineStr">
        <is>
          <t>process</t>
        </is>
      </c>
    </row>
    <row r="782">
      <c r="A782" t="inlineStr">
        <is>
          <t>unit</t>
        </is>
      </c>
      <c r="B782" t="inlineStr">
        <is>
          <t>kilowatt hour</t>
        </is>
      </c>
    </row>
    <row r="783" ht="16" customHeight="1">
      <c r="A783" s="1" t="inlineStr">
        <is>
          <t>Exchanges</t>
        </is>
      </c>
    </row>
    <row r="784">
      <c r="A784" t="inlineStr">
        <is>
          <t>name</t>
        </is>
      </c>
      <c r="B784" t="inlineStr">
        <is>
          <t>amount</t>
        </is>
      </c>
      <c r="C784" t="inlineStr">
        <is>
          <t>location</t>
        </is>
      </c>
      <c r="D784" t="inlineStr">
        <is>
          <t>unit</t>
        </is>
      </c>
      <c r="E784" t="inlineStr">
        <is>
          <t>categories</t>
        </is>
      </c>
      <c r="F784" t="inlineStr">
        <is>
          <t>type</t>
        </is>
      </c>
      <c r="G784" t="inlineStr">
        <is>
          <t>uncertainty type</t>
        </is>
      </c>
      <c r="H784" t="inlineStr">
        <is>
          <t>loc</t>
        </is>
      </c>
      <c r="I784" t="inlineStr">
        <is>
          <t>allocation</t>
        </is>
      </c>
      <c r="J784" t="inlineStr">
        <is>
          <t>comment</t>
        </is>
      </c>
      <c r="K784" t="inlineStr">
        <is>
          <t>simapro name</t>
        </is>
      </c>
      <c r="L784" t="inlineStr">
        <is>
          <t>negative</t>
        </is>
      </c>
      <c r="M784" t="inlineStr">
        <is>
          <t>reference product</t>
        </is>
      </c>
    </row>
    <row r="785">
      <c r="A785" t="inlineStr">
        <is>
          <t>electricity production, at hard coal-fired IGCC power plant</t>
        </is>
      </c>
      <c r="B785" t="n">
        <v>1</v>
      </c>
      <c r="C785" t="inlineStr">
        <is>
          <t>RER</t>
        </is>
      </c>
      <c r="D785" t="inlineStr">
        <is>
          <t>kilowatt hour</t>
        </is>
      </c>
      <c r="E785" t="inlineStr">
        <is>
          <t>CCS Europe 2025::Hard coal</t>
        </is>
      </c>
      <c r="F785" t="inlineStr">
        <is>
          <t>production</t>
        </is>
      </c>
      <c r="I785" t="n">
        <v>100</v>
      </c>
      <c r="K785" t="inlineStr">
        <is>
          <t>electricity production, at hard coal-fired power plant, IGCC U</t>
        </is>
      </c>
    </row>
    <row r="786">
      <c r="A786" t="inlineStr">
        <is>
          <t>Hard coal IGCC power plant 450MW</t>
        </is>
      </c>
      <c r="B786" t="n">
        <v>3.705e-12</v>
      </c>
      <c r="C786" t="inlineStr">
        <is>
          <t>RER</t>
        </is>
      </c>
      <c r="D786" t="inlineStr">
        <is>
          <t>unit</t>
        </is>
      </c>
      <c r="E786" t="inlineStr">
        <is>
          <t>Materials/fuels</t>
        </is>
      </c>
      <c r="F786" t="inlineStr">
        <is>
          <t>technosphere</t>
        </is>
      </c>
      <c r="G786" t="n">
        <v>0</v>
      </c>
      <c r="H786" t="n">
        <v>4.94e-13</v>
      </c>
      <c r="J786" t="inlineStr">
        <is>
          <t>n_plant = 1/(lifetime*annual fuel input)</t>
        </is>
      </c>
      <c r="K786" t="inlineStr">
        <is>
          <t>Hard coal IGCC power plant 450MW U</t>
        </is>
      </c>
    </row>
    <row r="787">
      <c r="A787" t="inlineStr">
        <is>
          <t>market for hard coal</t>
        </is>
      </c>
      <c r="B787" s="4">
        <f>(3.6/26.4)/0.48</f>
        <v>0.28409090909090912</v>
      </c>
      <c r="C787" s="2" t="inlineStr">
        <is>
          <t>Europe, without Russia and Turkey</t>
        </is>
      </c>
      <c r="D787" t="inlineStr">
        <is>
          <t>kilogram</t>
        </is>
      </c>
      <c r="E787" t="inlineStr">
        <is>
          <t>Materials/fuels</t>
        </is>
      </c>
      <c r="F787" t="inlineStr">
        <is>
          <t>technosphere</t>
        </is>
      </c>
      <c r="G787" t="n">
        <v>0</v>
      </c>
      <c r="H787" t="n">
        <v>0.0379</v>
      </c>
      <c r="J787" t="inlineStr">
        <is>
          <t>1/energy content from Dones et al. (2007) "Teil VI - Kohle - Data v2.0" p.112</t>
        </is>
      </c>
      <c r="K787" t="inlineStr">
        <is>
          <t>Hard coal mix, at regional storage/UCTE U</t>
        </is>
      </c>
      <c r="M787" t="inlineStr">
        <is>
          <t>hard coal</t>
        </is>
      </c>
    </row>
    <row r="788">
      <c r="A788" t="inlineStr">
        <is>
          <t>Antimony</t>
        </is>
      </c>
      <c r="B788" t="n">
        <v>5.174999999999999e-10</v>
      </c>
      <c r="D788" t="inlineStr">
        <is>
          <t>kilogram</t>
        </is>
      </c>
      <c r="E788" t="inlineStr">
        <is>
          <t>air::non-urban air or from high stacks</t>
        </is>
      </c>
      <c r="F788" t="inlineStr">
        <is>
          <t>biosphere</t>
        </is>
      </c>
      <c r="G788" t="n">
        <v>0</v>
      </c>
      <c r="H788" t="n">
        <v>6.899999999999999e-11</v>
      </c>
    </row>
    <row r="789">
      <c r="A789" t="inlineStr">
        <is>
          <t>Arsenic</t>
        </is>
      </c>
      <c r="B789" t="n">
        <v>7.725e-09</v>
      </c>
      <c r="D789" t="inlineStr">
        <is>
          <t>kilogram</t>
        </is>
      </c>
      <c r="E789" t="inlineStr">
        <is>
          <t>air::non-urban air or from high stacks</t>
        </is>
      </c>
      <c r="F789" t="inlineStr">
        <is>
          <t>biosphere</t>
        </is>
      </c>
      <c r="G789" t="n">
        <v>0</v>
      </c>
      <c r="H789" t="n">
        <v>1.03e-09</v>
      </c>
    </row>
    <row r="790">
      <c r="A790" t="inlineStr">
        <is>
          <t>Barium</t>
        </is>
      </c>
      <c r="B790" t="n">
        <v>3.4125e-08</v>
      </c>
      <c r="D790" t="inlineStr">
        <is>
          <t>kilogram</t>
        </is>
      </c>
      <c r="E790" t="inlineStr">
        <is>
          <t>air::non-urban air or from high stacks</t>
        </is>
      </c>
      <c r="F790" t="inlineStr">
        <is>
          <t>biosphere</t>
        </is>
      </c>
      <c r="G790" t="n">
        <v>0</v>
      </c>
      <c r="H790" t="n">
        <v>4.55e-09</v>
      </c>
    </row>
    <row r="791">
      <c r="A791" t="inlineStr">
        <is>
          <t>Benzene</t>
        </is>
      </c>
      <c r="B791" t="n">
        <v>1.29e-06</v>
      </c>
      <c r="D791" t="inlineStr">
        <is>
          <t>kilogram</t>
        </is>
      </c>
      <c r="E791" t="inlineStr">
        <is>
          <t>air::non-urban air or from high stacks</t>
        </is>
      </c>
      <c r="F791" t="inlineStr">
        <is>
          <t>biosphere</t>
        </is>
      </c>
      <c r="G791" t="n">
        <v>0</v>
      </c>
      <c r="H791" t="n">
        <v>1.72e-07</v>
      </c>
    </row>
    <row r="792">
      <c r="A792" t="inlineStr">
        <is>
          <t>Benzo(a)pyrene</t>
        </is>
      </c>
      <c r="B792" t="n">
        <v>1.2e-12</v>
      </c>
      <c r="D792" t="inlineStr">
        <is>
          <t>kilogram</t>
        </is>
      </c>
      <c r="E792" t="inlineStr">
        <is>
          <t>air::non-urban air or from high stacks</t>
        </is>
      </c>
      <c r="F792" t="inlineStr">
        <is>
          <t>biosphere</t>
        </is>
      </c>
      <c r="G792" t="n">
        <v>0</v>
      </c>
      <c r="H792" t="n">
        <v>1.6e-13</v>
      </c>
    </row>
    <row r="793">
      <c r="A793" t="inlineStr">
        <is>
          <t>Boron</t>
        </is>
      </c>
      <c r="B793" t="n">
        <v>7.3575e-07</v>
      </c>
      <c r="D793" t="inlineStr">
        <is>
          <t>kilogram</t>
        </is>
      </c>
      <c r="E793" t="inlineStr">
        <is>
          <t>air::non-urban air or from high stacks</t>
        </is>
      </c>
      <c r="F793" t="inlineStr">
        <is>
          <t>biosphere</t>
        </is>
      </c>
      <c r="G793" t="n">
        <v>0</v>
      </c>
      <c r="H793" t="n">
        <v>9.81e-08</v>
      </c>
    </row>
    <row r="794">
      <c r="A794" t="inlineStr">
        <is>
          <t>Bromine</t>
        </is>
      </c>
      <c r="B794" t="n">
        <v>3.81e-07</v>
      </c>
      <c r="D794" t="inlineStr">
        <is>
          <t>kilogram</t>
        </is>
      </c>
      <c r="E794" t="inlineStr">
        <is>
          <t>air::non-urban air or from high stacks</t>
        </is>
      </c>
      <c r="F794" t="inlineStr">
        <is>
          <t>biosphere</t>
        </is>
      </c>
      <c r="G794" t="n">
        <v>0</v>
      </c>
      <c r="H794" t="n">
        <v>5.08e-08</v>
      </c>
    </row>
    <row r="795">
      <c r="A795" t="inlineStr">
        <is>
          <t>Butane</t>
        </is>
      </c>
      <c r="B795" t="n">
        <v>1.1325e-07</v>
      </c>
      <c r="D795" t="inlineStr">
        <is>
          <t>kilogram</t>
        </is>
      </c>
      <c r="E795" t="inlineStr">
        <is>
          <t>air::non-urban air or from high stacks</t>
        </is>
      </c>
      <c r="F795" t="inlineStr">
        <is>
          <t>biosphere</t>
        </is>
      </c>
      <c r="G795" t="n">
        <v>0</v>
      </c>
      <c r="H795" t="n">
        <v>1.51e-08</v>
      </c>
    </row>
    <row r="796">
      <c r="A796" t="inlineStr">
        <is>
          <t>Cadmium</t>
        </is>
      </c>
      <c r="B796" t="n">
        <v>3.45e-10</v>
      </c>
      <c r="D796" t="inlineStr">
        <is>
          <t>kilogram</t>
        </is>
      </c>
      <c r="E796" t="inlineStr">
        <is>
          <t>air::non-urban air or from high stacks</t>
        </is>
      </c>
      <c r="F796" t="inlineStr">
        <is>
          <t>biosphere</t>
        </is>
      </c>
      <c r="G796" t="n">
        <v>0</v>
      </c>
      <c r="H796" t="n">
        <v>4.6e-11</v>
      </c>
    </row>
    <row r="797">
      <c r="A797" t="inlineStr">
        <is>
          <t>Carbon dioxide, fossil</t>
        </is>
      </c>
      <c r="B797">
        <f>B787*26.4*0.098</f>
        <v>0.73499999999999999</v>
      </c>
      <c r="D797" t="inlineStr">
        <is>
          <t>kilogram</t>
        </is>
      </c>
      <c r="E797" t="inlineStr">
        <is>
          <t>air::non-urban air or from high stacks</t>
        </is>
      </c>
      <c r="F797" t="inlineStr">
        <is>
          <t>biosphere</t>
        </is>
      </c>
      <c r="G797" t="n">
        <v>0</v>
      </c>
      <c r="H797" t="n">
        <v>-2.384880335720876</v>
      </c>
      <c r="I797" t="n">
        <v>0</v>
      </c>
      <c r="K797" t="inlineStr">
        <is>
          <t>reduced by a factor of 0.992</t>
        </is>
      </c>
      <c r="L797" t="n">
        <v>0</v>
      </c>
    </row>
    <row r="798">
      <c r="A798" t="inlineStr">
        <is>
          <t>Carbon monoxide, fossil</t>
        </is>
      </c>
      <c r="B798" t="n">
        <v>6.1875e-05</v>
      </c>
      <c r="D798" t="inlineStr">
        <is>
          <t>kilogram</t>
        </is>
      </c>
      <c r="E798" t="inlineStr">
        <is>
          <t>air::non-urban air or from high stacks</t>
        </is>
      </c>
      <c r="F798" t="inlineStr">
        <is>
          <t>biosphere</t>
        </is>
      </c>
      <c r="G798" t="n">
        <v>0</v>
      </c>
      <c r="H798" t="n">
        <v>8.250000000000001e-06</v>
      </c>
    </row>
    <row r="799">
      <c r="A799" t="inlineStr">
        <is>
          <t>Chromium</t>
        </is>
      </c>
      <c r="B799" t="n">
        <v>3.93e-09</v>
      </c>
      <c r="D799" t="inlineStr">
        <is>
          <t>kilogram</t>
        </is>
      </c>
      <c r="E799" t="inlineStr">
        <is>
          <t>air::non-urban air or from high stacks</t>
        </is>
      </c>
      <c r="F799" t="inlineStr">
        <is>
          <t>biosphere</t>
        </is>
      </c>
      <c r="G799" t="n">
        <v>0</v>
      </c>
      <c r="H799" t="n">
        <v>5.240000000000001e-10</v>
      </c>
    </row>
    <row r="800">
      <c r="A800" t="inlineStr">
        <is>
          <t>Chromium VI</t>
        </is>
      </c>
      <c r="B800" t="n">
        <v>4.8525e-10</v>
      </c>
      <c r="D800" t="inlineStr">
        <is>
          <t>kilogram</t>
        </is>
      </c>
      <c r="E800" t="inlineStr">
        <is>
          <t>air::non-urban air or from high stacks</t>
        </is>
      </c>
      <c r="F800" t="inlineStr">
        <is>
          <t>biosphere</t>
        </is>
      </c>
      <c r="G800" t="n">
        <v>0</v>
      </c>
      <c r="H800" t="n">
        <v>6.469999999999999e-11</v>
      </c>
    </row>
    <row r="801">
      <c r="A801" t="inlineStr">
        <is>
          <t>Cobalt</t>
        </is>
      </c>
      <c r="B801" t="n">
        <v>1.95e-09</v>
      </c>
      <c r="D801" t="inlineStr">
        <is>
          <t>kilogram</t>
        </is>
      </c>
      <c r="E801" t="inlineStr">
        <is>
          <t>air::non-urban air or from high stacks</t>
        </is>
      </c>
      <c r="F801" t="inlineStr">
        <is>
          <t>biosphere</t>
        </is>
      </c>
      <c r="G801" t="n">
        <v>0</v>
      </c>
      <c r="H801" t="n">
        <v>2.6e-10</v>
      </c>
    </row>
    <row r="802">
      <c r="A802" t="inlineStr">
        <is>
          <t>Copper</t>
        </is>
      </c>
      <c r="B802" t="n">
        <v>9.825e-09</v>
      </c>
      <c r="D802" t="inlineStr">
        <is>
          <t>kilogram</t>
        </is>
      </c>
      <c r="E802" t="inlineStr">
        <is>
          <t>air::non-urban air or from high stacks</t>
        </is>
      </c>
      <c r="F802" t="inlineStr">
        <is>
          <t>biosphere</t>
        </is>
      </c>
      <c r="G802" t="n">
        <v>0</v>
      </c>
      <c r="H802" t="n">
        <v>1.31e-09</v>
      </c>
    </row>
    <row r="803">
      <c r="A803" t="inlineStr">
        <is>
          <t>Dinitrogen monoxide</t>
        </is>
      </c>
      <c r="B803" t="n">
        <v>2.88e-05</v>
      </c>
      <c r="D803" t="inlineStr">
        <is>
          <t>kilogram</t>
        </is>
      </c>
      <c r="E803" t="inlineStr">
        <is>
          <t>air::non-urban air or from high stacks</t>
        </is>
      </c>
      <c r="F803" t="inlineStr">
        <is>
          <t>biosphere</t>
        </is>
      </c>
      <c r="G803" t="n">
        <v>0</v>
      </c>
      <c r="H803" t="n">
        <v>3.84e-06</v>
      </c>
    </row>
    <row r="804">
      <c r="A804" t="inlineStr">
        <is>
          <t>Dioxins, measured as 2,3,7,8-tetrachlorodibenzo-p-dioxin</t>
        </is>
      </c>
      <c r="B804" t="n">
        <v>4.1925e-14</v>
      </c>
      <c r="D804" t="inlineStr">
        <is>
          <t>kilogram</t>
        </is>
      </c>
      <c r="E804" t="inlineStr">
        <is>
          <t>air::non-urban air or from high stacks</t>
        </is>
      </c>
      <c r="F804" t="inlineStr">
        <is>
          <t>biosphere</t>
        </is>
      </c>
      <c r="G804" t="n">
        <v>0</v>
      </c>
      <c r="H804" t="n">
        <v>5.59e-15</v>
      </c>
    </row>
    <row r="805">
      <c r="A805" t="inlineStr">
        <is>
          <t>Ethane</t>
        </is>
      </c>
      <c r="B805" t="n">
        <v>2.4525e-07</v>
      </c>
      <c r="D805" t="inlineStr">
        <is>
          <t>kilogram</t>
        </is>
      </c>
      <c r="E805" t="inlineStr">
        <is>
          <t>air::non-urban air or from high stacks</t>
        </is>
      </c>
      <c r="F805" t="inlineStr">
        <is>
          <t>biosphere</t>
        </is>
      </c>
      <c r="G805" t="n">
        <v>0</v>
      </c>
      <c r="H805" t="n">
        <v>3.27e-08</v>
      </c>
    </row>
    <row r="806">
      <c r="A806" t="inlineStr">
        <is>
          <t>Formaldehyde</t>
        </is>
      </c>
      <c r="B806" t="n">
        <v>3.4725e-07</v>
      </c>
      <c r="D806" t="inlineStr">
        <is>
          <t>kilogram</t>
        </is>
      </c>
      <c r="E806" t="inlineStr">
        <is>
          <t>air::non-urban air or from high stacks</t>
        </is>
      </c>
      <c r="F806" t="inlineStr">
        <is>
          <t>biosphere</t>
        </is>
      </c>
      <c r="G806" t="n">
        <v>0</v>
      </c>
      <c r="H806" t="n">
        <v>4.63e-08</v>
      </c>
    </row>
    <row r="807">
      <c r="A807" t="inlineStr">
        <is>
          <t>Heat, waste</t>
        </is>
      </c>
      <c r="B807" t="n">
        <v>2.6325</v>
      </c>
      <c r="D807" t="inlineStr">
        <is>
          <t>megajoule</t>
        </is>
      </c>
      <c r="E807" t="inlineStr">
        <is>
          <t>air::non-urban air or from high stacks</t>
        </is>
      </c>
      <c r="F807" t="inlineStr">
        <is>
          <t>biosphere</t>
        </is>
      </c>
      <c r="G807" t="n">
        <v>0</v>
      </c>
      <c r="H807" t="n">
        <v>0.351</v>
      </c>
    </row>
    <row r="808">
      <c r="A808" t="inlineStr">
        <is>
          <t>Hydrocarbons, aliphatic, alkanes, unspecified</t>
        </is>
      </c>
      <c r="B808" t="n">
        <v>1.3125e-06</v>
      </c>
      <c r="D808" t="inlineStr">
        <is>
          <t>kilogram</t>
        </is>
      </c>
      <c r="E808" t="inlineStr">
        <is>
          <t>air::non-urban air or from high stacks</t>
        </is>
      </c>
      <c r="F808" t="inlineStr">
        <is>
          <t>biosphere</t>
        </is>
      </c>
      <c r="G808" t="n">
        <v>0</v>
      </c>
      <c r="H808" t="n">
        <v>1.75e-07</v>
      </c>
    </row>
    <row r="809">
      <c r="A809" t="inlineStr">
        <is>
          <t>Hydrocarbons, aliphatic, unsaturated</t>
        </is>
      </c>
      <c r="B809" t="n">
        <v>1.29e-06</v>
      </c>
      <c r="D809" t="inlineStr">
        <is>
          <t>kilogram</t>
        </is>
      </c>
      <c r="E809" t="inlineStr">
        <is>
          <t>air::non-urban air or from high stacks</t>
        </is>
      </c>
      <c r="F809" t="inlineStr">
        <is>
          <t>biosphere</t>
        </is>
      </c>
      <c r="G809" t="n">
        <v>0</v>
      </c>
      <c r="H809" t="n">
        <v>1.72e-07</v>
      </c>
    </row>
    <row r="810">
      <c r="A810" t="inlineStr">
        <is>
          <t>Hydrogen chloride</t>
        </is>
      </c>
      <c r="B810" t="n">
        <v>1.245e-05</v>
      </c>
      <c r="D810" t="inlineStr">
        <is>
          <t>kilogram</t>
        </is>
      </c>
      <c r="E810" t="inlineStr">
        <is>
          <t>air::non-urban air or from high stacks</t>
        </is>
      </c>
      <c r="F810" t="inlineStr">
        <is>
          <t>biosphere</t>
        </is>
      </c>
      <c r="G810" t="n">
        <v>0</v>
      </c>
      <c r="H810" t="n">
        <v>1.66e-06</v>
      </c>
    </row>
    <row r="811">
      <c r="A811" t="inlineStr">
        <is>
          <t>Hydrogen fluoride</t>
        </is>
      </c>
      <c r="B811" t="n">
        <v>7.8e-06</v>
      </c>
      <c r="D811" t="inlineStr">
        <is>
          <t>kilogram</t>
        </is>
      </c>
      <c r="E811" t="inlineStr">
        <is>
          <t>air::non-urban air or from high stacks</t>
        </is>
      </c>
      <c r="F811" t="inlineStr">
        <is>
          <t>biosphere</t>
        </is>
      </c>
      <c r="G811" t="n">
        <v>0</v>
      </c>
      <c r="H811" t="n">
        <v>1.04e-06</v>
      </c>
    </row>
    <row r="812">
      <c r="A812" t="inlineStr">
        <is>
          <t>Iodine</t>
        </is>
      </c>
      <c r="B812" t="n">
        <v>1.4175e-07</v>
      </c>
      <c r="D812" t="inlineStr">
        <is>
          <t>kilogram</t>
        </is>
      </c>
      <c r="E812" t="inlineStr">
        <is>
          <t>air::non-urban air or from high stacks</t>
        </is>
      </c>
      <c r="F812" t="inlineStr">
        <is>
          <t>biosphere</t>
        </is>
      </c>
      <c r="G812" t="n">
        <v>0</v>
      </c>
      <c r="H812" t="n">
        <v>1.89e-08</v>
      </c>
    </row>
    <row r="813">
      <c r="A813" t="inlineStr">
        <is>
          <t>Lead</t>
        </is>
      </c>
      <c r="B813" t="n">
        <v>3.3075e-08</v>
      </c>
      <c r="D813" t="inlineStr">
        <is>
          <t>kilogram</t>
        </is>
      </c>
      <c r="E813" t="inlineStr">
        <is>
          <t>air::non-urban air or from high stacks</t>
        </is>
      </c>
      <c r="F813" t="inlineStr">
        <is>
          <t>biosphere</t>
        </is>
      </c>
      <c r="G813" t="n">
        <v>0</v>
      </c>
      <c r="H813" t="n">
        <v>4.41e-09</v>
      </c>
    </row>
    <row r="814">
      <c r="A814" t="inlineStr">
        <is>
          <t>Lead-210</t>
        </is>
      </c>
      <c r="B814" t="n">
        <v>9.675e-06</v>
      </c>
      <c r="D814" t="inlineStr">
        <is>
          <t>kilo Becquerel</t>
        </is>
      </c>
      <c r="E814" t="inlineStr">
        <is>
          <t>air::non-urban air or from high stacks</t>
        </is>
      </c>
      <c r="F814" t="inlineStr">
        <is>
          <t>biosphere</t>
        </is>
      </c>
      <c r="G814" t="n">
        <v>0</v>
      </c>
      <c r="H814" t="n">
        <v>1.29e-06</v>
      </c>
    </row>
    <row r="815">
      <c r="A815" t="inlineStr">
        <is>
          <t>Manganese</t>
        </is>
      </c>
      <c r="B815" t="n">
        <v>7.305e-09</v>
      </c>
      <c r="D815" t="inlineStr">
        <is>
          <t>kilogram</t>
        </is>
      </c>
      <c r="E815" t="inlineStr">
        <is>
          <t>air::non-urban air or from high stacks</t>
        </is>
      </c>
      <c r="F815" t="inlineStr">
        <is>
          <t>biosphere</t>
        </is>
      </c>
      <c r="G815" t="n">
        <v>0</v>
      </c>
      <c r="H815" t="n">
        <v>9.739999999999999e-10</v>
      </c>
    </row>
    <row r="816">
      <c r="A816" t="inlineStr">
        <is>
          <t>Mercury</t>
        </is>
      </c>
      <c r="B816" t="n">
        <v>2.4525e-08</v>
      </c>
      <c r="D816" t="inlineStr">
        <is>
          <t>kilogram</t>
        </is>
      </c>
      <c r="E816" t="inlineStr">
        <is>
          <t>air::non-urban air or from high stacks</t>
        </is>
      </c>
      <c r="F816" t="inlineStr">
        <is>
          <t>biosphere</t>
        </is>
      </c>
      <c r="G816" t="n">
        <v>0</v>
      </c>
      <c r="H816" t="n">
        <v>3.27e-09</v>
      </c>
    </row>
    <row r="817">
      <c r="A817" t="inlineStr">
        <is>
          <t>Methane, fossil</t>
        </is>
      </c>
      <c r="B817" t="n">
        <v>1.245e-05</v>
      </c>
      <c r="D817" t="inlineStr">
        <is>
          <t>kilogram</t>
        </is>
      </c>
      <c r="E817" t="inlineStr">
        <is>
          <t>air::non-urban air or from high stacks</t>
        </is>
      </c>
      <c r="F817" t="inlineStr">
        <is>
          <t>biosphere</t>
        </is>
      </c>
      <c r="G817" t="n">
        <v>0</v>
      </c>
      <c r="H817" t="n">
        <v>1.66e-06</v>
      </c>
    </row>
    <row r="818">
      <c r="A818" t="inlineStr">
        <is>
          <t>Molybdenum</t>
        </is>
      </c>
      <c r="B818" t="n">
        <v>2.1675e-09</v>
      </c>
      <c r="D818" t="inlineStr">
        <is>
          <t>kilogram</t>
        </is>
      </c>
      <c r="E818" t="inlineStr">
        <is>
          <t>air::non-urban air or from high stacks</t>
        </is>
      </c>
      <c r="F818" t="inlineStr">
        <is>
          <t>biosphere</t>
        </is>
      </c>
      <c r="G818" t="n">
        <v>0</v>
      </c>
      <c r="H818" t="n">
        <v>2.89e-10</v>
      </c>
    </row>
    <row r="819">
      <c r="A819" t="inlineStr">
        <is>
          <t>NMVOC, non-methane volatile organic compounds, unspecified origin</t>
        </is>
      </c>
      <c r="B819" t="n">
        <v>1.1925e-05</v>
      </c>
      <c r="D819" t="inlineStr">
        <is>
          <t>kilogram</t>
        </is>
      </c>
      <c r="E819" t="inlineStr">
        <is>
          <t>air::non-urban air or from high stacks</t>
        </is>
      </c>
      <c r="F819" t="inlineStr">
        <is>
          <t>biosphere</t>
        </is>
      </c>
      <c r="G819" t="n">
        <v>0</v>
      </c>
      <c r="H819" t="n">
        <v>1.59e-06</v>
      </c>
    </row>
    <row r="820">
      <c r="A820" t="inlineStr">
        <is>
          <t>Nickel</t>
        </is>
      </c>
      <c r="B820" t="n">
        <v>1.4925e-08</v>
      </c>
      <c r="D820" t="inlineStr">
        <is>
          <t>kilogram</t>
        </is>
      </c>
      <c r="E820" t="inlineStr">
        <is>
          <t>air::non-urban air or from high stacks</t>
        </is>
      </c>
      <c r="F820" t="inlineStr">
        <is>
          <t>biosphere</t>
        </is>
      </c>
      <c r="G820" t="n">
        <v>0</v>
      </c>
      <c r="H820" t="n">
        <v>1.99e-09</v>
      </c>
    </row>
    <row r="821">
      <c r="A821" t="inlineStr">
        <is>
          <t>Nitrogen oxides</t>
        </is>
      </c>
      <c r="B821" t="n">
        <v>0.00012825</v>
      </c>
      <c r="D821" t="inlineStr">
        <is>
          <t>kilogram</t>
        </is>
      </c>
      <c r="E821" t="inlineStr">
        <is>
          <t>air::non-urban air or from high stacks</t>
        </is>
      </c>
      <c r="F821" t="inlineStr">
        <is>
          <t>biosphere</t>
        </is>
      </c>
      <c r="G821" t="n">
        <v>0</v>
      </c>
      <c r="H821" t="n">
        <v>-10.97643209445566</v>
      </c>
      <c r="I821" t="n">
        <v>0</v>
      </c>
      <c r="L821" t="n">
        <v>0</v>
      </c>
    </row>
    <row r="822">
      <c r="A822" t="inlineStr">
        <is>
          <t>Occupation, industrial area</t>
        </is>
      </c>
      <c r="B822" t="n">
        <v>7.500000000000001e-05</v>
      </c>
      <c r="D822" t="inlineStr">
        <is>
          <t>square meter-year</t>
        </is>
      </c>
      <c r="E822" t="inlineStr">
        <is>
          <t>natural resource::land</t>
        </is>
      </c>
      <c r="F822" t="inlineStr">
        <is>
          <t>biosphere</t>
        </is>
      </c>
      <c r="G822" t="n">
        <v>0</v>
      </c>
      <c r="H822" t="n">
        <v>1e-05</v>
      </c>
    </row>
    <row r="823">
      <c r="A823" t="inlineStr">
        <is>
          <t>Occupation, industrial area</t>
        </is>
      </c>
      <c r="B823" t="n">
        <v>3.0075e-05</v>
      </c>
      <c r="D823" t="inlineStr">
        <is>
          <t>square meter-year</t>
        </is>
      </c>
      <c r="E823" t="inlineStr">
        <is>
          <t>natural resource::land</t>
        </is>
      </c>
      <c r="F823" t="inlineStr">
        <is>
          <t>biosphere</t>
        </is>
      </c>
      <c r="G823" t="n">
        <v>0</v>
      </c>
      <c r="H823" t="n">
        <v>4.01e-06</v>
      </c>
    </row>
    <row r="824">
      <c r="A824" t="inlineStr">
        <is>
          <t>Occupation, traffic area, rail network</t>
        </is>
      </c>
      <c r="B824" t="n">
        <v>7.499999999999999e-06</v>
      </c>
      <c r="D824" t="inlineStr">
        <is>
          <t>square meter-year</t>
        </is>
      </c>
      <c r="E824" t="inlineStr">
        <is>
          <t>natural resource::land</t>
        </is>
      </c>
      <c r="F824" t="inlineStr">
        <is>
          <t>biosphere</t>
        </is>
      </c>
      <c r="G824" t="n">
        <v>0</v>
      </c>
      <c r="H824" t="n">
        <v>1e-06</v>
      </c>
    </row>
    <row r="825">
      <c r="A825" t="inlineStr">
        <is>
          <t>Occupation, traffic area, road network</t>
        </is>
      </c>
      <c r="B825" t="n">
        <v>1.5e-05</v>
      </c>
      <c r="D825" t="inlineStr">
        <is>
          <t>square meter-year</t>
        </is>
      </c>
      <c r="E825" t="inlineStr">
        <is>
          <t>natural resource::land</t>
        </is>
      </c>
      <c r="F825" t="inlineStr">
        <is>
          <t>biosphere</t>
        </is>
      </c>
      <c r="G825" t="n">
        <v>0</v>
      </c>
      <c r="H825" t="n">
        <v>2e-06</v>
      </c>
    </row>
    <row r="826">
      <c r="A826" t="inlineStr">
        <is>
          <t>PAH, polycyclic aromatic hydrocarbons</t>
        </is>
      </c>
      <c r="B826" t="n">
        <v>5.9775e-09</v>
      </c>
      <c r="D826" t="inlineStr">
        <is>
          <t>kilogram</t>
        </is>
      </c>
      <c r="E826" t="inlineStr">
        <is>
          <t>air::non-urban air or from high stacks</t>
        </is>
      </c>
      <c r="F826" t="inlineStr">
        <is>
          <t>biosphere</t>
        </is>
      </c>
      <c r="G826" t="n">
        <v>0</v>
      </c>
      <c r="H826" t="n">
        <v>7.97e-10</v>
      </c>
    </row>
    <row r="827">
      <c r="A827" t="inlineStr">
        <is>
          <t>Pentane</t>
        </is>
      </c>
      <c r="B827" t="n">
        <v>8.775000000000001e-07</v>
      </c>
      <c r="D827" t="inlineStr">
        <is>
          <t>kilogram</t>
        </is>
      </c>
      <c r="E827" t="inlineStr">
        <is>
          <t>air::non-urban air or from high stacks</t>
        </is>
      </c>
      <c r="F827" t="inlineStr">
        <is>
          <t>biosphere</t>
        </is>
      </c>
      <c r="G827" t="n">
        <v>0</v>
      </c>
      <c r="H827" t="n">
        <v>1.17e-07</v>
      </c>
    </row>
    <row r="828">
      <c r="A828" t="inlineStr">
        <is>
          <t>Polonium-210</t>
        </is>
      </c>
      <c r="B828" t="n">
        <v>1.7625e-05</v>
      </c>
      <c r="D828" t="inlineStr">
        <is>
          <t>kilo Becquerel</t>
        </is>
      </c>
      <c r="E828" t="inlineStr">
        <is>
          <t>air::non-urban air or from high stacks</t>
        </is>
      </c>
      <c r="F828" t="inlineStr">
        <is>
          <t>biosphere</t>
        </is>
      </c>
      <c r="G828" t="n">
        <v>0</v>
      </c>
      <c r="H828" t="n">
        <v>2.35e-06</v>
      </c>
    </row>
    <row r="829">
      <c r="A829" t="inlineStr">
        <is>
          <t>Potassium-40</t>
        </is>
      </c>
      <c r="B829" t="n">
        <v>1.2675e-05</v>
      </c>
      <c r="D829" t="inlineStr">
        <is>
          <t>kilo Becquerel</t>
        </is>
      </c>
      <c r="E829" t="inlineStr">
        <is>
          <t>air::non-urban air or from high stacks</t>
        </is>
      </c>
      <c r="F829" t="inlineStr">
        <is>
          <t>biosphere</t>
        </is>
      </c>
      <c r="G829" t="n">
        <v>0</v>
      </c>
      <c r="H829" t="n">
        <v>1.69e-06</v>
      </c>
    </row>
    <row r="830">
      <c r="A830" t="inlineStr">
        <is>
          <t>Propane</t>
        </is>
      </c>
      <c r="B830" t="n">
        <v>2.0925e-07</v>
      </c>
      <c r="D830" t="inlineStr">
        <is>
          <t>kilogram</t>
        </is>
      </c>
      <c r="E830" t="inlineStr">
        <is>
          <t>air::non-urban air or from high stacks</t>
        </is>
      </c>
      <c r="F830" t="inlineStr">
        <is>
          <t>biosphere</t>
        </is>
      </c>
      <c r="G830" t="n">
        <v>0</v>
      </c>
      <c r="H830" t="n">
        <v>2.79e-08</v>
      </c>
    </row>
    <row r="831">
      <c r="A831" t="inlineStr">
        <is>
          <t>Propene</t>
        </is>
      </c>
      <c r="B831" t="n">
        <v>9.6e-08</v>
      </c>
      <c r="D831" t="inlineStr">
        <is>
          <t>kilogram</t>
        </is>
      </c>
      <c r="E831" t="inlineStr">
        <is>
          <t>air::non-urban air or from high stacks</t>
        </is>
      </c>
      <c r="F831" t="inlineStr">
        <is>
          <t>biosphere</t>
        </is>
      </c>
      <c r="G831" t="n">
        <v>0</v>
      </c>
      <c r="H831" t="n">
        <v>1.28e-08</v>
      </c>
    </row>
    <row r="832">
      <c r="A832" t="inlineStr">
        <is>
          <t>Radium-226</t>
        </is>
      </c>
      <c r="B832" t="n">
        <v>2.4825e-06</v>
      </c>
      <c r="D832" t="inlineStr">
        <is>
          <t>kilo Becquerel</t>
        </is>
      </c>
      <c r="E832" t="inlineStr">
        <is>
          <t>air::non-urban air or from high stacks</t>
        </is>
      </c>
      <c r="F832" t="inlineStr">
        <is>
          <t>biosphere</t>
        </is>
      </c>
      <c r="G832" t="n">
        <v>0</v>
      </c>
      <c r="H832" t="n">
        <v>3.31e-07</v>
      </c>
    </row>
    <row r="833">
      <c r="A833" t="inlineStr">
        <is>
          <t>Radium-228</t>
        </is>
      </c>
      <c r="B833" t="n">
        <v>1.2675e-06</v>
      </c>
      <c r="D833" t="inlineStr">
        <is>
          <t>kilo Becquerel</t>
        </is>
      </c>
      <c r="E833" t="inlineStr">
        <is>
          <t>air::non-urban air or from high stacks</t>
        </is>
      </c>
      <c r="F833" t="inlineStr">
        <is>
          <t>biosphere</t>
        </is>
      </c>
      <c r="G833" t="n">
        <v>0</v>
      </c>
      <c r="H833" t="n">
        <v>1.69e-07</v>
      </c>
    </row>
    <row r="834">
      <c r="A834" t="inlineStr">
        <is>
          <t>Selenium</t>
        </is>
      </c>
      <c r="B834" t="n">
        <v>3.2625e-08</v>
      </c>
      <c r="D834" t="inlineStr">
        <is>
          <t>kilogram</t>
        </is>
      </c>
      <c r="E834" t="inlineStr">
        <is>
          <t>air::non-urban air or from high stacks</t>
        </is>
      </c>
      <c r="F834" t="inlineStr">
        <is>
          <t>biosphere</t>
        </is>
      </c>
      <c r="G834" t="n">
        <v>0</v>
      </c>
      <c r="H834" t="n">
        <v>4.35e-09</v>
      </c>
    </row>
    <row r="835">
      <c r="A835" t="inlineStr">
        <is>
          <t>Strontium</t>
        </is>
      </c>
      <c r="B835" t="n">
        <v>4.275e-09</v>
      </c>
      <c r="D835" t="inlineStr">
        <is>
          <t>kilogram</t>
        </is>
      </c>
      <c r="E835" t="inlineStr">
        <is>
          <t>air::non-urban air or from high stacks</t>
        </is>
      </c>
      <c r="F835" t="inlineStr">
        <is>
          <t>biosphere</t>
        </is>
      </c>
      <c r="G835" t="n">
        <v>0</v>
      </c>
      <c r="H835" t="n">
        <v>5.7e-10</v>
      </c>
    </row>
    <row r="836">
      <c r="A836" t="inlineStr">
        <is>
          <t>Sulfur dioxide</t>
        </is>
      </c>
      <c r="B836" t="n">
        <v>4.2975e-05</v>
      </c>
      <c r="D836" t="inlineStr">
        <is>
          <t>kilogram</t>
        </is>
      </c>
      <c r="E836" t="inlineStr">
        <is>
          <t>air::non-urban air or from high stacks</t>
        </is>
      </c>
      <c r="F836" t="inlineStr">
        <is>
          <t>biosphere</t>
        </is>
      </c>
      <c r="G836" t="n">
        <v>0</v>
      </c>
      <c r="H836" t="n">
        <v>-12.06979502723763</v>
      </c>
      <c r="I836" t="n">
        <v>0</v>
      </c>
      <c r="L836" t="n">
        <v>0</v>
      </c>
    </row>
    <row r="837">
      <c r="A837" t="inlineStr">
        <is>
          <t>Thorium-228</t>
        </is>
      </c>
      <c r="B837" t="n">
        <v>6.824999999999999e-07</v>
      </c>
      <c r="D837" t="inlineStr">
        <is>
          <t>kilo Becquerel</t>
        </is>
      </c>
      <c r="E837" t="inlineStr">
        <is>
          <t>air::non-urban air or from high stacks</t>
        </is>
      </c>
      <c r="F837" t="inlineStr">
        <is>
          <t>biosphere</t>
        </is>
      </c>
      <c r="G837" t="n">
        <v>0</v>
      </c>
      <c r="H837" t="n">
        <v>9.099999999999999e-08</v>
      </c>
    </row>
    <row r="838">
      <c r="A838" t="inlineStr">
        <is>
          <t>Thorium-232</t>
        </is>
      </c>
      <c r="B838" t="n">
        <v>1.0725e-06</v>
      </c>
      <c r="D838" t="inlineStr">
        <is>
          <t>kilo Becquerel</t>
        </is>
      </c>
      <c r="E838" t="inlineStr">
        <is>
          <t>air::non-urban air or from high stacks</t>
        </is>
      </c>
      <c r="F838" t="inlineStr">
        <is>
          <t>biosphere</t>
        </is>
      </c>
      <c r="G838" t="n">
        <v>0</v>
      </c>
      <c r="H838" t="n">
        <v>1.43e-07</v>
      </c>
    </row>
    <row r="839">
      <c r="A839" t="inlineStr">
        <is>
          <t>Toluene</t>
        </is>
      </c>
      <c r="B839" t="n">
        <v>6.525e-07</v>
      </c>
      <c r="D839" t="inlineStr">
        <is>
          <t>kilogram</t>
        </is>
      </c>
      <c r="E839" t="inlineStr">
        <is>
          <t>air::non-urban air or from high stacks</t>
        </is>
      </c>
      <c r="F839" t="inlineStr">
        <is>
          <t>biosphere</t>
        </is>
      </c>
      <c r="G839" t="n">
        <v>0</v>
      </c>
      <c r="H839" t="n">
        <v>8.7e-08</v>
      </c>
    </row>
    <row r="840">
      <c r="A840" t="inlineStr">
        <is>
          <t>Uranium-238</t>
        </is>
      </c>
      <c r="B840" t="n">
        <v>2.07e-06</v>
      </c>
      <c r="D840" t="inlineStr">
        <is>
          <t>kilo Becquerel</t>
        </is>
      </c>
      <c r="E840" t="inlineStr">
        <is>
          <t>air::non-urban air or from high stacks</t>
        </is>
      </c>
      <c r="F840" t="inlineStr">
        <is>
          <t>biosphere</t>
        </is>
      </c>
      <c r="G840" t="n">
        <v>0</v>
      </c>
      <c r="H840" t="n">
        <v>2.76e-07</v>
      </c>
    </row>
    <row r="841">
      <c r="A841" t="inlineStr">
        <is>
          <t>Vanadium</t>
        </is>
      </c>
      <c r="B841" t="n">
        <v>3.9075e-09</v>
      </c>
      <c r="D841" t="inlineStr">
        <is>
          <t>kilogram</t>
        </is>
      </c>
      <c r="E841" t="inlineStr">
        <is>
          <t>air::non-urban air or from high stacks</t>
        </is>
      </c>
      <c r="F841" t="inlineStr">
        <is>
          <t>biosphere</t>
        </is>
      </c>
      <c r="G841" t="n">
        <v>0</v>
      </c>
      <c r="H841" t="n">
        <v>5.21e-10</v>
      </c>
    </row>
    <row r="842">
      <c r="A842" t="inlineStr">
        <is>
          <t>Xylene</t>
        </is>
      </c>
      <c r="B842" t="n">
        <v>5.512499999999999e-06</v>
      </c>
      <c r="D842" t="inlineStr">
        <is>
          <t>kilogram</t>
        </is>
      </c>
      <c r="E842" t="inlineStr">
        <is>
          <t>air::non-urban air or from high stacks</t>
        </is>
      </c>
      <c r="F842" t="inlineStr">
        <is>
          <t>biosphere</t>
        </is>
      </c>
      <c r="G842" t="n">
        <v>0</v>
      </c>
      <c r="H842" t="n">
        <v>7.35e-07</v>
      </c>
    </row>
    <row r="843">
      <c r="A843" t="inlineStr">
        <is>
          <t>Zinc</t>
        </is>
      </c>
      <c r="B843" t="n">
        <v>2.4525e-08</v>
      </c>
      <c r="D843" t="inlineStr">
        <is>
          <t>kilogram</t>
        </is>
      </c>
      <c r="E843" t="inlineStr">
        <is>
          <t>air::non-urban air or from high stacks</t>
        </is>
      </c>
      <c r="F843" t="inlineStr">
        <is>
          <t>biosphere</t>
        </is>
      </c>
      <c r="G843" t="n">
        <v>0</v>
      </c>
      <c r="H843" t="n">
        <v>3.27e-09</v>
      </c>
    </row>
    <row r="844">
      <c r="A844" t="inlineStr">
        <is>
          <t>aluminium, ingot, primary, import from Rest of Europe</t>
        </is>
      </c>
      <c r="B844" t="n">
        <v>1.5675e-08</v>
      </c>
      <c r="C844" t="inlineStr">
        <is>
          <t>IAI Area, EU27 &amp; EFTA</t>
        </is>
      </c>
      <c r="D844" t="inlineStr">
        <is>
          <t>kilogram</t>
        </is>
      </c>
      <c r="E844" t="inlineStr">
        <is>
          <t>Materials/fuels</t>
        </is>
      </c>
      <c r="F844" t="inlineStr">
        <is>
          <t>technosphere</t>
        </is>
      </c>
      <c r="G844" t="n">
        <v>0</v>
      </c>
      <c r="H844" t="n">
        <v>2.09e-09</v>
      </c>
      <c r="M844" t="inlineStr">
        <is>
          <t>aluminium, primary, ingot</t>
        </is>
      </c>
      <c r="N844" t="inlineStr">
        <is>
          <t>Aluminium, primary, at plant U</t>
        </is>
      </c>
    </row>
    <row r="845">
      <c r="A845" t="inlineStr">
        <is>
          <t>heat production, heavy fuel oil, at industrial furnace 1MW</t>
        </is>
      </c>
      <c r="B845" t="n">
        <v>0.000735</v>
      </c>
      <c r="C845" t="inlineStr">
        <is>
          <t>Europe without Switzerland</t>
        </is>
      </c>
      <c r="D845" t="inlineStr">
        <is>
          <t>megajoule</t>
        </is>
      </c>
      <c r="E845" t="inlineStr">
        <is>
          <t>Materials/fuels</t>
        </is>
      </c>
      <c r="F845" t="inlineStr">
        <is>
          <t>technosphere</t>
        </is>
      </c>
      <c r="G845" t="n">
        <v>0</v>
      </c>
      <c r="H845" t="n">
        <v>9.8e-05</v>
      </c>
      <c r="M845" t="inlineStr">
        <is>
          <t>heat, district or industrial, other than natural gas</t>
        </is>
      </c>
      <c r="N845" t="inlineStr">
        <is>
          <t>Heat, light fuel oil, at industrial furnace 1MW U</t>
        </is>
      </c>
    </row>
    <row r="846">
      <c r="A846" t="inlineStr">
        <is>
          <t>lime production, milled, loose</t>
        </is>
      </c>
      <c r="B846" t="n">
        <v>0.012</v>
      </c>
      <c r="C846" t="inlineStr">
        <is>
          <t>CH</t>
        </is>
      </c>
      <c r="D846" t="inlineStr">
        <is>
          <t>kilogram</t>
        </is>
      </c>
      <c r="E846" t="inlineStr">
        <is>
          <t>Materials/fuels</t>
        </is>
      </c>
      <c r="F846" t="inlineStr">
        <is>
          <t>technosphere</t>
        </is>
      </c>
      <c r="G846" t="n">
        <v>0</v>
      </c>
      <c r="H846" t="n">
        <v>0.0016</v>
      </c>
      <c r="M846" t="inlineStr">
        <is>
          <t>lime</t>
        </is>
      </c>
      <c r="N846" t="inlineStr">
        <is>
          <t>Limestone, milled, loose, at plant/CH U</t>
        </is>
      </c>
    </row>
    <row r="847">
      <c r="A847" t="inlineStr">
        <is>
          <t>market for NOx retained, by selective catalytic reduction</t>
        </is>
      </c>
      <c r="B847" t="n">
        <v>0</v>
      </c>
      <c r="C847" t="inlineStr">
        <is>
          <t>GLO</t>
        </is>
      </c>
      <c r="D847" t="inlineStr">
        <is>
          <t>kilogram</t>
        </is>
      </c>
      <c r="E847" t="inlineStr">
        <is>
          <t>Materials/fuels</t>
        </is>
      </c>
      <c r="F847" t="inlineStr">
        <is>
          <t>technosphere</t>
        </is>
      </c>
      <c r="G847" t="n">
        <v>0</v>
      </c>
      <c r="H847" t="n">
        <v>0</v>
      </c>
      <c r="K847" t="inlineStr">
        <is>
          <t>no initial reduction (no NOx formed in the reducing environment of gasification)</t>
        </is>
      </c>
      <c r="M847" t="inlineStr">
        <is>
          <t>NOx retained, by selective catalytic reduction</t>
        </is>
      </c>
      <c r="N847" t="inlineStr">
        <is>
          <t>NOx retained, in SCR/GLO U</t>
        </is>
      </c>
    </row>
    <row r="848">
      <c r="A848" t="inlineStr">
        <is>
          <t>market for SOx retained, in hard coal flue gas desulfurisation</t>
        </is>
      </c>
      <c r="B848" t="n">
        <v>0</v>
      </c>
      <c r="C848" t="inlineStr">
        <is>
          <t>RER</t>
        </is>
      </c>
      <c r="D848" t="inlineStr">
        <is>
          <t>kilogram</t>
        </is>
      </c>
      <c r="E848" t="inlineStr">
        <is>
          <t>Materials/fuels</t>
        </is>
      </c>
      <c r="F848" t="inlineStr">
        <is>
          <t>technosphere</t>
        </is>
      </c>
      <c r="G848" t="n">
        <v>0</v>
      </c>
      <c r="H848" t="n">
        <v>0</v>
      </c>
      <c r="K848" t="inlineStr">
        <is>
          <t>no initial reduction (S is present as hydrogenS)</t>
        </is>
      </c>
      <c r="M848" t="inlineStr">
        <is>
          <t>SOx retained, in hard coal flue gas desulfurisation</t>
        </is>
      </c>
      <c r="N848" t="inlineStr">
        <is>
          <t>SOx retained, in hard coal flue gas desulphurisation U</t>
        </is>
      </c>
    </row>
    <row r="849">
      <c r="A849" t="inlineStr">
        <is>
          <t>market for ammonia, liquid</t>
        </is>
      </c>
      <c r="B849" t="n">
        <v>2.97e-06</v>
      </c>
      <c r="C849" t="inlineStr">
        <is>
          <t>RER</t>
        </is>
      </c>
      <c r="D849" t="inlineStr">
        <is>
          <t>kilogram</t>
        </is>
      </c>
      <c r="E849" t="inlineStr">
        <is>
          <t>Materials/fuels</t>
        </is>
      </c>
      <c r="F849" t="inlineStr">
        <is>
          <t>technosphere</t>
        </is>
      </c>
      <c r="G849" t="n">
        <v>0</v>
      </c>
      <c r="H849" t="n">
        <v>3.96e-07</v>
      </c>
      <c r="M849" t="inlineStr">
        <is>
          <t>ammonia, liquid</t>
        </is>
      </c>
      <c r="N849" t="inlineStr">
        <is>
          <t>Ammonia, liquid, at regional storehouse U</t>
        </is>
      </c>
    </row>
    <row r="850">
      <c r="A850" t="inlineStr">
        <is>
          <t>market for calcium chloride</t>
        </is>
      </c>
      <c r="B850" t="n">
        <v>7.47e-05</v>
      </c>
      <c r="C850" t="inlineStr">
        <is>
          <t>RER</t>
        </is>
      </c>
      <c r="D850" t="inlineStr">
        <is>
          <t>kilogram</t>
        </is>
      </c>
      <c r="E850" t="inlineStr">
        <is>
          <t>Materials/fuels</t>
        </is>
      </c>
      <c r="F850" t="inlineStr">
        <is>
          <t>technosphere</t>
        </is>
      </c>
      <c r="G850" t="n">
        <v>0</v>
      </c>
      <c r="H850" t="n">
        <v>9.96e-06</v>
      </c>
      <c r="M850" t="inlineStr">
        <is>
          <t>calcium chloride</t>
        </is>
      </c>
      <c r="N850" t="inlineStr">
        <is>
          <t>Calcium chloride, CaCl2, at regional storage/CH U</t>
        </is>
      </c>
    </row>
    <row r="851">
      <c r="A851" t="inlineStr">
        <is>
          <t>market for cast iron</t>
        </is>
      </c>
      <c r="B851" t="n">
        <v>1.395e-06</v>
      </c>
      <c r="C851" t="inlineStr">
        <is>
          <t>GLO</t>
        </is>
      </c>
      <c r="D851" t="inlineStr">
        <is>
          <t>kilogram</t>
        </is>
      </c>
      <c r="E851" t="inlineStr">
        <is>
          <t>Materials/fuels</t>
        </is>
      </c>
      <c r="F851" t="inlineStr">
        <is>
          <t>technosphere</t>
        </is>
      </c>
      <c r="G851" t="n">
        <v>0</v>
      </c>
      <c r="H851" t="n">
        <v>1.86e-07</v>
      </c>
      <c r="M851" t="inlineStr">
        <is>
          <t>cast iron</t>
        </is>
      </c>
      <c r="N851" t="inlineStr">
        <is>
          <t>Cast iron, at plant U</t>
        </is>
      </c>
    </row>
    <row r="852">
      <c r="A852" t="inlineStr">
        <is>
          <t>market for chemicals, inorganic</t>
        </is>
      </c>
      <c r="B852" t="n">
        <v>4.7925e-05</v>
      </c>
      <c r="C852" t="inlineStr">
        <is>
          <t>GLO</t>
        </is>
      </c>
      <c r="D852" t="inlineStr">
        <is>
          <t>kilogram</t>
        </is>
      </c>
      <c r="E852" t="inlineStr">
        <is>
          <t>Materials/fuels</t>
        </is>
      </c>
      <c r="F852" t="inlineStr">
        <is>
          <t>technosphere</t>
        </is>
      </c>
      <c r="G852" t="n">
        <v>0</v>
      </c>
      <c r="H852" t="n">
        <v>6.39e-06</v>
      </c>
      <c r="M852" t="inlineStr">
        <is>
          <t>chemical, inorganic</t>
        </is>
      </c>
      <c r="N852" t="inlineStr">
        <is>
          <t>Chemicals inorganic, at plant/GLO U</t>
        </is>
      </c>
    </row>
    <row r="853">
      <c r="A853" t="inlineStr">
        <is>
          <t>market for copper</t>
        </is>
      </c>
      <c r="B853" t="n">
        <v>2.2875e-07</v>
      </c>
      <c r="C853" t="inlineStr">
        <is>
          <t>GLO</t>
        </is>
      </c>
      <c r="D853" t="inlineStr">
        <is>
          <t>kilogram</t>
        </is>
      </c>
      <c r="E853" t="inlineStr">
        <is>
          <t>Materials/fuels</t>
        </is>
      </c>
      <c r="F853" t="inlineStr">
        <is>
          <t>technosphere</t>
        </is>
      </c>
      <c r="G853" t="n">
        <v>0</v>
      </c>
      <c r="H853" t="n">
        <v>3.05e-08</v>
      </c>
      <c r="M853" t="inlineStr">
        <is>
          <t>copper</t>
        </is>
      </c>
      <c r="N853" t="inlineStr">
        <is>
          <t>Copper, at regional storage U</t>
        </is>
      </c>
    </row>
    <row r="854">
      <c r="A854" t="inlineStr">
        <is>
          <t>market for lead</t>
        </is>
      </c>
      <c r="B854" t="n">
        <v>1.845e-09</v>
      </c>
      <c r="C854" t="inlineStr">
        <is>
          <t>GLO</t>
        </is>
      </c>
      <c r="D854" t="inlineStr">
        <is>
          <t>kilogram</t>
        </is>
      </c>
      <c r="E854" t="inlineStr">
        <is>
          <t>Materials/fuels</t>
        </is>
      </c>
      <c r="F854" t="inlineStr">
        <is>
          <t>technosphere</t>
        </is>
      </c>
      <c r="G854" t="n">
        <v>0</v>
      </c>
      <c r="H854" t="n">
        <v>2.46e-10</v>
      </c>
      <c r="M854" t="inlineStr">
        <is>
          <t>lead</t>
        </is>
      </c>
      <c r="N854" t="inlineStr">
        <is>
          <t>Lead, at regional storage U</t>
        </is>
      </c>
    </row>
    <row r="855">
      <c r="A855" t="inlineStr">
        <is>
          <t>market for lubricating oil</t>
        </is>
      </c>
      <c r="B855" t="n">
        <v>2.025e-05</v>
      </c>
      <c r="C855" t="inlineStr">
        <is>
          <t>RER</t>
        </is>
      </c>
      <c r="D855" t="inlineStr">
        <is>
          <t>kilogram</t>
        </is>
      </c>
      <c r="E855" t="inlineStr">
        <is>
          <t>Materials/fuels</t>
        </is>
      </c>
      <c r="F855" t="inlineStr">
        <is>
          <t>technosphere</t>
        </is>
      </c>
      <c r="G855" t="n">
        <v>0</v>
      </c>
      <c r="H855" t="n">
        <v>2.7e-06</v>
      </c>
      <c r="M855" t="inlineStr">
        <is>
          <t>lubricating oil</t>
        </is>
      </c>
      <c r="N855" t="inlineStr">
        <is>
          <t>Lubricating oil, at plant U</t>
        </is>
      </c>
    </row>
    <row r="856">
      <c r="A856" t="inlineStr">
        <is>
          <t>market for monoethanolamine</t>
        </is>
      </c>
      <c r="B856" t="n">
        <v>3.884999999999999e-06</v>
      </c>
      <c r="C856" t="inlineStr">
        <is>
          <t>GLO</t>
        </is>
      </c>
      <c r="D856" t="inlineStr">
        <is>
          <t>kilogram</t>
        </is>
      </c>
      <c r="E856" t="inlineStr">
        <is>
          <t>Materials/fuels</t>
        </is>
      </c>
      <c r="F856" t="inlineStr">
        <is>
          <t>technosphere</t>
        </is>
      </c>
      <c r="G856" t="n">
        <v>0</v>
      </c>
      <c r="H856" t="n">
        <v>5.18e-07</v>
      </c>
      <c r="M856" t="inlineStr">
        <is>
          <t>monoethanolamine</t>
        </is>
      </c>
      <c r="N856" t="inlineStr">
        <is>
          <t>Monoethanolamine, at plant U</t>
        </is>
      </c>
    </row>
    <row r="857">
      <c r="A857" t="inlineStr">
        <is>
          <t>market for polyvinylfluoride</t>
        </is>
      </c>
      <c r="B857" t="n">
        <v>5.22e-08</v>
      </c>
      <c r="C857" t="inlineStr">
        <is>
          <t>GLO</t>
        </is>
      </c>
      <c r="D857" t="inlineStr">
        <is>
          <t>kilogram</t>
        </is>
      </c>
      <c r="E857" t="inlineStr">
        <is>
          <t>Materials/fuels</t>
        </is>
      </c>
      <c r="F857" t="inlineStr">
        <is>
          <t>technosphere</t>
        </is>
      </c>
      <c r="G857" t="n">
        <v>0</v>
      </c>
      <c r="H857" t="n">
        <v>6.96e-09</v>
      </c>
      <c r="M857" t="inlineStr">
        <is>
          <t>polyvinylfluoride</t>
        </is>
      </c>
      <c r="N857" t="inlineStr">
        <is>
          <t>Polyvinylchloride, at regional storage U</t>
        </is>
      </c>
    </row>
    <row r="858">
      <c r="A858" t="inlineStr">
        <is>
          <t>market for sodium hydroxide, without water, in 50% solution state</t>
        </is>
      </c>
      <c r="B858" t="n">
        <v>0.000432</v>
      </c>
      <c r="C858" t="inlineStr">
        <is>
          <t>GLO</t>
        </is>
      </c>
      <c r="D858" t="inlineStr">
        <is>
          <t>kilogram</t>
        </is>
      </c>
      <c r="E858" t="inlineStr">
        <is>
          <t>Materials/fuels</t>
        </is>
      </c>
      <c r="F858" t="inlineStr">
        <is>
          <t>technosphere</t>
        </is>
      </c>
      <c r="G858" t="n">
        <v>0</v>
      </c>
      <c r="H858" t="n">
        <v>5.76e-05</v>
      </c>
      <c r="M858" t="inlineStr">
        <is>
          <t>sodium hydroxide, without water, in 50% solution state</t>
        </is>
      </c>
      <c r="N858" t="inlineStr">
        <is>
          <t>Sodium hydroxide, 50% in hydrogenO, production mix, at plant U</t>
        </is>
      </c>
    </row>
    <row r="859">
      <c r="A859" t="inlineStr">
        <is>
          <t>market for sodium hypochlorite, without water, in 15% solution state</t>
        </is>
      </c>
      <c r="B859" t="n">
        <v>4.11e-05</v>
      </c>
      <c r="C859" t="inlineStr">
        <is>
          <t>RER</t>
        </is>
      </c>
      <c r="D859" t="inlineStr">
        <is>
          <t>kilogram</t>
        </is>
      </c>
      <c r="E859" t="inlineStr">
        <is>
          <t>Materials/fuels</t>
        </is>
      </c>
      <c r="F859" t="inlineStr">
        <is>
          <t>technosphere</t>
        </is>
      </c>
      <c r="G859" t="n">
        <v>0</v>
      </c>
      <c r="H859" t="n">
        <v>5.48e-06</v>
      </c>
      <c r="M859" t="inlineStr">
        <is>
          <t>sodium hypochlorite, without water, in 15% solution state</t>
        </is>
      </c>
      <c r="N859" t="inlineStr">
        <is>
          <t>Sodium hypochlorite, 15% in hydrogenO, at plant U</t>
        </is>
      </c>
    </row>
    <row r="860">
      <c r="A860" t="inlineStr">
        <is>
          <t>market for stone wool</t>
        </is>
      </c>
      <c r="B860" t="n">
        <v>4.785e-08</v>
      </c>
      <c r="C860" t="inlineStr">
        <is>
          <t>GLO</t>
        </is>
      </c>
      <c r="D860" t="inlineStr">
        <is>
          <t>kilogram</t>
        </is>
      </c>
      <c r="E860" t="inlineStr">
        <is>
          <t>Materials/fuels</t>
        </is>
      </c>
      <c r="F860" t="inlineStr">
        <is>
          <t>technosphere</t>
        </is>
      </c>
      <c r="G860" t="n">
        <v>0</v>
      </c>
      <c r="H860" t="n">
        <v>6.38e-09</v>
      </c>
      <c r="M860" t="inlineStr">
        <is>
          <t>stone wool</t>
        </is>
      </c>
      <c r="N860" t="inlineStr">
        <is>
          <t>Rock wool, at plant/CH U</t>
        </is>
      </c>
    </row>
    <row r="861">
      <c r="A861" t="inlineStr">
        <is>
          <t>market for sulfuric acid</t>
        </is>
      </c>
      <c r="B861" t="n">
        <v>0.00019875</v>
      </c>
      <c r="C861" t="inlineStr">
        <is>
          <t>RER</t>
        </is>
      </c>
      <c r="D861" t="inlineStr">
        <is>
          <t>kilogram</t>
        </is>
      </c>
      <c r="E861" t="inlineStr">
        <is>
          <t>Materials/fuels</t>
        </is>
      </c>
      <c r="F861" t="inlineStr">
        <is>
          <t>technosphere</t>
        </is>
      </c>
      <c r="G861" t="n">
        <v>0</v>
      </c>
      <c r="H861" t="n">
        <v>2.65e-05</v>
      </c>
      <c r="M861" t="inlineStr">
        <is>
          <t>sulfuric acid</t>
        </is>
      </c>
      <c r="N861" t="inlineStr">
        <is>
          <t>Sulphuric acid, liquid, at plant U</t>
        </is>
      </c>
    </row>
    <row r="862">
      <c r="A862" t="inlineStr">
        <is>
          <t>market for transport, freight, lorry, unspecified</t>
        </is>
      </c>
      <c r="B862" t="n">
        <v>0.000543</v>
      </c>
      <c r="C862" t="inlineStr">
        <is>
          <t>RER</t>
        </is>
      </c>
      <c r="D862" t="inlineStr">
        <is>
          <t>ton kilometer</t>
        </is>
      </c>
      <c r="E862" t="inlineStr">
        <is>
          <t>Materials/fuels</t>
        </is>
      </c>
      <c r="F862" t="inlineStr">
        <is>
          <t>technosphere</t>
        </is>
      </c>
      <c r="G862" t="n">
        <v>0</v>
      </c>
      <c r="H862" t="n">
        <v>7.24e-05</v>
      </c>
      <c r="M862" t="inlineStr">
        <is>
          <t>transport, freight, lorry, unspecified</t>
        </is>
      </c>
      <c r="N862" t="inlineStr">
        <is>
          <t>Transport, lorry &gt;28t, fleet average/CH U</t>
        </is>
      </c>
    </row>
    <row r="863">
      <c r="A863" t="inlineStr">
        <is>
          <t>polyethylene production, low density, granulate</t>
        </is>
      </c>
      <c r="B863" t="n">
        <v>4.4775e-09</v>
      </c>
      <c r="C863" t="inlineStr">
        <is>
          <t>RER</t>
        </is>
      </c>
      <c r="D863" t="inlineStr">
        <is>
          <t>kilogram</t>
        </is>
      </c>
      <c r="E863" t="inlineStr">
        <is>
          <t>Materials/fuels</t>
        </is>
      </c>
      <c r="F863" t="inlineStr">
        <is>
          <t>technosphere</t>
        </is>
      </c>
      <c r="G863" t="n">
        <v>0</v>
      </c>
      <c r="H863" t="n">
        <v>5.97e-10</v>
      </c>
      <c r="M863" t="inlineStr">
        <is>
          <t>polyethylene, low density, granulate</t>
        </is>
      </c>
      <c r="N863" t="inlineStr">
        <is>
          <t>Polyethylene, LDPE, granulate, at plant U</t>
        </is>
      </c>
    </row>
    <row r="864">
      <c r="A864" t="inlineStr">
        <is>
          <t>polypropylene production, granulate</t>
        </is>
      </c>
      <c r="B864" t="n">
        <v>2.2425e-09</v>
      </c>
      <c r="C864" t="inlineStr">
        <is>
          <t>RER</t>
        </is>
      </c>
      <c r="D864" t="inlineStr">
        <is>
          <t>kilogram</t>
        </is>
      </c>
      <c r="E864" t="inlineStr">
        <is>
          <t>Materials/fuels</t>
        </is>
      </c>
      <c r="F864" t="inlineStr">
        <is>
          <t>technosphere</t>
        </is>
      </c>
      <c r="G864" t="n">
        <v>0</v>
      </c>
      <c r="H864" t="n">
        <v>2.99e-10</v>
      </c>
      <c r="M864" t="inlineStr">
        <is>
          <t>polypropylene, granulate</t>
        </is>
      </c>
      <c r="N864" t="inlineStr">
        <is>
          <t>Polypropylene, granulate, at plant U</t>
        </is>
      </c>
    </row>
    <row r="865">
      <c r="A865" t="inlineStr">
        <is>
          <t>polystyrene production, high impact</t>
        </is>
      </c>
      <c r="B865" t="n">
        <v>1.5675e-08</v>
      </c>
      <c r="C865" t="inlineStr">
        <is>
          <t>RER</t>
        </is>
      </c>
      <c r="D865" t="inlineStr">
        <is>
          <t>kilogram</t>
        </is>
      </c>
      <c r="E865" t="inlineStr">
        <is>
          <t>Materials/fuels</t>
        </is>
      </c>
      <c r="F865" t="inlineStr">
        <is>
          <t>technosphere</t>
        </is>
      </c>
      <c r="G865" t="n">
        <v>0</v>
      </c>
      <c r="H865" t="n">
        <v>2.09e-09</v>
      </c>
      <c r="M865" t="inlineStr">
        <is>
          <t>polystyrene, high impact</t>
        </is>
      </c>
      <c r="N865" t="inlineStr">
        <is>
          <t>Polystyrene, high impact, HIPS, at plant U</t>
        </is>
      </c>
    </row>
    <row r="866">
      <c r="A866" t="inlineStr">
        <is>
          <t>primary zinc production from concentrate</t>
        </is>
      </c>
      <c r="B866" t="n">
        <v>5.992500000000001e-09</v>
      </c>
      <c r="C866" t="inlineStr">
        <is>
          <t>RoW</t>
        </is>
      </c>
      <c r="D866" t="inlineStr">
        <is>
          <t>kilogram</t>
        </is>
      </c>
      <c r="E866" t="inlineStr">
        <is>
          <t>Materials/fuels</t>
        </is>
      </c>
      <c r="F866" t="inlineStr">
        <is>
          <t>technosphere</t>
        </is>
      </c>
      <c r="G866" t="n">
        <v>0</v>
      </c>
      <c r="H866" t="n">
        <v>7.99e-10</v>
      </c>
      <c r="M866" t="inlineStr">
        <is>
          <t>indium rich leaching residues, from zinc production</t>
        </is>
      </c>
      <c r="N866" t="inlineStr">
        <is>
          <t>Zinc, primary, at regional storage U</t>
        </is>
      </c>
    </row>
    <row r="867">
      <c r="A867" t="inlineStr">
        <is>
          <t>steel production, converter, low-alloyed</t>
        </is>
      </c>
      <c r="B867" t="n">
        <v>6.6375e-07</v>
      </c>
      <c r="C867" t="inlineStr">
        <is>
          <t>RER</t>
        </is>
      </c>
      <c r="D867" t="inlineStr">
        <is>
          <t>kilogram</t>
        </is>
      </c>
      <c r="E867" t="inlineStr">
        <is>
          <t>Materials/fuels</t>
        </is>
      </c>
      <c r="F867" t="inlineStr">
        <is>
          <t>technosphere</t>
        </is>
      </c>
      <c r="G867" t="n">
        <v>0</v>
      </c>
      <c r="H867" t="n">
        <v>8.85e-08</v>
      </c>
      <c r="M867" t="inlineStr">
        <is>
          <t>steel, low-alloyed</t>
        </is>
      </c>
      <c r="N867" t="inlineStr">
        <is>
          <t>Steel, converter, low-alloyed, at plant U</t>
        </is>
      </c>
    </row>
    <row r="868">
      <c r="A868" t="inlineStr">
        <is>
          <t>steel production, converter, unalloyed</t>
        </is>
      </c>
      <c r="B868" t="n">
        <v>2.5875e-06</v>
      </c>
      <c r="C868" t="inlineStr">
        <is>
          <t>RER</t>
        </is>
      </c>
      <c r="D868" t="inlineStr">
        <is>
          <t>kilogram</t>
        </is>
      </c>
      <c r="E868" t="inlineStr">
        <is>
          <t>Materials/fuels</t>
        </is>
      </c>
      <c r="F868" t="inlineStr">
        <is>
          <t>technosphere</t>
        </is>
      </c>
      <c r="G868" t="n">
        <v>0</v>
      </c>
      <c r="H868" t="n">
        <v>3.45e-07</v>
      </c>
      <c r="M868" t="inlineStr">
        <is>
          <t>steel, unalloyed</t>
        </is>
      </c>
      <c r="N868" t="inlineStr">
        <is>
          <t>Steel, converter, unalloyed, at plant U</t>
        </is>
      </c>
    </row>
    <row r="869">
      <c r="A869" t="inlineStr">
        <is>
          <t>steel production, electric, chromium steel 18/8</t>
        </is>
      </c>
      <c r="B869" t="n">
        <v>5.5725e-08</v>
      </c>
      <c r="C869" t="inlineStr">
        <is>
          <t>RER</t>
        </is>
      </c>
      <c r="D869" t="inlineStr">
        <is>
          <t>kilogram</t>
        </is>
      </c>
      <c r="E869" t="inlineStr">
        <is>
          <t>Materials/fuels</t>
        </is>
      </c>
      <c r="F869" t="inlineStr">
        <is>
          <t>technosphere</t>
        </is>
      </c>
      <c r="G869" t="n">
        <v>0</v>
      </c>
      <c r="H869" t="n">
        <v>7.43e-09</v>
      </c>
      <c r="M869" t="inlineStr">
        <is>
          <t>steel, chromium steel 18/8</t>
        </is>
      </c>
      <c r="N869" t="inlineStr">
        <is>
          <t>Steel, electric, chromium steel 18/8, at plant U</t>
        </is>
      </c>
    </row>
    <row r="870">
      <c r="A870" t="inlineStr">
        <is>
          <t>treatment of aluminium scrap, new, at refiner</t>
        </is>
      </c>
      <c r="B870" t="n">
        <v>3.135e-08</v>
      </c>
      <c r="C870" t="inlineStr">
        <is>
          <t>RER</t>
        </is>
      </c>
      <c r="D870" t="inlineStr">
        <is>
          <t>kilogram</t>
        </is>
      </c>
      <c r="E870" t="inlineStr">
        <is>
          <t>Materials/fuels</t>
        </is>
      </c>
      <c r="F870" t="inlineStr">
        <is>
          <t>technosphere</t>
        </is>
      </c>
      <c r="G870" t="n">
        <v>0</v>
      </c>
      <c r="H870" t="n">
        <v>4.18e-09</v>
      </c>
      <c r="M870" t="inlineStr">
        <is>
          <t>aluminium oxide, non-metallurgical</t>
        </is>
      </c>
      <c r="N870" t="inlineStr">
        <is>
          <t>Aluminium, secondary, from new scrap, at plant U</t>
        </is>
      </c>
    </row>
    <row r="871">
      <c r="A871" t="inlineStr">
        <is>
          <t>treatment of aluminium scrap, post-consumer, prepared for recycling, at refiner</t>
        </is>
      </c>
      <c r="B871" t="n">
        <v>1.5675e-08</v>
      </c>
      <c r="C871" t="inlineStr">
        <is>
          <t>RER</t>
        </is>
      </c>
      <c r="D871" t="inlineStr">
        <is>
          <t>kilogram</t>
        </is>
      </c>
      <c r="E871" t="inlineStr">
        <is>
          <t>Materials/fuels</t>
        </is>
      </c>
      <c r="F871" t="inlineStr">
        <is>
          <t>technosphere</t>
        </is>
      </c>
      <c r="G871" t="n">
        <v>0</v>
      </c>
      <c r="H871" t="n">
        <v>2.09e-09</v>
      </c>
      <c r="M871" t="inlineStr">
        <is>
          <t>aluminium, cast alloy</t>
        </is>
      </c>
      <c r="N871" t="inlineStr">
        <is>
          <t>Aluminium, secondary, from old scrap, at plant U</t>
        </is>
      </c>
    </row>
    <row r="872">
      <c r="A872" t="inlineStr">
        <is>
          <t>treatment of average incineration residue, residual material landfill</t>
        </is>
      </c>
      <c r="B872" t="n">
        <v>-0.00105</v>
      </c>
      <c r="C872" t="inlineStr">
        <is>
          <t>RoW</t>
        </is>
      </c>
      <c r="D872" t="inlineStr">
        <is>
          <t>kilogram</t>
        </is>
      </c>
      <c r="E872" t="inlineStr">
        <is>
          <t>Waste to treatment</t>
        </is>
      </c>
      <c r="F872" t="inlineStr">
        <is>
          <t>technosphere</t>
        </is>
      </c>
      <c r="G872" t="n">
        <v>0</v>
      </c>
      <c r="H872" t="n">
        <v>0.00014</v>
      </c>
      <c r="M872" t="inlineStr">
        <is>
          <t>average incineration residue</t>
        </is>
      </c>
      <c r="N872" t="inlineStr">
        <is>
          <t>Disposal, average incineration residue, 0% water, to residual material landfill/CH U</t>
        </is>
      </c>
    </row>
    <row r="873">
      <c r="A873" t="inlineStr">
        <is>
          <t>treatment of hard coal ash, residual material landfill</t>
        </is>
      </c>
      <c r="B873" t="n">
        <v>-0.00114</v>
      </c>
      <c r="C873" t="inlineStr">
        <is>
          <t>RoW</t>
        </is>
      </c>
      <c r="D873" t="inlineStr">
        <is>
          <t>kilogram</t>
        </is>
      </c>
      <c r="E873" t="inlineStr">
        <is>
          <t>Waste to treatment</t>
        </is>
      </c>
      <c r="F873" t="inlineStr">
        <is>
          <t>technosphere</t>
        </is>
      </c>
      <c r="G873" t="n">
        <v>0</v>
      </c>
      <c r="H873" t="n">
        <v>0.000152</v>
      </c>
      <c r="M873" t="inlineStr">
        <is>
          <t>hard coal ash</t>
        </is>
      </c>
      <c r="N873" t="inlineStr">
        <is>
          <t>Disposal, hard coal ash, 0% water, to residual material landfill/DE U</t>
        </is>
      </c>
    </row>
    <row r="874">
      <c r="A874" t="inlineStr">
        <is>
          <t>treatment of hazardous waste, hazardous waste incineration</t>
        </is>
      </c>
      <c r="B874" t="n">
        <v>-1.3575e-06</v>
      </c>
      <c r="C874" t="inlineStr">
        <is>
          <t>CH</t>
        </is>
      </c>
      <c r="D874" t="inlineStr">
        <is>
          <t>kilogram</t>
        </is>
      </c>
      <c r="E874" t="inlineStr">
        <is>
          <t>Waste to treatment</t>
        </is>
      </c>
      <c r="F874" t="inlineStr">
        <is>
          <t>technosphere</t>
        </is>
      </c>
      <c r="G874" t="n">
        <v>0</v>
      </c>
      <c r="H874" t="n">
        <v>1.81e-07</v>
      </c>
      <c r="M874" t="inlineStr">
        <is>
          <t>hazardous waste, for incineration</t>
        </is>
      </c>
      <c r="N874" t="inlineStr">
        <is>
          <t>Disposal, hazardous waste, 25% water, to hazardous waste incineration/CH U</t>
        </is>
      </c>
    </row>
    <row r="875">
      <c r="A875" t="inlineStr">
        <is>
          <t>treatment of inert waste, sanitary landfill</t>
        </is>
      </c>
      <c r="B875" t="n">
        <v>-1.17e-05</v>
      </c>
      <c r="C875" t="inlineStr">
        <is>
          <t>CH</t>
        </is>
      </c>
      <c r="D875" t="inlineStr">
        <is>
          <t>kilogram</t>
        </is>
      </c>
      <c r="E875" t="inlineStr">
        <is>
          <t>Waste to treatment</t>
        </is>
      </c>
      <c r="F875" t="inlineStr">
        <is>
          <t>technosphere</t>
        </is>
      </c>
      <c r="G875" t="n">
        <v>0</v>
      </c>
      <c r="H875" t="n">
        <v>1.56e-06</v>
      </c>
      <c r="M875" t="inlineStr">
        <is>
          <t>inert waste</t>
        </is>
      </c>
      <c r="N875" t="inlineStr">
        <is>
          <t>Disposal, inert material, 0% water, to sanitary landfill/CH U</t>
        </is>
      </c>
    </row>
    <row r="876">
      <c r="A876" t="inlineStr">
        <is>
          <t>treatment of municipal solid waste, incineration</t>
        </is>
      </c>
      <c r="B876" t="n">
        <v>-0.0008625</v>
      </c>
      <c r="C876" t="inlineStr">
        <is>
          <t>CH</t>
        </is>
      </c>
      <c r="D876" t="inlineStr">
        <is>
          <t>kilogram</t>
        </is>
      </c>
      <c r="E876" t="inlineStr">
        <is>
          <t>Waste to treatment</t>
        </is>
      </c>
      <c r="F876" t="inlineStr">
        <is>
          <t>technosphere</t>
        </is>
      </c>
      <c r="G876" t="n">
        <v>0</v>
      </c>
      <c r="H876" t="n">
        <v>0.000115</v>
      </c>
      <c r="M876" t="inlineStr">
        <is>
          <t>municipal solid waste</t>
        </is>
      </c>
      <c r="N876" t="inlineStr">
        <is>
          <t>Disposal, municipal solid waste, 22.9% water, to municipal incineration/CH U</t>
        </is>
      </c>
    </row>
    <row r="877">
      <c r="A877" t="inlineStr">
        <is>
          <t>treatment of residue from cooling tower, sanitary landfill</t>
        </is>
      </c>
      <c r="B877" t="n">
        <v>-3.75e-05</v>
      </c>
      <c r="C877" t="inlineStr">
        <is>
          <t>CH</t>
        </is>
      </c>
      <c r="D877" t="inlineStr">
        <is>
          <t>kilogram</t>
        </is>
      </c>
      <c r="E877" t="inlineStr">
        <is>
          <t>Waste to treatment</t>
        </is>
      </c>
      <c r="F877" t="inlineStr">
        <is>
          <t>technosphere</t>
        </is>
      </c>
      <c r="G877" t="n">
        <v>0</v>
      </c>
      <c r="H877" t="n">
        <v>5e-06</v>
      </c>
      <c r="K877" t="inlineStr">
        <is>
          <t>assumed to be the same as in the hard coal pulverised dataset</t>
        </is>
      </c>
      <c r="M877" t="inlineStr">
        <is>
          <t>residue from cooling tower</t>
        </is>
      </c>
      <c r="N877" t="inlineStr">
        <is>
          <t>Disposal, residue from cooling tower, 30% water, to sanitary landfill/CH U</t>
        </is>
      </c>
    </row>
    <row r="878">
      <c r="A878" t="inlineStr">
        <is>
          <t>treatment of scrap steel, inert material landfill</t>
        </is>
      </c>
      <c r="B878" t="n">
        <v>-0.00011025</v>
      </c>
      <c r="C878" t="inlineStr">
        <is>
          <t>CH</t>
        </is>
      </c>
      <c r="D878" t="inlineStr">
        <is>
          <t>kilogram</t>
        </is>
      </c>
      <c r="E878" t="inlineStr">
        <is>
          <t>Waste to treatment</t>
        </is>
      </c>
      <c r="F878" t="inlineStr">
        <is>
          <t>technosphere</t>
        </is>
      </c>
      <c r="G878" t="n">
        <v>0</v>
      </c>
      <c r="H878" t="n">
        <v>1.47e-05</v>
      </c>
      <c r="M878" t="inlineStr">
        <is>
          <t>scrap steel</t>
        </is>
      </c>
      <c r="N878" t="inlineStr">
        <is>
          <t>Disposal, steel, 0% water, to inert material landfill/CH U</t>
        </is>
      </c>
    </row>
    <row r="879">
      <c r="A879" t="inlineStr">
        <is>
          <t>treatment of spent solvent mixture, hazardous waste incineration</t>
        </is>
      </c>
      <c r="B879" t="n">
        <v>-4.62e-06</v>
      </c>
      <c r="C879" t="inlineStr">
        <is>
          <t>CH</t>
        </is>
      </c>
      <c r="D879" t="inlineStr">
        <is>
          <t>kilogram</t>
        </is>
      </c>
      <c r="E879" t="inlineStr">
        <is>
          <t>Waste to treatment</t>
        </is>
      </c>
      <c r="F879" t="inlineStr">
        <is>
          <t>technosphere</t>
        </is>
      </c>
      <c r="G879" t="n">
        <v>0</v>
      </c>
      <c r="H879" t="n">
        <v>6.16e-07</v>
      </c>
      <c r="M879" t="inlineStr">
        <is>
          <t>spent solvent mixture</t>
        </is>
      </c>
      <c r="N879" t="inlineStr">
        <is>
          <t>Disposal, solvents mixture, 16.5% water, to hazardous waste incineration/CH U</t>
        </is>
      </c>
    </row>
    <row r="880">
      <c r="A880" t="inlineStr">
        <is>
          <t>treatment of waste emulsion paint, municipal incineration</t>
        </is>
      </c>
      <c r="B880" t="n">
        <v>-1.53e-06</v>
      </c>
      <c r="C880" t="inlineStr">
        <is>
          <t>CH</t>
        </is>
      </c>
      <c r="D880" t="inlineStr">
        <is>
          <t>kilogram</t>
        </is>
      </c>
      <c r="E880" t="inlineStr">
        <is>
          <t>Waste to treatment</t>
        </is>
      </c>
      <c r="F880" t="inlineStr">
        <is>
          <t>technosphere</t>
        </is>
      </c>
      <c r="G880" t="n">
        <v>0</v>
      </c>
      <c r="H880" t="n">
        <v>2.04e-07</v>
      </c>
      <c r="M880" t="inlineStr">
        <is>
          <t>waste emulsion paint</t>
        </is>
      </c>
      <c r="N880" t="inlineStr">
        <is>
          <t>Disposal, emulsion paint, 0% water, to municipal incineration/CH U</t>
        </is>
      </c>
    </row>
    <row r="881">
      <c r="A881" t="inlineStr">
        <is>
          <t>treatment of waste mineral oil, hazardous waste incineration</t>
        </is>
      </c>
      <c r="B881" t="n">
        <v>-4.53e-06</v>
      </c>
      <c r="C881" t="inlineStr">
        <is>
          <t>CH</t>
        </is>
      </c>
      <c r="D881" t="inlineStr">
        <is>
          <t>kilogram</t>
        </is>
      </c>
      <c r="E881" t="inlineStr">
        <is>
          <t>Waste to treatment</t>
        </is>
      </c>
      <c r="F881" t="inlineStr">
        <is>
          <t>technosphere</t>
        </is>
      </c>
      <c r="G881" t="n">
        <v>0</v>
      </c>
      <c r="H881" t="n">
        <v>6.04e-07</v>
      </c>
      <c r="M881" t="inlineStr">
        <is>
          <t>waste mineral oil</t>
        </is>
      </c>
      <c r="N881" t="inlineStr">
        <is>
          <t>Disposal, used mineral oil, 10% water, to hazardous waste incineration/CH U</t>
        </is>
      </c>
    </row>
    <row r="882">
      <c r="A882" t="inlineStr">
        <is>
          <t>treatment of waste plastic, mixture, municipal incineration</t>
        </is>
      </c>
      <c r="B882" t="n">
        <v>-6.570000000000001e-05</v>
      </c>
      <c r="C882" t="inlineStr">
        <is>
          <t>CH</t>
        </is>
      </c>
      <c r="D882" t="inlineStr">
        <is>
          <t>kilogram</t>
        </is>
      </c>
      <c r="E882" t="inlineStr">
        <is>
          <t>Waste to treatment</t>
        </is>
      </c>
      <c r="F882" t="inlineStr">
        <is>
          <t>technosphere</t>
        </is>
      </c>
      <c r="G882" t="n">
        <v>0</v>
      </c>
      <c r="H882" t="n">
        <v>8.760000000000001e-06</v>
      </c>
      <c r="M882" t="inlineStr">
        <is>
          <t>waste plastic, mixture</t>
        </is>
      </c>
      <c r="N882" t="inlineStr">
        <is>
          <t>Disposal, plastics, mixture, 15.3% water, to municipal incineration/CH U</t>
        </is>
      </c>
    </row>
    <row r="883">
      <c r="A883" t="inlineStr">
        <is>
          <t>treatment of waste textile, soiled, municipal incineration</t>
        </is>
      </c>
      <c r="B883" t="n">
        <v>-0.000108</v>
      </c>
      <c r="C883" t="inlineStr">
        <is>
          <t>CH</t>
        </is>
      </c>
      <c r="D883" t="inlineStr">
        <is>
          <t>kilogram</t>
        </is>
      </c>
      <c r="E883" t="inlineStr">
        <is>
          <t>Waste to treatment</t>
        </is>
      </c>
      <c r="F883" t="inlineStr">
        <is>
          <t>technosphere</t>
        </is>
      </c>
      <c r="G883" t="n">
        <v>0</v>
      </c>
      <c r="H883" t="n">
        <v>1.44e-05</v>
      </c>
      <c r="M883" t="inlineStr">
        <is>
          <t>waste textile, soiled</t>
        </is>
      </c>
      <c r="N883" t="inlineStr">
        <is>
          <t>Disposal, textiles, soiled, 25% water, to municipal incineration/CH U</t>
        </is>
      </c>
    </row>
    <row r="884">
      <c r="A884" t="inlineStr">
        <is>
          <t>treatment of waste wood, untreated, sanitary landfill</t>
        </is>
      </c>
      <c r="B884" t="n">
        <v>-1.47e-05</v>
      </c>
      <c r="C884" t="inlineStr">
        <is>
          <t>CH</t>
        </is>
      </c>
      <c r="D884" t="inlineStr">
        <is>
          <t>kilogram</t>
        </is>
      </c>
      <c r="E884" t="inlineStr">
        <is>
          <t>Waste to treatment</t>
        </is>
      </c>
      <c r="F884" t="inlineStr">
        <is>
          <t>technosphere</t>
        </is>
      </c>
      <c r="G884" t="n">
        <v>0</v>
      </c>
      <c r="H884" t="n">
        <v>1.96e-06</v>
      </c>
      <c r="M884" t="inlineStr">
        <is>
          <t>waste wood, untreated</t>
        </is>
      </c>
      <c r="N884" t="inlineStr">
        <is>
          <t>Disposal, building, waste wood, untreated, to final disposal/CH U</t>
        </is>
      </c>
    </row>
    <row r="885"/>
    <row r="886" ht="16" customHeight="1">
      <c r="A886" s="1" t="inlineStr">
        <is>
          <t>Activity</t>
        </is>
      </c>
      <c r="B886" s="1" t="inlineStr">
        <is>
          <t>electricity production, at hard coal-fired power plant, oxy, pipeline 200km, storage 1000m</t>
        </is>
      </c>
    </row>
    <row r="887">
      <c r="A887" t="inlineStr">
        <is>
          <t>location</t>
        </is>
      </c>
      <c r="B887" t="inlineStr">
        <is>
          <t>RER</t>
        </is>
      </c>
    </row>
    <row r="888">
      <c r="A888" t="inlineStr">
        <is>
          <t>production amount</t>
        </is>
      </c>
      <c r="B888" t="n">
        <v>1</v>
      </c>
    </row>
    <row r="889">
      <c r="A889" t="inlineStr">
        <is>
          <t>comment</t>
        </is>
      </c>
      <c r="B889" t="inlineStr">
        <is>
          <t>Coal-fired, oxy CCS, Cryogenic ASU, 95% CO2 capture efficiency. 592 MWel. 7500 full load hours per year. 40 years lifetime. 37% net electrical efficiency.</t>
        </is>
      </c>
    </row>
    <row r="890">
      <c r="A890" t="inlineStr">
        <is>
          <t>source</t>
        </is>
      </c>
      <c r="B890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891">
      <c r="A891" t="inlineStr">
        <is>
          <t>reference product</t>
        </is>
      </c>
      <c r="B891" t="inlineStr">
        <is>
          <t>electricity, high voltage</t>
        </is>
      </c>
    </row>
    <row r="892">
      <c r="A892" t="inlineStr">
        <is>
          <t>type</t>
        </is>
      </c>
      <c r="B892" t="inlineStr">
        <is>
          <t>process</t>
        </is>
      </c>
    </row>
    <row r="893">
      <c r="A893" t="inlineStr">
        <is>
          <t>unit</t>
        </is>
      </c>
      <c r="B893" t="inlineStr">
        <is>
          <t>kilowatt hour</t>
        </is>
      </c>
    </row>
    <row r="894" ht="16" customHeight="1">
      <c r="A894" s="1" t="inlineStr">
        <is>
          <t>Exchanges</t>
        </is>
      </c>
    </row>
    <row r="895">
      <c r="A895" t="inlineStr">
        <is>
          <t>name</t>
        </is>
      </c>
      <c r="B895" t="inlineStr">
        <is>
          <t>amount</t>
        </is>
      </c>
      <c r="C895" t="inlineStr">
        <is>
          <t>location</t>
        </is>
      </c>
      <c r="D895" t="inlineStr">
        <is>
          <t>unit</t>
        </is>
      </c>
      <c r="E895" t="inlineStr">
        <is>
          <t>categories</t>
        </is>
      </c>
      <c r="F895" t="inlineStr">
        <is>
          <t>type</t>
        </is>
      </c>
      <c r="G895" t="inlineStr">
        <is>
          <t>uncertainty type</t>
        </is>
      </c>
      <c r="H895" t="inlineStr">
        <is>
          <t>loc</t>
        </is>
      </c>
      <c r="I895" t="inlineStr">
        <is>
          <t>allocation</t>
        </is>
      </c>
      <c r="J895" t="inlineStr">
        <is>
          <t>comment</t>
        </is>
      </c>
      <c r="K895" t="inlineStr">
        <is>
          <t>simapro name</t>
        </is>
      </c>
      <c r="L895" t="inlineStr">
        <is>
          <t>negative</t>
        </is>
      </c>
      <c r="M895" t="inlineStr">
        <is>
          <t>reference product</t>
        </is>
      </c>
    </row>
    <row r="896">
      <c r="A896" t="inlineStr">
        <is>
          <t>electricity production, at hard coal-fired power plant, oxy, pipeline 200km, storage 1000m</t>
        </is>
      </c>
      <c r="B896" t="n">
        <v>1</v>
      </c>
      <c r="C896" t="inlineStr">
        <is>
          <t>RER</t>
        </is>
      </c>
      <c r="D896" t="inlineStr">
        <is>
          <t>kilowatt hour</t>
        </is>
      </c>
      <c r="E896" t="inlineStr">
        <is>
          <t>CCS Europe 2025::Hard coal</t>
        </is>
      </c>
      <c r="F896" t="inlineStr">
        <is>
          <t>production</t>
        </is>
      </c>
      <c r="I896" t="n">
        <v>100</v>
      </c>
      <c r="K896" t="inlineStr">
        <is>
          <t>electricity production, at hard coal-fired power plant, oxy, pipeline 200km, storage 1000m U</t>
        </is>
      </c>
    </row>
    <row r="897">
      <c r="A897" t="inlineStr">
        <is>
          <t>Antimony</t>
        </is>
      </c>
      <c r="B897" t="n">
        <v>6.77295e-10</v>
      </c>
      <c r="D897" t="inlineStr">
        <is>
          <t>kilogram</t>
        </is>
      </c>
      <c r="E897" t="inlineStr">
        <is>
          <t>air::non-urban air or from high stacks</t>
        </is>
      </c>
      <c r="F897" t="inlineStr">
        <is>
          <t>biosphere</t>
        </is>
      </c>
      <c r="G897" t="n">
        <v>0</v>
      </c>
      <c r="H897" t="n">
        <v>-23.17087670199071</v>
      </c>
      <c r="I897" t="n">
        <v>0.8347959176269237</v>
      </c>
      <c r="K897" t="inlineStr">
        <is>
          <t>(5,1,1,1,1,5); calculated from trace element balance, input uncertain</t>
        </is>
      </c>
    </row>
    <row r="898">
      <c r="A898" t="inlineStr">
        <is>
          <t>Arsenic</t>
        </is>
      </c>
      <c r="B898" t="n">
        <v>1.01007e-08</v>
      </c>
      <c r="D898" t="inlineStr">
        <is>
          <t>kilogram</t>
        </is>
      </c>
      <c r="E898" t="inlineStr">
        <is>
          <t>air::non-urban air or from high stacks</t>
        </is>
      </c>
      <c r="F898" t="inlineStr">
        <is>
          <t>biosphere</t>
        </is>
      </c>
      <c r="G898" t="n">
        <v>0</v>
      </c>
      <c r="H898" t="n">
        <v>-20.46862361857283</v>
      </c>
      <c r="I898" t="n">
        <v>0.8347959176269237</v>
      </c>
      <c r="K898" t="inlineStr">
        <is>
          <t>(5,1,1,1,1,5); calculated from trace element balance, input uncertain</t>
        </is>
      </c>
    </row>
    <row r="899">
      <c r="A899" t="inlineStr">
        <is>
          <t>Barium</t>
        </is>
      </c>
      <c r="B899" t="n">
        <v>4.47093e-08</v>
      </c>
      <c r="D899" t="inlineStr">
        <is>
          <t>kilogram</t>
        </is>
      </c>
      <c r="E899" t="inlineStr">
        <is>
          <t>air::non-urban air or from high stacks</t>
        </is>
      </c>
      <c r="F899" t="inlineStr">
        <is>
          <t>biosphere</t>
        </is>
      </c>
      <c r="G899" t="n">
        <v>0</v>
      </c>
      <c r="H899" t="n">
        <v>-18.98104681327849</v>
      </c>
      <c r="I899" t="n">
        <v>0.8347959176269237</v>
      </c>
      <c r="K899" t="inlineStr">
        <is>
          <t>(5,1,1,1,1,5); calculated from trace element balance, input uncertain</t>
        </is>
      </c>
    </row>
    <row r="900">
      <c r="A900" t="inlineStr">
        <is>
          <t>Benzene</t>
        </is>
      </c>
      <c r="B900" t="n">
        <v>1.69911e-06</v>
      </c>
      <c r="D900" t="inlineStr">
        <is>
          <t>kilogram</t>
        </is>
      </c>
      <c r="E900" t="inlineStr">
        <is>
          <t>air::non-urban air or from high stacks</t>
        </is>
      </c>
      <c r="F900" t="inlineStr">
        <is>
          <t>biosphere</t>
        </is>
      </c>
      <c r="G900" t="n">
        <v>0</v>
      </c>
      <c r="H900" t="n">
        <v>-15.34336848340595</v>
      </c>
      <c r="I900" t="n">
        <v>0.2503876439562446</v>
      </c>
      <c r="K900" t="inlineStr">
        <is>
          <t>(3,5,3,2,1,5); based on available literature</t>
        </is>
      </c>
    </row>
    <row r="901">
      <c r="A901" t="inlineStr">
        <is>
          <t>Benzo(a)pyrene</t>
        </is>
      </c>
      <c r="B901" t="n">
        <v>1.566e-12</v>
      </c>
      <c r="D901" t="inlineStr">
        <is>
          <t>kilogram</t>
        </is>
      </c>
      <c r="E901" t="inlineStr">
        <is>
          <t>air::non-urban air or from high stacks</t>
        </is>
      </c>
      <c r="F901" t="inlineStr">
        <is>
          <t>biosphere</t>
        </is>
      </c>
      <c r="G901" t="n">
        <v>0</v>
      </c>
      <c r="H901" t="n">
        <v>-29.24045902836265</v>
      </c>
      <c r="I901" t="n">
        <v>0.2503876439562446</v>
      </c>
      <c r="K901" t="inlineStr">
        <is>
          <t>(3,5,3,2,1,5); based on available literature</t>
        </is>
      </c>
    </row>
    <row r="902">
      <c r="A902" t="inlineStr">
        <is>
          <t>Boron</t>
        </is>
      </c>
      <c r="B902" t="n">
        <v>9.630900000000001e-07</v>
      </c>
      <c r="D902" t="inlineStr">
        <is>
          <t>kilogram</t>
        </is>
      </c>
      <c r="E902" t="inlineStr">
        <is>
          <t>air::non-urban air or from high stacks</t>
        </is>
      </c>
      <c r="F902" t="inlineStr">
        <is>
          <t>biosphere</t>
        </is>
      </c>
      <c r="G902" t="n">
        <v>0</v>
      </c>
      <c r="H902" t="n">
        <v>-15.91108148157399</v>
      </c>
      <c r="I902" t="n">
        <v>0.8347959176269237</v>
      </c>
      <c r="K902" t="inlineStr">
        <is>
          <t>(5,1,1,1,1,5); calculated from trace element balance, input uncertain</t>
        </is>
      </c>
    </row>
    <row r="903">
      <c r="A903" t="inlineStr">
        <is>
          <t>Bromine</t>
        </is>
      </c>
      <c r="B903" t="n">
        <v>4.97988e-07</v>
      </c>
      <c r="D903" t="inlineStr">
        <is>
          <t>kilogram</t>
        </is>
      </c>
      <c r="E903" t="inlineStr">
        <is>
          <t>air::non-urban air or from high stacks</t>
        </is>
      </c>
      <c r="F903" t="inlineStr">
        <is>
          <t>biosphere</t>
        </is>
      </c>
      <c r="G903" t="n">
        <v>0</v>
      </c>
      <c r="H903" t="n">
        <v>-16.57065236660033</v>
      </c>
      <c r="I903" t="n">
        <v>0.4120877214831748</v>
      </c>
      <c r="K903" t="inlineStr">
        <is>
          <t>(5,1,1,1,1,5); calculated from trace element balance, input uncertain</t>
        </is>
      </c>
    </row>
    <row r="904">
      <c r="A904" t="inlineStr">
        <is>
          <t>Butane</t>
        </is>
      </c>
      <c r="B904" t="n">
        <v>1.4877e-07</v>
      </c>
      <c r="D904" t="inlineStr">
        <is>
          <t>kilogram</t>
        </is>
      </c>
      <c r="E904" t="inlineStr">
        <is>
          <t>air::non-urban air or from high stacks</t>
        </is>
      </c>
      <c r="F904" t="inlineStr">
        <is>
          <t>biosphere</t>
        </is>
      </c>
      <c r="G904" t="n">
        <v>0</v>
      </c>
      <c r="H904" t="n">
        <v>-17.77882685777997</v>
      </c>
      <c r="I904" t="n">
        <v>0.2503876439562446</v>
      </c>
      <c r="K904" t="inlineStr">
        <is>
          <t>(3,5,3,2,1,5); based on available literature</t>
        </is>
      </c>
    </row>
    <row r="905">
      <c r="A905" t="inlineStr">
        <is>
          <t>Cadmium</t>
        </is>
      </c>
      <c r="B905" t="n">
        <v>4.51008e-10</v>
      </c>
      <c r="D905" t="inlineStr">
        <is>
          <t>kilogram</t>
        </is>
      </c>
      <c r="E905" t="inlineStr">
        <is>
          <t>air::non-urban air or from high stacks</t>
        </is>
      </c>
      <c r="F905" t="inlineStr">
        <is>
          <t>biosphere</t>
        </is>
      </c>
      <c r="G905" t="n">
        <v>0</v>
      </c>
      <c r="H905" t="n">
        <v>-23.5774985482267</v>
      </c>
      <c r="I905" t="n">
        <v>0.8347959176269237</v>
      </c>
      <c r="K905" t="inlineStr">
        <is>
          <t>(5,1,1,1,1,5); calculated from trace element balance, input uncertain</t>
        </is>
      </c>
    </row>
    <row r="906">
      <c r="A906" t="inlineStr">
        <is>
          <t>Carbon dioxide, fossil</t>
        </is>
      </c>
      <c r="B906">
        <f>0.098*26.4*B960*0.05</f>
        <v>4.7675675675675683E-2</v>
      </c>
      <c r="D906" t="inlineStr">
        <is>
          <t>kilogram</t>
        </is>
      </c>
      <c r="E906" t="inlineStr">
        <is>
          <t>air::non-urban air or from high stacks</t>
        </is>
      </c>
      <c r="F906" t="inlineStr">
        <is>
          <t>biosphere</t>
        </is>
      </c>
      <c r="G906" t="n">
        <v>0</v>
      </c>
      <c r="H906" t="n">
        <v>-5.37952742197358</v>
      </c>
      <c r="I906" t="n">
        <v>0.05218000766212133</v>
      </c>
      <c r="K906" t="inlineStr">
        <is>
          <t>95% capture rate</t>
        </is>
      </c>
    </row>
    <row r="907">
      <c r="A907" t="inlineStr">
        <is>
          <t>Carbon monoxide, fossil</t>
        </is>
      </c>
      <c r="B907" t="n">
        <v>6.264e-05</v>
      </c>
      <c r="D907" t="inlineStr">
        <is>
          <t>kilogram</t>
        </is>
      </c>
      <c r="E907" t="inlineStr">
        <is>
          <t>air::non-urban air or from high stacks</t>
        </is>
      </c>
      <c r="F907" t="inlineStr">
        <is>
          <t>biosphere</t>
        </is>
      </c>
      <c r="G907" t="n">
        <v>0</v>
      </c>
      <c r="H907" t="n">
        <v>-11.73606901628444</v>
      </c>
      <c r="I907" t="n">
        <v>0.8136389152812157</v>
      </c>
      <c r="K907" t="inlineStr">
        <is>
          <t>(3,4,3,2,1,5); based on available literature</t>
        </is>
      </c>
    </row>
    <row r="908">
      <c r="A908" t="inlineStr">
        <is>
          <t>Chromium</t>
        </is>
      </c>
      <c r="B908" t="n">
        <v>5.13648e-09</v>
      </c>
      <c r="D908" t="inlineStr">
        <is>
          <t>kilogram</t>
        </is>
      </c>
      <c r="E908" t="inlineStr">
        <is>
          <t>air::non-urban air or from high stacks</t>
        </is>
      </c>
      <c r="F908" t="inlineStr">
        <is>
          <t>biosphere</t>
        </is>
      </c>
      <c r="G908" t="n">
        <v>0</v>
      </c>
      <c r="H908" t="n">
        <v>-21.14486032698446</v>
      </c>
      <c r="I908" t="n">
        <v>0.8347959176269237</v>
      </c>
      <c r="K908" t="inlineStr">
        <is>
          <t>(5,1,1,1,1,5); calculated from trace element balance, input uncertain</t>
        </is>
      </c>
    </row>
    <row r="909">
      <c r="A909" t="inlineStr">
        <is>
          <t>Chromium VI</t>
        </is>
      </c>
      <c r="B909" t="n">
        <v>6.35013e-10</v>
      </c>
      <c r="D909" t="inlineStr">
        <is>
          <t>kilogram</t>
        </is>
      </c>
      <c r="E909" t="inlineStr">
        <is>
          <t>air::non-urban air or from high stacks</t>
        </is>
      </c>
      <c r="F909" t="inlineStr">
        <is>
          <t>biosphere</t>
        </is>
      </c>
      <c r="G909" t="n">
        <v>0</v>
      </c>
      <c r="H909" t="n">
        <v>-23.23533815480718</v>
      </c>
      <c r="I909" t="n">
        <v>0.6931471805599453</v>
      </c>
      <c r="K909" t="inlineStr">
        <is>
          <t>based on range of data</t>
        </is>
      </c>
    </row>
    <row r="910">
      <c r="A910" t="inlineStr">
        <is>
          <t>Cobalt</t>
        </is>
      </c>
      <c r="B910" t="n">
        <v>2.55258e-09</v>
      </c>
      <c r="D910" t="inlineStr">
        <is>
          <t>kilogram</t>
        </is>
      </c>
      <c r="E910" t="inlineStr">
        <is>
          <t>air::non-urban air or from high stacks</t>
        </is>
      </c>
      <c r="F910" t="inlineStr">
        <is>
          <t>biosphere</t>
        </is>
      </c>
      <c r="G910" t="n">
        <v>0</v>
      </c>
      <c r="H910" t="n">
        <v>-21.84412373456184</v>
      </c>
      <c r="I910" t="n">
        <v>0.8347959176269237</v>
      </c>
      <c r="K910" t="inlineStr">
        <is>
          <t>(5,1,1,1,1,5); calculated from trace element balance, input uncertain</t>
        </is>
      </c>
    </row>
    <row r="911">
      <c r="A911" t="inlineStr">
        <is>
          <t>Copper</t>
        </is>
      </c>
      <c r="B911" t="n">
        <v>1.29195e-08</v>
      </c>
      <c r="D911" t="inlineStr">
        <is>
          <t>kilogram</t>
        </is>
      </c>
      <c r="E911" t="inlineStr">
        <is>
          <t>air::non-urban air or from high stacks</t>
        </is>
      </c>
      <c r="F911" t="inlineStr">
        <is>
          <t>biosphere</t>
        </is>
      </c>
      <c r="G911" t="n">
        <v>0</v>
      </c>
      <c r="H911" t="n">
        <v>-20.22249054903392</v>
      </c>
      <c r="I911" t="n">
        <v>0.8347959176269237</v>
      </c>
      <c r="K911" t="inlineStr">
        <is>
          <t>(5,1,1,1,1,5); calculated from trace element balance, input uncertain</t>
        </is>
      </c>
    </row>
    <row r="912">
      <c r="A912" t="inlineStr">
        <is>
          <t>Dinitrogen monoxide</t>
        </is>
      </c>
      <c r="B912" t="n">
        <v>3.10851e-05</v>
      </c>
      <c r="D912" t="inlineStr">
        <is>
          <t>kilogram</t>
        </is>
      </c>
      <c r="E912" t="inlineStr">
        <is>
          <t>air::non-urban air or from high stacks</t>
        </is>
      </c>
      <c r="F912" t="inlineStr">
        <is>
          <t>biosphere</t>
        </is>
      </c>
      <c r="G912" t="n">
        <v>0</v>
      </c>
      <c r="H912" t="n">
        <v>-12.43674446326517</v>
      </c>
      <c r="I912" t="n">
        <v>0.2381170894981859</v>
      </c>
      <c r="K912" t="inlineStr">
        <is>
          <t>(3,4,3,2,1,5); based on available literature</t>
        </is>
      </c>
    </row>
    <row r="913">
      <c r="A913" t="inlineStr">
        <is>
          <t>Dioxins, measured as 2,3,7,8-tetrachlorodibenzo-p-dioxin</t>
        </is>
      </c>
      <c r="B913" t="n">
        <v>5.481e-14</v>
      </c>
      <c r="D913" t="inlineStr">
        <is>
          <t>kilogram</t>
        </is>
      </c>
      <c r="E913" t="inlineStr">
        <is>
          <t>air::non-urban air or from high stacks</t>
        </is>
      </c>
      <c r="F913" t="inlineStr">
        <is>
          <t>biosphere</t>
        </is>
      </c>
      <c r="G913" t="n">
        <v>0</v>
      </c>
      <c r="H913" t="n">
        <v>-32.59286624585537</v>
      </c>
      <c r="I913" t="n">
        <v>0.5689165009106955</v>
      </c>
      <c r="K913" t="inlineStr">
        <is>
          <t>(3,5,3,2,1,5); based on available literature</t>
        </is>
      </c>
    </row>
    <row r="914">
      <c r="A914" t="inlineStr">
        <is>
          <t>Ethane</t>
        </is>
      </c>
      <c r="B914" t="n">
        <v>3.2103e-07</v>
      </c>
      <c r="D914" t="inlineStr">
        <is>
          <t>kilogram</t>
        </is>
      </c>
      <c r="E914" t="inlineStr">
        <is>
          <t>air::non-urban air or from high stacks</t>
        </is>
      </c>
      <c r="F914" t="inlineStr">
        <is>
          <t>biosphere</t>
        </is>
      </c>
      <c r="G914" t="n">
        <v>0</v>
      </c>
      <c r="H914" t="n">
        <v>-17.0096937702421</v>
      </c>
      <c r="I914" t="n">
        <v>0.2503876439562446</v>
      </c>
      <c r="K914" t="inlineStr">
        <is>
          <t>(3,5,3,2,1,5); based on available literature</t>
        </is>
      </c>
    </row>
    <row r="915">
      <c r="A915" t="inlineStr">
        <is>
          <t>Formaldehyde</t>
        </is>
      </c>
      <c r="B915" t="n">
        <v>4.5414e-07</v>
      </c>
      <c r="D915" t="inlineStr">
        <is>
          <t>kilogram</t>
        </is>
      </c>
      <c r="E915" t="inlineStr">
        <is>
          <t>air::non-urban air or from high stacks</t>
        </is>
      </c>
      <c r="F915" t="inlineStr">
        <is>
          <t>biosphere</t>
        </is>
      </c>
      <c r="G915" t="n">
        <v>0</v>
      </c>
      <c r="H915" t="n">
        <v>-16.66282282639999</v>
      </c>
      <c r="I915" t="n">
        <v>0.2503876439562446</v>
      </c>
      <c r="K915" t="inlineStr">
        <is>
          <t>(3,5,3,2,1,5); based on available literature</t>
        </is>
      </c>
    </row>
    <row r="916">
      <c r="A916" t="inlineStr">
        <is>
          <t>Heat, waste</t>
        </is>
      </c>
      <c r="B916" t="n">
        <v>4.28301</v>
      </c>
      <c r="D916" t="inlineStr">
        <is>
          <t>megajoule</t>
        </is>
      </c>
      <c r="E916" t="inlineStr">
        <is>
          <t>air::non-urban air or from high stacks</t>
        </is>
      </c>
      <c r="F916" t="inlineStr">
        <is>
          <t>biosphere</t>
        </is>
      </c>
      <c r="G916" t="n">
        <v>0</v>
      </c>
      <c r="H916" t="n">
        <v>-0.6033064765601558</v>
      </c>
      <c r="I916" t="n">
        <v>0.0338293242369074</v>
      </c>
      <c r="K916" t="inlineStr">
        <is>
          <t>(2,1,1,1,1,1); calculated from energy balance</t>
        </is>
      </c>
    </row>
    <row r="917">
      <c r="A917" t="inlineStr">
        <is>
          <t>Heat, waste</t>
        </is>
      </c>
      <c r="B917" t="n">
        <v>1.12752</v>
      </c>
      <c r="D917" t="inlineStr">
        <is>
          <t>megajoule</t>
        </is>
      </c>
      <c r="E917" t="inlineStr">
        <is>
          <t>water::surface water</t>
        </is>
      </c>
      <c r="F917" t="inlineStr">
        <is>
          <t>biosphere</t>
        </is>
      </c>
      <c r="G917" t="n">
        <v>0</v>
      </c>
      <c r="H917" t="n">
        <v>-1.937941979406137</v>
      </c>
      <c r="I917" t="n">
        <v>0.0338293242369074</v>
      </c>
      <c r="K917" t="inlineStr">
        <is>
          <t>(2,1,1,1,1,1); calculated from energy balance</t>
        </is>
      </c>
    </row>
    <row r="918">
      <c r="A918" t="inlineStr">
        <is>
          <t>Hydrocarbons, aliphatic, alkanes, unspecified</t>
        </is>
      </c>
      <c r="B918" t="n">
        <v>1.71477e-06</v>
      </c>
      <c r="D918" t="inlineStr">
        <is>
          <t>kilogram</t>
        </is>
      </c>
      <c r="E918" t="inlineStr">
        <is>
          <t>air::non-urban air or from high stacks</t>
        </is>
      </c>
      <c r="F918" t="inlineStr">
        <is>
          <t>biosphere</t>
        </is>
      </c>
      <c r="G918" t="n">
        <v>0</v>
      </c>
      <c r="H918" t="n">
        <v>-15.33419410712991</v>
      </c>
      <c r="I918" t="n">
        <v>0.2503876439562446</v>
      </c>
      <c r="K918" t="inlineStr">
        <is>
          <t>(3,5,3,2,1,5); based on available literature</t>
        </is>
      </c>
    </row>
    <row r="919">
      <c r="A919" t="inlineStr">
        <is>
          <t>Hydrocarbons, aliphatic, unsaturated</t>
        </is>
      </c>
      <c r="B919" t="n">
        <v>1.69128e-06</v>
      </c>
      <c r="D919" t="inlineStr">
        <is>
          <t>kilogram</t>
        </is>
      </c>
      <c r="E919" t="inlineStr">
        <is>
          <t>air::non-urban air or from high stacks</t>
        </is>
      </c>
      <c r="F919" t="inlineStr">
        <is>
          <t>biosphere</t>
        </is>
      </c>
      <c r="G919" t="n">
        <v>0</v>
      </c>
      <c r="H919" t="n">
        <v>-15.34798742926225</v>
      </c>
      <c r="I919" t="n">
        <v>0.2503876439562446</v>
      </c>
      <c r="K919" t="inlineStr">
        <is>
          <t>(3,5,3,2,1,5); based on available literature</t>
        </is>
      </c>
    </row>
    <row r="920">
      <c r="A920" t="inlineStr">
        <is>
          <t>Hydrogen chloride</t>
        </is>
      </c>
      <c r="B920" t="n">
        <v>1.62864e-05</v>
      </c>
      <c r="D920" t="inlineStr">
        <is>
          <t>kilogram</t>
        </is>
      </c>
      <c r="E920" t="inlineStr">
        <is>
          <t>air::non-urban air or from high stacks</t>
        </is>
      </c>
      <c r="F920" t="inlineStr">
        <is>
          <t>biosphere</t>
        </is>
      </c>
      <c r="G920" t="n">
        <v>0</v>
      </c>
      <c r="H920" t="n">
        <v>-13.08314266425105</v>
      </c>
      <c r="I920" t="n">
        <v>0.4120877214831748</v>
      </c>
      <c r="K920" t="inlineStr">
        <is>
          <t>(5,1,1,1,1,5); calculated from trace element balance, input uncertain</t>
        </is>
      </c>
    </row>
    <row r="921">
      <c r="A921" t="inlineStr">
        <is>
          <t>Hydrogen fluoride</t>
        </is>
      </c>
      <c r="B921" t="n">
        <v>1.0179e-05</v>
      </c>
      <c r="D921" t="inlineStr">
        <is>
          <t>kilogram</t>
        </is>
      </c>
      <c r="E921" t="inlineStr">
        <is>
          <t>air::non-urban air or from high stacks</t>
        </is>
      </c>
      <c r="F921" t="inlineStr">
        <is>
          <t>biosphere</t>
        </is>
      </c>
      <c r="G921" t="n">
        <v>0</v>
      </c>
      <c r="H921" t="n">
        <v>-13.55314629349678</v>
      </c>
      <c r="I921" t="n">
        <v>0.4120877214831748</v>
      </c>
      <c r="K921" t="inlineStr">
        <is>
          <t>(5,1,1,1,1,5); calculated from trace element balance, input uncertain</t>
        </is>
      </c>
    </row>
    <row r="922">
      <c r="A922" t="inlineStr">
        <is>
          <t>Iodine</t>
        </is>
      </c>
      <c r="B922" t="n">
        <v>1.85571e-07</v>
      </c>
      <c r="D922" t="inlineStr">
        <is>
          <t>kilogram</t>
        </is>
      </c>
      <c r="E922" t="inlineStr">
        <is>
          <t>air::non-urban air or from high stacks</t>
        </is>
      </c>
      <c r="F922" t="inlineStr">
        <is>
          <t>biosphere</t>
        </is>
      </c>
      <c r="G922" t="n">
        <v>0</v>
      </c>
      <c r="H922" t="n">
        <v>-17.55779078880532</v>
      </c>
      <c r="I922" t="n">
        <v>0.4120877214831748</v>
      </c>
      <c r="K922" t="inlineStr">
        <is>
          <t>(5,1,1,1,1,5); calculated from trace element balance, input uncertain</t>
        </is>
      </c>
    </row>
    <row r="923">
      <c r="A923" t="inlineStr">
        <is>
          <t>Lead</t>
        </is>
      </c>
      <c r="B923" t="n">
        <v>4.32999e-08</v>
      </c>
      <c r="D923" t="inlineStr">
        <is>
          <t>kilogram</t>
        </is>
      </c>
      <c r="E923" t="inlineStr">
        <is>
          <t>air::non-urban air or from high stacks</t>
        </is>
      </c>
      <c r="F923" t="inlineStr">
        <is>
          <t>biosphere</t>
        </is>
      </c>
      <c r="G923" t="n">
        <v>0</v>
      </c>
      <c r="H923" t="n">
        <v>-19.01307802141217</v>
      </c>
      <c r="I923" t="n">
        <v>0.8347959176269237</v>
      </c>
      <c r="K923" t="inlineStr">
        <is>
          <t>(5,1,1,1,1,5); calculated from trace element balance, input uncertain</t>
        </is>
      </c>
    </row>
    <row r="924">
      <c r="A924" t="inlineStr">
        <is>
          <t>Lead-210</t>
        </is>
      </c>
      <c r="B924" t="n">
        <v>1.26063e-05</v>
      </c>
      <c r="D924" t="inlineStr">
        <is>
          <t>kilo Becquerel</t>
        </is>
      </c>
      <c r="E924" t="inlineStr">
        <is>
          <t>air::non-urban air or from high stacks</t>
        </is>
      </c>
      <c r="F924" t="inlineStr">
        <is>
          <t>biosphere</t>
        </is>
      </c>
      <c r="G924" t="n">
        <v>0</v>
      </c>
      <c r="H924" t="n">
        <v>-13.3392763789679</v>
      </c>
      <c r="I924" t="n">
        <v>0.592394992454581</v>
      </c>
      <c r="K924" t="inlineStr">
        <is>
          <t>(5,1,1,1,1,5); calculated from trace element balance, input uncertain</t>
        </is>
      </c>
    </row>
    <row r="925">
      <c r="A925" t="inlineStr">
        <is>
          <t>Manganese</t>
        </is>
      </c>
      <c r="B925" t="n">
        <v>9.552599999999999e-09</v>
      </c>
      <c r="D925" t="inlineStr">
        <is>
          <t>kilogram</t>
        </is>
      </c>
      <c r="E925" t="inlineStr">
        <is>
          <t>air::non-urban air or from high stacks</t>
        </is>
      </c>
      <c r="F925" t="inlineStr">
        <is>
          <t>biosphere</t>
        </is>
      </c>
      <c r="G925" t="n">
        <v>0</v>
      </c>
      <c r="H925" t="n">
        <v>-20.52441497820125</v>
      </c>
      <c r="I925" t="n">
        <v>0.8347959176269237</v>
      </c>
      <c r="K925" t="inlineStr">
        <is>
          <t>(5,1,1,1,1,5); calculated from trace element balance, input uncertain</t>
        </is>
      </c>
    </row>
    <row r="926">
      <c r="A926" t="inlineStr">
        <is>
          <t>Mercury</t>
        </is>
      </c>
      <c r="B926" t="n">
        <v>3.2103e-08</v>
      </c>
      <c r="D926" t="inlineStr">
        <is>
          <t>kilogram</t>
        </is>
      </c>
      <c r="E926" t="inlineStr">
        <is>
          <t>air::non-urban air or from high stacks</t>
        </is>
      </c>
      <c r="F926" t="inlineStr">
        <is>
          <t>biosphere</t>
        </is>
      </c>
      <c r="G926" t="n">
        <v>0</v>
      </c>
      <c r="H926" t="n">
        <v>-19.31227886323615</v>
      </c>
      <c r="I926" t="n">
        <v>0.8347959176269237</v>
      </c>
      <c r="K926" t="inlineStr">
        <is>
          <t>(5,1,1,1,1,5); calculated from trace element balance, input uncertain</t>
        </is>
      </c>
    </row>
    <row r="927">
      <c r="A927" t="inlineStr">
        <is>
          <t>Methane, fossil</t>
        </is>
      </c>
      <c r="B927" t="n">
        <v>7.83e-06</v>
      </c>
      <c r="D927" t="inlineStr">
        <is>
          <t>kilogram</t>
        </is>
      </c>
      <c r="E927" t="inlineStr">
        <is>
          <t>air::non-urban air or from high stacks</t>
        </is>
      </c>
      <c r="F927" t="inlineStr">
        <is>
          <t>biosphere</t>
        </is>
      </c>
      <c r="G927" t="n">
        <v>0</v>
      </c>
      <c r="H927" t="n">
        <v>-13.81551055796427</v>
      </c>
      <c r="I927" t="n">
        <v>0.2381170894981859</v>
      </c>
      <c r="K927" t="inlineStr">
        <is>
          <t>(3,4,3,2,1,5); based on available literature</t>
        </is>
      </c>
    </row>
    <row r="928">
      <c r="A928" t="inlineStr">
        <is>
          <t>Molybdenum</t>
        </is>
      </c>
      <c r="B928" t="n">
        <v>2.83446e-09</v>
      </c>
      <c r="D928" t="inlineStr">
        <is>
          <t>kilogram</t>
        </is>
      </c>
      <c r="E928" t="inlineStr">
        <is>
          <t>air::non-urban air or from high stacks</t>
        </is>
      </c>
      <c r="F928" t="inlineStr">
        <is>
          <t>biosphere</t>
        </is>
      </c>
      <c r="G928" t="n">
        <v>0</v>
      </c>
      <c r="H928" t="n">
        <v>-21.73937690410278</v>
      </c>
      <c r="I928" t="n">
        <v>0.8347959176269237</v>
      </c>
      <c r="K928" t="inlineStr">
        <is>
          <t>(5,1,1,1,1,5); calculated from trace element balance, input uncertain</t>
        </is>
      </c>
    </row>
    <row r="929">
      <c r="A929" t="inlineStr">
        <is>
          <t>Nickel</t>
        </is>
      </c>
      <c r="B929" t="n">
        <v>1.94967e-08</v>
      </c>
      <c r="D929" t="inlineStr">
        <is>
          <t>kilogram</t>
        </is>
      </c>
      <c r="E929" t="inlineStr">
        <is>
          <t>air::non-urban air or from high stacks</t>
        </is>
      </c>
      <c r="F929" t="inlineStr">
        <is>
          <t>biosphere</t>
        </is>
      </c>
      <c r="G929" t="n">
        <v>0</v>
      </c>
      <c r="H929" t="n">
        <v>-19.8109831264698</v>
      </c>
      <c r="I929" t="n">
        <v>0.8347959176269237</v>
      </c>
      <c r="K929" t="inlineStr">
        <is>
          <t>(5,1,1,1,1,5); calculated from trace element balance, input uncertain</t>
        </is>
      </c>
    </row>
    <row r="930">
      <c r="A930" t="inlineStr">
        <is>
          <t>Nitrogen oxides</t>
        </is>
      </c>
      <c r="B930" t="n">
        <v>6.06825e-05</v>
      </c>
      <c r="D930" t="inlineStr">
        <is>
          <t>kilogram</t>
        </is>
      </c>
      <c r="E930" t="inlineStr">
        <is>
          <t>air::non-urban air or from high stacks</t>
        </is>
      </c>
      <c r="F930" t="inlineStr">
        <is>
          <t>biosphere</t>
        </is>
      </c>
      <c r="G930" t="n">
        <v>0</v>
      </c>
      <c r="H930" t="n">
        <v>-11.76781771459902</v>
      </c>
      <c r="I930" t="n">
        <v>0.2093551674290925</v>
      </c>
      <c r="K930" t="inlineStr">
        <is>
          <t>additional reduction: 50%</t>
        </is>
      </c>
    </row>
    <row r="931">
      <c r="A931" t="inlineStr">
        <is>
          <t>PAH, polycyclic aromatic hydrocarbons</t>
        </is>
      </c>
      <c r="B931" t="n">
        <v>7.830000000000001e-09</v>
      </c>
      <c r="D931" t="inlineStr">
        <is>
          <t>kilogram</t>
        </is>
      </c>
      <c r="E931" t="inlineStr">
        <is>
          <t>air::non-urban air or from high stacks</t>
        </is>
      </c>
      <c r="F931" t="inlineStr">
        <is>
          <t>biosphere</t>
        </is>
      </c>
      <c r="G931" t="n">
        <v>0</v>
      </c>
      <c r="H931" t="n">
        <v>-20.72326583694641</v>
      </c>
      <c r="I931" t="n">
        <v>0.5689165009106955</v>
      </c>
      <c r="K931" t="inlineStr">
        <is>
          <t>(3,5,3,2,1,5); based on available literature</t>
        </is>
      </c>
    </row>
    <row r="932">
      <c r="A932" t="inlineStr">
        <is>
          <t>Particulates, &lt; 2.5 um</t>
        </is>
      </c>
      <c r="B932" t="n">
        <v>1.76175e-07</v>
      </c>
      <c r="D932" t="inlineStr">
        <is>
          <t>kilogram</t>
        </is>
      </c>
      <c r="E932" t="inlineStr">
        <is>
          <t>air::non-urban air or from high stacks</t>
        </is>
      </c>
      <c r="F932" t="inlineStr">
        <is>
          <t>biosphere</t>
        </is>
      </c>
      <c r="G932" t="n">
        <v>0</v>
      </c>
      <c r="H932" t="n">
        <v>-17.60975052773604</v>
      </c>
      <c r="I932" t="n">
        <v>0.592394992454581</v>
      </c>
      <c r="K932" t="inlineStr">
        <is>
          <t>additional reduction: 50%</t>
        </is>
      </c>
    </row>
    <row r="933">
      <c r="A933" t="inlineStr">
        <is>
          <t>Particulates, &gt; 10 um</t>
        </is>
      </c>
      <c r="B933" t="n">
        <v>1.03356e-08</v>
      </c>
      <c r="D933" t="inlineStr">
        <is>
          <t>kilogram</t>
        </is>
      </c>
      <c r="E933" t="inlineStr">
        <is>
          <t>air::non-urban air or from high stacks</t>
        </is>
      </c>
      <c r="F933" t="inlineStr">
        <is>
          <t>biosphere</t>
        </is>
      </c>
      <c r="G933" t="n">
        <v>0</v>
      </c>
      <c r="H933" t="n">
        <v>-20.44563410034813</v>
      </c>
      <c r="I933" t="n">
        <v>0.3021579834266649</v>
      </c>
      <c r="K933" t="inlineStr">
        <is>
          <t>additional reduction: 50%</t>
        </is>
      </c>
    </row>
    <row r="934">
      <c r="A934" t="inlineStr">
        <is>
          <t>Particulates, &gt; 2.5 um, and &lt; 10um</t>
        </is>
      </c>
      <c r="B934" t="n">
        <v>2.07495e-08</v>
      </c>
      <c r="D934" t="inlineStr">
        <is>
          <t>kilogram</t>
        </is>
      </c>
      <c r="E934" t="inlineStr">
        <is>
          <t>air::non-urban air or from high stacks</t>
        </is>
      </c>
      <c r="F934" t="inlineStr">
        <is>
          <t>biosphere</t>
        </is>
      </c>
      <c r="G934" t="n">
        <v>0</v>
      </c>
      <c r="H934" t="n">
        <v>-19.74870619694828</v>
      </c>
      <c r="I934" t="n">
        <v>0.4120877214831748</v>
      </c>
      <c r="K934" t="inlineStr">
        <is>
          <t>additional reduction: 50%</t>
        </is>
      </c>
    </row>
    <row r="935">
      <c r="A935" t="inlineStr">
        <is>
          <t>Pentane</t>
        </is>
      </c>
      <c r="B935" t="n">
        <v>1.15101e-06</v>
      </c>
      <c r="D935" t="inlineStr">
        <is>
          <t>kilogram</t>
        </is>
      </c>
      <c r="E935" t="inlineStr">
        <is>
          <t>air::non-urban air or from high stacks</t>
        </is>
      </c>
      <c r="F935" t="inlineStr">
        <is>
          <t>biosphere</t>
        </is>
      </c>
      <c r="G935" t="n">
        <v>0</v>
      </c>
      <c r="H935" t="n">
        <v>-15.73283325016767</v>
      </c>
      <c r="I935" t="n">
        <v>0.2503876439562446</v>
      </c>
      <c r="K935" t="inlineStr">
        <is>
          <t>(3,5,3,2,1,5); based on available literature</t>
        </is>
      </c>
    </row>
    <row r="936">
      <c r="A936" t="inlineStr">
        <is>
          <t>Polonium-210</t>
        </is>
      </c>
      <c r="B936" t="n">
        <v>2.30985e-05</v>
      </c>
      <c r="D936" t="inlineStr">
        <is>
          <t>kilo Becquerel</t>
        </is>
      </c>
      <c r="E936" t="inlineStr">
        <is>
          <t>air::non-urban air or from high stacks</t>
        </is>
      </c>
      <c r="F936" t="inlineStr">
        <is>
          <t>biosphere</t>
        </is>
      </c>
      <c r="G936" t="n">
        <v>0</v>
      </c>
      <c r="H936" t="n">
        <v>-12.73370538761255</v>
      </c>
      <c r="I936" t="n">
        <v>0.592394992454581</v>
      </c>
      <c r="K936" t="inlineStr">
        <is>
          <t>(5,1,1,1,1,5); calculated from trace element balance, input uncertain</t>
        </is>
      </c>
    </row>
    <row r="937">
      <c r="A937" t="inlineStr">
        <is>
          <t>Potassium-40</t>
        </is>
      </c>
      <c r="B937" t="n">
        <v>1.65996e-05</v>
      </c>
      <c r="D937" t="inlineStr">
        <is>
          <t>kilo Becquerel</t>
        </is>
      </c>
      <c r="E937" t="inlineStr">
        <is>
          <t>air::non-urban air or from high stacks</t>
        </is>
      </c>
      <c r="F937" t="inlineStr">
        <is>
          <t>biosphere</t>
        </is>
      </c>
      <c r="G937" t="n">
        <v>0</v>
      </c>
      <c r="H937" t="n">
        <v>-13.06409446928035</v>
      </c>
      <c r="I937" t="n">
        <v>0.592394992454581</v>
      </c>
      <c r="K937" t="inlineStr">
        <is>
          <t>(5,1,1,1,1,5); calculated from trace element balance, input uncertain</t>
        </is>
      </c>
    </row>
    <row r="938">
      <c r="A938" t="inlineStr">
        <is>
          <t>Propane</t>
        </is>
      </c>
      <c r="B938" t="n">
        <v>2.7405e-07</v>
      </c>
      <c r="D938" t="inlineStr">
        <is>
          <t>kilogram</t>
        </is>
      </c>
      <c r="E938" t="inlineStr">
        <is>
          <t>air::non-urban air or from high stacks</t>
        </is>
      </c>
      <c r="F938" t="inlineStr">
        <is>
          <t>biosphere</t>
        </is>
      </c>
      <c r="G938" t="n">
        <v>0</v>
      </c>
      <c r="H938" t="n">
        <v>-17.167917775457</v>
      </c>
      <c r="I938" t="n">
        <v>0.2503876439562446</v>
      </c>
      <c r="K938" t="inlineStr">
        <is>
          <t>(3,5,3,2,1,5); based on available literature</t>
        </is>
      </c>
    </row>
    <row r="939">
      <c r="A939" t="inlineStr">
        <is>
          <t>Propene</t>
        </is>
      </c>
      <c r="B939" t="n">
        <v>1.2528e-07</v>
      </c>
      <c r="D939" t="inlineStr">
        <is>
          <t>kilogram</t>
        </is>
      </c>
      <c r="E939" t="inlineStr">
        <is>
          <t>air::non-urban air or from high stacks</t>
        </is>
      </c>
      <c r="F939" t="inlineStr">
        <is>
          <t>biosphere</t>
        </is>
      </c>
      <c r="G939" t="n">
        <v>0</v>
      </c>
      <c r="H939" t="n">
        <v>-17.95067711470663</v>
      </c>
      <c r="I939" t="n">
        <v>0.2503876439562446</v>
      </c>
      <c r="K939" t="inlineStr">
        <is>
          <t>(3,5,3,2,1,5); based on available literature</t>
        </is>
      </c>
    </row>
    <row r="940">
      <c r="A940" t="inlineStr">
        <is>
          <t>Radium-226</t>
        </is>
      </c>
      <c r="B940" t="n">
        <v>3.25728e-06</v>
      </c>
      <c r="D940" t="inlineStr">
        <is>
          <t>kilo Becquerel</t>
        </is>
      </c>
      <c r="E940" t="inlineStr">
        <is>
          <t>air::non-urban air or from high stacks</t>
        </is>
      </c>
      <c r="F940" t="inlineStr">
        <is>
          <t>biosphere</t>
        </is>
      </c>
      <c r="G940" t="n">
        <v>0</v>
      </c>
      <c r="H940" t="n">
        <v>-14.69258057668515</v>
      </c>
      <c r="I940" t="n">
        <v>0.592394992454581</v>
      </c>
      <c r="K940" t="inlineStr">
        <is>
          <t>(5,1,1,1,1,5); calculated from trace element balance, input uncertain</t>
        </is>
      </c>
    </row>
    <row r="941">
      <c r="A941" t="inlineStr">
        <is>
          <t>Radium-228</t>
        </is>
      </c>
      <c r="B941" t="n">
        <v>1.65996e-06</v>
      </c>
      <c r="D941" t="inlineStr">
        <is>
          <t>kilo Becquerel</t>
        </is>
      </c>
      <c r="E941" t="inlineStr">
        <is>
          <t>air::non-urban air or from high stacks</t>
        </is>
      </c>
      <c r="F941" t="inlineStr">
        <is>
          <t>biosphere</t>
        </is>
      </c>
      <c r="G941" t="n">
        <v>0</v>
      </c>
      <c r="H941" t="n">
        <v>-15.3666795622744</v>
      </c>
      <c r="I941" t="n">
        <v>0.592394992454581</v>
      </c>
      <c r="K941" t="inlineStr">
        <is>
          <t>(5,1,1,1,1,5); calculated from trace element balance, input uncertain</t>
        </is>
      </c>
    </row>
    <row r="942">
      <c r="A942" t="inlineStr">
        <is>
          <t>Radon-220</t>
        </is>
      </c>
      <c r="B942" t="n">
        <v>0.00213759</v>
      </c>
      <c r="D942" t="inlineStr">
        <is>
          <t>kilo Becquerel</t>
        </is>
      </c>
      <c r="E942" t="inlineStr">
        <is>
          <t>air::non-urban air or from high stacks</t>
        </is>
      </c>
      <c r="F942" t="inlineStr">
        <is>
          <t>biosphere</t>
        </is>
      </c>
      <c r="G942" t="n">
        <v>0</v>
      </c>
      <c r="H942" t="n">
        <v>-8.206038762779315</v>
      </c>
      <c r="I942" t="n">
        <v>0.592394992454581</v>
      </c>
      <c r="K942" t="inlineStr">
        <is>
          <t>(5,1,1,1,1,5); calculated from trace element balance, input uncertain</t>
        </is>
      </c>
    </row>
    <row r="943">
      <c r="A943" t="inlineStr">
        <is>
          <t>Radon-222</t>
        </is>
      </c>
      <c r="B943" t="n">
        <v>0.00379755</v>
      </c>
      <c r="D943" t="inlineStr">
        <is>
          <t>kilo Becquerel</t>
        </is>
      </c>
      <c r="E943" t="inlineStr">
        <is>
          <t>air::non-urban air or from high stacks</t>
        </is>
      </c>
      <c r="F943" t="inlineStr">
        <is>
          <t>biosphere</t>
        </is>
      </c>
      <c r="G943" t="n">
        <v>0</v>
      </c>
      <c r="H943" t="n">
        <v>-7.631361667026791</v>
      </c>
      <c r="I943" t="n">
        <v>0.592394992454581</v>
      </c>
      <c r="K943" t="inlineStr">
        <is>
          <t>(5,1,1,1,1,5); calculated from trace element balance, input uncertain</t>
        </is>
      </c>
    </row>
    <row r="944">
      <c r="A944" t="inlineStr">
        <is>
          <t>Selenium</t>
        </is>
      </c>
      <c r="B944" t="n">
        <v>4.26735e-08</v>
      </c>
      <c r="D944" t="inlineStr">
        <is>
          <t>kilogram</t>
        </is>
      </c>
      <c r="E944" t="inlineStr">
        <is>
          <t>air::non-urban air or from high stacks</t>
        </is>
      </c>
      <c r="F944" t="inlineStr">
        <is>
          <t>biosphere</t>
        </is>
      </c>
      <c r="G944" t="n">
        <v>0</v>
      </c>
      <c r="H944" t="n">
        <v>-19.02765022827126</v>
      </c>
      <c r="I944" t="n">
        <v>0.8347959176269237</v>
      </c>
      <c r="K944" t="inlineStr">
        <is>
          <t>(5,1,1,1,1,5); calculated from trace element balance, input uncertain</t>
        </is>
      </c>
    </row>
    <row r="945">
      <c r="A945" t="inlineStr">
        <is>
          <t>Strontium</t>
        </is>
      </c>
      <c r="B945" t="n">
        <v>5.59062e-09</v>
      </c>
      <c r="D945" t="inlineStr">
        <is>
          <t>kilogram</t>
        </is>
      </c>
      <c r="E945" t="inlineStr">
        <is>
          <t>air::non-urban air or from high stacks</t>
        </is>
      </c>
      <c r="F945" t="inlineStr">
        <is>
          <t>biosphere</t>
        </is>
      </c>
      <c r="G945" t="n">
        <v>0</v>
      </c>
      <c r="H945" t="n">
        <v>-21.06013815358896</v>
      </c>
      <c r="I945" t="n">
        <v>0.8347959176269237</v>
      </c>
      <c r="K945" t="inlineStr">
        <is>
          <t>(5,1,1,1,1,5); calculated from trace element balance, input uncertain</t>
        </is>
      </c>
    </row>
    <row r="946">
      <c r="A946" t="inlineStr">
        <is>
          <t>Sulfur dioxide</t>
        </is>
      </c>
      <c r="B946" t="n">
        <v>4.259519999999999e-05</v>
      </c>
      <c r="D946" t="inlineStr">
        <is>
          <t>kilogram</t>
        </is>
      </c>
      <c r="E946" t="inlineStr">
        <is>
          <t>air::non-urban air or from high stacks</t>
        </is>
      </c>
      <c r="F946" t="inlineStr">
        <is>
          <t>biosphere</t>
        </is>
      </c>
      <c r="G946" t="n">
        <v>0</v>
      </c>
      <c r="H946" t="n">
        <v>-12.12173149709642</v>
      </c>
      <c r="I946" t="n">
        <v>0.05218000766212133</v>
      </c>
      <c r="K946" t="inlineStr">
        <is>
          <t>additional reduction: 25%</t>
        </is>
      </c>
    </row>
    <row r="947">
      <c r="A947" t="inlineStr">
        <is>
          <t>Thorium-228</t>
        </is>
      </c>
      <c r="B947" t="n">
        <v>8.926200000000001e-07</v>
      </c>
      <c r="D947" t="inlineStr">
        <is>
          <t>kilo Becquerel</t>
        </is>
      </c>
      <c r="E947" t="inlineStr">
        <is>
          <t>air::non-urban air or from high stacks</t>
        </is>
      </c>
      <c r="F947" t="inlineStr">
        <is>
          <t>biosphere</t>
        </is>
      </c>
      <c r="G947" t="n">
        <v>0</v>
      </c>
      <c r="H947" t="n">
        <v>-15.98706738855192</v>
      </c>
      <c r="I947" t="n">
        <v>0.592394992454581</v>
      </c>
      <c r="K947" t="inlineStr">
        <is>
          <t>(5,1,1,1,1,5); calculated from trace element balance, input uncertain</t>
        </is>
      </c>
    </row>
    <row r="948">
      <c r="A948" t="inlineStr">
        <is>
          <t>Thorium-232</t>
        </is>
      </c>
      <c r="B948" t="n">
        <v>1.40157e-06</v>
      </c>
      <c r="D948" t="inlineStr">
        <is>
          <t>kilo Becquerel</t>
        </is>
      </c>
      <c r="E948" t="inlineStr">
        <is>
          <t>air::non-urban air or from high stacks</t>
        </is>
      </c>
      <c r="F948" t="inlineStr">
        <is>
          <t>biosphere</t>
        </is>
      </c>
      <c r="G948" t="n">
        <v>0</v>
      </c>
      <c r="H948" t="n">
        <v>-15.53588003110566</v>
      </c>
      <c r="I948" t="n">
        <v>0.592394992454581</v>
      </c>
      <c r="K948" t="inlineStr">
        <is>
          <t>(5,1,1,1,1,5); calculated from trace element balance, input uncertain</t>
        </is>
      </c>
    </row>
    <row r="949">
      <c r="A949" t="inlineStr">
        <is>
          <t>Toluene</t>
        </is>
      </c>
      <c r="B949" t="n">
        <v>8.5347e-07</v>
      </c>
      <c r="D949" t="inlineStr">
        <is>
          <t>kilogram</t>
        </is>
      </c>
      <c r="E949" t="inlineStr">
        <is>
          <t>air::non-urban air or from high stacks</t>
        </is>
      </c>
      <c r="F949" t="inlineStr">
        <is>
          <t>biosphere</t>
        </is>
      </c>
      <c r="G949" t="n">
        <v>0</v>
      </c>
      <c r="H949" t="n">
        <v>-16.03191795471727</v>
      </c>
      <c r="I949" t="n">
        <v>0.2503876439562446</v>
      </c>
      <c r="K949" t="inlineStr">
        <is>
          <t>(3,5,3,2,1,5); based on available literature</t>
        </is>
      </c>
    </row>
    <row r="950">
      <c r="A950" t="inlineStr">
        <is>
          <t>Uranium-238</t>
        </is>
      </c>
      <c r="B950" t="n">
        <v>2.71701e-06</v>
      </c>
      <c r="D950" t="inlineStr">
        <is>
          <t>kilo Becquerel</t>
        </is>
      </c>
      <c r="E950" t="inlineStr">
        <is>
          <t>air::non-urban air or from high stacks</t>
        </is>
      </c>
      <c r="F950" t="inlineStr">
        <is>
          <t>biosphere</t>
        </is>
      </c>
      <c r="G950" t="n">
        <v>0</v>
      </c>
      <c r="H950" t="n">
        <v>-14.87394105699955</v>
      </c>
      <c r="I950" t="n">
        <v>0.592394992454581</v>
      </c>
      <c r="K950" t="inlineStr">
        <is>
          <t>(5,1,1,1,1,5); calculated from trace element balance, input uncertain</t>
        </is>
      </c>
    </row>
    <row r="951">
      <c r="A951" t="inlineStr">
        <is>
          <t>Vanadium</t>
        </is>
      </c>
      <c r="B951" t="n">
        <v>5.11299e-09</v>
      </c>
      <c r="D951" t="inlineStr">
        <is>
          <t>kilogram</t>
        </is>
      </c>
      <c r="E951" t="inlineStr">
        <is>
          <t>air::non-urban air or from high stacks</t>
        </is>
      </c>
      <c r="F951" t="inlineStr">
        <is>
          <t>biosphere</t>
        </is>
      </c>
      <c r="G951" t="n">
        <v>0</v>
      </c>
      <c r="H951" t="n">
        <v>-21.14944398665212</v>
      </c>
      <c r="I951" t="n">
        <v>0.8347959176269237</v>
      </c>
      <c r="K951" t="inlineStr">
        <is>
          <t>(5,1,1,1,1,5); calculated from trace element balance, input uncertain</t>
        </is>
      </c>
    </row>
    <row r="952">
      <c r="A952" t="inlineStr">
        <is>
          <t>Water, cooling, unspecified natural origin</t>
        </is>
      </c>
      <c r="B952" t="n">
        <v>0.027405</v>
      </c>
      <c r="D952" t="inlineStr">
        <is>
          <t>cubic meter</t>
        </is>
      </c>
      <c r="E952" t="inlineStr">
        <is>
          <t>natural resource::in water</t>
        </is>
      </c>
      <c r="F952" t="inlineStr">
        <is>
          <t>biosphere</t>
        </is>
      </c>
      <c r="G952" t="n">
        <v>0</v>
      </c>
      <c r="H952" t="n">
        <v>-5.654992310486769</v>
      </c>
      <c r="I952" t="n">
        <v>0.1682361183106064</v>
      </c>
      <c r="K952" t="inlineStr">
        <is>
          <t>(4,5,3,2,1,5); estimate based on literature</t>
        </is>
      </c>
    </row>
    <row r="953">
      <c r="A953" t="inlineStr">
        <is>
          <t>Water</t>
        </is>
      </c>
      <c r="B953" s="6">
        <f>B952*0.975</f>
        <v>2.6719875000000001E-2</v>
      </c>
      <c r="D953" t="inlineStr">
        <is>
          <t>cubic meter</t>
        </is>
      </c>
      <c r="E953" t="inlineStr">
        <is>
          <t>water</t>
        </is>
      </c>
      <c r="F953" t="inlineStr">
        <is>
          <t>biosphere</t>
        </is>
      </c>
      <c r="G953" t="n">
        <v>0</v>
      </c>
      <c r="J953" t="inlineStr">
        <is>
          <t>Assumes 2.5% is evaporated.</t>
        </is>
      </c>
    </row>
    <row r="954">
      <c r="A954" t="inlineStr">
        <is>
          <t>Xylene</t>
        </is>
      </c>
      <c r="B954" t="n">
        <v>7.21926e-06</v>
      </c>
      <c r="D954" t="inlineStr">
        <is>
          <t>kilogram</t>
        </is>
      </c>
      <c r="E954" t="inlineStr">
        <is>
          <t>air::non-urban air or from high stacks</t>
        </is>
      </c>
      <c r="F954" t="inlineStr">
        <is>
          <t>biosphere</t>
        </is>
      </c>
      <c r="G954" t="n">
        <v>0</v>
      </c>
      <c r="H954" t="n">
        <v>-13.89672061338982</v>
      </c>
      <c r="I954" t="n">
        <v>0.2503876439562446</v>
      </c>
      <c r="K954" t="inlineStr">
        <is>
          <t>(3,5,3,2,1,5); based on available literature</t>
        </is>
      </c>
    </row>
    <row r="955">
      <c r="A955" t="inlineStr">
        <is>
          <t>Zinc</t>
        </is>
      </c>
      <c r="B955" t="n">
        <v>3.21813e-08</v>
      </c>
      <c r="D955" t="inlineStr">
        <is>
          <t>kilogram</t>
        </is>
      </c>
      <c r="E955" t="inlineStr">
        <is>
          <t>air::non-urban air or from high stacks</t>
        </is>
      </c>
      <c r="F955" t="inlineStr">
        <is>
          <t>biosphere</t>
        </is>
      </c>
      <c r="G955" t="n">
        <v>0</v>
      </c>
      <c r="H955" t="n">
        <v>-19.30984280843827</v>
      </c>
      <c r="I955" t="n">
        <v>0.8347959176269237</v>
      </c>
      <c r="K955" t="inlineStr">
        <is>
          <t>(5,1,1,1,1,5); calculated from trace element balance, input uncertain</t>
        </is>
      </c>
    </row>
    <row r="956">
      <c r="A956" t="inlineStr">
        <is>
          <t>carbon dioxide, captured from hard coal-fired power plant, oxy, pipeline 200km, storage 1000m</t>
        </is>
      </c>
      <c r="B956">
        <f>0.098*26.4*B960*0.95</f>
        <v>0.90583783783783789</v>
      </c>
      <c r="C956" t="inlineStr">
        <is>
          <t>RER</t>
        </is>
      </c>
      <c r="D956" t="inlineStr">
        <is>
          <t>kilogram</t>
        </is>
      </c>
      <c r="E956" t="inlineStr">
        <is>
          <t>Materials/fuels</t>
        </is>
      </c>
      <c r="F956" t="inlineStr">
        <is>
          <t>technosphere</t>
        </is>
      </c>
      <c r="G956" t="n">
        <v>0</v>
      </c>
      <c r="H956" t="n">
        <v>0.0876</v>
      </c>
      <c r="K956" t="inlineStr">
        <is>
          <t>95% capture rate</t>
        </is>
      </c>
    </row>
    <row r="957">
      <c r="A957" t="inlineStr">
        <is>
          <t>market for NOx retained, by selective catalytic reduction</t>
        </is>
      </c>
      <c r="B957" t="n">
        <v>0.00091611</v>
      </c>
      <c r="C957" t="inlineStr">
        <is>
          <t>GLO</t>
        </is>
      </c>
      <c r="D957" t="inlineStr">
        <is>
          <t>kilogram</t>
        </is>
      </c>
      <c r="E957" t="inlineStr">
        <is>
          <t>Materials/fuels</t>
        </is>
      </c>
      <c r="F957" t="inlineStr">
        <is>
          <t>technosphere</t>
        </is>
      </c>
      <c r="G957" t="n">
        <v>0</v>
      </c>
      <c r="H957" t="n">
        <v>-9.053336623166517</v>
      </c>
      <c r="I957" t="n">
        <v>0.2093551674290925</v>
      </c>
      <c r="K957" t="inlineStr">
        <is>
          <t>additional reduction: 50%</t>
        </is>
      </c>
      <c r="M957" t="inlineStr">
        <is>
          <t>NOx retained, by selective catalytic reduction</t>
        </is>
      </c>
    </row>
    <row r="958">
      <c r="A958" t="inlineStr">
        <is>
          <t>market for SOx retained, in hard coal flue gas desulfurisation</t>
        </is>
      </c>
      <c r="B958" t="n">
        <v>0.00483894</v>
      </c>
      <c r="C958" t="inlineStr">
        <is>
          <t>RER</t>
        </is>
      </c>
      <c r="D958" t="inlineStr">
        <is>
          <t>kilogram</t>
        </is>
      </c>
      <c r="E958" t="inlineStr">
        <is>
          <t>Materials/fuels</t>
        </is>
      </c>
      <c r="F958" t="inlineStr">
        <is>
          <t>technosphere</t>
        </is>
      </c>
      <c r="G958" t="n">
        <v>0</v>
      </c>
      <c r="H958" t="n">
        <v>-7.389022100506583</v>
      </c>
      <c r="I958" t="n">
        <v>0.05218000766212133</v>
      </c>
      <c r="K958" t="inlineStr">
        <is>
          <t>additional reduction: 25%</t>
        </is>
      </c>
      <c r="M958" t="inlineStr">
        <is>
          <t>SOx retained, in hard coal flue gas desulfurisation</t>
        </is>
      </c>
    </row>
    <row r="959">
      <c r="A959" t="inlineStr">
        <is>
          <t>market for chlorine, liquid</t>
        </is>
      </c>
      <c r="B959" t="n">
        <v>7.830000000000001e-05</v>
      </c>
      <c r="C959" t="inlineStr">
        <is>
          <t>RER</t>
        </is>
      </c>
      <c r="D959" t="inlineStr">
        <is>
          <t>kilogram</t>
        </is>
      </c>
      <c r="E959" t="inlineStr">
        <is>
          <t>Materials/fuels</t>
        </is>
      </c>
      <c r="F959" t="inlineStr">
        <is>
          <t>technosphere</t>
        </is>
      </c>
      <c r="G959" t="n">
        <v>0</v>
      </c>
      <c r="H959" t="n">
        <v>-11.51292546497023</v>
      </c>
      <c r="I959" t="n">
        <v>0.2503876439562446</v>
      </c>
      <c r="K959" t="inlineStr">
        <is>
          <t>(5,4,3,2,3,5); rough guess</t>
        </is>
      </c>
      <c r="M959" t="inlineStr">
        <is>
          <t>chlorine, liquid</t>
        </is>
      </c>
    </row>
    <row r="960">
      <c r="A960" t="inlineStr">
        <is>
          <t>market for hard coal</t>
        </is>
      </c>
      <c r="B960">
        <f>(3.6/26.4)/0.37</f>
        <v>0.3685503685503686</v>
      </c>
      <c r="C960" s="2" t="inlineStr">
        <is>
          <t>Europe, without Russia and Turkey</t>
        </is>
      </c>
      <c r="D960" t="inlineStr">
        <is>
          <t>kilogram</t>
        </is>
      </c>
      <c r="E960" t="inlineStr">
        <is>
          <t>Materials/fuels</t>
        </is>
      </c>
      <c r="F960" t="inlineStr">
        <is>
          <t>technosphere</t>
        </is>
      </c>
      <c r="G960" t="n">
        <v>0</v>
      </c>
      <c r="H960" t="n">
        <v>-3.272804166893756</v>
      </c>
      <c r="I960" t="n">
        <v>0.06988097118757938</v>
      </c>
      <c r="K960" t="inlineStr">
        <is>
          <t>1/energy content from Dones et al. (2007) "Teil VI - Kohle - Data v2.0" p.112</t>
        </is>
      </c>
      <c r="M960" t="inlineStr">
        <is>
          <t>hard coal</t>
        </is>
      </c>
    </row>
    <row r="961">
      <c r="A961" t="inlineStr">
        <is>
          <t>market for hard coal power plant</t>
        </is>
      </c>
      <c r="B961" t="n">
        <v>4.53357e-12</v>
      </c>
      <c r="C961" t="inlineStr">
        <is>
          <t>GLO</t>
        </is>
      </c>
      <c r="D961" t="inlineStr">
        <is>
          <t>unit</t>
        </is>
      </c>
      <c r="E961" t="inlineStr">
        <is>
          <t>Materials/fuels</t>
        </is>
      </c>
      <c r="F961" t="inlineStr">
        <is>
          <t>technosphere</t>
        </is>
      </c>
      <c r="G961" t="n">
        <v>0</v>
      </c>
      <c r="H961" t="n">
        <v>-28.17747391733769</v>
      </c>
      <c r="I961" t="n">
        <v>0.5526284156933892</v>
      </c>
      <c r="K961" t="inlineStr">
        <is>
          <t>n_plant = 1/(lifetime*annual fuel input)</t>
        </is>
      </c>
      <c r="M961" t="inlineStr">
        <is>
          <t>hard coal power plant</t>
        </is>
      </c>
    </row>
    <row r="962">
      <c r="A962" t="inlineStr">
        <is>
          <t>market for transport, freight train</t>
        </is>
      </c>
      <c r="B962" t="n">
        <v>0.00377406</v>
      </c>
      <c r="C962" t="inlineStr">
        <is>
          <t>Europe without Switzerland</t>
        </is>
      </c>
      <c r="D962" t="inlineStr">
        <is>
          <t>ton kilometer</t>
        </is>
      </c>
      <c r="E962" t="inlineStr">
        <is>
          <t>Materials/fuels</t>
        </is>
      </c>
      <c r="F962" t="inlineStr">
        <is>
          <t>technosphere</t>
        </is>
      </c>
      <c r="G962" t="n">
        <v>0</v>
      </c>
      <c r="H962" t="n">
        <v>-7.637566443913673</v>
      </c>
      <c r="I962" t="n">
        <v>0.3709686723646887</v>
      </c>
      <c r="K962" t="inlineStr">
        <is>
          <t>(4,2,2,3,1,5); average distance is guesstimate</t>
        </is>
      </c>
      <c r="M962" t="inlineStr">
        <is>
          <t>transport, freight train</t>
        </is>
      </c>
    </row>
    <row r="963">
      <c r="A963" t="inlineStr">
        <is>
          <t>market for water, completely softened</t>
        </is>
      </c>
      <c r="B963" t="n">
        <v>0.02054598685699786</v>
      </c>
      <c r="C963" t="inlineStr">
        <is>
          <t>RoW</t>
        </is>
      </c>
      <c r="D963" t="inlineStr">
        <is>
          <t>kilogram</t>
        </is>
      </c>
      <c r="E963" t="inlineStr">
        <is>
          <t>Materials/fuels</t>
        </is>
      </c>
      <c r="F963" t="inlineStr">
        <is>
          <t>technosphere</t>
        </is>
      </c>
      <c r="G963" t="n">
        <v>0</v>
      </c>
      <c r="H963" t="n">
        <v>-5.115995809754082</v>
      </c>
      <c r="I963" t="n">
        <v>0.1682361183106064</v>
      </c>
      <c r="K963" t="inlineStr">
        <is>
          <t>(4,5,3,2,3,3); estimate based on literature</t>
        </is>
      </c>
      <c r="M963" t="inlineStr">
        <is>
          <t>water, completely softened</t>
        </is>
      </c>
      <c r="N963" t="inlineStr">
        <is>
          <t>water, completely softened, from decarbonised water, at user</t>
        </is>
      </c>
    </row>
    <row r="964">
      <c r="A964" t="inlineStr">
        <is>
          <t>market for water, completely softened</t>
        </is>
      </c>
      <c r="B964" t="n">
        <v>0.01105424236407774</v>
      </c>
      <c r="C964" t="inlineStr">
        <is>
          <t>RER</t>
        </is>
      </c>
      <c r="D964" t="inlineStr">
        <is>
          <t>kilogram</t>
        </is>
      </c>
      <c r="E964" t="inlineStr">
        <is>
          <t>Materials/fuels</t>
        </is>
      </c>
      <c r="F964" t="inlineStr">
        <is>
          <t>technosphere</t>
        </is>
      </c>
      <c r="G964" t="n">
        <v>0</v>
      </c>
      <c r="H964" t="n">
        <v>-5.115995809754082</v>
      </c>
      <c r="I964" t="n">
        <v>0.1682361183106064</v>
      </c>
      <c r="K964" t="inlineStr">
        <is>
          <t>(4,5,3,2,3,3); estimate based on literature</t>
        </is>
      </c>
      <c r="M964" t="inlineStr">
        <is>
          <t>water, completely softened</t>
        </is>
      </c>
      <c r="N964" t="inlineStr">
        <is>
          <t>water, completely softened, from decarbonised water, at user</t>
        </is>
      </c>
    </row>
    <row r="965">
      <c r="A965" t="inlineStr">
        <is>
          <t>market for water, completely softened</t>
        </is>
      </c>
      <c r="B965" t="n">
        <v>0.01537977077892439</v>
      </c>
      <c r="C965" t="inlineStr">
        <is>
          <t>US</t>
        </is>
      </c>
      <c r="D965" t="inlineStr">
        <is>
          <t>kilogram</t>
        </is>
      </c>
      <c r="E965" t="inlineStr">
        <is>
          <t>Materials/fuels</t>
        </is>
      </c>
      <c r="F965" t="inlineStr">
        <is>
          <t>technosphere</t>
        </is>
      </c>
      <c r="G965" t="n">
        <v>0</v>
      </c>
      <c r="H965" t="n">
        <v>-5.115995809754082</v>
      </c>
      <c r="I965" t="n">
        <v>0.1682361183106064</v>
      </c>
      <c r="K965" t="inlineStr">
        <is>
          <t>(4,5,3,2,3,3); estimate based on literature</t>
        </is>
      </c>
      <c r="M965" t="inlineStr">
        <is>
          <t>water, completely softened</t>
        </is>
      </c>
      <c r="N965" t="inlineStr">
        <is>
          <t>water, completely softened, from decarbonised water, at user</t>
        </is>
      </c>
    </row>
    <row r="966">
      <c r="A966" t="inlineStr">
        <is>
          <t>market for water, decarbonised</t>
        </is>
      </c>
      <c r="B966" t="n">
        <v>1.1745</v>
      </c>
      <c r="C966" t="inlineStr">
        <is>
          <t>RoW</t>
        </is>
      </c>
      <c r="D966" t="inlineStr">
        <is>
          <t>kilogram</t>
        </is>
      </c>
      <c r="E966" t="inlineStr">
        <is>
          <t>Materials/fuels</t>
        </is>
      </c>
      <c r="F966" t="inlineStr">
        <is>
          <t>technosphere</t>
        </is>
      </c>
      <c r="G966" t="n">
        <v>0</v>
      </c>
      <c r="H966" t="n">
        <v>-1.897119984885881</v>
      </c>
      <c r="I966" t="n">
        <v>0.1682361183106064</v>
      </c>
      <c r="K966" t="inlineStr">
        <is>
          <t>(4,5,3,2,3,3); estimate based on literature</t>
        </is>
      </c>
      <c r="M966" t="inlineStr">
        <is>
          <t>water, decarbonised</t>
        </is>
      </c>
      <c r="N966" t="inlineStr">
        <is>
          <t>water, decarbonised, at user</t>
        </is>
      </c>
    </row>
    <row r="967">
      <c r="A967" t="inlineStr">
        <is>
          <t>market group for light fuel oil</t>
        </is>
      </c>
      <c r="B967" t="n">
        <v>0.00013311</v>
      </c>
      <c r="C967" t="inlineStr">
        <is>
          <t>RER</t>
        </is>
      </c>
      <c r="D967" t="inlineStr">
        <is>
          <t>kilogram</t>
        </is>
      </c>
      <c r="E967" t="inlineStr">
        <is>
          <t>Materials/fuels</t>
        </is>
      </c>
      <c r="F967" t="inlineStr">
        <is>
          <t>technosphere</t>
        </is>
      </c>
      <c r="G967" t="n">
        <v>0</v>
      </c>
      <c r="H967" t="n">
        <v>-10.98229721390806</v>
      </c>
      <c r="I967" t="n">
        <v>0.09116077839697724</v>
      </c>
      <c r="K967" t="inlineStr">
        <is>
          <t>(3,4,3,3,1,3); typical value for hard coal plant in DE</t>
        </is>
      </c>
      <c r="M967" t="inlineStr">
        <is>
          <t>light fuel oil</t>
        </is>
      </c>
    </row>
    <row r="968">
      <c r="A968" t="inlineStr">
        <is>
          <t>treatment of hard coal ash, residual material landfill</t>
        </is>
      </c>
      <c r="B968" t="n">
        <v>-0.00205929</v>
      </c>
      <c r="C968" t="inlineStr">
        <is>
          <t>RoW</t>
        </is>
      </c>
      <c r="D968" t="inlineStr">
        <is>
          <t>kilogram</t>
        </is>
      </c>
      <c r="E968" t="inlineStr">
        <is>
          <t>Waste to treatment</t>
        </is>
      </c>
      <c r="F968" t="inlineStr">
        <is>
          <t>technosphere</t>
        </is>
      </c>
      <c r="G968" t="n">
        <v>0</v>
      </c>
      <c r="H968" t="n">
        <v>-8.24335652578651</v>
      </c>
      <c r="I968" t="n">
        <v>0.2287124235194378</v>
      </c>
      <c r="K968" t="inlineStr">
        <is>
          <t>(5,1,1,5,3,1); calculated from mass balance</t>
        </is>
      </c>
      <c r="M968" t="inlineStr">
        <is>
          <t>hard coal ash</t>
        </is>
      </c>
    </row>
    <row r="969" ht="16" customHeight="1">
      <c r="A969" t="inlineStr">
        <is>
          <t>treatment of residue from cooling tower, sanitary landfill</t>
        </is>
      </c>
      <c r="B969" t="n">
        <v>-3.915e-05</v>
      </c>
      <c r="C969" t="inlineStr">
        <is>
          <t>CH</t>
        </is>
      </c>
      <c r="D969" t="inlineStr">
        <is>
          <t>kilogram</t>
        </is>
      </c>
      <c r="E969" t="inlineStr">
        <is>
          <t>Waste to treatment</t>
        </is>
      </c>
      <c r="F969" t="inlineStr">
        <is>
          <t>technosphere</t>
        </is>
      </c>
      <c r="G969" t="n">
        <v>0</v>
      </c>
      <c r="H969" t="n">
        <v>-12.20607264553017</v>
      </c>
      <c r="I969" t="n">
        <v>0.2027325540540821</v>
      </c>
      <c r="K969" t="inlineStr">
        <is>
          <t>(5,1,1,1,1,1); calculated from mass balance</t>
        </is>
      </c>
      <c r="M969" t="inlineStr">
        <is>
          <t>residue from cooling tower</t>
        </is>
      </c>
    </row>
    <row r="970"/>
    <row r="971">
      <c r="A971" s="1" t="inlineStr">
        <is>
          <t>Activity</t>
        </is>
      </c>
      <c r="B971" s="1" t="inlineStr">
        <is>
          <t>electricity production, at hard coal-fired power plant, post, pipeline 200km, storage 1000m</t>
        </is>
      </c>
    </row>
    <row r="972">
      <c r="A972" t="inlineStr">
        <is>
          <t>location</t>
        </is>
      </c>
      <c r="B972" t="inlineStr">
        <is>
          <t>RER</t>
        </is>
      </c>
    </row>
    <row r="973">
      <c r="A973" t="inlineStr">
        <is>
          <t>production amount</t>
        </is>
      </c>
      <c r="B973" t="n">
        <v>1</v>
      </c>
    </row>
    <row r="974">
      <c r="A974" t="inlineStr">
        <is>
          <t>comment</t>
        </is>
      </c>
      <c r="B974" t="inlineStr">
        <is>
          <t>Coal-fired, post CCS, MEA, 90% CO2 capture efficiency. 576 MWel. 7500 full load hours per year. 40 years lifetime. 36% net electrical efficiency.</t>
        </is>
      </c>
    </row>
    <row r="975">
      <c r="A975" t="inlineStr">
        <is>
          <t>source</t>
        </is>
      </c>
      <c r="B975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976">
      <c r="A976" t="inlineStr">
        <is>
          <t>reference product</t>
        </is>
      </c>
      <c r="B976" t="inlineStr">
        <is>
          <t>electricity, high voltage</t>
        </is>
      </c>
    </row>
    <row r="977" ht="16" customHeight="1">
      <c r="A977" t="inlineStr">
        <is>
          <t>type</t>
        </is>
      </c>
      <c r="B977" t="inlineStr">
        <is>
          <t>process</t>
        </is>
      </c>
    </row>
    <row r="978">
      <c r="A978" t="inlineStr">
        <is>
          <t>unit</t>
        </is>
      </c>
      <c r="B978" t="inlineStr">
        <is>
          <t>kilowatt hour</t>
        </is>
      </c>
    </row>
    <row r="979">
      <c r="A979" s="1" t="inlineStr">
        <is>
          <t>Exchanges</t>
        </is>
      </c>
    </row>
    <row r="980">
      <c r="A980" t="inlineStr">
        <is>
          <t>name</t>
        </is>
      </c>
      <c r="B980" t="inlineStr">
        <is>
          <t>amount</t>
        </is>
      </c>
      <c r="C980" t="inlineStr">
        <is>
          <t>location</t>
        </is>
      </c>
      <c r="D980" t="inlineStr">
        <is>
          <t>unit</t>
        </is>
      </c>
      <c r="E980" t="inlineStr">
        <is>
          <t>categories</t>
        </is>
      </c>
      <c r="F980" t="inlineStr">
        <is>
          <t>type</t>
        </is>
      </c>
      <c r="G980" t="inlineStr">
        <is>
          <t>uncertainty type</t>
        </is>
      </c>
      <c r="H980" t="inlineStr">
        <is>
          <t>loc</t>
        </is>
      </c>
      <c r="I980" t="inlineStr">
        <is>
          <t>allocation</t>
        </is>
      </c>
      <c r="J980" t="inlineStr">
        <is>
          <t>comment</t>
        </is>
      </c>
      <c r="K980" t="inlineStr">
        <is>
          <t>simapro name</t>
        </is>
      </c>
      <c r="L980" t="inlineStr">
        <is>
          <t>negative</t>
        </is>
      </c>
      <c r="M980" t="inlineStr">
        <is>
          <t>reference product</t>
        </is>
      </c>
    </row>
    <row r="981">
      <c r="A981" t="inlineStr">
        <is>
          <t>electricity production, at hard coal-fired power plant, post, pipeline 200km, storage 1000m</t>
        </is>
      </c>
      <c r="B981" t="n">
        <v>1</v>
      </c>
      <c r="C981" t="inlineStr">
        <is>
          <t>RER</t>
        </is>
      </c>
      <c r="D981" t="inlineStr">
        <is>
          <t>kilowatt hour</t>
        </is>
      </c>
      <c r="E981" t="inlineStr">
        <is>
          <t>CCS Europe 2025::Hard coal</t>
        </is>
      </c>
      <c r="F981" t="inlineStr">
        <is>
          <t>production</t>
        </is>
      </c>
      <c r="I981" t="n">
        <v>100</v>
      </c>
      <c r="K981" t="inlineStr">
        <is>
          <t>electricity production, at hard coal-fired power plant, post, pipeline 200km, storage 1000m U</t>
        </is>
      </c>
    </row>
    <row r="982">
      <c r="A982" t="inlineStr">
        <is>
          <t>Antimony</t>
        </is>
      </c>
      <c r="B982" t="n">
        <v>6.77295e-10</v>
      </c>
      <c r="D982" t="inlineStr">
        <is>
          <t>kilogram</t>
        </is>
      </c>
      <c r="E982" t="inlineStr">
        <is>
          <t>air::non-urban air or from high stacks</t>
        </is>
      </c>
      <c r="F982" t="inlineStr">
        <is>
          <t>biosphere</t>
        </is>
      </c>
      <c r="G982" t="n">
        <v>0</v>
      </c>
      <c r="H982" t="n">
        <v>-23.17087670199071</v>
      </c>
      <c r="I982" t="n">
        <v>0.8347959176269237</v>
      </c>
      <c r="K982" t="inlineStr">
        <is>
          <t>(5,1,1,1,1,5); calculated from trace element balance, input uncertain</t>
        </is>
      </c>
      <c r="L982" t="n">
        <v>0</v>
      </c>
    </row>
    <row r="983">
      <c r="A983" t="inlineStr">
        <is>
          <t>Arsenic</t>
        </is>
      </c>
      <c r="B983" t="n">
        <v>1.01007e-08</v>
      </c>
      <c r="D983" t="inlineStr">
        <is>
          <t>kilogram</t>
        </is>
      </c>
      <c r="E983" t="inlineStr">
        <is>
          <t>air::non-urban air or from high stacks</t>
        </is>
      </c>
      <c r="F983" t="inlineStr">
        <is>
          <t>biosphere</t>
        </is>
      </c>
      <c r="G983" t="n">
        <v>0</v>
      </c>
      <c r="H983" t="n">
        <v>-20.46862361857283</v>
      </c>
      <c r="I983" t="n">
        <v>0.8347959176269237</v>
      </c>
      <c r="K983" t="inlineStr">
        <is>
          <t>(5,1,1,1,1,5); calculated from trace element balance, input uncertain</t>
        </is>
      </c>
      <c r="L983" t="n">
        <v>0</v>
      </c>
    </row>
    <row r="984">
      <c r="A984" t="inlineStr">
        <is>
          <t>Barium</t>
        </is>
      </c>
      <c r="B984" t="n">
        <v>4.47093e-08</v>
      </c>
      <c r="D984" t="inlineStr">
        <is>
          <t>kilogram</t>
        </is>
      </c>
      <c r="E984" t="inlineStr">
        <is>
          <t>air::non-urban air or from high stacks</t>
        </is>
      </c>
      <c r="F984" t="inlineStr">
        <is>
          <t>biosphere</t>
        </is>
      </c>
      <c r="G984" t="n">
        <v>0</v>
      </c>
      <c r="H984" t="n">
        <v>-18.98104681327849</v>
      </c>
      <c r="I984" t="n">
        <v>0.8347959176269237</v>
      </c>
      <c r="K984" t="inlineStr">
        <is>
          <t>(5,1,1,1,1,5); calculated from trace element balance, input uncertain</t>
        </is>
      </c>
      <c r="L984" t="n">
        <v>0</v>
      </c>
    </row>
    <row r="985">
      <c r="A985" t="inlineStr">
        <is>
          <t>Benzene</t>
        </is>
      </c>
      <c r="B985" t="n">
        <v>1.69911e-06</v>
      </c>
      <c r="D985" t="inlineStr">
        <is>
          <t>kilogram</t>
        </is>
      </c>
      <c r="E985" t="inlineStr">
        <is>
          <t>air::non-urban air or from high stacks</t>
        </is>
      </c>
      <c r="F985" t="inlineStr">
        <is>
          <t>biosphere</t>
        </is>
      </c>
      <c r="G985" t="n">
        <v>0</v>
      </c>
      <c r="H985" t="n">
        <v>-15.34336848340595</v>
      </c>
      <c r="I985" t="n">
        <v>0.2503876439562446</v>
      </c>
      <c r="K985" t="inlineStr">
        <is>
          <t>(3,5,3,2,1,5); based on available literature</t>
        </is>
      </c>
      <c r="L985" t="n">
        <v>0</v>
      </c>
    </row>
    <row r="986">
      <c r="A986" t="inlineStr">
        <is>
          <t>Benzo(a)pyrene</t>
        </is>
      </c>
      <c r="B986" t="n">
        <v>1.566e-12</v>
      </c>
      <c r="D986" t="inlineStr">
        <is>
          <t>kilogram</t>
        </is>
      </c>
      <c r="E986" t="inlineStr">
        <is>
          <t>air::non-urban air or from high stacks</t>
        </is>
      </c>
      <c r="F986" t="inlineStr">
        <is>
          <t>biosphere</t>
        </is>
      </c>
      <c r="G986" t="n">
        <v>0</v>
      </c>
      <c r="H986" t="n">
        <v>-29.24045902836265</v>
      </c>
      <c r="I986" t="n">
        <v>0.2503876439562446</v>
      </c>
      <c r="K986" t="inlineStr">
        <is>
          <t>(3,5,3,2,1,5); based on available literature</t>
        </is>
      </c>
      <c r="L986" t="n">
        <v>0</v>
      </c>
    </row>
    <row r="987">
      <c r="A987" t="inlineStr">
        <is>
          <t>Boron</t>
        </is>
      </c>
      <c r="B987" t="n">
        <v>9.630900000000001e-07</v>
      </c>
      <c r="D987" t="inlineStr">
        <is>
          <t>kilogram</t>
        </is>
      </c>
      <c r="E987" t="inlineStr">
        <is>
          <t>air::non-urban air or from high stacks</t>
        </is>
      </c>
      <c r="F987" t="inlineStr">
        <is>
          <t>biosphere</t>
        </is>
      </c>
      <c r="G987" t="n">
        <v>0</v>
      </c>
      <c r="H987" t="n">
        <v>-15.91108148157399</v>
      </c>
      <c r="I987" t="n">
        <v>0.8347959176269237</v>
      </c>
      <c r="K987" t="inlineStr">
        <is>
          <t>(5,1,1,1,1,5); calculated from trace element balance, input uncertain</t>
        </is>
      </c>
      <c r="L987" t="n">
        <v>0</v>
      </c>
    </row>
    <row r="988">
      <c r="A988" t="inlineStr">
        <is>
          <t>Bromine</t>
        </is>
      </c>
      <c r="B988" t="n">
        <v>4.97988e-07</v>
      </c>
      <c r="D988" t="inlineStr">
        <is>
          <t>kilogram</t>
        </is>
      </c>
      <c r="E988" t="inlineStr">
        <is>
          <t>air::non-urban air or from high stacks</t>
        </is>
      </c>
      <c r="F988" t="inlineStr">
        <is>
          <t>biosphere</t>
        </is>
      </c>
      <c r="G988" t="n">
        <v>0</v>
      </c>
      <c r="H988" t="n">
        <v>-16.57065236660033</v>
      </c>
      <c r="I988" t="n">
        <v>0.4120877214831748</v>
      </c>
      <c r="K988" t="inlineStr">
        <is>
          <t>(5,1,1,1,1,5); calculated from trace element balance, input uncertain</t>
        </is>
      </c>
      <c r="L988" t="n">
        <v>0</v>
      </c>
    </row>
    <row r="989">
      <c r="A989" t="inlineStr">
        <is>
          <t>Butane</t>
        </is>
      </c>
      <c r="B989" t="n">
        <v>1.4877e-07</v>
      </c>
      <c r="D989" t="inlineStr">
        <is>
          <t>kilogram</t>
        </is>
      </c>
      <c r="E989" t="inlineStr">
        <is>
          <t>air::non-urban air or from high stacks</t>
        </is>
      </c>
      <c r="F989" t="inlineStr">
        <is>
          <t>biosphere</t>
        </is>
      </c>
      <c r="G989" t="n">
        <v>0</v>
      </c>
      <c r="H989" t="n">
        <v>-17.77882685777997</v>
      </c>
      <c r="I989" t="n">
        <v>0.2503876439562446</v>
      </c>
      <c r="K989" t="inlineStr">
        <is>
          <t>(3,5,3,2,1,5); based on available literature</t>
        </is>
      </c>
      <c r="L989" t="n">
        <v>0</v>
      </c>
    </row>
    <row r="990">
      <c r="A990" t="inlineStr">
        <is>
          <t>Cadmium</t>
        </is>
      </c>
      <c r="B990" t="n">
        <v>4.51008e-10</v>
      </c>
      <c r="D990" t="inlineStr">
        <is>
          <t>kilogram</t>
        </is>
      </c>
      <c r="E990" t="inlineStr">
        <is>
          <t>air::non-urban air or from high stacks</t>
        </is>
      </c>
      <c r="F990" t="inlineStr">
        <is>
          <t>biosphere</t>
        </is>
      </c>
      <c r="G990" t="n">
        <v>0</v>
      </c>
      <c r="H990" t="n">
        <v>-23.5774985482267</v>
      </c>
      <c r="I990" t="n">
        <v>0.8347959176269237</v>
      </c>
      <c r="K990" t="inlineStr">
        <is>
          <t>(5,1,1,1,1,5); calculated from trace element balance, input uncertain</t>
        </is>
      </c>
      <c r="L990" t="n">
        <v>0</v>
      </c>
    </row>
    <row r="991">
      <c r="A991" t="inlineStr">
        <is>
          <t>Carbon dioxide, fossil</t>
        </is>
      </c>
      <c r="B991">
        <f>0.098*26.4*B1045*0.1</f>
        <v>0.098</v>
      </c>
      <c r="D991" t="inlineStr">
        <is>
          <t>kilogram</t>
        </is>
      </c>
      <c r="E991" t="inlineStr">
        <is>
          <t>air::non-urban air or from high stacks</t>
        </is>
      </c>
      <c r="F991" t="inlineStr">
        <is>
          <t>biosphere</t>
        </is>
      </c>
      <c r="G991" t="n">
        <v>0</v>
      </c>
      <c r="H991" t="n">
        <v>-4.686380241413635</v>
      </c>
      <c r="I991" t="n">
        <v>0.05218000766212133</v>
      </c>
      <c r="K991" t="inlineStr">
        <is>
          <t>90% capture rate</t>
        </is>
      </c>
      <c r="L991" t="n">
        <v>0</v>
      </c>
    </row>
    <row r="992">
      <c r="A992" t="inlineStr">
        <is>
          <t>Carbon monoxide, fossil</t>
        </is>
      </c>
      <c r="B992" t="n">
        <v>6.264e-05</v>
      </c>
      <c r="D992" t="inlineStr">
        <is>
          <t>kilogram</t>
        </is>
      </c>
      <c r="E992" t="inlineStr">
        <is>
          <t>air::non-urban air or from high stacks</t>
        </is>
      </c>
      <c r="F992" t="inlineStr">
        <is>
          <t>biosphere</t>
        </is>
      </c>
      <c r="G992" t="n">
        <v>0</v>
      </c>
      <c r="H992" t="n">
        <v>-11.73606901628444</v>
      </c>
      <c r="I992" t="n">
        <v>0.8136389152812157</v>
      </c>
      <c r="K992" t="inlineStr">
        <is>
          <t>(3,4,3,2,1,5); based on available literature</t>
        </is>
      </c>
      <c r="L992" t="n">
        <v>0</v>
      </c>
    </row>
    <row r="993">
      <c r="A993" t="inlineStr">
        <is>
          <t>Chromium</t>
        </is>
      </c>
      <c r="B993" t="n">
        <v>5.13648e-09</v>
      </c>
      <c r="D993" t="inlineStr">
        <is>
          <t>kilogram</t>
        </is>
      </c>
      <c r="E993" t="inlineStr">
        <is>
          <t>air::non-urban air or from high stacks</t>
        </is>
      </c>
      <c r="F993" t="inlineStr">
        <is>
          <t>biosphere</t>
        </is>
      </c>
      <c r="G993" t="n">
        <v>0</v>
      </c>
      <c r="H993" t="n">
        <v>-21.14486032698446</v>
      </c>
      <c r="I993" t="n">
        <v>0.8347959176269237</v>
      </c>
      <c r="K993" t="inlineStr">
        <is>
          <t>(5,1,1,1,1,5); calculated from trace element balance, input uncertain</t>
        </is>
      </c>
      <c r="L993" t="n">
        <v>0</v>
      </c>
    </row>
    <row r="994">
      <c r="A994" t="inlineStr">
        <is>
          <t>Chromium VI</t>
        </is>
      </c>
      <c r="B994" t="n">
        <v>6.35013e-10</v>
      </c>
      <c r="D994" t="inlineStr">
        <is>
          <t>kilogram</t>
        </is>
      </c>
      <c r="E994" t="inlineStr">
        <is>
          <t>air::non-urban air or from high stacks</t>
        </is>
      </c>
      <c r="F994" t="inlineStr">
        <is>
          <t>biosphere</t>
        </is>
      </c>
      <c r="G994" t="n">
        <v>0</v>
      </c>
      <c r="H994" t="n">
        <v>-23.23533815480718</v>
      </c>
      <c r="I994" t="n">
        <v>0.6931471805599453</v>
      </c>
      <c r="K994" t="inlineStr">
        <is>
          <t>based on range of data</t>
        </is>
      </c>
      <c r="L994" t="n">
        <v>0</v>
      </c>
    </row>
    <row r="995">
      <c r="A995" t="inlineStr">
        <is>
          <t>Cobalt</t>
        </is>
      </c>
      <c r="B995" t="n">
        <v>2.55258e-09</v>
      </c>
      <c r="D995" t="inlineStr">
        <is>
          <t>kilogram</t>
        </is>
      </c>
      <c r="E995" t="inlineStr">
        <is>
          <t>air::non-urban air or from high stacks</t>
        </is>
      </c>
      <c r="F995" t="inlineStr">
        <is>
          <t>biosphere</t>
        </is>
      </c>
      <c r="G995" t="n">
        <v>0</v>
      </c>
      <c r="H995" t="n">
        <v>-21.84412373456184</v>
      </c>
      <c r="I995" t="n">
        <v>0.8347959176269237</v>
      </c>
      <c r="K995" t="inlineStr">
        <is>
          <t>(5,1,1,1,1,5); calculated from trace element balance, input uncertain</t>
        </is>
      </c>
      <c r="L995" t="n">
        <v>0</v>
      </c>
    </row>
    <row r="996">
      <c r="A996" t="inlineStr">
        <is>
          <t>Copper</t>
        </is>
      </c>
      <c r="B996" t="n">
        <v>1.29195e-08</v>
      </c>
      <c r="D996" t="inlineStr">
        <is>
          <t>kilogram</t>
        </is>
      </c>
      <c r="E996" t="inlineStr">
        <is>
          <t>air::non-urban air or from high stacks</t>
        </is>
      </c>
      <c r="F996" t="inlineStr">
        <is>
          <t>biosphere</t>
        </is>
      </c>
      <c r="G996" t="n">
        <v>0</v>
      </c>
      <c r="H996" t="n">
        <v>-20.22249054903392</v>
      </c>
      <c r="I996" t="n">
        <v>0.8347959176269237</v>
      </c>
      <c r="K996" t="inlineStr">
        <is>
          <t>(5,1,1,1,1,5); calculated from trace element balance, input uncertain</t>
        </is>
      </c>
      <c r="L996" t="n">
        <v>0</v>
      </c>
    </row>
    <row r="997">
      <c r="A997" t="inlineStr">
        <is>
          <t>Dinitrogen monoxide</t>
        </is>
      </c>
      <c r="B997" t="n">
        <v>3.10851e-05</v>
      </c>
      <c r="D997" t="inlineStr">
        <is>
          <t>kilogram</t>
        </is>
      </c>
      <c r="E997" t="inlineStr">
        <is>
          <t>air::non-urban air or from high stacks</t>
        </is>
      </c>
      <c r="F997" t="inlineStr">
        <is>
          <t>biosphere</t>
        </is>
      </c>
      <c r="G997" t="n">
        <v>0</v>
      </c>
      <c r="H997" t="n">
        <v>-12.43674446326517</v>
      </c>
      <c r="I997" t="n">
        <v>0.2381170894981859</v>
      </c>
      <c r="K997" t="inlineStr">
        <is>
          <t>(3,4,3,2,1,5); based on available literature</t>
        </is>
      </c>
      <c r="L997" t="n">
        <v>0</v>
      </c>
    </row>
    <row r="998">
      <c r="A998" t="inlineStr">
        <is>
          <t>Dioxins, measured as 2,3,7,8-tetrachlorodibenzo-p-dioxin</t>
        </is>
      </c>
      <c r="B998" t="n">
        <v>5.481e-14</v>
      </c>
      <c r="D998" t="inlineStr">
        <is>
          <t>kilogram</t>
        </is>
      </c>
      <c r="E998" t="inlineStr">
        <is>
          <t>air::non-urban air or from high stacks</t>
        </is>
      </c>
      <c r="F998" t="inlineStr">
        <is>
          <t>biosphere</t>
        </is>
      </c>
      <c r="G998" t="n">
        <v>0</v>
      </c>
      <c r="H998" t="n">
        <v>-32.59286624585537</v>
      </c>
      <c r="I998" t="n">
        <v>0.5689165009106955</v>
      </c>
      <c r="K998" t="inlineStr">
        <is>
          <t>(3,5,3,2,1,5); based on available literature</t>
        </is>
      </c>
      <c r="L998" t="n">
        <v>0</v>
      </c>
    </row>
    <row r="999">
      <c r="A999" t="inlineStr">
        <is>
          <t>Ethane</t>
        </is>
      </c>
      <c r="B999" t="n">
        <v>3.2103e-07</v>
      </c>
      <c r="D999" t="inlineStr">
        <is>
          <t>kilogram</t>
        </is>
      </c>
      <c r="E999" t="inlineStr">
        <is>
          <t>air::non-urban air or from high stacks</t>
        </is>
      </c>
      <c r="F999" t="inlineStr">
        <is>
          <t>biosphere</t>
        </is>
      </c>
      <c r="G999" t="n">
        <v>0</v>
      </c>
      <c r="H999" t="n">
        <v>-17.0096937702421</v>
      </c>
      <c r="I999" t="n">
        <v>0.2503876439562446</v>
      </c>
      <c r="K999" t="inlineStr">
        <is>
          <t>(3,5,3,2,1,5); based on available literature</t>
        </is>
      </c>
      <c r="L999" t="n">
        <v>0</v>
      </c>
    </row>
    <row r="1000">
      <c r="A1000" t="inlineStr">
        <is>
          <t>Formaldehyde</t>
        </is>
      </c>
      <c r="B1000" t="n">
        <v>4.5414e-07</v>
      </c>
      <c r="D1000" t="inlineStr">
        <is>
          <t>kilogram</t>
        </is>
      </c>
      <c r="E1000" t="inlineStr">
        <is>
          <t>air::non-urban air or from high stacks</t>
        </is>
      </c>
      <c r="F1000" t="inlineStr">
        <is>
          <t>biosphere</t>
        </is>
      </c>
      <c r="G1000" t="n">
        <v>0</v>
      </c>
      <c r="H1000" t="n">
        <v>-16.66282282639999</v>
      </c>
      <c r="I1000" t="n">
        <v>0.2503876439562446</v>
      </c>
      <c r="K1000" t="inlineStr">
        <is>
          <t>(3,5,3,2,1,5); based on available literature</t>
        </is>
      </c>
      <c r="L1000" t="n">
        <v>0</v>
      </c>
    </row>
    <row r="1001">
      <c r="A1001" t="inlineStr">
        <is>
          <t>Heat, waste</t>
        </is>
      </c>
      <c r="B1001" t="n">
        <v>4.28301</v>
      </c>
      <c r="D1001" t="inlineStr">
        <is>
          <t>megajoule</t>
        </is>
      </c>
      <c r="E1001" t="inlineStr">
        <is>
          <t>air::non-urban air or from high stacks</t>
        </is>
      </c>
      <c r="F1001" t="inlineStr">
        <is>
          <t>biosphere</t>
        </is>
      </c>
      <c r="G1001" t="n">
        <v>0</v>
      </c>
      <c r="H1001" t="n">
        <v>-0.6033064765601558</v>
      </c>
      <c r="I1001" t="n">
        <v>0.0338293242369074</v>
      </c>
      <c r="K1001" t="inlineStr">
        <is>
          <t>(2,1,1,1,1,1); calculated from energy balance</t>
        </is>
      </c>
      <c r="L1001" t="n">
        <v>0</v>
      </c>
    </row>
    <row r="1002">
      <c r="A1002" t="inlineStr">
        <is>
          <t>Heat, waste</t>
        </is>
      </c>
      <c r="B1002" t="n">
        <v>1.12752</v>
      </c>
      <c r="D1002" t="inlineStr">
        <is>
          <t>megajoule</t>
        </is>
      </c>
      <c r="E1002" t="inlineStr">
        <is>
          <t>water::surface water</t>
        </is>
      </c>
      <c r="F1002" t="inlineStr">
        <is>
          <t>biosphere</t>
        </is>
      </c>
      <c r="G1002" t="n">
        <v>0</v>
      </c>
      <c r="H1002" t="n">
        <v>-1.937941979406137</v>
      </c>
      <c r="I1002" t="n">
        <v>0.0338293242369074</v>
      </c>
      <c r="K1002" t="inlineStr">
        <is>
          <t>(2,1,1,1,1,1); calculated from energy balance</t>
        </is>
      </c>
      <c r="L1002" t="n">
        <v>0</v>
      </c>
    </row>
    <row r="1003">
      <c r="A1003" t="inlineStr">
        <is>
          <t>Hydrocarbons, aliphatic, alkanes, unspecified</t>
        </is>
      </c>
      <c r="B1003" t="n">
        <v>1.71477e-06</v>
      </c>
      <c r="D1003" t="inlineStr">
        <is>
          <t>kilogram</t>
        </is>
      </c>
      <c r="E1003" t="inlineStr">
        <is>
          <t>air::non-urban air or from high stacks</t>
        </is>
      </c>
      <c r="F1003" t="inlineStr">
        <is>
          <t>biosphere</t>
        </is>
      </c>
      <c r="G1003" t="n">
        <v>0</v>
      </c>
      <c r="H1003" t="n">
        <v>-15.33419410712991</v>
      </c>
      <c r="I1003" t="n">
        <v>0.2503876439562446</v>
      </c>
      <c r="K1003" t="inlineStr">
        <is>
          <t>(3,5,3,2,1,5); based on available literature</t>
        </is>
      </c>
      <c r="L1003" t="n">
        <v>0</v>
      </c>
    </row>
    <row r="1004">
      <c r="A1004" t="inlineStr">
        <is>
          <t>Hydrocarbons, aliphatic, unsaturated</t>
        </is>
      </c>
      <c r="B1004" t="n">
        <v>1.69128e-06</v>
      </c>
      <c r="D1004" t="inlineStr">
        <is>
          <t>kilogram</t>
        </is>
      </c>
      <c r="E1004" t="inlineStr">
        <is>
          <t>air::non-urban air or from high stacks</t>
        </is>
      </c>
      <c r="F1004" t="inlineStr">
        <is>
          <t>biosphere</t>
        </is>
      </c>
      <c r="G1004" t="n">
        <v>0</v>
      </c>
      <c r="H1004" t="n">
        <v>-15.34798742926225</v>
      </c>
      <c r="I1004" t="n">
        <v>0.2503876439562446</v>
      </c>
      <c r="K1004" t="inlineStr">
        <is>
          <t>(3,5,3,2,1,5); based on available literature</t>
        </is>
      </c>
      <c r="L1004" t="n">
        <v>0</v>
      </c>
    </row>
    <row r="1005">
      <c r="A1005" t="inlineStr">
        <is>
          <t>Hydrogen chloride</t>
        </is>
      </c>
      <c r="B1005" t="n">
        <v>1.62864e-05</v>
      </c>
      <c r="D1005" t="inlineStr">
        <is>
          <t>kilogram</t>
        </is>
      </c>
      <c r="E1005" t="inlineStr">
        <is>
          <t>air::non-urban air or from high stacks</t>
        </is>
      </c>
      <c r="F1005" t="inlineStr">
        <is>
          <t>biosphere</t>
        </is>
      </c>
      <c r="G1005" t="n">
        <v>0</v>
      </c>
      <c r="H1005" t="n">
        <v>-13.08314266425105</v>
      </c>
      <c r="I1005" t="n">
        <v>0.4120877214831748</v>
      </c>
      <c r="K1005" t="inlineStr">
        <is>
          <t>(5,1,1,1,1,5); calculated from trace element balance, input uncertain</t>
        </is>
      </c>
      <c r="L1005" t="n">
        <v>0</v>
      </c>
    </row>
    <row r="1006">
      <c r="A1006" t="inlineStr">
        <is>
          <t>Hydrogen fluoride</t>
        </is>
      </c>
      <c r="B1006" t="n">
        <v>1.0179e-05</v>
      </c>
      <c r="D1006" t="inlineStr">
        <is>
          <t>kilogram</t>
        </is>
      </c>
      <c r="E1006" t="inlineStr">
        <is>
          <t>air::non-urban air or from high stacks</t>
        </is>
      </c>
      <c r="F1006" t="inlineStr">
        <is>
          <t>biosphere</t>
        </is>
      </c>
      <c r="G1006" t="n">
        <v>0</v>
      </c>
      <c r="H1006" t="n">
        <v>-13.55314629349678</v>
      </c>
      <c r="I1006" t="n">
        <v>0.4120877214831748</v>
      </c>
      <c r="K1006" t="inlineStr">
        <is>
          <t>(5,1,1,1,1,5); calculated from trace element balance, input uncertain</t>
        </is>
      </c>
      <c r="L1006" t="n">
        <v>0</v>
      </c>
    </row>
    <row r="1007">
      <c r="A1007" t="inlineStr">
        <is>
          <t>Iodine</t>
        </is>
      </c>
      <c r="B1007" t="n">
        <v>1.85571e-07</v>
      </c>
      <c r="D1007" t="inlineStr">
        <is>
          <t>kilogram</t>
        </is>
      </c>
      <c r="E1007" t="inlineStr">
        <is>
          <t>air::non-urban air or from high stacks</t>
        </is>
      </c>
      <c r="F1007" t="inlineStr">
        <is>
          <t>biosphere</t>
        </is>
      </c>
      <c r="G1007" t="n">
        <v>0</v>
      </c>
      <c r="H1007" t="n">
        <v>-17.55779078880532</v>
      </c>
      <c r="I1007" t="n">
        <v>0.4120877214831748</v>
      </c>
      <c r="K1007" t="inlineStr">
        <is>
          <t>(5,1,1,1,1,5); calculated from trace element balance, input uncertain</t>
        </is>
      </c>
      <c r="L1007" t="n">
        <v>0</v>
      </c>
    </row>
    <row r="1008">
      <c r="A1008" t="inlineStr">
        <is>
          <t>Lead</t>
        </is>
      </c>
      <c r="B1008" t="n">
        <v>4.32999e-08</v>
      </c>
      <c r="D1008" t="inlineStr">
        <is>
          <t>kilogram</t>
        </is>
      </c>
      <c r="E1008" t="inlineStr">
        <is>
          <t>air::non-urban air or from high stacks</t>
        </is>
      </c>
      <c r="F1008" t="inlineStr">
        <is>
          <t>biosphere</t>
        </is>
      </c>
      <c r="G1008" t="n">
        <v>0</v>
      </c>
      <c r="H1008" t="n">
        <v>-19.01307802141217</v>
      </c>
      <c r="I1008" t="n">
        <v>0.8347959176269237</v>
      </c>
      <c r="K1008" t="inlineStr">
        <is>
          <t>(5,1,1,1,1,5); calculated from trace element balance, input uncertain</t>
        </is>
      </c>
      <c r="L1008" t="n">
        <v>0</v>
      </c>
    </row>
    <row r="1009">
      <c r="A1009" t="inlineStr">
        <is>
          <t>Lead-210</t>
        </is>
      </c>
      <c r="B1009" t="n">
        <v>1.26063e-05</v>
      </c>
      <c r="D1009" t="inlineStr">
        <is>
          <t>kilo Becquerel</t>
        </is>
      </c>
      <c r="E1009" t="inlineStr">
        <is>
          <t>air::non-urban air or from high stacks</t>
        </is>
      </c>
      <c r="F1009" t="inlineStr">
        <is>
          <t>biosphere</t>
        </is>
      </c>
      <c r="G1009" t="n">
        <v>0</v>
      </c>
      <c r="H1009" t="n">
        <v>-13.3392763789679</v>
      </c>
      <c r="I1009" t="n">
        <v>0.592394992454581</v>
      </c>
      <c r="K1009" t="inlineStr">
        <is>
          <t>(5,1,1,1,1,5); calculated from trace element balance, input uncertain</t>
        </is>
      </c>
      <c r="L1009" t="n">
        <v>0</v>
      </c>
    </row>
    <row r="1010">
      <c r="A1010" t="inlineStr">
        <is>
          <t>Manganese</t>
        </is>
      </c>
      <c r="B1010" t="n">
        <v>9.552599999999999e-09</v>
      </c>
      <c r="D1010" t="inlineStr">
        <is>
          <t>kilogram</t>
        </is>
      </c>
      <c r="E1010" t="inlineStr">
        <is>
          <t>air::non-urban air or from high stacks</t>
        </is>
      </c>
      <c r="F1010" t="inlineStr">
        <is>
          <t>biosphere</t>
        </is>
      </c>
      <c r="G1010" t="n">
        <v>0</v>
      </c>
      <c r="H1010" t="n">
        <v>-20.52441497820125</v>
      </c>
      <c r="I1010" t="n">
        <v>0.8347959176269237</v>
      </c>
      <c r="K1010" t="inlineStr">
        <is>
          <t>(5,1,1,1,1,5); calculated from trace element balance, input uncertain</t>
        </is>
      </c>
      <c r="L1010" t="n">
        <v>0</v>
      </c>
    </row>
    <row r="1011">
      <c r="A1011" t="inlineStr">
        <is>
          <t>Mercury</t>
        </is>
      </c>
      <c r="B1011" t="n">
        <v>3.2103e-08</v>
      </c>
      <c r="D1011" t="inlineStr">
        <is>
          <t>kilogram</t>
        </is>
      </c>
      <c r="E1011" t="inlineStr">
        <is>
          <t>air::non-urban air or from high stacks</t>
        </is>
      </c>
      <c r="F1011" t="inlineStr">
        <is>
          <t>biosphere</t>
        </is>
      </c>
      <c r="G1011" t="n">
        <v>0</v>
      </c>
      <c r="H1011" t="n">
        <v>-19.31227886323615</v>
      </c>
      <c r="I1011" t="n">
        <v>0.8347959176269237</v>
      </c>
      <c r="K1011" t="inlineStr">
        <is>
          <t>(5,1,1,1,1,5); calculated from trace element balance, input uncertain</t>
        </is>
      </c>
      <c r="L1011" t="n">
        <v>0</v>
      </c>
    </row>
    <row r="1012">
      <c r="A1012" t="inlineStr">
        <is>
          <t>Methane, fossil</t>
        </is>
      </c>
      <c r="B1012" t="n">
        <v>7.83e-06</v>
      </c>
      <c r="D1012" t="inlineStr">
        <is>
          <t>kilogram</t>
        </is>
      </c>
      <c r="E1012" t="inlineStr">
        <is>
          <t>air::non-urban air or from high stacks</t>
        </is>
      </c>
      <c r="F1012" t="inlineStr">
        <is>
          <t>biosphere</t>
        </is>
      </c>
      <c r="G1012" t="n">
        <v>0</v>
      </c>
      <c r="H1012" t="n">
        <v>-13.81551055796427</v>
      </c>
      <c r="I1012" t="n">
        <v>0.2381170894981859</v>
      </c>
      <c r="K1012" t="inlineStr">
        <is>
          <t>(3,4,3,2,1,5); based on available literature</t>
        </is>
      </c>
      <c r="L1012" t="n">
        <v>0</v>
      </c>
    </row>
    <row r="1013">
      <c r="A1013" t="inlineStr">
        <is>
          <t>Molybdenum</t>
        </is>
      </c>
      <c r="B1013" t="n">
        <v>2.83446e-09</v>
      </c>
      <c r="D1013" t="inlineStr">
        <is>
          <t>kilogram</t>
        </is>
      </c>
      <c r="E1013" t="inlineStr">
        <is>
          <t>air::non-urban air or from high stacks</t>
        </is>
      </c>
      <c r="F1013" t="inlineStr">
        <is>
          <t>biosphere</t>
        </is>
      </c>
      <c r="G1013" t="n">
        <v>0</v>
      </c>
      <c r="H1013" t="n">
        <v>-21.73937690410278</v>
      </c>
      <c r="I1013" t="n">
        <v>0.8347959176269237</v>
      </c>
      <c r="K1013" t="inlineStr">
        <is>
          <t>(5,1,1,1,1,5); calculated from trace element balance, input uncertain</t>
        </is>
      </c>
      <c r="L1013" t="n">
        <v>0</v>
      </c>
    </row>
    <row r="1014">
      <c r="A1014" t="inlineStr">
        <is>
          <t>Nickel</t>
        </is>
      </c>
      <c r="B1014" t="n">
        <v>1.94967e-08</v>
      </c>
      <c r="D1014" t="inlineStr">
        <is>
          <t>kilogram</t>
        </is>
      </c>
      <c r="E1014" t="inlineStr">
        <is>
          <t>air::non-urban air or from high stacks</t>
        </is>
      </c>
      <c r="F1014" t="inlineStr">
        <is>
          <t>biosphere</t>
        </is>
      </c>
      <c r="G1014" t="n">
        <v>0</v>
      </c>
      <c r="H1014" t="n">
        <v>-19.8109831264698</v>
      </c>
      <c r="I1014" t="n">
        <v>0.8347959176269237</v>
      </c>
      <c r="K1014" t="inlineStr">
        <is>
          <t>(5,1,1,1,1,5); calculated from trace element balance, input uncertain</t>
        </is>
      </c>
      <c r="L1014" t="n">
        <v>0</v>
      </c>
    </row>
    <row r="1015">
      <c r="A1015" t="inlineStr">
        <is>
          <t>Nitrogen oxides</t>
        </is>
      </c>
      <c r="B1015" t="n">
        <v>0.000118233</v>
      </c>
      <c r="D1015" t="inlineStr">
        <is>
          <t>kilogram</t>
        </is>
      </c>
      <c r="E1015" t="inlineStr">
        <is>
          <t>air::non-urban air or from high stacks</t>
        </is>
      </c>
      <c r="F1015" t="inlineStr">
        <is>
          <t>biosphere</t>
        </is>
      </c>
      <c r="G1015" t="n">
        <v>0</v>
      </c>
      <c r="H1015" t="n">
        <v>-11.1008158141434</v>
      </c>
      <c r="I1015" t="n">
        <v>0.2093551674290925</v>
      </c>
      <c r="K1015" t="inlineStr">
        <is>
          <t>additional reduction: 2.5%</t>
        </is>
      </c>
      <c r="L1015" t="n">
        <v>0</v>
      </c>
    </row>
    <row r="1016">
      <c r="A1016" t="inlineStr">
        <is>
          <t>PAH, polycyclic aromatic hydrocarbons</t>
        </is>
      </c>
      <c r="B1016" t="n">
        <v>7.830000000000001e-09</v>
      </c>
      <c r="D1016" t="inlineStr">
        <is>
          <t>kilogram</t>
        </is>
      </c>
      <c r="E1016" t="inlineStr">
        <is>
          <t>air::non-urban air or from high stacks</t>
        </is>
      </c>
      <c r="F1016" t="inlineStr">
        <is>
          <t>biosphere</t>
        </is>
      </c>
      <c r="G1016" t="n">
        <v>0</v>
      </c>
      <c r="H1016" t="n">
        <v>-20.72326583694641</v>
      </c>
      <c r="I1016" t="n">
        <v>0.5689165009106955</v>
      </c>
      <c r="K1016" t="inlineStr">
        <is>
          <t>(3,5,3,2,1,5); based on available literature</t>
        </is>
      </c>
      <c r="L1016" t="n">
        <v>0</v>
      </c>
    </row>
    <row r="1017">
      <c r="A1017" t="inlineStr">
        <is>
          <t>Particulates, &lt; 2.5 um</t>
        </is>
      </c>
      <c r="B1017" t="n">
        <v>1.76175e-07</v>
      </c>
      <c r="D1017" t="inlineStr">
        <is>
          <t>kilogram</t>
        </is>
      </c>
      <c r="E1017" t="inlineStr">
        <is>
          <t>air::non-urban air or from high stacks</t>
        </is>
      </c>
      <c r="F1017" t="inlineStr">
        <is>
          <t>biosphere</t>
        </is>
      </c>
      <c r="G1017" t="n">
        <v>0</v>
      </c>
      <c r="H1017" t="n">
        <v>-17.60975052773604</v>
      </c>
      <c r="I1017" t="n">
        <v>0.592394992454581</v>
      </c>
      <c r="K1017" t="inlineStr">
        <is>
          <t>additional reduction: 50%</t>
        </is>
      </c>
      <c r="L1017" t="n">
        <v>0</v>
      </c>
    </row>
    <row r="1018">
      <c r="A1018" t="inlineStr">
        <is>
          <t>Particulates, &gt; 10 um</t>
        </is>
      </c>
      <c r="B1018" t="n">
        <v>1.03356e-08</v>
      </c>
      <c r="D1018" t="inlineStr">
        <is>
          <t>kilogram</t>
        </is>
      </c>
      <c r="E1018" t="inlineStr">
        <is>
          <t>air::non-urban air or from high stacks</t>
        </is>
      </c>
      <c r="F1018" t="inlineStr">
        <is>
          <t>biosphere</t>
        </is>
      </c>
      <c r="G1018" t="n">
        <v>0</v>
      </c>
      <c r="H1018" t="n">
        <v>-20.44563410034813</v>
      </c>
      <c r="I1018" t="n">
        <v>0.3021579834266649</v>
      </c>
      <c r="K1018" t="inlineStr">
        <is>
          <t>additional reduction: 50%</t>
        </is>
      </c>
      <c r="L1018" t="n">
        <v>0</v>
      </c>
    </row>
    <row r="1019">
      <c r="A1019" t="inlineStr">
        <is>
          <t>Particulates, &gt; 2.5 um, and &lt; 10um</t>
        </is>
      </c>
      <c r="B1019" t="n">
        <v>2.07495e-08</v>
      </c>
      <c r="D1019" t="inlineStr">
        <is>
          <t>kilogram</t>
        </is>
      </c>
      <c r="E1019" t="inlineStr">
        <is>
          <t>air::non-urban air or from high stacks</t>
        </is>
      </c>
      <c r="F1019" t="inlineStr">
        <is>
          <t>biosphere</t>
        </is>
      </c>
      <c r="G1019" t="n">
        <v>0</v>
      </c>
      <c r="H1019" t="n">
        <v>-19.74870619694828</v>
      </c>
      <c r="I1019" t="n">
        <v>0.4120877214831748</v>
      </c>
      <c r="K1019" t="inlineStr">
        <is>
          <t>additional reduction: 50%</t>
        </is>
      </c>
      <c r="L1019" t="n">
        <v>0</v>
      </c>
    </row>
    <row r="1020">
      <c r="A1020" t="inlineStr">
        <is>
          <t>Pentane</t>
        </is>
      </c>
      <c r="B1020" t="n">
        <v>1.15101e-06</v>
      </c>
      <c r="D1020" t="inlineStr">
        <is>
          <t>kilogram</t>
        </is>
      </c>
      <c r="E1020" t="inlineStr">
        <is>
          <t>air::non-urban air or from high stacks</t>
        </is>
      </c>
      <c r="F1020" t="inlineStr">
        <is>
          <t>biosphere</t>
        </is>
      </c>
      <c r="G1020" t="n">
        <v>0</v>
      </c>
      <c r="H1020" t="n">
        <v>-15.73283325016767</v>
      </c>
      <c r="I1020" t="n">
        <v>0.2503876439562446</v>
      </c>
      <c r="K1020" t="inlineStr">
        <is>
          <t>(3,5,3,2,1,5); based on available literature</t>
        </is>
      </c>
      <c r="L1020" t="n">
        <v>0</v>
      </c>
    </row>
    <row r="1021">
      <c r="A1021" t="inlineStr">
        <is>
          <t>Polonium-210</t>
        </is>
      </c>
      <c r="B1021" t="n">
        <v>2.30985e-05</v>
      </c>
      <c r="D1021" t="inlineStr">
        <is>
          <t>kilo Becquerel</t>
        </is>
      </c>
      <c r="E1021" t="inlineStr">
        <is>
          <t>air::non-urban air or from high stacks</t>
        </is>
      </c>
      <c r="F1021" t="inlineStr">
        <is>
          <t>biosphere</t>
        </is>
      </c>
      <c r="G1021" t="n">
        <v>0</v>
      </c>
      <c r="H1021" t="n">
        <v>-12.73370538761255</v>
      </c>
      <c r="I1021" t="n">
        <v>0.592394992454581</v>
      </c>
      <c r="K1021" t="inlineStr">
        <is>
          <t>(5,1,1,1,1,5); calculated from trace element balance, input uncertain</t>
        </is>
      </c>
      <c r="L1021" t="n">
        <v>0</v>
      </c>
    </row>
    <row r="1022">
      <c r="A1022" t="inlineStr">
        <is>
          <t>Potassium-40</t>
        </is>
      </c>
      <c r="B1022" t="n">
        <v>1.65996e-05</v>
      </c>
      <c r="D1022" t="inlineStr">
        <is>
          <t>kilo Becquerel</t>
        </is>
      </c>
      <c r="E1022" t="inlineStr">
        <is>
          <t>air::non-urban air or from high stacks</t>
        </is>
      </c>
      <c r="F1022" t="inlineStr">
        <is>
          <t>biosphere</t>
        </is>
      </c>
      <c r="G1022" t="n">
        <v>0</v>
      </c>
      <c r="H1022" t="n">
        <v>-13.06409446928035</v>
      </c>
      <c r="I1022" t="n">
        <v>0.592394992454581</v>
      </c>
      <c r="K1022" t="inlineStr">
        <is>
          <t>(5,1,1,1,1,5); calculated from trace element balance, input uncertain</t>
        </is>
      </c>
      <c r="L1022" t="n">
        <v>0</v>
      </c>
    </row>
    <row r="1023">
      <c r="A1023" t="inlineStr">
        <is>
          <t>Propane</t>
        </is>
      </c>
      <c r="B1023" t="n">
        <v>2.7405e-07</v>
      </c>
      <c r="D1023" t="inlineStr">
        <is>
          <t>kilogram</t>
        </is>
      </c>
      <c r="E1023" t="inlineStr">
        <is>
          <t>air::non-urban air or from high stacks</t>
        </is>
      </c>
      <c r="F1023" t="inlineStr">
        <is>
          <t>biosphere</t>
        </is>
      </c>
      <c r="G1023" t="n">
        <v>0</v>
      </c>
      <c r="H1023" t="n">
        <v>-17.167917775457</v>
      </c>
      <c r="I1023" t="n">
        <v>0.2503876439562446</v>
      </c>
      <c r="K1023" t="inlineStr">
        <is>
          <t>(3,5,3,2,1,5); based on available literature</t>
        </is>
      </c>
      <c r="L1023" t="n">
        <v>0</v>
      </c>
    </row>
    <row r="1024">
      <c r="A1024" t="inlineStr">
        <is>
          <t>Propene</t>
        </is>
      </c>
      <c r="B1024" t="n">
        <v>1.2528e-07</v>
      </c>
      <c r="D1024" t="inlineStr">
        <is>
          <t>kilogram</t>
        </is>
      </c>
      <c r="E1024" t="inlineStr">
        <is>
          <t>air::non-urban air or from high stacks</t>
        </is>
      </c>
      <c r="F1024" t="inlineStr">
        <is>
          <t>biosphere</t>
        </is>
      </c>
      <c r="G1024" t="n">
        <v>0</v>
      </c>
      <c r="H1024" t="n">
        <v>-17.95067711470663</v>
      </c>
      <c r="I1024" t="n">
        <v>0.2503876439562446</v>
      </c>
      <c r="K1024" t="inlineStr">
        <is>
          <t>(3,5,3,2,1,5); based on available literature</t>
        </is>
      </c>
      <c r="L1024" t="n">
        <v>0</v>
      </c>
    </row>
    <row r="1025">
      <c r="A1025" t="inlineStr">
        <is>
          <t>Radium-226</t>
        </is>
      </c>
      <c r="B1025" t="n">
        <v>3.25728e-06</v>
      </c>
      <c r="D1025" t="inlineStr">
        <is>
          <t>kilo Becquerel</t>
        </is>
      </c>
      <c r="E1025" t="inlineStr">
        <is>
          <t>air::non-urban air or from high stacks</t>
        </is>
      </c>
      <c r="F1025" t="inlineStr">
        <is>
          <t>biosphere</t>
        </is>
      </c>
      <c r="G1025" t="n">
        <v>0</v>
      </c>
      <c r="H1025" t="n">
        <v>-14.69258057668515</v>
      </c>
      <c r="I1025" t="n">
        <v>0.592394992454581</v>
      </c>
      <c r="K1025" t="inlineStr">
        <is>
          <t>(5,1,1,1,1,5); calculated from trace element balance, input uncertain</t>
        </is>
      </c>
      <c r="L1025" t="n">
        <v>0</v>
      </c>
    </row>
    <row r="1026">
      <c r="A1026" t="inlineStr">
        <is>
          <t>Radium-228</t>
        </is>
      </c>
      <c r="B1026" t="n">
        <v>1.65996e-06</v>
      </c>
      <c r="D1026" t="inlineStr">
        <is>
          <t>kilo Becquerel</t>
        </is>
      </c>
      <c r="E1026" t="inlineStr">
        <is>
          <t>air::non-urban air or from high stacks</t>
        </is>
      </c>
      <c r="F1026" t="inlineStr">
        <is>
          <t>biosphere</t>
        </is>
      </c>
      <c r="G1026" t="n">
        <v>0</v>
      </c>
      <c r="H1026" t="n">
        <v>-15.3666795622744</v>
      </c>
      <c r="I1026" t="n">
        <v>0.592394992454581</v>
      </c>
      <c r="K1026" t="inlineStr">
        <is>
          <t>(5,1,1,1,1,5); calculated from trace element balance, input uncertain</t>
        </is>
      </c>
      <c r="L1026" t="n">
        <v>0</v>
      </c>
    </row>
    <row r="1027">
      <c r="A1027" t="inlineStr">
        <is>
          <t>Radon-220</t>
        </is>
      </c>
      <c r="B1027" t="n">
        <v>0.00213759</v>
      </c>
      <c r="D1027" t="inlineStr">
        <is>
          <t>kilo Becquerel</t>
        </is>
      </c>
      <c r="E1027" t="inlineStr">
        <is>
          <t>air::non-urban air or from high stacks</t>
        </is>
      </c>
      <c r="F1027" t="inlineStr">
        <is>
          <t>biosphere</t>
        </is>
      </c>
      <c r="G1027" t="n">
        <v>0</v>
      </c>
      <c r="H1027" t="n">
        <v>-8.206038762779315</v>
      </c>
      <c r="I1027" t="n">
        <v>0.592394992454581</v>
      </c>
      <c r="K1027" t="inlineStr">
        <is>
          <t>(5,1,1,1,1,5); calculated from trace element balance, input uncertain</t>
        </is>
      </c>
      <c r="L1027" t="n">
        <v>0</v>
      </c>
    </row>
    <row r="1028">
      <c r="A1028" t="inlineStr">
        <is>
          <t>Radon-222</t>
        </is>
      </c>
      <c r="B1028" t="n">
        <v>0.00379755</v>
      </c>
      <c r="D1028" t="inlineStr">
        <is>
          <t>kilo Becquerel</t>
        </is>
      </c>
      <c r="E1028" t="inlineStr">
        <is>
          <t>air::non-urban air or from high stacks</t>
        </is>
      </c>
      <c r="F1028" t="inlineStr">
        <is>
          <t>biosphere</t>
        </is>
      </c>
      <c r="G1028" t="n">
        <v>0</v>
      </c>
      <c r="H1028" t="n">
        <v>-7.631361667026791</v>
      </c>
      <c r="I1028" t="n">
        <v>0.592394992454581</v>
      </c>
      <c r="K1028" t="inlineStr">
        <is>
          <t>(5,1,1,1,1,5); calculated from trace element balance, input uncertain</t>
        </is>
      </c>
      <c r="L1028" t="n">
        <v>0</v>
      </c>
    </row>
    <row r="1029">
      <c r="A1029" t="inlineStr">
        <is>
          <t>Selenium</t>
        </is>
      </c>
      <c r="B1029" t="n">
        <v>4.26735e-08</v>
      </c>
      <c r="D1029" t="inlineStr">
        <is>
          <t>kilogram</t>
        </is>
      </c>
      <c r="E1029" t="inlineStr">
        <is>
          <t>air::non-urban air or from high stacks</t>
        </is>
      </c>
      <c r="F1029" t="inlineStr">
        <is>
          <t>biosphere</t>
        </is>
      </c>
      <c r="G1029" t="n">
        <v>0</v>
      </c>
      <c r="H1029" t="n">
        <v>-19.02765022827126</v>
      </c>
      <c r="I1029" t="n">
        <v>0.8347959176269237</v>
      </c>
      <c r="K1029" t="inlineStr">
        <is>
          <t>(5,1,1,1,1,5); calculated from trace element balance, input uncertain</t>
        </is>
      </c>
      <c r="L1029" t="n">
        <v>0</v>
      </c>
    </row>
    <row r="1030">
      <c r="A1030" t="inlineStr">
        <is>
          <t>Strontium</t>
        </is>
      </c>
      <c r="B1030" t="n">
        <v>5.59062e-09</v>
      </c>
      <c r="D1030" t="inlineStr">
        <is>
          <t>kilogram</t>
        </is>
      </c>
      <c r="E1030" t="inlineStr">
        <is>
          <t>air::non-urban air or from high stacks</t>
        </is>
      </c>
      <c r="F1030" t="inlineStr">
        <is>
          <t>biosphere</t>
        </is>
      </c>
      <c r="G1030" t="n">
        <v>0</v>
      </c>
      <c r="H1030" t="n">
        <v>-21.06013815358896</v>
      </c>
      <c r="I1030" t="n">
        <v>0.8347959176269237</v>
      </c>
      <c r="K1030" t="inlineStr">
        <is>
          <t>(5,1,1,1,1,5); calculated from trace element balance, input uncertain</t>
        </is>
      </c>
      <c r="L1030" t="n">
        <v>0</v>
      </c>
    </row>
    <row r="1031">
      <c r="A1031" t="inlineStr">
        <is>
          <t>Sulfur dioxide</t>
        </is>
      </c>
      <c r="B1031" t="n">
        <v>2.84229e-06</v>
      </c>
      <c r="D1031" t="inlineStr">
        <is>
          <t>kilogram</t>
        </is>
      </c>
      <c r="E1031" t="inlineStr">
        <is>
          <t>air::non-urban air or from high stacks</t>
        </is>
      </c>
      <c r="F1031" t="inlineStr">
        <is>
          <t>biosphere</t>
        </is>
      </c>
      <c r="G1031" t="n">
        <v>0</v>
      </c>
      <c r="H1031" t="n">
        <v>-14.82886300268156</v>
      </c>
      <c r="I1031" t="n">
        <v>0.05218000766212133</v>
      </c>
      <c r="K1031" t="inlineStr">
        <is>
          <t>additional reduction: 95%</t>
        </is>
      </c>
      <c r="L1031" t="n">
        <v>0</v>
      </c>
    </row>
    <row r="1032">
      <c r="A1032" t="inlineStr">
        <is>
          <t>Thorium-228</t>
        </is>
      </c>
      <c r="B1032" t="n">
        <v>8.926200000000001e-07</v>
      </c>
      <c r="D1032" t="inlineStr">
        <is>
          <t>kilo Becquerel</t>
        </is>
      </c>
      <c r="E1032" t="inlineStr">
        <is>
          <t>air::non-urban air or from high stacks</t>
        </is>
      </c>
      <c r="F1032" t="inlineStr">
        <is>
          <t>biosphere</t>
        </is>
      </c>
      <c r="G1032" t="n">
        <v>0</v>
      </c>
      <c r="H1032" t="n">
        <v>-15.98706738855192</v>
      </c>
      <c r="I1032" t="n">
        <v>0.592394992454581</v>
      </c>
      <c r="K1032" t="inlineStr">
        <is>
          <t>(5,1,1,1,1,5); calculated from trace element balance, input uncertain</t>
        </is>
      </c>
      <c r="L1032" t="n">
        <v>0</v>
      </c>
    </row>
    <row r="1033">
      <c r="A1033" t="inlineStr">
        <is>
          <t>Thorium-232</t>
        </is>
      </c>
      <c r="B1033" t="n">
        <v>1.40157e-06</v>
      </c>
      <c r="D1033" t="inlineStr">
        <is>
          <t>kilo Becquerel</t>
        </is>
      </c>
      <c r="E1033" t="inlineStr">
        <is>
          <t>air::non-urban air or from high stacks</t>
        </is>
      </c>
      <c r="F1033" t="inlineStr">
        <is>
          <t>biosphere</t>
        </is>
      </c>
      <c r="G1033" t="n">
        <v>0</v>
      </c>
      <c r="H1033" t="n">
        <v>-15.53588003110566</v>
      </c>
      <c r="I1033" t="n">
        <v>0.592394992454581</v>
      </c>
      <c r="K1033" t="inlineStr">
        <is>
          <t>(5,1,1,1,1,5); calculated from trace element balance, input uncertain</t>
        </is>
      </c>
      <c r="L1033" t="n">
        <v>0</v>
      </c>
    </row>
    <row r="1034">
      <c r="A1034" t="inlineStr">
        <is>
          <t>Toluene</t>
        </is>
      </c>
      <c r="B1034" t="n">
        <v>8.5347e-07</v>
      </c>
      <c r="D1034" t="inlineStr">
        <is>
          <t>kilogram</t>
        </is>
      </c>
      <c r="E1034" t="inlineStr">
        <is>
          <t>air::non-urban air or from high stacks</t>
        </is>
      </c>
      <c r="F1034" t="inlineStr">
        <is>
          <t>biosphere</t>
        </is>
      </c>
      <c r="G1034" t="n">
        <v>0</v>
      </c>
      <c r="H1034" t="n">
        <v>-16.03191795471727</v>
      </c>
      <c r="I1034" t="n">
        <v>0.2503876439562446</v>
      </c>
      <c r="K1034" t="inlineStr">
        <is>
          <t>(3,5,3,2,1,5); based on available literature</t>
        </is>
      </c>
      <c r="L1034" t="n">
        <v>0</v>
      </c>
    </row>
    <row r="1035">
      <c r="A1035" t="inlineStr">
        <is>
          <t>Uranium-238</t>
        </is>
      </c>
      <c r="B1035" t="n">
        <v>2.71701e-06</v>
      </c>
      <c r="D1035" t="inlineStr">
        <is>
          <t>kilo Becquerel</t>
        </is>
      </c>
      <c r="E1035" t="inlineStr">
        <is>
          <t>air::non-urban air or from high stacks</t>
        </is>
      </c>
      <c r="F1035" t="inlineStr">
        <is>
          <t>biosphere</t>
        </is>
      </c>
      <c r="G1035" t="n">
        <v>0</v>
      </c>
      <c r="H1035" t="n">
        <v>-14.87394105699955</v>
      </c>
      <c r="I1035" t="n">
        <v>0.592394992454581</v>
      </c>
      <c r="K1035" t="inlineStr">
        <is>
          <t>(5,1,1,1,1,5); calculated from trace element balance, input uncertain</t>
        </is>
      </c>
      <c r="L1035" t="n">
        <v>0</v>
      </c>
    </row>
    <row r="1036">
      <c r="A1036" t="inlineStr">
        <is>
          <t>Vanadium</t>
        </is>
      </c>
      <c r="B1036" t="n">
        <v>5.11299e-09</v>
      </c>
      <c r="D1036" t="inlineStr">
        <is>
          <t>kilogram</t>
        </is>
      </c>
      <c r="E1036" t="inlineStr">
        <is>
          <t>air::non-urban air or from high stacks</t>
        </is>
      </c>
      <c r="F1036" t="inlineStr">
        <is>
          <t>biosphere</t>
        </is>
      </c>
      <c r="G1036" t="n">
        <v>0</v>
      </c>
      <c r="H1036" t="n">
        <v>-21.14944398665212</v>
      </c>
      <c r="I1036" t="n">
        <v>0.8347959176269237</v>
      </c>
      <c r="K1036" t="inlineStr">
        <is>
          <t>(5,1,1,1,1,5); calculated from trace element balance, input uncertain</t>
        </is>
      </c>
      <c r="L1036" t="n">
        <v>0</v>
      </c>
    </row>
    <row r="1037">
      <c r="A1037" t="inlineStr">
        <is>
          <t>Water, cooling, unspecified natural origin</t>
        </is>
      </c>
      <c r="B1037" t="n">
        <v>0.027405</v>
      </c>
      <c r="D1037" t="inlineStr">
        <is>
          <t>cubic meter</t>
        </is>
      </c>
      <c r="E1037" t="inlineStr">
        <is>
          <t>natural resource::in water</t>
        </is>
      </c>
      <c r="F1037" t="inlineStr">
        <is>
          <t>biosphere</t>
        </is>
      </c>
      <c r="G1037" t="n">
        <v>0</v>
      </c>
      <c r="H1037" t="n">
        <v>-5.654992310486769</v>
      </c>
      <c r="I1037" t="n">
        <v>0.1682361183106064</v>
      </c>
      <c r="K1037" t="inlineStr">
        <is>
          <t>(4,5,3,2,1,5); estimate based on literature</t>
        </is>
      </c>
      <c r="L1037" t="n">
        <v>0</v>
      </c>
    </row>
    <row r="1038">
      <c r="A1038" t="inlineStr">
        <is>
          <t>Water</t>
        </is>
      </c>
      <c r="B1038" s="6">
        <f>B1037*0.975</f>
        <v>0.026719875</v>
      </c>
      <c r="D1038" t="inlineStr">
        <is>
          <t>cubic meter</t>
        </is>
      </c>
      <c r="E1038" t="inlineStr">
        <is>
          <t>water</t>
        </is>
      </c>
      <c r="F1038" t="inlineStr">
        <is>
          <t>biosphere</t>
        </is>
      </c>
      <c r="M1038" t="inlineStr">
        <is>
          <t>Assumes 2.5% is evaporated.</t>
        </is>
      </c>
    </row>
    <row r="1039">
      <c r="A1039" t="inlineStr">
        <is>
          <t>Xylene</t>
        </is>
      </c>
      <c r="B1039" t="n">
        <v>7.21926e-06</v>
      </c>
      <c r="D1039" t="inlineStr">
        <is>
          <t>kilogram</t>
        </is>
      </c>
      <c r="E1039" t="inlineStr">
        <is>
          <t>air::non-urban air or from high stacks</t>
        </is>
      </c>
      <c r="F1039" t="inlineStr">
        <is>
          <t>biosphere</t>
        </is>
      </c>
      <c r="G1039" t="n">
        <v>0</v>
      </c>
      <c r="H1039" t="n">
        <v>-13.89672061338982</v>
      </c>
      <c r="I1039" t="n">
        <v>0.2503876439562446</v>
      </c>
      <c r="K1039" t="inlineStr">
        <is>
          <t>(3,5,3,2,1,5); based on available literature</t>
        </is>
      </c>
      <c r="L1039" t="n">
        <v>0</v>
      </c>
    </row>
    <row r="1040">
      <c r="A1040" t="inlineStr">
        <is>
          <t>Zinc</t>
        </is>
      </c>
      <c r="B1040" t="n">
        <v>3.21813e-08</v>
      </c>
      <c r="D1040" t="inlineStr">
        <is>
          <t>kilogram</t>
        </is>
      </c>
      <c r="E1040" t="inlineStr">
        <is>
          <t>air::non-urban air or from high stacks</t>
        </is>
      </c>
      <c r="F1040" t="inlineStr">
        <is>
          <t>biosphere</t>
        </is>
      </c>
      <c r="G1040" t="n">
        <v>0</v>
      </c>
      <c r="H1040" t="n">
        <v>-19.30984280843827</v>
      </c>
      <c r="I1040" t="n">
        <v>0.8347959176269237</v>
      </c>
      <c r="K1040" t="inlineStr">
        <is>
          <t>(5,1,1,1,1,5); calculated from trace element balance, input uncertain</t>
        </is>
      </c>
      <c r="L1040" t="n">
        <v>0</v>
      </c>
    </row>
    <row r="1041">
      <c r="A1041" t="inlineStr">
        <is>
          <t>carbon dioxide, captured from hard coal-fired power plant, post, pipeline 200km, storage 1000m</t>
        </is>
      </c>
      <c r="B1041">
        <f>0.098*26.4*B1045*0.9</f>
        <v>0.882</v>
      </c>
      <c r="C1041" t="inlineStr">
        <is>
          <t>RER</t>
        </is>
      </c>
      <c r="D1041" t="inlineStr">
        <is>
          <t>kilogram</t>
        </is>
      </c>
      <c r="E1041" t="inlineStr">
        <is>
          <t>Materials/fuels</t>
        </is>
      </c>
      <c r="F1041" t="inlineStr">
        <is>
          <t>technosphere</t>
        </is>
      </c>
      <c r="G1041" t="n">
        <v>0</v>
      </c>
      <c r="H1041" t="n">
        <v>0.083</v>
      </c>
      <c r="K1041" t="inlineStr">
        <is>
          <t>90% capture rate</t>
        </is>
      </c>
    </row>
    <row r="1042">
      <c r="A1042" t="inlineStr">
        <is>
          <t>market for NOx retained, by selective catalytic reduction</t>
        </is>
      </c>
      <c r="B1042" t="n">
        <v>0.00178524</v>
      </c>
      <c r="C1042" t="inlineStr">
        <is>
          <t>GLO</t>
        </is>
      </c>
      <c r="D1042" t="inlineStr">
        <is>
          <t>kilogram</t>
        </is>
      </c>
      <c r="E1042" t="inlineStr">
        <is>
          <t>Materials/fuels</t>
        </is>
      </c>
      <c r="F1042" t="inlineStr">
        <is>
          <t>technosphere</t>
        </is>
      </c>
      <c r="G1042" t="n">
        <v>0</v>
      </c>
      <c r="H1042" t="n">
        <v>-8.386164929009833</v>
      </c>
      <c r="I1042" t="n">
        <v>0.2093551674290925</v>
      </c>
      <c r="K1042" t="inlineStr">
        <is>
          <t>additional reduction: 2.5%</t>
        </is>
      </c>
      <c r="L1042" t="n">
        <v>0</v>
      </c>
      <c r="M1042" t="inlineStr">
        <is>
          <t>NOx retained, by selective catalytic reduction</t>
        </is>
      </c>
    </row>
    <row r="1043">
      <c r="A1043" t="inlineStr">
        <is>
          <t>market for SOx retained, in hard coal flue gas desulfurisation</t>
        </is>
      </c>
      <c r="B1043" t="n">
        <v>0.00487809</v>
      </c>
      <c r="C1043" t="inlineStr">
        <is>
          <t>RER</t>
        </is>
      </c>
      <c r="D1043" t="inlineStr">
        <is>
          <t>kilogram</t>
        </is>
      </c>
      <c r="E1043" t="inlineStr">
        <is>
          <t>Materials/fuels</t>
        </is>
      </c>
      <c r="F1043" t="inlineStr">
        <is>
          <t>technosphere</t>
        </is>
      </c>
      <c r="G1043" t="n">
        <v>0</v>
      </c>
      <c r="H1043" t="n">
        <v>-7.380964039176821</v>
      </c>
      <c r="I1043" t="n">
        <v>0.05218000766212133</v>
      </c>
      <c r="K1043" t="inlineStr">
        <is>
          <t>additional reduction: 95%</t>
        </is>
      </c>
      <c r="L1043" t="n">
        <v>0</v>
      </c>
      <c r="M1043" t="inlineStr">
        <is>
          <t>SOx retained, in hard coal flue gas desulfurisation</t>
        </is>
      </c>
    </row>
    <row r="1044">
      <c r="A1044" t="inlineStr">
        <is>
          <t>market for chlorine, liquid</t>
        </is>
      </c>
      <c r="B1044" t="n">
        <v>7.830000000000001e-05</v>
      </c>
      <c r="C1044" t="inlineStr">
        <is>
          <t>RER</t>
        </is>
      </c>
      <c r="D1044" t="inlineStr">
        <is>
          <t>kilogram</t>
        </is>
      </c>
      <c r="E1044" t="inlineStr">
        <is>
          <t>Materials/fuels</t>
        </is>
      </c>
      <c r="F1044" t="inlineStr">
        <is>
          <t>technosphere</t>
        </is>
      </c>
      <c r="G1044" t="n">
        <v>0</v>
      </c>
      <c r="H1044" t="n">
        <v>-11.51292546497023</v>
      </c>
      <c r="I1044" t="n">
        <v>0.2503876439562446</v>
      </c>
      <c r="K1044" t="inlineStr">
        <is>
          <t>(5,4,3,2,3,5); rough guess</t>
        </is>
      </c>
      <c r="L1044" t="n">
        <v>0</v>
      </c>
      <c r="M1044" t="inlineStr">
        <is>
          <t>chlorine, liquid</t>
        </is>
      </c>
    </row>
    <row r="1045">
      <c r="A1045" t="inlineStr">
        <is>
          <t>market for hard coal</t>
        </is>
      </c>
      <c r="B1045">
        <f>(3.6/26.4)/0.36</f>
        <v>0.378787878787879</v>
      </c>
      <c r="C1045" s="2" t="inlineStr">
        <is>
          <t>Europe, without Russia and Turkey</t>
        </is>
      </c>
      <c r="D1045" t="inlineStr">
        <is>
          <t>kilogram</t>
        </is>
      </c>
      <c r="E1045" t="inlineStr">
        <is>
          <t>Materials/fuels</t>
        </is>
      </c>
      <c r="F1045" t="inlineStr">
        <is>
          <t>technosphere</t>
        </is>
      </c>
      <c r="G1045" t="n">
        <v>0</v>
      </c>
      <c r="H1045" t="n">
        <v>-3.272804166893756</v>
      </c>
      <c r="I1045" t="n">
        <v>0.06988097118757938</v>
      </c>
      <c r="K1045" t="inlineStr">
        <is>
          <t>1/energy content from Dones et al. (2007) "Teil VI - Kohle - Data v2.0" p.112</t>
        </is>
      </c>
      <c r="L1045" t="n">
        <v>0</v>
      </c>
      <c r="M1045" t="inlineStr">
        <is>
          <t>hard coal</t>
        </is>
      </c>
    </row>
    <row r="1046">
      <c r="A1046" t="inlineStr">
        <is>
          <t>market for hard coal power plant</t>
        </is>
      </c>
      <c r="B1046" t="n">
        <v>4.53357e-12</v>
      </c>
      <c r="C1046" t="inlineStr">
        <is>
          <t>GLO</t>
        </is>
      </c>
      <c r="D1046" t="inlineStr">
        <is>
          <t>unit</t>
        </is>
      </c>
      <c r="E1046" t="inlineStr">
        <is>
          <t>Materials/fuels</t>
        </is>
      </c>
      <c r="F1046" t="inlineStr">
        <is>
          <t>technosphere</t>
        </is>
      </c>
      <c r="G1046" t="n">
        <v>0</v>
      </c>
      <c r="H1046" t="n">
        <v>-28.17747391733769</v>
      </c>
      <c r="I1046" t="n">
        <v>0.5526284156933892</v>
      </c>
      <c r="K1046" t="inlineStr">
        <is>
          <t>n_plant = 1/(lifetime*annual fuel input)</t>
        </is>
      </c>
      <c r="L1046" t="n">
        <v>0</v>
      </c>
      <c r="M1046" t="inlineStr">
        <is>
          <t>hard coal power plant</t>
        </is>
      </c>
    </row>
    <row r="1047">
      <c r="A1047" t="inlineStr">
        <is>
          <t>market for transport, freight train</t>
        </is>
      </c>
      <c r="B1047" t="n">
        <v>0.00377406</v>
      </c>
      <c r="C1047" t="inlineStr">
        <is>
          <t>Europe without Switzerland</t>
        </is>
      </c>
      <c r="D1047" t="inlineStr">
        <is>
          <t>ton kilometer</t>
        </is>
      </c>
      <c r="E1047" t="inlineStr">
        <is>
          <t>Materials/fuels</t>
        </is>
      </c>
      <c r="F1047" t="inlineStr">
        <is>
          <t>technosphere</t>
        </is>
      </c>
      <c r="G1047" t="n">
        <v>0</v>
      </c>
      <c r="H1047" t="n">
        <v>-7.637566443913673</v>
      </c>
      <c r="I1047" t="n">
        <v>0.3709686723646887</v>
      </c>
      <c r="K1047" t="inlineStr">
        <is>
          <t>(4,2,2,3,1,5); average distance is guesstimate</t>
        </is>
      </c>
      <c r="L1047" t="n">
        <v>0</v>
      </c>
      <c r="M1047" t="inlineStr">
        <is>
          <t>transport, freight train</t>
        </is>
      </c>
    </row>
    <row r="1048">
      <c r="A1048" t="inlineStr">
        <is>
          <t>market for water, completely softened</t>
        </is>
      </c>
      <c r="B1048" t="n">
        <v>0.02054598685699786</v>
      </c>
      <c r="C1048" t="inlineStr">
        <is>
          <t>RoW</t>
        </is>
      </c>
      <c r="D1048" t="inlineStr">
        <is>
          <t>kilogram</t>
        </is>
      </c>
      <c r="E1048" t="inlineStr">
        <is>
          <t>Materials/fuels</t>
        </is>
      </c>
      <c r="F1048" t="inlineStr">
        <is>
          <t>technosphere</t>
        </is>
      </c>
      <c r="G1048" t="n">
        <v>0</v>
      </c>
      <c r="H1048" t="n">
        <v>-5.115995809754082</v>
      </c>
      <c r="I1048" t="n">
        <v>0.1682361183106064</v>
      </c>
      <c r="K1048" t="inlineStr">
        <is>
          <t>(4,5,3,2,3,3); estimate based on literature</t>
        </is>
      </c>
      <c r="L1048" t="n">
        <v>0</v>
      </c>
      <c r="M1048" t="inlineStr">
        <is>
          <t>water, completely softened</t>
        </is>
      </c>
      <c r="N1048" t="inlineStr">
        <is>
          <t>water, completely softened, from decarbonised water, at user</t>
        </is>
      </c>
    </row>
    <row r="1049">
      <c r="A1049" t="inlineStr">
        <is>
          <t>market for water, completely softened</t>
        </is>
      </c>
      <c r="B1049" t="n">
        <v>0.01105424236407774</v>
      </c>
      <c r="C1049" t="inlineStr">
        <is>
          <t>RER</t>
        </is>
      </c>
      <c r="D1049" t="inlineStr">
        <is>
          <t>kilogram</t>
        </is>
      </c>
      <c r="E1049" t="inlineStr">
        <is>
          <t>Materials/fuels</t>
        </is>
      </c>
      <c r="F1049" t="inlineStr">
        <is>
          <t>technosphere</t>
        </is>
      </c>
      <c r="G1049" t="n">
        <v>0</v>
      </c>
      <c r="H1049" t="n">
        <v>-5.115995809754082</v>
      </c>
      <c r="I1049" t="n">
        <v>0.1682361183106064</v>
      </c>
      <c r="K1049" t="inlineStr">
        <is>
          <t>(4,5,3,2,3,3); estimate based on literature</t>
        </is>
      </c>
      <c r="L1049" t="n">
        <v>0</v>
      </c>
      <c r="M1049" t="inlineStr">
        <is>
          <t>water, completely softened</t>
        </is>
      </c>
      <c r="N1049" t="inlineStr">
        <is>
          <t>water, completely softened, from decarbonised water, at user</t>
        </is>
      </c>
    </row>
    <row r="1050">
      <c r="A1050" t="inlineStr">
        <is>
          <t>market for water, completely softened</t>
        </is>
      </c>
      <c r="B1050" t="n">
        <v>0.01537977077892439</v>
      </c>
      <c r="C1050" t="inlineStr">
        <is>
          <t>US</t>
        </is>
      </c>
      <c r="D1050" t="inlineStr">
        <is>
          <t>kilogram</t>
        </is>
      </c>
      <c r="E1050" t="inlineStr">
        <is>
          <t>Materials/fuels</t>
        </is>
      </c>
      <c r="F1050" t="inlineStr">
        <is>
          <t>technosphere</t>
        </is>
      </c>
      <c r="G1050" t="n">
        <v>0</v>
      </c>
      <c r="H1050" t="n">
        <v>-5.115995809754082</v>
      </c>
      <c r="I1050" t="n">
        <v>0.1682361183106064</v>
      </c>
      <c r="K1050" t="inlineStr">
        <is>
          <t>(4,5,3,2,3,3); estimate based on literature</t>
        </is>
      </c>
      <c r="L1050" t="n">
        <v>0</v>
      </c>
      <c r="M1050" t="inlineStr">
        <is>
          <t>water, completely softened</t>
        </is>
      </c>
      <c r="N1050" t="inlineStr">
        <is>
          <t>water, completely softened, from decarbonised water, at user</t>
        </is>
      </c>
    </row>
    <row r="1051">
      <c r="A1051" t="inlineStr">
        <is>
          <t>market for water, decarbonised</t>
        </is>
      </c>
      <c r="B1051" t="n">
        <v>1.1745</v>
      </c>
      <c r="C1051" t="inlineStr">
        <is>
          <t>RoW</t>
        </is>
      </c>
      <c r="D1051" t="inlineStr">
        <is>
          <t>kilogram</t>
        </is>
      </c>
      <c r="E1051" t="inlineStr">
        <is>
          <t>Materials/fuels</t>
        </is>
      </c>
      <c r="F1051" t="inlineStr">
        <is>
          <t>technosphere</t>
        </is>
      </c>
      <c r="G1051" t="n">
        <v>0</v>
      </c>
      <c r="H1051" t="n">
        <v>-1.897119984885881</v>
      </c>
      <c r="I1051" t="n">
        <v>0.1682361183106064</v>
      </c>
      <c r="K1051" t="inlineStr">
        <is>
          <t>(4,5,3,2,3,3); estimate based on literature</t>
        </is>
      </c>
      <c r="L1051" t="n">
        <v>0</v>
      </c>
      <c r="M1051" t="inlineStr">
        <is>
          <t>water, decarbonised</t>
        </is>
      </c>
      <c r="N1051" t="inlineStr">
        <is>
          <t>water, decarbonised, at user</t>
        </is>
      </c>
    </row>
    <row r="1052">
      <c r="A1052" t="inlineStr">
        <is>
          <t>market group for light fuel oil</t>
        </is>
      </c>
      <c r="B1052" t="n">
        <v>0.00013311</v>
      </c>
      <c r="C1052" t="inlineStr">
        <is>
          <t>RER</t>
        </is>
      </c>
      <c r="D1052" t="inlineStr">
        <is>
          <t>kilogram</t>
        </is>
      </c>
      <c r="E1052" t="inlineStr">
        <is>
          <t>Materials/fuels</t>
        </is>
      </c>
      <c r="F1052" t="inlineStr">
        <is>
          <t>technosphere</t>
        </is>
      </c>
      <c r="G1052" t="n">
        <v>0</v>
      </c>
      <c r="H1052" t="n">
        <v>-10.98229721390806</v>
      </c>
      <c r="I1052" t="n">
        <v>0.09116077839697724</v>
      </c>
      <c r="K1052" t="inlineStr">
        <is>
          <t>(3,4,3,3,1,3); typical value for hard coal plant in DE</t>
        </is>
      </c>
      <c r="L1052" t="n">
        <v>0</v>
      </c>
      <c r="M1052" t="inlineStr">
        <is>
          <t>light fuel oil</t>
        </is>
      </c>
    </row>
    <row r="1053" ht="16" customHeight="1">
      <c r="A1053" t="inlineStr">
        <is>
          <t>treatment of hard coal ash, residual material landfill</t>
        </is>
      </c>
      <c r="B1053" t="n">
        <v>-0.00205929</v>
      </c>
      <c r="C1053" t="inlineStr">
        <is>
          <t>RoW</t>
        </is>
      </c>
      <c r="D1053" t="inlineStr">
        <is>
          <t>kilogram</t>
        </is>
      </c>
      <c r="E1053" t="inlineStr">
        <is>
          <t>Waste to treatment</t>
        </is>
      </c>
      <c r="F1053" t="inlineStr">
        <is>
          <t>technosphere</t>
        </is>
      </c>
      <c r="G1053" t="n">
        <v>0</v>
      </c>
      <c r="H1053" t="n">
        <v>-8.24335652578651</v>
      </c>
      <c r="I1053" t="n">
        <v>0.2287124235194378</v>
      </c>
      <c r="K1053" t="inlineStr">
        <is>
          <t>(5,1,1,5,3,1); calculated from mass balance</t>
        </is>
      </c>
      <c r="L1053" t="n">
        <v>0</v>
      </c>
      <c r="M1053" t="inlineStr">
        <is>
          <t>hard coal ash</t>
        </is>
      </c>
    </row>
    <row r="1054">
      <c r="A1054" t="inlineStr">
        <is>
          <t>treatment of residue from cooling tower, sanitary landfill</t>
        </is>
      </c>
      <c r="B1054" t="n">
        <v>-3.915e-05</v>
      </c>
      <c r="C1054" t="inlineStr">
        <is>
          <t>CH</t>
        </is>
      </c>
      <c r="D1054" t="inlineStr">
        <is>
          <t>kilogram</t>
        </is>
      </c>
      <c r="E1054" t="inlineStr">
        <is>
          <t>Waste to treatment</t>
        </is>
      </c>
      <c r="F1054" t="inlineStr">
        <is>
          <t>technosphere</t>
        </is>
      </c>
      <c r="G1054" t="n">
        <v>0</v>
      </c>
      <c r="H1054" t="n">
        <v>-12.20607264553017</v>
      </c>
      <c r="I1054" t="n">
        <v>0.2027325540540821</v>
      </c>
      <c r="K1054" t="inlineStr">
        <is>
          <t>(5,1,1,1,1,1); calculated from mass balance</t>
        </is>
      </c>
      <c r="L1054" t="n">
        <v>0</v>
      </c>
      <c r="M1054" t="inlineStr">
        <is>
          <t>residue from cooling tower</t>
        </is>
      </c>
    </row>
    <row r="1055"/>
    <row r="1056"/>
    <row r="1057">
      <c r="A1057" s="1" t="inlineStr">
        <is>
          <t>Activity</t>
        </is>
      </c>
      <c r="B1057" s="1" t="inlineStr">
        <is>
          <t>electricity production, at hard coal-fired IGCC power plant, pre, pipeline 200km, storage 1000m</t>
        </is>
      </c>
    </row>
    <row r="1058">
      <c r="A1058" t="inlineStr">
        <is>
          <t>location</t>
        </is>
      </c>
      <c r="B1058" t="inlineStr">
        <is>
          <t>RER</t>
        </is>
      </c>
    </row>
    <row r="1059">
      <c r="A1059" t="inlineStr">
        <is>
          <t>production amount</t>
        </is>
      </c>
      <c r="B1059" t="n">
        <v>1</v>
      </c>
    </row>
    <row r="1060">
      <c r="A1060" t="inlineStr">
        <is>
          <t>comment</t>
        </is>
      </c>
      <c r="B1060" t="inlineStr">
        <is>
          <t>Coal-fired, pre CCS, MEA, 90% CO2 capture efficiency. 576 MWel. 7500 full load hours per year. 40 years lifetime. 40% net electrical efficiency.</t>
        </is>
      </c>
    </row>
    <row r="1061" ht="16" customHeight="1">
      <c r="A1061" t="inlineStr">
        <is>
          <t>source</t>
        </is>
      </c>
      <c r="B1061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062">
      <c r="A1062" t="inlineStr">
        <is>
          <t>reference product</t>
        </is>
      </c>
      <c r="B1062" t="inlineStr">
        <is>
          <t>electricity, high voltage</t>
        </is>
      </c>
    </row>
    <row r="1063">
      <c r="A1063" t="inlineStr">
        <is>
          <t>type</t>
        </is>
      </c>
      <c r="B1063" t="inlineStr">
        <is>
          <t>process</t>
        </is>
      </c>
    </row>
    <row r="1064">
      <c r="A1064" t="inlineStr">
        <is>
          <t>unit</t>
        </is>
      </c>
      <c r="B1064" t="inlineStr">
        <is>
          <t>kilowatt hour</t>
        </is>
      </c>
    </row>
    <row r="1065">
      <c r="A1065" s="1" t="inlineStr">
        <is>
          <t>Exchanges</t>
        </is>
      </c>
    </row>
    <row r="1066">
      <c r="A1066" t="inlineStr">
        <is>
          <t>name</t>
        </is>
      </c>
      <c r="B1066" t="inlineStr">
        <is>
          <t>amount</t>
        </is>
      </c>
      <c r="C1066" t="inlineStr">
        <is>
          <t>location</t>
        </is>
      </c>
      <c r="D1066" t="inlineStr">
        <is>
          <t>unit</t>
        </is>
      </c>
      <c r="E1066" t="inlineStr">
        <is>
          <t>categories</t>
        </is>
      </c>
      <c r="F1066" t="inlineStr">
        <is>
          <t>type</t>
        </is>
      </c>
      <c r="G1066" t="inlineStr">
        <is>
          <t>uncertainty type</t>
        </is>
      </c>
      <c r="H1066" t="inlineStr">
        <is>
          <t>loc</t>
        </is>
      </c>
      <c r="I1066" t="inlineStr">
        <is>
          <t>allocation</t>
        </is>
      </c>
      <c r="J1066" t="inlineStr">
        <is>
          <t>comment</t>
        </is>
      </c>
      <c r="K1066" t="inlineStr">
        <is>
          <t>simapro name</t>
        </is>
      </c>
      <c r="L1066" t="inlineStr">
        <is>
          <t>negative</t>
        </is>
      </c>
      <c r="M1066" t="inlineStr">
        <is>
          <t>reference product</t>
        </is>
      </c>
    </row>
    <row r="1067">
      <c r="A1067" t="inlineStr">
        <is>
          <t>electricity production, at hard coal-fired IGCC power plant, pre, pipeline 200km, storage 1000m</t>
        </is>
      </c>
      <c r="B1067" t="n">
        <v>1</v>
      </c>
      <c r="C1067" t="inlineStr">
        <is>
          <t>RER</t>
        </is>
      </c>
      <c r="D1067" t="inlineStr">
        <is>
          <t>kilowatt hour</t>
        </is>
      </c>
      <c r="E1067" t="inlineStr">
        <is>
          <t>CCS Europe 2025::Hard coal</t>
        </is>
      </c>
      <c r="F1067" t="inlineStr">
        <is>
          <t>production</t>
        </is>
      </c>
      <c r="I1067" t="n">
        <v>100</v>
      </c>
      <c r="K1067" t="inlineStr">
        <is>
          <t>electricity production, at hard coal-fired power plant, pre, pipeline 200km, storage 1000m U</t>
        </is>
      </c>
    </row>
    <row r="1068">
      <c r="A1068" t="inlineStr">
        <is>
          <t>carbon dioxide, captured from hard coal-fired power plant, pre, pipeline 200km, storage 1000m</t>
        </is>
      </c>
      <c r="B1068">
        <f>B1070*26.4*0.098*0.9</f>
        <v>0.7938</v>
      </c>
      <c r="C1068" t="inlineStr">
        <is>
          <t>RER</t>
        </is>
      </c>
      <c r="D1068" t="inlineStr">
        <is>
          <t>kilogram</t>
        </is>
      </c>
      <c r="E1068" t="inlineStr">
        <is>
          <t>Materials/fuels</t>
        </is>
      </c>
      <c r="F1068" t="inlineStr">
        <is>
          <t>technosphere</t>
        </is>
      </c>
      <c r="G1068" t="n">
        <v>0</v>
      </c>
      <c r="H1068" t="n">
        <v>0.0829</v>
      </c>
      <c r="J1068" t="inlineStr">
        <is>
          <t>90% capture rate</t>
        </is>
      </c>
      <c r="K1068" t="inlineStr">
        <is>
          <t>carbon dioxide, captured from hard coal-fired power plant, pre, pipeline 200km, storage 1000m U</t>
        </is>
      </c>
    </row>
    <row r="1069">
      <c r="A1069" t="inlineStr">
        <is>
          <t>Hard coal IGCC power plant 450MW</t>
        </is>
      </c>
      <c r="B1069" t="n">
        <v>3.705e-12</v>
      </c>
      <c r="C1069" t="inlineStr">
        <is>
          <t>RER</t>
        </is>
      </c>
      <c r="D1069" t="inlineStr">
        <is>
          <t>unit</t>
        </is>
      </c>
      <c r="E1069" t="inlineStr">
        <is>
          <t>Materials/fuels</t>
        </is>
      </c>
      <c r="F1069" t="inlineStr">
        <is>
          <t>technosphere</t>
        </is>
      </c>
      <c r="G1069" t="n">
        <v>0</v>
      </c>
      <c r="H1069" t="n">
        <v>4.94e-13</v>
      </c>
      <c r="J1069" t="inlineStr">
        <is>
          <t>n_plant = 1/(lifetime*annual fuel input)</t>
        </is>
      </c>
      <c r="K1069" t="inlineStr">
        <is>
          <t>Hard coal IGCC power plant 450MW U</t>
        </is>
      </c>
    </row>
    <row r="1070">
      <c r="A1070" t="inlineStr">
        <is>
          <t>market for hard coal</t>
        </is>
      </c>
      <c r="B1070">
        <f>(3.6/26.4)/0.4</f>
        <v>0.340909090909091</v>
      </c>
      <c r="C1070" s="2" t="inlineStr">
        <is>
          <t>Europe, without Russia and Turkey</t>
        </is>
      </c>
      <c r="D1070" t="inlineStr">
        <is>
          <t>kilogram</t>
        </is>
      </c>
      <c r="E1070" t="inlineStr">
        <is>
          <t>Materials/fuels</t>
        </is>
      </c>
      <c r="F1070" t="inlineStr">
        <is>
          <t>technosphere</t>
        </is>
      </c>
      <c r="G1070" t="n">
        <v>0</v>
      </c>
      <c r="H1070" t="n">
        <v>0.0379</v>
      </c>
      <c r="J1070" t="inlineStr">
        <is>
          <t>1/energy content from Dones et al. (2007) "Teil VI - Kohle - Data v2.0" p.112</t>
        </is>
      </c>
      <c r="K1070" t="inlineStr">
        <is>
          <t>Hard coal mix, at regional storage/UCTE U</t>
        </is>
      </c>
      <c r="M1070" t="inlineStr">
        <is>
          <t>hard coal</t>
        </is>
      </c>
    </row>
    <row r="1071">
      <c r="A1071" t="inlineStr">
        <is>
          <t>Antimony</t>
        </is>
      </c>
      <c r="B1071" t="n">
        <v>5.174999999999999e-10</v>
      </c>
      <c r="D1071" t="inlineStr">
        <is>
          <t>kilogram</t>
        </is>
      </c>
      <c r="E1071" t="inlineStr">
        <is>
          <t>air::non-urban air or from high stacks</t>
        </is>
      </c>
      <c r="F1071" t="inlineStr">
        <is>
          <t>biosphere</t>
        </is>
      </c>
      <c r="G1071" t="n">
        <v>0</v>
      </c>
      <c r="H1071" t="n">
        <v>6.899999999999999e-11</v>
      </c>
    </row>
    <row r="1072">
      <c r="A1072" t="inlineStr">
        <is>
          <t>Arsenic</t>
        </is>
      </c>
      <c r="B1072" t="n">
        <v>7.725e-09</v>
      </c>
      <c r="D1072" t="inlineStr">
        <is>
          <t>kilogram</t>
        </is>
      </c>
      <c r="E1072" t="inlineStr">
        <is>
          <t>air::non-urban air or from high stacks</t>
        </is>
      </c>
      <c r="F1072" t="inlineStr">
        <is>
          <t>biosphere</t>
        </is>
      </c>
      <c r="G1072" t="n">
        <v>0</v>
      </c>
      <c r="H1072" t="n">
        <v>1.03e-09</v>
      </c>
    </row>
    <row r="1073">
      <c r="A1073" t="inlineStr">
        <is>
          <t>Barium</t>
        </is>
      </c>
      <c r="B1073" t="n">
        <v>3.4125e-08</v>
      </c>
      <c r="D1073" t="inlineStr">
        <is>
          <t>kilogram</t>
        </is>
      </c>
      <c r="E1073" t="inlineStr">
        <is>
          <t>air::non-urban air or from high stacks</t>
        </is>
      </c>
      <c r="F1073" t="inlineStr">
        <is>
          <t>biosphere</t>
        </is>
      </c>
      <c r="G1073" t="n">
        <v>0</v>
      </c>
      <c r="H1073" t="n">
        <v>4.55e-09</v>
      </c>
    </row>
    <row r="1074">
      <c r="A1074" t="inlineStr">
        <is>
          <t>Benzene</t>
        </is>
      </c>
      <c r="B1074" t="n">
        <v>1.29e-06</v>
      </c>
      <c r="D1074" t="inlineStr">
        <is>
          <t>kilogram</t>
        </is>
      </c>
      <c r="E1074" t="inlineStr">
        <is>
          <t>air::non-urban air or from high stacks</t>
        </is>
      </c>
      <c r="F1074" t="inlineStr">
        <is>
          <t>biosphere</t>
        </is>
      </c>
      <c r="G1074" t="n">
        <v>0</v>
      </c>
      <c r="H1074" t="n">
        <v>1.72e-07</v>
      </c>
    </row>
    <row r="1075">
      <c r="A1075" t="inlineStr">
        <is>
          <t>Benzo(a)pyrene</t>
        </is>
      </c>
      <c r="B1075" t="n">
        <v>1.2e-12</v>
      </c>
      <c r="D1075" t="inlineStr">
        <is>
          <t>kilogram</t>
        </is>
      </c>
      <c r="E1075" t="inlineStr">
        <is>
          <t>air::non-urban air or from high stacks</t>
        </is>
      </c>
      <c r="F1075" t="inlineStr">
        <is>
          <t>biosphere</t>
        </is>
      </c>
      <c r="G1075" t="n">
        <v>0</v>
      </c>
      <c r="H1075" t="n">
        <v>1.6e-13</v>
      </c>
    </row>
    <row r="1076">
      <c r="A1076" t="inlineStr">
        <is>
          <t>Boron</t>
        </is>
      </c>
      <c r="B1076" t="n">
        <v>7.3575e-07</v>
      </c>
      <c r="D1076" t="inlineStr">
        <is>
          <t>kilogram</t>
        </is>
      </c>
      <c r="E1076" t="inlineStr">
        <is>
          <t>air::non-urban air or from high stacks</t>
        </is>
      </c>
      <c r="F1076" t="inlineStr">
        <is>
          <t>biosphere</t>
        </is>
      </c>
      <c r="G1076" t="n">
        <v>0</v>
      </c>
      <c r="H1076" t="n">
        <v>9.81e-08</v>
      </c>
    </row>
    <row r="1077">
      <c r="A1077" t="inlineStr">
        <is>
          <t>Bromine</t>
        </is>
      </c>
      <c r="B1077" t="n">
        <v>3.81e-07</v>
      </c>
      <c r="D1077" t="inlineStr">
        <is>
          <t>kilogram</t>
        </is>
      </c>
      <c r="E1077" t="inlineStr">
        <is>
          <t>air::non-urban air or from high stacks</t>
        </is>
      </c>
      <c r="F1077" t="inlineStr">
        <is>
          <t>biosphere</t>
        </is>
      </c>
      <c r="G1077" t="n">
        <v>0</v>
      </c>
      <c r="H1077" t="n">
        <v>5.08e-08</v>
      </c>
    </row>
    <row r="1078">
      <c r="A1078" t="inlineStr">
        <is>
          <t>Butane</t>
        </is>
      </c>
      <c r="B1078" t="n">
        <v>1.1325e-07</v>
      </c>
      <c r="D1078" t="inlineStr">
        <is>
          <t>kilogram</t>
        </is>
      </c>
      <c r="E1078" t="inlineStr">
        <is>
          <t>air::non-urban air or from high stacks</t>
        </is>
      </c>
      <c r="F1078" t="inlineStr">
        <is>
          <t>biosphere</t>
        </is>
      </c>
      <c r="G1078" t="n">
        <v>0</v>
      </c>
      <c r="H1078" t="n">
        <v>1.51e-08</v>
      </c>
    </row>
    <row r="1079">
      <c r="A1079" t="inlineStr">
        <is>
          <t>Cadmium</t>
        </is>
      </c>
      <c r="B1079" t="n">
        <v>3.45e-10</v>
      </c>
      <c r="D1079" t="inlineStr">
        <is>
          <t>kilogram</t>
        </is>
      </c>
      <c r="E1079" t="inlineStr">
        <is>
          <t>air::non-urban air or from high stacks</t>
        </is>
      </c>
      <c r="F1079" t="inlineStr">
        <is>
          <t>biosphere</t>
        </is>
      </c>
      <c r="G1079" t="n">
        <v>0</v>
      </c>
      <c r="H1079" t="n">
        <v>4.6e-11</v>
      </c>
    </row>
    <row r="1080">
      <c r="A1080" t="inlineStr">
        <is>
          <t>Carbon dioxide, fossil</t>
        </is>
      </c>
      <c r="B1080">
        <f>B1070*26.4*0.098*0.1</f>
        <v>0.0882</v>
      </c>
      <c r="D1080" t="inlineStr">
        <is>
          <t>kilogram</t>
        </is>
      </c>
      <c r="E1080" t="inlineStr">
        <is>
          <t>air::non-urban air or from high stacks</t>
        </is>
      </c>
      <c r="F1080" t="inlineStr">
        <is>
          <t>biosphere</t>
        </is>
      </c>
      <c r="G1080" t="n">
        <v>0</v>
      </c>
      <c r="H1080" t="n">
        <v>-4.687465428714922</v>
      </c>
      <c r="I1080" t="n">
        <v>0</v>
      </c>
      <c r="K1080" t="inlineStr">
        <is>
          <t>90% capture rate, reduced by a factor of 0.992</t>
        </is>
      </c>
      <c r="L1080" t="n">
        <v>0</v>
      </c>
    </row>
    <row r="1081">
      <c r="A1081" t="inlineStr">
        <is>
          <t>Carbon monoxide, fossil</t>
        </is>
      </c>
      <c r="B1081" t="n">
        <v>6.1875e-05</v>
      </c>
      <c r="D1081" t="inlineStr">
        <is>
          <t>kilogram</t>
        </is>
      </c>
      <c r="E1081" t="inlineStr">
        <is>
          <t>air::non-urban air or from high stacks</t>
        </is>
      </c>
      <c r="F1081" t="inlineStr">
        <is>
          <t>biosphere</t>
        </is>
      </c>
      <c r="G1081" t="n">
        <v>0</v>
      </c>
      <c r="H1081" t="n">
        <v>8.250000000000001e-06</v>
      </c>
    </row>
    <row r="1082">
      <c r="A1082" t="inlineStr">
        <is>
          <t>Chromium</t>
        </is>
      </c>
      <c r="B1082" t="n">
        <v>3.93e-09</v>
      </c>
      <c r="D1082" t="inlineStr">
        <is>
          <t>kilogram</t>
        </is>
      </c>
      <c r="E1082" t="inlineStr">
        <is>
          <t>air::non-urban air or from high stacks</t>
        </is>
      </c>
      <c r="F1082" t="inlineStr">
        <is>
          <t>biosphere</t>
        </is>
      </c>
      <c r="G1082" t="n">
        <v>0</v>
      </c>
      <c r="H1082" t="n">
        <v>5.240000000000001e-10</v>
      </c>
    </row>
    <row r="1083">
      <c r="A1083" t="inlineStr">
        <is>
          <t>Chromium VI</t>
        </is>
      </c>
      <c r="B1083" t="n">
        <v>4.8525e-10</v>
      </c>
      <c r="D1083" t="inlineStr">
        <is>
          <t>kilogram</t>
        </is>
      </c>
      <c r="E1083" t="inlineStr">
        <is>
          <t>air::non-urban air or from high stacks</t>
        </is>
      </c>
      <c r="F1083" t="inlineStr">
        <is>
          <t>biosphere</t>
        </is>
      </c>
      <c r="G1083" t="n">
        <v>0</v>
      </c>
      <c r="H1083" t="n">
        <v>6.469999999999999e-11</v>
      </c>
    </row>
    <row r="1084">
      <c r="A1084" t="inlineStr">
        <is>
          <t>Cobalt</t>
        </is>
      </c>
      <c r="B1084" t="n">
        <v>1.95e-09</v>
      </c>
      <c r="D1084" t="inlineStr">
        <is>
          <t>kilogram</t>
        </is>
      </c>
      <c r="E1084" t="inlineStr">
        <is>
          <t>air::non-urban air or from high stacks</t>
        </is>
      </c>
      <c r="F1084" t="inlineStr">
        <is>
          <t>biosphere</t>
        </is>
      </c>
      <c r="G1084" t="n">
        <v>0</v>
      </c>
      <c r="H1084" t="n">
        <v>2.6e-10</v>
      </c>
    </row>
    <row r="1085">
      <c r="A1085" t="inlineStr">
        <is>
          <t>Copper</t>
        </is>
      </c>
      <c r="B1085" t="n">
        <v>9.825e-09</v>
      </c>
      <c r="D1085" t="inlineStr">
        <is>
          <t>kilogram</t>
        </is>
      </c>
      <c r="E1085" t="inlineStr">
        <is>
          <t>air::non-urban air or from high stacks</t>
        </is>
      </c>
      <c r="F1085" t="inlineStr">
        <is>
          <t>biosphere</t>
        </is>
      </c>
      <c r="G1085" t="n">
        <v>0</v>
      </c>
      <c r="H1085" t="n">
        <v>1.31e-09</v>
      </c>
    </row>
    <row r="1086">
      <c r="A1086" t="inlineStr">
        <is>
          <t>Dinitrogen monoxide</t>
        </is>
      </c>
      <c r="B1086" t="n">
        <v>2.88e-05</v>
      </c>
      <c r="D1086" t="inlineStr">
        <is>
          <t>kilogram</t>
        </is>
      </c>
      <c r="E1086" t="inlineStr">
        <is>
          <t>air::non-urban air or from high stacks</t>
        </is>
      </c>
      <c r="F1086" t="inlineStr">
        <is>
          <t>biosphere</t>
        </is>
      </c>
      <c r="G1086" t="n">
        <v>0</v>
      </c>
      <c r="H1086" t="n">
        <v>3.84e-06</v>
      </c>
    </row>
    <row r="1087">
      <c r="A1087" t="inlineStr">
        <is>
          <t>Dioxins, measured as 2,3,7,8-tetrachlorodibenzo-p-dioxin</t>
        </is>
      </c>
      <c r="B1087" t="n">
        <v>4.1925e-14</v>
      </c>
      <c r="D1087" t="inlineStr">
        <is>
          <t>kilogram</t>
        </is>
      </c>
      <c r="E1087" t="inlineStr">
        <is>
          <t>air::non-urban air or from high stacks</t>
        </is>
      </c>
      <c r="F1087" t="inlineStr">
        <is>
          <t>biosphere</t>
        </is>
      </c>
      <c r="G1087" t="n">
        <v>0</v>
      </c>
      <c r="H1087" t="n">
        <v>5.59e-15</v>
      </c>
    </row>
    <row r="1088">
      <c r="A1088" t="inlineStr">
        <is>
          <t>Ethane</t>
        </is>
      </c>
      <c r="B1088" t="n">
        <v>2.4525e-07</v>
      </c>
      <c r="D1088" t="inlineStr">
        <is>
          <t>kilogram</t>
        </is>
      </c>
      <c r="E1088" t="inlineStr">
        <is>
          <t>air::non-urban air or from high stacks</t>
        </is>
      </c>
      <c r="F1088" t="inlineStr">
        <is>
          <t>biosphere</t>
        </is>
      </c>
      <c r="G1088" t="n">
        <v>0</v>
      </c>
      <c r="H1088" t="n">
        <v>3.27e-08</v>
      </c>
    </row>
    <row r="1089">
      <c r="A1089" t="inlineStr">
        <is>
          <t>Formaldehyde</t>
        </is>
      </c>
      <c r="B1089" t="n">
        <v>3.4725e-07</v>
      </c>
      <c r="D1089" t="inlineStr">
        <is>
          <t>kilogram</t>
        </is>
      </c>
      <c r="E1089" t="inlineStr">
        <is>
          <t>air::non-urban air or from high stacks</t>
        </is>
      </c>
      <c r="F1089" t="inlineStr">
        <is>
          <t>biosphere</t>
        </is>
      </c>
      <c r="G1089" t="n">
        <v>0</v>
      </c>
      <c r="H1089" t="n">
        <v>4.63e-08</v>
      </c>
    </row>
    <row r="1090">
      <c r="A1090" t="inlineStr">
        <is>
          <t>Heat, waste</t>
        </is>
      </c>
      <c r="B1090" t="n">
        <v>2.6325</v>
      </c>
      <c r="D1090" t="inlineStr">
        <is>
          <t>megajoule</t>
        </is>
      </c>
      <c r="E1090" t="inlineStr">
        <is>
          <t>air::non-urban air or from high stacks</t>
        </is>
      </c>
      <c r="F1090" t="inlineStr">
        <is>
          <t>biosphere</t>
        </is>
      </c>
      <c r="G1090" t="n">
        <v>0</v>
      </c>
      <c r="H1090" t="n">
        <v>0.351</v>
      </c>
    </row>
    <row r="1091">
      <c r="A1091" t="inlineStr">
        <is>
          <t>Hydrocarbons, aliphatic, alkanes, unspecified</t>
        </is>
      </c>
      <c r="B1091" t="n">
        <v>1.3125e-06</v>
      </c>
      <c r="D1091" t="inlineStr">
        <is>
          <t>kilogram</t>
        </is>
      </c>
      <c r="E1091" t="inlineStr">
        <is>
          <t>air::non-urban air or from high stacks</t>
        </is>
      </c>
      <c r="F1091" t="inlineStr">
        <is>
          <t>biosphere</t>
        </is>
      </c>
      <c r="G1091" t="n">
        <v>0</v>
      </c>
      <c r="H1091" t="n">
        <v>1.75e-07</v>
      </c>
    </row>
    <row r="1092">
      <c r="A1092" t="inlineStr">
        <is>
          <t>Hydrocarbons, aliphatic, unsaturated</t>
        </is>
      </c>
      <c r="B1092" t="n">
        <v>1.29e-06</v>
      </c>
      <c r="D1092" t="inlineStr">
        <is>
          <t>kilogram</t>
        </is>
      </c>
      <c r="E1092" t="inlineStr">
        <is>
          <t>air::non-urban air or from high stacks</t>
        </is>
      </c>
      <c r="F1092" t="inlineStr">
        <is>
          <t>biosphere</t>
        </is>
      </c>
      <c r="G1092" t="n">
        <v>0</v>
      </c>
      <c r="H1092" t="n">
        <v>1.72e-07</v>
      </c>
    </row>
    <row r="1093">
      <c r="A1093" t="inlineStr">
        <is>
          <t>Hydrogen chloride</t>
        </is>
      </c>
      <c r="B1093" t="n">
        <v>1.245e-05</v>
      </c>
      <c r="D1093" t="inlineStr">
        <is>
          <t>kilogram</t>
        </is>
      </c>
      <c r="E1093" t="inlineStr">
        <is>
          <t>air::non-urban air or from high stacks</t>
        </is>
      </c>
      <c r="F1093" t="inlineStr">
        <is>
          <t>biosphere</t>
        </is>
      </c>
      <c r="G1093" t="n">
        <v>0</v>
      </c>
      <c r="H1093" t="n">
        <v>1.66e-06</v>
      </c>
    </row>
    <row r="1094">
      <c r="A1094" t="inlineStr">
        <is>
          <t>Hydrogen fluoride</t>
        </is>
      </c>
      <c r="B1094" t="n">
        <v>7.8e-06</v>
      </c>
      <c r="D1094" t="inlineStr">
        <is>
          <t>kilogram</t>
        </is>
      </c>
      <c r="E1094" t="inlineStr">
        <is>
          <t>air::non-urban air or from high stacks</t>
        </is>
      </c>
      <c r="F1094" t="inlineStr">
        <is>
          <t>biosphere</t>
        </is>
      </c>
      <c r="G1094" t="n">
        <v>0</v>
      </c>
      <c r="H1094" t="n">
        <v>1.04e-06</v>
      </c>
    </row>
    <row r="1095">
      <c r="A1095" t="inlineStr">
        <is>
          <t>Iodine</t>
        </is>
      </c>
      <c r="B1095" t="n">
        <v>1.4175e-07</v>
      </c>
      <c r="D1095" t="inlineStr">
        <is>
          <t>kilogram</t>
        </is>
      </c>
      <c r="E1095" t="inlineStr">
        <is>
          <t>air::non-urban air or from high stacks</t>
        </is>
      </c>
      <c r="F1095" t="inlineStr">
        <is>
          <t>biosphere</t>
        </is>
      </c>
      <c r="G1095" t="n">
        <v>0</v>
      </c>
      <c r="H1095" t="n">
        <v>1.89e-08</v>
      </c>
    </row>
    <row r="1096">
      <c r="A1096" t="inlineStr">
        <is>
          <t>Lead</t>
        </is>
      </c>
      <c r="B1096" t="n">
        <v>3.3075e-08</v>
      </c>
      <c r="D1096" t="inlineStr">
        <is>
          <t>kilogram</t>
        </is>
      </c>
      <c r="E1096" t="inlineStr">
        <is>
          <t>air::non-urban air or from high stacks</t>
        </is>
      </c>
      <c r="F1096" t="inlineStr">
        <is>
          <t>biosphere</t>
        </is>
      </c>
      <c r="G1096" t="n">
        <v>0</v>
      </c>
      <c r="H1096" t="n">
        <v>4.41e-09</v>
      </c>
    </row>
    <row r="1097">
      <c r="A1097" t="inlineStr">
        <is>
          <t>Lead-210</t>
        </is>
      </c>
      <c r="B1097" t="n">
        <v>9.675e-06</v>
      </c>
      <c r="D1097" t="inlineStr">
        <is>
          <t>kilo Becquerel</t>
        </is>
      </c>
      <c r="E1097" t="inlineStr">
        <is>
          <t>air::non-urban air or from high stacks</t>
        </is>
      </c>
      <c r="F1097" t="inlineStr">
        <is>
          <t>biosphere</t>
        </is>
      </c>
      <c r="G1097" t="n">
        <v>0</v>
      </c>
      <c r="H1097" t="n">
        <v>1.29e-06</v>
      </c>
    </row>
    <row r="1098">
      <c r="A1098" t="inlineStr">
        <is>
          <t>Manganese</t>
        </is>
      </c>
      <c r="B1098" t="n">
        <v>7.305e-09</v>
      </c>
      <c r="D1098" t="inlineStr">
        <is>
          <t>kilogram</t>
        </is>
      </c>
      <c r="E1098" t="inlineStr">
        <is>
          <t>air::non-urban air or from high stacks</t>
        </is>
      </c>
      <c r="F1098" t="inlineStr">
        <is>
          <t>biosphere</t>
        </is>
      </c>
      <c r="G1098" t="n">
        <v>0</v>
      </c>
      <c r="H1098" t="n">
        <v>9.739999999999999e-10</v>
      </c>
    </row>
    <row r="1099">
      <c r="A1099" t="inlineStr">
        <is>
          <t>Mercury</t>
        </is>
      </c>
      <c r="B1099" t="n">
        <v>2.4525e-08</v>
      </c>
      <c r="D1099" t="inlineStr">
        <is>
          <t>kilogram</t>
        </is>
      </c>
      <c r="E1099" t="inlineStr">
        <is>
          <t>air::non-urban air or from high stacks</t>
        </is>
      </c>
      <c r="F1099" t="inlineStr">
        <is>
          <t>biosphere</t>
        </is>
      </c>
      <c r="G1099" t="n">
        <v>0</v>
      </c>
      <c r="H1099" t="n">
        <v>3.27e-09</v>
      </c>
    </row>
    <row r="1100">
      <c r="A1100" t="inlineStr">
        <is>
          <t>Methane, fossil</t>
        </is>
      </c>
      <c r="B1100" t="n">
        <v>1.245e-05</v>
      </c>
      <c r="D1100" t="inlineStr">
        <is>
          <t>kilogram</t>
        </is>
      </c>
      <c r="E1100" t="inlineStr">
        <is>
          <t>air::non-urban air or from high stacks</t>
        </is>
      </c>
      <c r="F1100" t="inlineStr">
        <is>
          <t>biosphere</t>
        </is>
      </c>
      <c r="G1100" t="n">
        <v>0</v>
      </c>
      <c r="H1100" t="n">
        <v>1.66e-06</v>
      </c>
    </row>
    <row r="1101">
      <c r="A1101" t="inlineStr">
        <is>
          <t>Molybdenum</t>
        </is>
      </c>
      <c r="B1101" t="n">
        <v>2.1675e-09</v>
      </c>
      <c r="D1101" t="inlineStr">
        <is>
          <t>kilogram</t>
        </is>
      </c>
      <c r="E1101" t="inlineStr">
        <is>
          <t>air::non-urban air or from high stacks</t>
        </is>
      </c>
      <c r="F1101" t="inlineStr">
        <is>
          <t>biosphere</t>
        </is>
      </c>
      <c r="G1101" t="n">
        <v>0</v>
      </c>
      <c r="H1101" t="n">
        <v>2.89e-10</v>
      </c>
    </row>
    <row r="1102">
      <c r="A1102" t="inlineStr">
        <is>
          <t>NMVOC, non-methane volatile organic compounds, unspecified origin</t>
        </is>
      </c>
      <c r="B1102" t="n">
        <v>1.1925e-05</v>
      </c>
      <c r="D1102" t="inlineStr">
        <is>
          <t>kilogram</t>
        </is>
      </c>
      <c r="E1102" t="inlineStr">
        <is>
          <t>air::non-urban air or from high stacks</t>
        </is>
      </c>
      <c r="F1102" t="inlineStr">
        <is>
          <t>biosphere</t>
        </is>
      </c>
      <c r="G1102" t="n">
        <v>0</v>
      </c>
      <c r="H1102" t="n">
        <v>1.59e-06</v>
      </c>
    </row>
    <row r="1103">
      <c r="A1103" t="inlineStr">
        <is>
          <t>Nickel</t>
        </is>
      </c>
      <c r="B1103" t="n">
        <v>1.4925e-08</v>
      </c>
      <c r="D1103" t="inlineStr">
        <is>
          <t>kilogram</t>
        </is>
      </c>
      <c r="E1103" t="inlineStr">
        <is>
          <t>air::non-urban air or from high stacks</t>
        </is>
      </c>
      <c r="F1103" t="inlineStr">
        <is>
          <t>biosphere</t>
        </is>
      </c>
      <c r="G1103" t="n">
        <v>0</v>
      </c>
      <c r="H1103" t="n">
        <v>1.99e-09</v>
      </c>
    </row>
    <row r="1104">
      <c r="A1104" t="inlineStr">
        <is>
          <t>Nitrogen oxides</t>
        </is>
      </c>
      <c r="B1104" t="n">
        <v>9.6e-05</v>
      </c>
      <c r="D1104" t="inlineStr">
        <is>
          <t>kilogram</t>
        </is>
      </c>
      <c r="E1104" t="inlineStr">
        <is>
          <t>air::non-urban air or from high stacks</t>
        </is>
      </c>
      <c r="F1104" t="inlineStr">
        <is>
          <t>biosphere</t>
        </is>
      </c>
      <c r="G1104" t="n">
        <v>0</v>
      </c>
      <c r="H1104" t="n">
        <v>-11.2660653870387</v>
      </c>
      <c r="I1104" t="n">
        <v>0</v>
      </c>
      <c r="K1104" t="inlineStr">
        <is>
          <t>additional reduction: 25% (no retention; less gas burned)</t>
        </is>
      </c>
      <c r="L1104" t="n">
        <v>0</v>
      </c>
    </row>
    <row r="1105">
      <c r="A1105" t="inlineStr">
        <is>
          <t>Occupation, industrial area</t>
        </is>
      </c>
      <c r="B1105" t="n">
        <v>7.500000000000001e-05</v>
      </c>
      <c r="D1105" t="inlineStr">
        <is>
          <t>square meter-year</t>
        </is>
      </c>
      <c r="E1105" t="inlineStr">
        <is>
          <t>natural resource::land</t>
        </is>
      </c>
      <c r="F1105" t="inlineStr">
        <is>
          <t>biosphere</t>
        </is>
      </c>
      <c r="G1105" t="n">
        <v>0</v>
      </c>
      <c r="H1105" t="n">
        <v>1e-05</v>
      </c>
    </row>
    <row r="1106">
      <c r="A1106" t="inlineStr">
        <is>
          <t>Occupation, industrial area</t>
        </is>
      </c>
      <c r="B1106" t="n">
        <v>3.0075e-05</v>
      </c>
      <c r="D1106" t="inlineStr">
        <is>
          <t>square meter-year</t>
        </is>
      </c>
      <c r="E1106" t="inlineStr">
        <is>
          <t>natural resource::land</t>
        </is>
      </c>
      <c r="F1106" t="inlineStr">
        <is>
          <t>biosphere</t>
        </is>
      </c>
      <c r="G1106" t="n">
        <v>0</v>
      </c>
      <c r="H1106" t="n">
        <v>4.01e-06</v>
      </c>
    </row>
    <row r="1107">
      <c r="A1107" t="inlineStr">
        <is>
          <t>Occupation, traffic area, rail network</t>
        </is>
      </c>
      <c r="B1107" t="n">
        <v>7.499999999999999e-06</v>
      </c>
      <c r="D1107" t="inlineStr">
        <is>
          <t>square meter-year</t>
        </is>
      </c>
      <c r="E1107" t="inlineStr">
        <is>
          <t>natural resource::land</t>
        </is>
      </c>
      <c r="F1107" t="inlineStr">
        <is>
          <t>biosphere</t>
        </is>
      </c>
      <c r="G1107" t="n">
        <v>0</v>
      </c>
      <c r="H1107" t="n">
        <v>1e-06</v>
      </c>
    </row>
    <row r="1108">
      <c r="A1108" t="inlineStr">
        <is>
          <t>Occupation, traffic area, road network</t>
        </is>
      </c>
      <c r="B1108" t="n">
        <v>1.5e-05</v>
      </c>
      <c r="D1108" t="inlineStr">
        <is>
          <t>square meter-year</t>
        </is>
      </c>
      <c r="E1108" t="inlineStr">
        <is>
          <t>natural resource::land</t>
        </is>
      </c>
      <c r="F1108" t="inlineStr">
        <is>
          <t>biosphere</t>
        </is>
      </c>
      <c r="G1108" t="n">
        <v>0</v>
      </c>
      <c r="H1108" t="n">
        <v>2e-06</v>
      </c>
    </row>
    <row r="1109">
      <c r="A1109" t="inlineStr">
        <is>
          <t>PAH, polycyclic aromatic hydrocarbons</t>
        </is>
      </c>
      <c r="B1109" t="n">
        <v>5.9775e-09</v>
      </c>
      <c r="D1109" t="inlineStr">
        <is>
          <t>kilogram</t>
        </is>
      </c>
      <c r="E1109" t="inlineStr">
        <is>
          <t>air::non-urban air or from high stacks</t>
        </is>
      </c>
      <c r="F1109" t="inlineStr">
        <is>
          <t>biosphere</t>
        </is>
      </c>
      <c r="G1109" t="n">
        <v>0</v>
      </c>
      <c r="H1109" t="n">
        <v>7.97e-10</v>
      </c>
    </row>
    <row r="1110">
      <c r="A1110" t="inlineStr">
        <is>
          <t>Particulates, &lt; 2.5 um</t>
        </is>
      </c>
      <c r="B1110" t="n">
        <v>0</v>
      </c>
      <c r="D1110" t="inlineStr">
        <is>
          <t>kilogram</t>
        </is>
      </c>
      <c r="E1110" t="inlineStr">
        <is>
          <t>air</t>
        </is>
      </c>
      <c r="F1110" t="inlineStr">
        <is>
          <t>biosphere</t>
        </is>
      </c>
      <c r="G1110" t="n">
        <v>0</v>
      </c>
      <c r="H1110" t="n">
        <v>0</v>
      </c>
      <c r="K1110" t="inlineStr">
        <is>
          <t>additional reduction: 0%</t>
        </is>
      </c>
    </row>
    <row r="1111">
      <c r="A1111" t="inlineStr">
        <is>
          <t>Particulates, &gt; 10 um</t>
        </is>
      </c>
      <c r="B1111" t="n">
        <v>0</v>
      </c>
      <c r="D1111" t="inlineStr">
        <is>
          <t>kilogram</t>
        </is>
      </c>
      <c r="E1111" t="inlineStr">
        <is>
          <t>air</t>
        </is>
      </c>
      <c r="F1111" t="inlineStr">
        <is>
          <t>biosphere</t>
        </is>
      </c>
      <c r="G1111" t="n">
        <v>0</v>
      </c>
      <c r="H1111" t="n">
        <v>0</v>
      </c>
      <c r="K1111" t="inlineStr">
        <is>
          <t>additional reduction: 0%</t>
        </is>
      </c>
    </row>
    <row r="1112">
      <c r="A1112" t="inlineStr">
        <is>
          <t>Particulates, &gt; 2.5 um, and &lt; 10um</t>
        </is>
      </c>
      <c r="B1112" t="n">
        <v>0</v>
      </c>
      <c r="D1112" t="inlineStr">
        <is>
          <t>kilogram</t>
        </is>
      </c>
      <c r="E1112" t="inlineStr">
        <is>
          <t>air</t>
        </is>
      </c>
      <c r="F1112" t="inlineStr">
        <is>
          <t>biosphere</t>
        </is>
      </c>
      <c r="G1112" t="n">
        <v>0</v>
      </c>
      <c r="H1112" t="n">
        <v>0</v>
      </c>
      <c r="K1112" t="inlineStr">
        <is>
          <t>additional reduction: 0%</t>
        </is>
      </c>
    </row>
    <row r="1113">
      <c r="A1113" t="inlineStr">
        <is>
          <t>Pentane</t>
        </is>
      </c>
      <c r="B1113" t="n">
        <v>8.775000000000001e-07</v>
      </c>
      <c r="D1113" t="inlineStr">
        <is>
          <t>kilogram</t>
        </is>
      </c>
      <c r="E1113" t="inlineStr">
        <is>
          <t>air::non-urban air or from high stacks</t>
        </is>
      </c>
      <c r="F1113" t="inlineStr">
        <is>
          <t>biosphere</t>
        </is>
      </c>
      <c r="G1113" t="n">
        <v>0</v>
      </c>
      <c r="H1113" t="n">
        <v>1.17e-07</v>
      </c>
    </row>
    <row r="1114">
      <c r="A1114" t="inlineStr">
        <is>
          <t>Polonium-210</t>
        </is>
      </c>
      <c r="B1114" t="n">
        <v>1.7625e-05</v>
      </c>
      <c r="D1114" t="inlineStr">
        <is>
          <t>kilo Becquerel</t>
        </is>
      </c>
      <c r="E1114" t="inlineStr">
        <is>
          <t>air::non-urban air or from high stacks</t>
        </is>
      </c>
      <c r="F1114" t="inlineStr">
        <is>
          <t>biosphere</t>
        </is>
      </c>
      <c r="G1114" t="n">
        <v>0</v>
      </c>
      <c r="H1114" t="n">
        <v>2.35e-06</v>
      </c>
    </row>
    <row r="1115">
      <c r="A1115" t="inlineStr">
        <is>
          <t>Potassium-40</t>
        </is>
      </c>
      <c r="B1115" t="n">
        <v>1.2675e-05</v>
      </c>
      <c r="D1115" t="inlineStr">
        <is>
          <t>kilo Becquerel</t>
        </is>
      </c>
      <c r="E1115" t="inlineStr">
        <is>
          <t>air::non-urban air or from high stacks</t>
        </is>
      </c>
      <c r="F1115" t="inlineStr">
        <is>
          <t>biosphere</t>
        </is>
      </c>
      <c r="G1115" t="n">
        <v>0</v>
      </c>
      <c r="H1115" t="n">
        <v>1.69e-06</v>
      </c>
    </row>
    <row r="1116">
      <c r="A1116" t="inlineStr">
        <is>
          <t>Propane</t>
        </is>
      </c>
      <c r="B1116" t="n">
        <v>2.0925e-07</v>
      </c>
      <c r="D1116" t="inlineStr">
        <is>
          <t>kilogram</t>
        </is>
      </c>
      <c r="E1116" t="inlineStr">
        <is>
          <t>air::non-urban air or from high stacks</t>
        </is>
      </c>
      <c r="F1116" t="inlineStr">
        <is>
          <t>biosphere</t>
        </is>
      </c>
      <c r="G1116" t="n">
        <v>0</v>
      </c>
      <c r="H1116" t="n">
        <v>2.79e-08</v>
      </c>
    </row>
    <row r="1117">
      <c r="A1117" t="inlineStr">
        <is>
          <t>Propene</t>
        </is>
      </c>
      <c r="B1117" t="n">
        <v>9.6e-08</v>
      </c>
      <c r="D1117" t="inlineStr">
        <is>
          <t>kilogram</t>
        </is>
      </c>
      <c r="E1117" t="inlineStr">
        <is>
          <t>air::non-urban air or from high stacks</t>
        </is>
      </c>
      <c r="F1117" t="inlineStr">
        <is>
          <t>biosphere</t>
        </is>
      </c>
      <c r="G1117" t="n">
        <v>0</v>
      </c>
      <c r="H1117" t="n">
        <v>1.28e-08</v>
      </c>
    </row>
    <row r="1118">
      <c r="A1118" t="inlineStr">
        <is>
          <t>Radium-226</t>
        </is>
      </c>
      <c r="B1118" t="n">
        <v>2.4825e-06</v>
      </c>
      <c r="D1118" t="inlineStr">
        <is>
          <t>kilo Becquerel</t>
        </is>
      </c>
      <c r="E1118" t="inlineStr">
        <is>
          <t>air::non-urban air or from high stacks</t>
        </is>
      </c>
      <c r="F1118" t="inlineStr">
        <is>
          <t>biosphere</t>
        </is>
      </c>
      <c r="G1118" t="n">
        <v>0</v>
      </c>
      <c r="H1118" t="n">
        <v>3.31e-07</v>
      </c>
    </row>
    <row r="1119">
      <c r="A1119" t="inlineStr">
        <is>
          <t>Radium-228</t>
        </is>
      </c>
      <c r="B1119" t="n">
        <v>1.2675e-06</v>
      </c>
      <c r="D1119" t="inlineStr">
        <is>
          <t>kilo Becquerel</t>
        </is>
      </c>
      <c r="E1119" t="inlineStr">
        <is>
          <t>air::non-urban air or from high stacks</t>
        </is>
      </c>
      <c r="F1119" t="inlineStr">
        <is>
          <t>biosphere</t>
        </is>
      </c>
      <c r="G1119" t="n">
        <v>0</v>
      </c>
      <c r="H1119" t="n">
        <v>1.69e-07</v>
      </c>
    </row>
    <row r="1120">
      <c r="A1120" t="inlineStr">
        <is>
          <t>Selenium</t>
        </is>
      </c>
      <c r="B1120" t="n">
        <v>3.2625e-08</v>
      </c>
      <c r="D1120" t="inlineStr">
        <is>
          <t>kilogram</t>
        </is>
      </c>
      <c r="E1120" t="inlineStr">
        <is>
          <t>air::non-urban air or from high stacks</t>
        </is>
      </c>
      <c r="F1120" t="inlineStr">
        <is>
          <t>biosphere</t>
        </is>
      </c>
      <c r="G1120" t="n">
        <v>0</v>
      </c>
      <c r="H1120" t="n">
        <v>4.35e-09</v>
      </c>
    </row>
    <row r="1121">
      <c r="A1121" t="inlineStr">
        <is>
          <t>Strontium</t>
        </is>
      </c>
      <c r="B1121" t="n">
        <v>4.275e-09</v>
      </c>
      <c r="D1121" t="inlineStr">
        <is>
          <t>kilogram</t>
        </is>
      </c>
      <c r="E1121" t="inlineStr">
        <is>
          <t>air::non-urban air or from high stacks</t>
        </is>
      </c>
      <c r="F1121" t="inlineStr">
        <is>
          <t>biosphere</t>
        </is>
      </c>
      <c r="G1121" t="n">
        <v>0</v>
      </c>
      <c r="H1121" t="n">
        <v>5.7e-10</v>
      </c>
    </row>
    <row r="1122">
      <c r="A1122" t="inlineStr">
        <is>
          <t>Sulfur dioxide</t>
        </is>
      </c>
      <c r="B1122" t="n">
        <v>3.8625e-05</v>
      </c>
      <c r="D1122" t="inlineStr">
        <is>
          <t>kilogram</t>
        </is>
      </c>
      <c r="E1122" t="inlineStr">
        <is>
          <t>air::non-urban air or from high stacks</t>
        </is>
      </c>
      <c r="F1122" t="inlineStr">
        <is>
          <t>biosphere</t>
        </is>
      </c>
      <c r="G1122" t="n">
        <v>0</v>
      </c>
      <c r="H1122" t="n">
        <v>-12.17651384328863</v>
      </c>
      <c r="I1122" t="n">
        <v>0</v>
      </c>
      <c r="K1122" t="inlineStr">
        <is>
          <t>additional reduction: 10%</t>
        </is>
      </c>
      <c r="L1122" t="n">
        <v>0</v>
      </c>
    </row>
    <row r="1123">
      <c r="A1123" t="inlineStr">
        <is>
          <t>Thorium-228</t>
        </is>
      </c>
      <c r="B1123" t="n">
        <v>6.824999999999999e-07</v>
      </c>
      <c r="D1123" t="inlineStr">
        <is>
          <t>kilo Becquerel</t>
        </is>
      </c>
      <c r="E1123" t="inlineStr">
        <is>
          <t>air::non-urban air or from high stacks</t>
        </is>
      </c>
      <c r="F1123" t="inlineStr">
        <is>
          <t>biosphere</t>
        </is>
      </c>
      <c r="G1123" t="n">
        <v>0</v>
      </c>
      <c r="H1123" t="n">
        <v>9.099999999999999e-08</v>
      </c>
    </row>
    <row r="1124">
      <c r="A1124" t="inlineStr">
        <is>
          <t>Thorium-232</t>
        </is>
      </c>
      <c r="B1124" t="n">
        <v>1.0725e-06</v>
      </c>
      <c r="D1124" t="inlineStr">
        <is>
          <t>kilo Becquerel</t>
        </is>
      </c>
      <c r="E1124" t="inlineStr">
        <is>
          <t>air::non-urban air or from high stacks</t>
        </is>
      </c>
      <c r="F1124" t="inlineStr">
        <is>
          <t>biosphere</t>
        </is>
      </c>
      <c r="G1124" t="n">
        <v>0</v>
      </c>
      <c r="H1124" t="n">
        <v>1.43e-07</v>
      </c>
    </row>
    <row r="1125">
      <c r="A1125" t="inlineStr">
        <is>
          <t>Toluene</t>
        </is>
      </c>
      <c r="B1125" t="n">
        <v>6.525e-07</v>
      </c>
      <c r="D1125" t="inlineStr">
        <is>
          <t>kilogram</t>
        </is>
      </c>
      <c r="E1125" t="inlineStr">
        <is>
          <t>air::non-urban air or from high stacks</t>
        </is>
      </c>
      <c r="F1125" t="inlineStr">
        <is>
          <t>biosphere</t>
        </is>
      </c>
      <c r="G1125" t="n">
        <v>0</v>
      </c>
      <c r="H1125" t="n">
        <v>8.7e-08</v>
      </c>
    </row>
    <row r="1126">
      <c r="A1126" t="inlineStr">
        <is>
          <t>Uranium-238</t>
        </is>
      </c>
      <c r="B1126" t="n">
        <v>2.07e-06</v>
      </c>
      <c r="D1126" t="inlineStr">
        <is>
          <t>kilo Becquerel</t>
        </is>
      </c>
      <c r="E1126" t="inlineStr">
        <is>
          <t>air::non-urban air or from high stacks</t>
        </is>
      </c>
      <c r="F1126" t="inlineStr">
        <is>
          <t>biosphere</t>
        </is>
      </c>
      <c r="G1126" t="n">
        <v>0</v>
      </c>
      <c r="H1126" t="n">
        <v>2.76e-07</v>
      </c>
    </row>
    <row r="1127">
      <c r="A1127" t="inlineStr">
        <is>
          <t>Vanadium</t>
        </is>
      </c>
      <c r="B1127" t="n">
        <v>3.9075e-09</v>
      </c>
      <c r="D1127" t="inlineStr">
        <is>
          <t>kilogram</t>
        </is>
      </c>
      <c r="E1127" t="inlineStr">
        <is>
          <t>air::non-urban air or from high stacks</t>
        </is>
      </c>
      <c r="F1127" t="inlineStr">
        <is>
          <t>biosphere</t>
        </is>
      </c>
      <c r="G1127" t="n">
        <v>0</v>
      </c>
      <c r="H1127" t="n">
        <v>5.21e-10</v>
      </c>
    </row>
    <row r="1128">
      <c r="A1128" t="inlineStr">
        <is>
          <t>Xylene</t>
        </is>
      </c>
      <c r="B1128" t="n">
        <v>5.512499999999999e-06</v>
      </c>
      <c r="D1128" t="inlineStr">
        <is>
          <t>kilogram</t>
        </is>
      </c>
      <c r="E1128" t="inlineStr">
        <is>
          <t>air::non-urban air or from high stacks</t>
        </is>
      </c>
      <c r="F1128" t="inlineStr">
        <is>
          <t>biosphere</t>
        </is>
      </c>
      <c r="G1128" t="n">
        <v>0</v>
      </c>
      <c r="H1128" t="n">
        <v>7.35e-07</v>
      </c>
    </row>
    <row r="1129">
      <c r="A1129" t="inlineStr">
        <is>
          <t>Zinc</t>
        </is>
      </c>
      <c r="B1129" t="n">
        <v>2.4525e-08</v>
      </c>
      <c r="D1129" t="inlineStr">
        <is>
          <t>kilogram</t>
        </is>
      </c>
      <c r="E1129" t="inlineStr">
        <is>
          <t>air::non-urban air or from high stacks</t>
        </is>
      </c>
      <c r="F1129" t="inlineStr">
        <is>
          <t>biosphere</t>
        </is>
      </c>
      <c r="G1129" t="n">
        <v>0</v>
      </c>
      <c r="H1129" t="n">
        <v>3.27e-09</v>
      </c>
    </row>
    <row r="1130">
      <c r="A1130" t="inlineStr">
        <is>
          <t>aluminium, ingot, primary, import from Rest of Europe</t>
        </is>
      </c>
      <c r="B1130" t="n">
        <v>1.5675e-08</v>
      </c>
      <c r="C1130" t="inlineStr">
        <is>
          <t>IAI Area, EU27 &amp; EFTA</t>
        </is>
      </c>
      <c r="D1130" t="inlineStr">
        <is>
          <t>kilogram</t>
        </is>
      </c>
      <c r="E1130" t="inlineStr">
        <is>
          <t>Materials/fuels</t>
        </is>
      </c>
      <c r="F1130" t="inlineStr">
        <is>
          <t>technosphere</t>
        </is>
      </c>
      <c r="G1130" t="n">
        <v>0</v>
      </c>
      <c r="H1130" t="n">
        <v>2.09e-09</v>
      </c>
      <c r="M1130" t="inlineStr">
        <is>
          <t>aluminium, primary, ingot</t>
        </is>
      </c>
    </row>
    <row r="1131">
      <c r="A1131" t="inlineStr">
        <is>
          <t>heat production, heavy fuel oil, at industrial furnace 1MW</t>
        </is>
      </c>
      <c r="B1131" t="n">
        <v>0.000735</v>
      </c>
      <c r="C1131" t="inlineStr">
        <is>
          <t>Europe without Switzerland</t>
        </is>
      </c>
      <c r="D1131" t="inlineStr">
        <is>
          <t>megajoule</t>
        </is>
      </c>
      <c r="E1131" t="inlineStr">
        <is>
          <t>Materials/fuels</t>
        </is>
      </c>
      <c r="F1131" t="inlineStr">
        <is>
          <t>technosphere</t>
        </is>
      </c>
      <c r="G1131" t="n">
        <v>0</v>
      </c>
      <c r="H1131" t="n">
        <v>9.8e-05</v>
      </c>
      <c r="M1131" t="inlineStr">
        <is>
          <t>heat, district or industrial, other than natural gas</t>
        </is>
      </c>
    </row>
    <row r="1132">
      <c r="A1132" t="inlineStr">
        <is>
          <t>lime production, milled, loose</t>
        </is>
      </c>
      <c r="B1132" t="n">
        <v>0.012</v>
      </c>
      <c r="C1132" t="inlineStr">
        <is>
          <t>CH</t>
        </is>
      </c>
      <c r="D1132" t="inlineStr">
        <is>
          <t>kilogram</t>
        </is>
      </c>
      <c r="E1132" t="inlineStr">
        <is>
          <t>Materials/fuels</t>
        </is>
      </c>
      <c r="F1132" t="inlineStr">
        <is>
          <t>technosphere</t>
        </is>
      </c>
      <c r="G1132" t="n">
        <v>0</v>
      </c>
      <c r="H1132" t="n">
        <v>0.0016</v>
      </c>
      <c r="M1132" t="inlineStr">
        <is>
          <t>lime</t>
        </is>
      </c>
    </row>
    <row r="1133">
      <c r="A1133" t="inlineStr">
        <is>
          <t>market for NOx retained, by selective catalytic reduction</t>
        </is>
      </c>
      <c r="B1133" t="n">
        <v>0</v>
      </c>
      <c r="C1133" t="inlineStr">
        <is>
          <t>GLO</t>
        </is>
      </c>
      <c r="D1133" t="inlineStr">
        <is>
          <t>kilogram</t>
        </is>
      </c>
      <c r="E1133" t="inlineStr">
        <is>
          <t>Materials/fuels</t>
        </is>
      </c>
      <c r="F1133" t="inlineStr">
        <is>
          <t>technosphere</t>
        </is>
      </c>
      <c r="G1133" t="n">
        <v>0</v>
      </c>
      <c r="H1133" t="n">
        <v>0</v>
      </c>
      <c r="K1133" t="inlineStr">
        <is>
          <t>no initial reduction (no NOx formed in the reducing environment of gasification); additional reduction: 25% (no retention; less gas burned)</t>
        </is>
      </c>
      <c r="M1133" t="inlineStr">
        <is>
          <t>NOx retained, by selective catalytic reduction</t>
        </is>
      </c>
    </row>
    <row r="1134">
      <c r="A1134" t="inlineStr">
        <is>
          <t>market for SOx retained, in hard coal flue gas desulfurisation</t>
        </is>
      </c>
      <c r="B1134" t="n">
        <v>4.2975e-06</v>
      </c>
      <c r="C1134" t="inlineStr">
        <is>
          <t>RER</t>
        </is>
      </c>
      <c r="D1134" t="inlineStr">
        <is>
          <t>kilogram</t>
        </is>
      </c>
      <c r="E1134" t="inlineStr">
        <is>
          <t>Materials/fuels</t>
        </is>
      </c>
      <c r="F1134" t="inlineStr">
        <is>
          <t>technosphere</t>
        </is>
      </c>
      <c r="G1134" t="n">
        <v>0</v>
      </c>
      <c r="H1134" t="n">
        <v>5.73e-07</v>
      </c>
      <c r="K1134" t="inlineStr">
        <is>
          <t>no initial reduction (S is present as hydrogenS); additional reduction: 10%</t>
        </is>
      </c>
      <c r="M1134" t="inlineStr">
        <is>
          <t>SOx retained, in hard coal flue gas desulfurisation</t>
        </is>
      </c>
    </row>
    <row r="1135">
      <c r="A1135" t="inlineStr">
        <is>
          <t>market for ammonia, liquid</t>
        </is>
      </c>
      <c r="B1135" t="n">
        <v>2.97e-06</v>
      </c>
      <c r="C1135" t="inlineStr">
        <is>
          <t>RER</t>
        </is>
      </c>
      <c r="D1135" t="inlineStr">
        <is>
          <t>kilogram</t>
        </is>
      </c>
      <c r="E1135" t="inlineStr">
        <is>
          <t>Materials/fuels</t>
        </is>
      </c>
      <c r="F1135" t="inlineStr">
        <is>
          <t>technosphere</t>
        </is>
      </c>
      <c r="G1135" t="n">
        <v>0</v>
      </c>
      <c r="H1135" t="n">
        <v>3.96e-07</v>
      </c>
      <c r="M1135" t="inlineStr">
        <is>
          <t>ammonia, liquid</t>
        </is>
      </c>
    </row>
    <row r="1136">
      <c r="A1136" t="inlineStr">
        <is>
          <t>market for calcium chloride</t>
        </is>
      </c>
      <c r="B1136" t="n">
        <v>7.47e-05</v>
      </c>
      <c r="C1136" t="inlineStr">
        <is>
          <t>RER</t>
        </is>
      </c>
      <c r="D1136" t="inlineStr">
        <is>
          <t>kilogram</t>
        </is>
      </c>
      <c r="E1136" t="inlineStr">
        <is>
          <t>Materials/fuels</t>
        </is>
      </c>
      <c r="F1136" t="inlineStr">
        <is>
          <t>technosphere</t>
        </is>
      </c>
      <c r="G1136" t="n">
        <v>0</v>
      </c>
      <c r="H1136" t="n">
        <v>9.96e-06</v>
      </c>
      <c r="M1136" t="inlineStr">
        <is>
          <t>calcium chloride</t>
        </is>
      </c>
    </row>
    <row r="1137">
      <c r="A1137" t="inlineStr">
        <is>
          <t>market for cast iron</t>
        </is>
      </c>
      <c r="B1137" t="n">
        <v>1.395e-06</v>
      </c>
      <c r="C1137" t="inlineStr">
        <is>
          <t>GLO</t>
        </is>
      </c>
      <c r="D1137" t="inlineStr">
        <is>
          <t>kilogram</t>
        </is>
      </c>
      <c r="E1137" t="inlineStr">
        <is>
          <t>Materials/fuels</t>
        </is>
      </c>
      <c r="F1137" t="inlineStr">
        <is>
          <t>technosphere</t>
        </is>
      </c>
      <c r="G1137" t="n">
        <v>0</v>
      </c>
      <c r="H1137" t="n">
        <v>1.86e-07</v>
      </c>
      <c r="M1137" t="inlineStr">
        <is>
          <t>cast iron</t>
        </is>
      </c>
    </row>
    <row r="1138">
      <c r="A1138" t="inlineStr">
        <is>
          <t>market for chemicals, inorganic</t>
        </is>
      </c>
      <c r="B1138" t="n">
        <v>4.7925e-05</v>
      </c>
      <c r="C1138" t="inlineStr">
        <is>
          <t>GLO</t>
        </is>
      </c>
      <c r="D1138" t="inlineStr">
        <is>
          <t>kilogram</t>
        </is>
      </c>
      <c r="E1138" t="inlineStr">
        <is>
          <t>Materials/fuels</t>
        </is>
      </c>
      <c r="F1138" t="inlineStr">
        <is>
          <t>technosphere</t>
        </is>
      </c>
      <c r="G1138" t="n">
        <v>0</v>
      </c>
      <c r="H1138" t="n">
        <v>6.39e-06</v>
      </c>
      <c r="M1138" t="inlineStr">
        <is>
          <t>chemical, inorganic</t>
        </is>
      </c>
    </row>
    <row r="1139">
      <c r="A1139" t="inlineStr">
        <is>
          <t>market for copper</t>
        </is>
      </c>
      <c r="B1139" t="n">
        <v>2.2875e-07</v>
      </c>
      <c r="C1139" t="inlineStr">
        <is>
          <t>GLO</t>
        </is>
      </c>
      <c r="D1139" t="inlineStr">
        <is>
          <t>kilogram</t>
        </is>
      </c>
      <c r="E1139" t="inlineStr">
        <is>
          <t>Materials/fuels</t>
        </is>
      </c>
      <c r="F1139" t="inlineStr">
        <is>
          <t>technosphere</t>
        </is>
      </c>
      <c r="G1139" t="n">
        <v>0</v>
      </c>
      <c r="H1139" t="n">
        <v>3.05e-08</v>
      </c>
      <c r="M1139" t="inlineStr">
        <is>
          <t>copper</t>
        </is>
      </c>
    </row>
    <row r="1140">
      <c r="A1140" t="inlineStr">
        <is>
          <t>market for lead</t>
        </is>
      </c>
      <c r="B1140" t="n">
        <v>1.845e-09</v>
      </c>
      <c r="C1140" t="inlineStr">
        <is>
          <t>GLO</t>
        </is>
      </c>
      <c r="D1140" t="inlineStr">
        <is>
          <t>kilogram</t>
        </is>
      </c>
      <c r="E1140" t="inlineStr">
        <is>
          <t>Materials/fuels</t>
        </is>
      </c>
      <c r="F1140" t="inlineStr">
        <is>
          <t>technosphere</t>
        </is>
      </c>
      <c r="G1140" t="n">
        <v>0</v>
      </c>
      <c r="H1140" t="n">
        <v>2.46e-10</v>
      </c>
      <c r="M1140" t="inlineStr">
        <is>
          <t>lead</t>
        </is>
      </c>
    </row>
    <row r="1141">
      <c r="A1141" t="inlineStr">
        <is>
          <t>market for lubricating oil</t>
        </is>
      </c>
      <c r="B1141" t="n">
        <v>2.025e-05</v>
      </c>
      <c r="C1141" t="inlineStr">
        <is>
          <t>RER</t>
        </is>
      </c>
      <c r="D1141" t="inlineStr">
        <is>
          <t>kilogram</t>
        </is>
      </c>
      <c r="E1141" t="inlineStr">
        <is>
          <t>Materials/fuels</t>
        </is>
      </c>
      <c r="F1141" t="inlineStr">
        <is>
          <t>technosphere</t>
        </is>
      </c>
      <c r="G1141" t="n">
        <v>0</v>
      </c>
      <c r="H1141" t="n">
        <v>2.7e-06</v>
      </c>
      <c r="M1141" t="inlineStr">
        <is>
          <t>lubricating oil</t>
        </is>
      </c>
    </row>
    <row r="1142">
      <c r="A1142" t="inlineStr">
        <is>
          <t>market for monoethanolamine</t>
        </is>
      </c>
      <c r="B1142" t="n">
        <v>3.884999999999999e-06</v>
      </c>
      <c r="C1142" t="inlineStr">
        <is>
          <t>GLO</t>
        </is>
      </c>
      <c r="D1142" t="inlineStr">
        <is>
          <t>kilogram</t>
        </is>
      </c>
      <c r="E1142" t="inlineStr">
        <is>
          <t>Materials/fuels</t>
        </is>
      </c>
      <c r="F1142" t="inlineStr">
        <is>
          <t>technosphere</t>
        </is>
      </c>
      <c r="G1142" t="n">
        <v>0</v>
      </c>
      <c r="H1142" t="n">
        <v>5.18e-07</v>
      </c>
      <c r="M1142" t="inlineStr">
        <is>
          <t>monoethanolamine</t>
        </is>
      </c>
    </row>
    <row r="1143">
      <c r="A1143" t="inlineStr">
        <is>
          <t>market for polyvinylfluoride</t>
        </is>
      </c>
      <c r="B1143" t="n">
        <v>5.22e-08</v>
      </c>
      <c r="C1143" t="inlineStr">
        <is>
          <t>GLO</t>
        </is>
      </c>
      <c r="D1143" t="inlineStr">
        <is>
          <t>kilogram</t>
        </is>
      </c>
      <c r="E1143" t="inlineStr">
        <is>
          <t>Materials/fuels</t>
        </is>
      </c>
      <c r="F1143" t="inlineStr">
        <is>
          <t>technosphere</t>
        </is>
      </c>
      <c r="G1143" t="n">
        <v>0</v>
      </c>
      <c r="H1143" t="n">
        <v>6.96e-09</v>
      </c>
      <c r="M1143" t="inlineStr">
        <is>
          <t>polyvinylfluoride</t>
        </is>
      </c>
    </row>
    <row r="1144">
      <c r="A1144" t="inlineStr">
        <is>
          <t>market for sodium hydroxide, without water, in 50% solution state</t>
        </is>
      </c>
      <c r="B1144" t="n">
        <v>0.000432</v>
      </c>
      <c r="C1144" t="inlineStr">
        <is>
          <t>GLO</t>
        </is>
      </c>
      <c r="D1144" t="inlineStr">
        <is>
          <t>kilogram</t>
        </is>
      </c>
      <c r="E1144" t="inlineStr">
        <is>
          <t>Materials/fuels</t>
        </is>
      </c>
      <c r="F1144" t="inlineStr">
        <is>
          <t>technosphere</t>
        </is>
      </c>
      <c r="G1144" t="n">
        <v>0</v>
      </c>
      <c r="H1144" t="n">
        <v>5.76e-05</v>
      </c>
      <c r="M1144" t="inlineStr">
        <is>
          <t>sodium hydroxide, without water, in 50% solution state</t>
        </is>
      </c>
    </row>
    <row r="1145">
      <c r="A1145" t="inlineStr">
        <is>
          <t>market for sodium hypochlorite, without water, in 15% solution state</t>
        </is>
      </c>
      <c r="B1145" t="n">
        <v>4.11e-05</v>
      </c>
      <c r="C1145" t="inlineStr">
        <is>
          <t>RER</t>
        </is>
      </c>
      <c r="D1145" t="inlineStr">
        <is>
          <t>kilogram</t>
        </is>
      </c>
      <c r="E1145" t="inlineStr">
        <is>
          <t>Materials/fuels</t>
        </is>
      </c>
      <c r="F1145" t="inlineStr">
        <is>
          <t>technosphere</t>
        </is>
      </c>
      <c r="G1145" t="n">
        <v>0</v>
      </c>
      <c r="H1145" t="n">
        <v>5.48e-06</v>
      </c>
      <c r="M1145" t="inlineStr">
        <is>
          <t>sodium hypochlorite, without water, in 15% solution state</t>
        </is>
      </c>
    </row>
    <row r="1146">
      <c r="A1146" t="inlineStr">
        <is>
          <t>market for stone wool</t>
        </is>
      </c>
      <c r="B1146" t="n">
        <v>4.785e-08</v>
      </c>
      <c r="C1146" t="inlineStr">
        <is>
          <t>GLO</t>
        </is>
      </c>
      <c r="D1146" t="inlineStr">
        <is>
          <t>kilogram</t>
        </is>
      </c>
      <c r="E1146" t="inlineStr">
        <is>
          <t>Materials/fuels</t>
        </is>
      </c>
      <c r="F1146" t="inlineStr">
        <is>
          <t>technosphere</t>
        </is>
      </c>
      <c r="G1146" t="n">
        <v>0</v>
      </c>
      <c r="H1146" t="n">
        <v>6.38e-09</v>
      </c>
      <c r="M1146" t="inlineStr">
        <is>
          <t>stone wool</t>
        </is>
      </c>
    </row>
    <row r="1147">
      <c r="A1147" t="inlineStr">
        <is>
          <t>market for sulfuric acid</t>
        </is>
      </c>
      <c r="B1147" t="n">
        <v>0.00019875</v>
      </c>
      <c r="C1147" t="inlineStr">
        <is>
          <t>RER</t>
        </is>
      </c>
      <c r="D1147" t="inlineStr">
        <is>
          <t>kilogram</t>
        </is>
      </c>
      <c r="E1147" t="inlineStr">
        <is>
          <t>Materials/fuels</t>
        </is>
      </c>
      <c r="F1147" t="inlineStr">
        <is>
          <t>technosphere</t>
        </is>
      </c>
      <c r="G1147" t="n">
        <v>0</v>
      </c>
      <c r="H1147" t="n">
        <v>2.65e-05</v>
      </c>
      <c r="M1147" t="inlineStr">
        <is>
          <t>sulfuric acid</t>
        </is>
      </c>
    </row>
    <row r="1148">
      <c r="A1148" t="inlineStr">
        <is>
          <t>market for transport, freight, lorry, unspecified</t>
        </is>
      </c>
      <c r="B1148" t="n">
        <v>0.000543</v>
      </c>
      <c r="C1148" t="inlineStr">
        <is>
          <t>RER</t>
        </is>
      </c>
      <c r="D1148" t="inlineStr">
        <is>
          <t>ton kilometer</t>
        </is>
      </c>
      <c r="E1148" t="inlineStr">
        <is>
          <t>Materials/fuels</t>
        </is>
      </c>
      <c r="F1148" t="inlineStr">
        <is>
          <t>technosphere</t>
        </is>
      </c>
      <c r="G1148" t="n">
        <v>0</v>
      </c>
      <c r="H1148" t="n">
        <v>7.24e-05</v>
      </c>
      <c r="M1148" t="inlineStr">
        <is>
          <t>transport, freight, lorry, unspecified</t>
        </is>
      </c>
    </row>
    <row r="1149">
      <c r="A1149" t="inlineStr">
        <is>
          <t>polyethylene production, low density, granulate</t>
        </is>
      </c>
      <c r="B1149" t="n">
        <v>4.4775e-09</v>
      </c>
      <c r="C1149" t="inlineStr">
        <is>
          <t>RER</t>
        </is>
      </c>
      <c r="D1149" t="inlineStr">
        <is>
          <t>kilogram</t>
        </is>
      </c>
      <c r="E1149" t="inlineStr">
        <is>
          <t>Materials/fuels</t>
        </is>
      </c>
      <c r="F1149" t="inlineStr">
        <is>
          <t>technosphere</t>
        </is>
      </c>
      <c r="G1149" t="n">
        <v>0</v>
      </c>
      <c r="H1149" t="n">
        <v>5.97e-10</v>
      </c>
      <c r="M1149" t="inlineStr">
        <is>
          <t>polyethylene, low density, granulate</t>
        </is>
      </c>
    </row>
    <row r="1150">
      <c r="A1150" t="inlineStr">
        <is>
          <t>polypropylene production, granulate</t>
        </is>
      </c>
      <c r="B1150" t="n">
        <v>2.2425e-09</v>
      </c>
      <c r="C1150" t="inlineStr">
        <is>
          <t>RER</t>
        </is>
      </c>
      <c r="D1150" t="inlineStr">
        <is>
          <t>kilogram</t>
        </is>
      </c>
      <c r="E1150" t="inlineStr">
        <is>
          <t>Materials/fuels</t>
        </is>
      </c>
      <c r="F1150" t="inlineStr">
        <is>
          <t>technosphere</t>
        </is>
      </c>
      <c r="G1150" t="n">
        <v>0</v>
      </c>
      <c r="H1150" t="n">
        <v>2.99e-10</v>
      </c>
      <c r="M1150" t="inlineStr">
        <is>
          <t>polypropylene, granulate</t>
        </is>
      </c>
    </row>
    <row r="1151">
      <c r="A1151" t="inlineStr">
        <is>
          <t>polystyrene production, high impact</t>
        </is>
      </c>
      <c r="B1151" t="n">
        <v>1.5675e-08</v>
      </c>
      <c r="C1151" t="inlineStr">
        <is>
          <t>RER</t>
        </is>
      </c>
      <c r="D1151" t="inlineStr">
        <is>
          <t>kilogram</t>
        </is>
      </c>
      <c r="E1151" t="inlineStr">
        <is>
          <t>Materials/fuels</t>
        </is>
      </c>
      <c r="F1151" t="inlineStr">
        <is>
          <t>technosphere</t>
        </is>
      </c>
      <c r="G1151" t="n">
        <v>0</v>
      </c>
      <c r="H1151" t="n">
        <v>2.09e-09</v>
      </c>
      <c r="M1151" t="inlineStr">
        <is>
          <t>polystyrene, high impact</t>
        </is>
      </c>
    </row>
    <row r="1152">
      <c r="A1152" t="inlineStr">
        <is>
          <t>primary zinc production from concentrate</t>
        </is>
      </c>
      <c r="B1152" t="n">
        <v>5.992500000000001e-09</v>
      </c>
      <c r="C1152" t="inlineStr">
        <is>
          <t>RoW</t>
        </is>
      </c>
      <c r="D1152" t="inlineStr">
        <is>
          <t>kilogram</t>
        </is>
      </c>
      <c r="E1152" t="inlineStr">
        <is>
          <t>Materials/fuels</t>
        </is>
      </c>
      <c r="F1152" t="inlineStr">
        <is>
          <t>technosphere</t>
        </is>
      </c>
      <c r="G1152" t="n">
        <v>0</v>
      </c>
      <c r="H1152" t="n">
        <v>7.99e-10</v>
      </c>
      <c r="M1152" t="inlineStr">
        <is>
          <t>indium rich leaching residues, from zinc production</t>
        </is>
      </c>
    </row>
    <row r="1153">
      <c r="A1153" t="inlineStr">
        <is>
          <t>steel production, converter, low-alloyed</t>
        </is>
      </c>
      <c r="B1153" t="n">
        <v>6.6375e-07</v>
      </c>
      <c r="C1153" t="inlineStr">
        <is>
          <t>RER</t>
        </is>
      </c>
      <c r="D1153" t="inlineStr">
        <is>
          <t>kilogram</t>
        </is>
      </c>
      <c r="E1153" t="inlineStr">
        <is>
          <t>Materials/fuels</t>
        </is>
      </c>
      <c r="F1153" t="inlineStr">
        <is>
          <t>technosphere</t>
        </is>
      </c>
      <c r="G1153" t="n">
        <v>0</v>
      </c>
      <c r="H1153" t="n">
        <v>8.85e-08</v>
      </c>
      <c r="M1153" t="inlineStr">
        <is>
          <t>steel, low-alloyed</t>
        </is>
      </c>
    </row>
    <row r="1154">
      <c r="A1154" t="inlineStr">
        <is>
          <t>steel production, converter, unalloyed</t>
        </is>
      </c>
      <c r="B1154" t="n">
        <v>2.5875e-06</v>
      </c>
      <c r="C1154" t="inlineStr">
        <is>
          <t>RER</t>
        </is>
      </c>
      <c r="D1154" t="inlineStr">
        <is>
          <t>kilogram</t>
        </is>
      </c>
      <c r="E1154" t="inlineStr">
        <is>
          <t>Materials/fuels</t>
        </is>
      </c>
      <c r="F1154" t="inlineStr">
        <is>
          <t>technosphere</t>
        </is>
      </c>
      <c r="G1154" t="n">
        <v>0</v>
      </c>
      <c r="H1154" t="n">
        <v>3.45e-07</v>
      </c>
      <c r="M1154" t="inlineStr">
        <is>
          <t>steel, unalloyed</t>
        </is>
      </c>
    </row>
    <row r="1155">
      <c r="A1155" t="inlineStr">
        <is>
          <t>steel production, electric, chromium steel 18/8</t>
        </is>
      </c>
      <c r="B1155" t="n">
        <v>5.5725e-08</v>
      </c>
      <c r="C1155" t="inlineStr">
        <is>
          <t>RER</t>
        </is>
      </c>
      <c r="D1155" t="inlineStr">
        <is>
          <t>kilogram</t>
        </is>
      </c>
      <c r="E1155" t="inlineStr">
        <is>
          <t>Materials/fuels</t>
        </is>
      </c>
      <c r="F1155" t="inlineStr">
        <is>
          <t>technosphere</t>
        </is>
      </c>
      <c r="G1155" t="n">
        <v>0</v>
      </c>
      <c r="H1155" t="n">
        <v>7.43e-09</v>
      </c>
      <c r="M1155" t="inlineStr">
        <is>
          <t>steel, chromium steel 18/8</t>
        </is>
      </c>
    </row>
    <row r="1156">
      <c r="A1156" t="inlineStr">
        <is>
          <t>treatment of aluminium scrap, new, at refiner</t>
        </is>
      </c>
      <c r="B1156" t="n">
        <v>3.135e-08</v>
      </c>
      <c r="C1156" t="inlineStr">
        <is>
          <t>RER</t>
        </is>
      </c>
      <c r="D1156" t="inlineStr">
        <is>
          <t>kilogram</t>
        </is>
      </c>
      <c r="E1156" t="inlineStr">
        <is>
          <t>Materials/fuels</t>
        </is>
      </c>
      <c r="F1156" t="inlineStr">
        <is>
          <t>technosphere</t>
        </is>
      </c>
      <c r="G1156" t="n">
        <v>0</v>
      </c>
      <c r="H1156" t="n">
        <v>4.18e-09</v>
      </c>
      <c r="M1156" t="inlineStr">
        <is>
          <t>aluminium oxide, non-metallurgical</t>
        </is>
      </c>
    </row>
    <row r="1157">
      <c r="A1157" t="inlineStr">
        <is>
          <t>treatment of aluminium scrap, post-consumer, prepared for recycling, at refiner</t>
        </is>
      </c>
      <c r="B1157" t="n">
        <v>1.5675e-08</v>
      </c>
      <c r="C1157" t="inlineStr">
        <is>
          <t>RER</t>
        </is>
      </c>
      <c r="D1157" t="inlineStr">
        <is>
          <t>kilogram</t>
        </is>
      </c>
      <c r="E1157" t="inlineStr">
        <is>
          <t>Materials/fuels</t>
        </is>
      </c>
      <c r="F1157" t="inlineStr">
        <is>
          <t>technosphere</t>
        </is>
      </c>
      <c r="G1157" t="n">
        <v>0</v>
      </c>
      <c r="H1157" t="n">
        <v>2.09e-09</v>
      </c>
      <c r="M1157" t="inlineStr">
        <is>
          <t>aluminium, cast alloy</t>
        </is>
      </c>
    </row>
    <row r="1158">
      <c r="A1158" t="inlineStr">
        <is>
          <t>treatment of average incineration residue, residual material landfill</t>
        </is>
      </c>
      <c r="B1158" t="n">
        <v>-0.00105</v>
      </c>
      <c r="C1158" t="inlineStr">
        <is>
          <t>RoW</t>
        </is>
      </c>
      <c r="D1158" t="inlineStr">
        <is>
          <t>kilogram</t>
        </is>
      </c>
      <c r="E1158" t="inlineStr">
        <is>
          <t>Waste to treatment</t>
        </is>
      </c>
      <c r="F1158" t="inlineStr">
        <is>
          <t>technosphere</t>
        </is>
      </c>
      <c r="G1158" t="n">
        <v>0</v>
      </c>
      <c r="H1158" t="n">
        <v>0.00014</v>
      </c>
      <c r="M1158" t="inlineStr">
        <is>
          <t>average incineration residue</t>
        </is>
      </c>
    </row>
    <row r="1159">
      <c r="A1159" t="inlineStr">
        <is>
          <t>treatment of hard coal ash, residual material landfill</t>
        </is>
      </c>
      <c r="B1159" t="n">
        <v>-0.00114</v>
      </c>
      <c r="C1159" t="inlineStr">
        <is>
          <t>RoW</t>
        </is>
      </c>
      <c r="D1159" t="inlineStr">
        <is>
          <t>kilogram</t>
        </is>
      </c>
      <c r="E1159" t="inlineStr">
        <is>
          <t>Waste to treatment</t>
        </is>
      </c>
      <c r="F1159" t="inlineStr">
        <is>
          <t>technosphere</t>
        </is>
      </c>
      <c r="G1159" t="n">
        <v>0</v>
      </c>
      <c r="H1159" t="n">
        <v>0.000152</v>
      </c>
      <c r="M1159" t="inlineStr">
        <is>
          <t>hard coal ash</t>
        </is>
      </c>
    </row>
    <row r="1160">
      <c r="A1160" t="inlineStr">
        <is>
          <t>treatment of hazardous waste, hazardous waste incineration</t>
        </is>
      </c>
      <c r="B1160" t="n">
        <v>-1.3575e-06</v>
      </c>
      <c r="C1160" t="inlineStr">
        <is>
          <t>CH</t>
        </is>
      </c>
      <c r="D1160" t="inlineStr">
        <is>
          <t>kilogram</t>
        </is>
      </c>
      <c r="E1160" t="inlineStr">
        <is>
          <t>Waste to treatment</t>
        </is>
      </c>
      <c r="F1160" t="inlineStr">
        <is>
          <t>technosphere</t>
        </is>
      </c>
      <c r="G1160" t="n">
        <v>0</v>
      </c>
      <c r="H1160" t="n">
        <v>1.81e-07</v>
      </c>
      <c r="M1160" t="inlineStr">
        <is>
          <t>hazardous waste, for incineration</t>
        </is>
      </c>
    </row>
    <row r="1161">
      <c r="A1161" t="inlineStr">
        <is>
          <t>treatment of inert waste, sanitary landfill</t>
        </is>
      </c>
      <c r="B1161" t="n">
        <v>-1.17e-05</v>
      </c>
      <c r="C1161" t="inlineStr">
        <is>
          <t>CH</t>
        </is>
      </c>
      <c r="D1161" t="inlineStr">
        <is>
          <t>kilogram</t>
        </is>
      </c>
      <c r="E1161" t="inlineStr">
        <is>
          <t>Waste to treatment</t>
        </is>
      </c>
      <c r="F1161" t="inlineStr">
        <is>
          <t>technosphere</t>
        </is>
      </c>
      <c r="G1161" t="n">
        <v>0</v>
      </c>
      <c r="H1161" t="n">
        <v>1.56e-06</v>
      </c>
      <c r="M1161" t="inlineStr">
        <is>
          <t>inert waste</t>
        </is>
      </c>
    </row>
    <row r="1162">
      <c r="A1162" t="inlineStr">
        <is>
          <t>treatment of municipal solid waste, incineration</t>
        </is>
      </c>
      <c r="B1162" t="n">
        <v>-0.0008625</v>
      </c>
      <c r="C1162" t="inlineStr">
        <is>
          <t>CH</t>
        </is>
      </c>
      <c r="D1162" t="inlineStr">
        <is>
          <t>kilogram</t>
        </is>
      </c>
      <c r="E1162" t="inlineStr">
        <is>
          <t>Waste to treatment</t>
        </is>
      </c>
      <c r="F1162" t="inlineStr">
        <is>
          <t>technosphere</t>
        </is>
      </c>
      <c r="G1162" t="n">
        <v>0</v>
      </c>
      <c r="H1162" t="n">
        <v>0.000115</v>
      </c>
      <c r="M1162" t="inlineStr">
        <is>
          <t>municipal solid waste</t>
        </is>
      </c>
    </row>
    <row r="1163">
      <c r="A1163" t="inlineStr">
        <is>
          <t>treatment of residue from cooling tower, sanitary landfill</t>
        </is>
      </c>
      <c r="B1163" t="n">
        <v>-3.75e-05</v>
      </c>
      <c r="C1163" t="inlineStr">
        <is>
          <t>CH</t>
        </is>
      </c>
      <c r="D1163" t="inlineStr">
        <is>
          <t>kilogram</t>
        </is>
      </c>
      <c r="E1163" t="inlineStr">
        <is>
          <t>Waste to treatment</t>
        </is>
      </c>
      <c r="F1163" t="inlineStr">
        <is>
          <t>technosphere</t>
        </is>
      </c>
      <c r="G1163" t="n">
        <v>0</v>
      </c>
      <c r="H1163" t="n">
        <v>5e-06</v>
      </c>
      <c r="K1163" t="inlineStr">
        <is>
          <t>assumed to be the same as in the hard coal pulverised dataset</t>
        </is>
      </c>
      <c r="M1163" t="inlineStr">
        <is>
          <t>residue from cooling tower</t>
        </is>
      </c>
    </row>
    <row r="1164">
      <c r="A1164" t="inlineStr">
        <is>
          <t>treatment of scrap steel, inert material landfill</t>
        </is>
      </c>
      <c r="B1164" t="n">
        <v>-0.00011025</v>
      </c>
      <c r="C1164" t="inlineStr">
        <is>
          <t>CH</t>
        </is>
      </c>
      <c r="D1164" t="inlineStr">
        <is>
          <t>kilogram</t>
        </is>
      </c>
      <c r="E1164" t="inlineStr">
        <is>
          <t>Waste to treatment</t>
        </is>
      </c>
      <c r="F1164" t="inlineStr">
        <is>
          <t>technosphere</t>
        </is>
      </c>
      <c r="G1164" t="n">
        <v>0</v>
      </c>
      <c r="H1164" t="n">
        <v>1.47e-05</v>
      </c>
      <c r="M1164" t="inlineStr">
        <is>
          <t>scrap steel</t>
        </is>
      </c>
    </row>
    <row r="1165">
      <c r="A1165" t="inlineStr">
        <is>
          <t>treatment of spent solvent mixture, hazardous waste incineration</t>
        </is>
      </c>
      <c r="B1165" t="n">
        <v>-4.62e-06</v>
      </c>
      <c r="C1165" t="inlineStr">
        <is>
          <t>CH</t>
        </is>
      </c>
      <c r="D1165" t="inlineStr">
        <is>
          <t>kilogram</t>
        </is>
      </c>
      <c r="E1165" t="inlineStr">
        <is>
          <t>Waste to treatment</t>
        </is>
      </c>
      <c r="F1165" t="inlineStr">
        <is>
          <t>technosphere</t>
        </is>
      </c>
      <c r="G1165" t="n">
        <v>0</v>
      </c>
      <c r="H1165" t="n">
        <v>6.16e-07</v>
      </c>
      <c r="M1165" t="inlineStr">
        <is>
          <t>spent solvent mixture</t>
        </is>
      </c>
    </row>
    <row r="1166">
      <c r="A1166" t="inlineStr">
        <is>
          <t>treatment of waste emulsion paint, municipal incineration</t>
        </is>
      </c>
      <c r="B1166" t="n">
        <v>-1.53e-06</v>
      </c>
      <c r="C1166" t="inlineStr">
        <is>
          <t>CH</t>
        </is>
      </c>
      <c r="D1166" t="inlineStr">
        <is>
          <t>kilogram</t>
        </is>
      </c>
      <c r="E1166" t="inlineStr">
        <is>
          <t>Waste to treatment</t>
        </is>
      </c>
      <c r="F1166" t="inlineStr">
        <is>
          <t>technosphere</t>
        </is>
      </c>
      <c r="G1166" t="n">
        <v>0</v>
      </c>
      <c r="H1166" t="n">
        <v>2.04e-07</v>
      </c>
      <c r="M1166" t="inlineStr">
        <is>
          <t>waste emulsion paint</t>
        </is>
      </c>
    </row>
    <row r="1167">
      <c r="A1167" t="inlineStr">
        <is>
          <t>treatment of waste mineral oil, hazardous waste incineration</t>
        </is>
      </c>
      <c r="B1167" t="n">
        <v>-4.53e-06</v>
      </c>
      <c r="C1167" t="inlineStr">
        <is>
          <t>CH</t>
        </is>
      </c>
      <c r="D1167" t="inlineStr">
        <is>
          <t>kilogram</t>
        </is>
      </c>
      <c r="E1167" t="inlineStr">
        <is>
          <t>Waste to treatment</t>
        </is>
      </c>
      <c r="F1167" t="inlineStr">
        <is>
          <t>technosphere</t>
        </is>
      </c>
      <c r="G1167" t="n">
        <v>0</v>
      </c>
      <c r="H1167" t="n">
        <v>6.04e-07</v>
      </c>
      <c r="M1167" t="inlineStr">
        <is>
          <t>waste mineral oil</t>
        </is>
      </c>
    </row>
    <row r="1168" ht="16" customHeight="1">
      <c r="A1168" t="inlineStr">
        <is>
          <t>treatment of waste plastic, mixture, municipal incineration</t>
        </is>
      </c>
      <c r="B1168" t="n">
        <v>-6.570000000000001e-05</v>
      </c>
      <c r="C1168" t="inlineStr">
        <is>
          <t>CH</t>
        </is>
      </c>
      <c r="D1168" t="inlineStr">
        <is>
          <t>kilogram</t>
        </is>
      </c>
      <c r="E1168" t="inlineStr">
        <is>
          <t>Waste to treatment</t>
        </is>
      </c>
      <c r="F1168" t="inlineStr">
        <is>
          <t>technosphere</t>
        </is>
      </c>
      <c r="G1168" t="n">
        <v>0</v>
      </c>
      <c r="H1168" t="n">
        <v>8.760000000000001e-06</v>
      </c>
      <c r="M1168" t="inlineStr">
        <is>
          <t>waste plastic, mixture</t>
        </is>
      </c>
    </row>
    <row r="1169">
      <c r="A1169" t="inlineStr">
        <is>
          <t>treatment of waste textile, soiled, municipal incineration</t>
        </is>
      </c>
      <c r="B1169" t="n">
        <v>-0.000108</v>
      </c>
      <c r="C1169" t="inlineStr">
        <is>
          <t>CH</t>
        </is>
      </c>
      <c r="D1169" t="inlineStr">
        <is>
          <t>kilogram</t>
        </is>
      </c>
      <c r="E1169" t="inlineStr">
        <is>
          <t>Waste to treatment</t>
        </is>
      </c>
      <c r="F1169" t="inlineStr">
        <is>
          <t>technosphere</t>
        </is>
      </c>
      <c r="G1169" t="n">
        <v>0</v>
      </c>
      <c r="H1169" t="n">
        <v>1.44e-05</v>
      </c>
      <c r="M1169" t="inlineStr">
        <is>
          <t>waste textile, soiled</t>
        </is>
      </c>
    </row>
    <row r="1170">
      <c r="A1170" t="inlineStr">
        <is>
          <t>treatment of waste wood, untreated, sanitary landfill</t>
        </is>
      </c>
      <c r="B1170" t="n">
        <v>-1.47e-05</v>
      </c>
      <c r="C1170" t="inlineStr">
        <is>
          <t>CH</t>
        </is>
      </c>
      <c r="D1170" t="inlineStr">
        <is>
          <t>kilogram</t>
        </is>
      </c>
      <c r="E1170" t="inlineStr">
        <is>
          <t>Waste to treatment</t>
        </is>
      </c>
      <c r="F1170" t="inlineStr">
        <is>
          <t>technosphere</t>
        </is>
      </c>
      <c r="G1170" t="n">
        <v>0</v>
      </c>
      <c r="H1170" t="n">
        <v>1.96e-06</v>
      </c>
      <c r="M1170" t="inlineStr">
        <is>
          <t>waste wood, untreated</t>
        </is>
      </c>
    </row>
    <row r="1171"/>
    <row r="1172">
      <c r="A1172" s="1" t="inlineStr">
        <is>
          <t>Activity</t>
        </is>
      </c>
      <c r="B1172" s="1" t="inlineStr">
        <is>
          <t>electricity production, at lignite-fired IGCC power plant</t>
        </is>
      </c>
    </row>
    <row r="1173">
      <c r="A1173" t="inlineStr">
        <is>
          <t>location</t>
        </is>
      </c>
      <c r="B1173" t="inlineStr">
        <is>
          <t>RER</t>
        </is>
      </c>
    </row>
    <row r="1174">
      <c r="A1174" t="inlineStr">
        <is>
          <t>production amount</t>
        </is>
      </c>
      <c r="B1174" t="n">
        <v>1</v>
      </c>
    </row>
    <row r="1175">
      <c r="A1175" t="inlineStr">
        <is>
          <t>reference product</t>
        </is>
      </c>
      <c r="B1175" t="inlineStr">
        <is>
          <t>electricity, high voltage</t>
        </is>
      </c>
    </row>
    <row r="1176" ht="16" customHeight="1">
      <c r="A1176" t="inlineStr">
        <is>
          <t>comment</t>
        </is>
      </c>
      <c r="B1176" t="inlineStr">
        <is>
          <t>Lignite-fired, Integrated Gasification Combined Cycle. 900 MWel. 7500 full load hours per year. 40 years lifetime. 45% net electrical efficiency.</t>
        </is>
      </c>
    </row>
    <row r="1177">
      <c r="A1177" t="inlineStr">
        <is>
          <t>source</t>
        </is>
      </c>
      <c r="B1177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178">
      <c r="A1178" t="inlineStr">
        <is>
          <t>type</t>
        </is>
      </c>
      <c r="B1178" t="inlineStr">
        <is>
          <t>process</t>
        </is>
      </c>
    </row>
    <row r="1179">
      <c r="A1179" t="inlineStr">
        <is>
          <t>unit</t>
        </is>
      </c>
      <c r="B1179" t="inlineStr">
        <is>
          <t>kilowatt hour</t>
        </is>
      </c>
    </row>
    <row r="1180">
      <c r="A1180" s="1" t="inlineStr">
        <is>
          <t>Exchanges</t>
        </is>
      </c>
    </row>
    <row r="1181">
      <c r="A1181" t="inlineStr">
        <is>
          <t>name</t>
        </is>
      </c>
      <c r="B1181" t="inlineStr">
        <is>
          <t>amount</t>
        </is>
      </c>
      <c r="C1181" t="inlineStr">
        <is>
          <t>location</t>
        </is>
      </c>
      <c r="D1181" t="inlineStr">
        <is>
          <t>unit</t>
        </is>
      </c>
      <c r="E1181" t="inlineStr">
        <is>
          <t>categories</t>
        </is>
      </c>
      <c r="F1181" t="inlineStr">
        <is>
          <t>type</t>
        </is>
      </c>
      <c r="G1181" t="inlineStr">
        <is>
          <t>uncertainty type</t>
        </is>
      </c>
      <c r="H1181" t="inlineStr">
        <is>
          <t>loc</t>
        </is>
      </c>
      <c r="I1181" t="inlineStr">
        <is>
          <t>allocation</t>
        </is>
      </c>
      <c r="J1181" t="inlineStr">
        <is>
          <t>comment</t>
        </is>
      </c>
      <c r="K1181" t="inlineStr">
        <is>
          <t>simapro name</t>
        </is>
      </c>
      <c r="L1181" t="inlineStr">
        <is>
          <t>negative</t>
        </is>
      </c>
      <c r="M1181" t="inlineStr">
        <is>
          <t>reference product</t>
        </is>
      </c>
    </row>
    <row r="1182">
      <c r="A1182" t="inlineStr">
        <is>
          <t>electricity production, at lignite-fired IGCC power plant</t>
        </is>
      </c>
      <c r="B1182" t="n">
        <v>1</v>
      </c>
      <c r="C1182" t="inlineStr">
        <is>
          <t>RER</t>
        </is>
      </c>
      <c r="D1182" t="inlineStr">
        <is>
          <t>kilowatt hour</t>
        </is>
      </c>
      <c r="E1182" t="inlineStr">
        <is>
          <t>CCS Europe 2025::Lignite</t>
        </is>
      </c>
      <c r="F1182" t="inlineStr">
        <is>
          <t>production</t>
        </is>
      </c>
      <c r="I1182" t="n">
        <v>100</v>
      </c>
      <c r="K1182" t="inlineStr">
        <is>
          <t>electricity production, at lignite-fired power plant, IGCC U</t>
        </is>
      </c>
    </row>
    <row r="1183">
      <c r="A1183" t="inlineStr">
        <is>
          <t>Lignite IGCC power plant 450MW</t>
        </is>
      </c>
      <c r="B1183" t="n">
        <v>3.704e-12</v>
      </c>
      <c r="C1183" t="inlineStr">
        <is>
          <t>RER</t>
        </is>
      </c>
      <c r="D1183" t="inlineStr">
        <is>
          <t>unit</t>
        </is>
      </c>
      <c r="E1183" t="inlineStr">
        <is>
          <t>Materials/fuels</t>
        </is>
      </c>
      <c r="F1183" t="inlineStr">
        <is>
          <t>technosphere</t>
        </is>
      </c>
      <c r="G1183" t="n">
        <v>0</v>
      </c>
      <c r="H1183" t="n">
        <v>4.63e-13</v>
      </c>
      <c r="J1183" t="inlineStr">
        <is>
          <t>n_plant = 1/(lifetime*annual fuel input)</t>
        </is>
      </c>
      <c r="L1183" t="inlineStr">
        <is>
          <t>Lignite IGCC power plant 450MW U</t>
        </is>
      </c>
    </row>
    <row r="1184">
      <c r="A1184" t="inlineStr">
        <is>
          <t>market for lignite</t>
        </is>
      </c>
      <c r="B1184" s="5">
        <f>(3.6/8.7)/0.45</f>
        <v>0.919540229885058</v>
      </c>
      <c r="C1184" t="inlineStr">
        <is>
          <t>RER</t>
        </is>
      </c>
      <c r="D1184" t="inlineStr">
        <is>
          <t>kilogram</t>
        </is>
      </c>
      <c r="E1184" t="inlineStr">
        <is>
          <t>Materials/fuels</t>
        </is>
      </c>
      <c r="F1184" t="inlineStr">
        <is>
          <t>technosphere</t>
        </is>
      </c>
      <c r="G1184" t="n">
        <v>0</v>
      </c>
      <c r="H1184" t="n">
        <v>0.115</v>
      </c>
      <c r="J1184" t="inlineStr">
        <is>
          <t>1/energy content from Dones et al. (2007) "Teil VI - Kohle - Data v2.0" p.112</t>
        </is>
      </c>
      <c r="K1184" t="inlineStr">
        <is>
          <t>lignite</t>
        </is>
      </c>
      <c r="L1184" t="inlineStr">
        <is>
          <t>Lignite, at mine U</t>
        </is>
      </c>
      <c r="M1184" t="inlineStr">
        <is>
          <t>lignite</t>
        </is>
      </c>
    </row>
    <row r="1185">
      <c r="A1185" t="inlineStr">
        <is>
          <t>Antimony</t>
        </is>
      </c>
      <c r="B1185" t="n">
        <v>7.88e-11</v>
      </c>
      <c r="D1185" t="inlineStr">
        <is>
          <t>kilogram</t>
        </is>
      </c>
      <c r="E1185" t="inlineStr">
        <is>
          <t>air::non-urban air or from high stacks</t>
        </is>
      </c>
      <c r="F1185" t="inlineStr">
        <is>
          <t>biosphere</t>
        </is>
      </c>
      <c r="G1185" t="n">
        <v>0</v>
      </c>
      <c r="H1185" t="n">
        <v>9.85e-12</v>
      </c>
      <c r="J1185" t="inlineStr">
        <is>
          <t>scaled by conversion factor f (1el -&gt; 1Jin)</t>
        </is>
      </c>
    </row>
    <row r="1186">
      <c r="A1186" t="inlineStr">
        <is>
          <t>Arsenic</t>
        </is>
      </c>
      <c r="B1186" t="n">
        <v>4.44e-09</v>
      </c>
      <c r="D1186" t="inlineStr">
        <is>
          <t>kilogram</t>
        </is>
      </c>
      <c r="E1186" t="inlineStr">
        <is>
          <t>air::non-urban air or from high stacks</t>
        </is>
      </c>
      <c r="F1186" t="inlineStr">
        <is>
          <t>biosphere</t>
        </is>
      </c>
      <c r="G1186" t="n">
        <v>0</v>
      </c>
      <c r="H1186" t="n">
        <v>5.55e-10</v>
      </c>
      <c r="J1186" t="inlineStr">
        <is>
          <t>scaled by conversion factor f (1el -&gt; 1Jin)</t>
        </is>
      </c>
    </row>
    <row r="1187">
      <c r="A1187" t="inlineStr">
        <is>
          <t>Barium</t>
        </is>
      </c>
      <c r="B1187" t="n">
        <v>1.312e-06</v>
      </c>
      <c r="D1187" t="inlineStr">
        <is>
          <t>kilogram</t>
        </is>
      </c>
      <c r="E1187" t="inlineStr">
        <is>
          <t>air::non-urban air or from high stacks</t>
        </is>
      </c>
      <c r="F1187" t="inlineStr">
        <is>
          <t>biosphere</t>
        </is>
      </c>
      <c r="G1187" t="n">
        <v>0</v>
      </c>
      <c r="H1187" t="n">
        <v>1.64e-07</v>
      </c>
      <c r="J1187" t="inlineStr">
        <is>
          <t>scaled by conversion factor f (1el -&gt; 1Jin)</t>
        </is>
      </c>
    </row>
    <row r="1188">
      <c r="A1188" t="inlineStr">
        <is>
          <t>Benzene</t>
        </is>
      </c>
      <c r="B1188" t="n">
        <v>1.312e-06</v>
      </c>
      <c r="D1188" t="inlineStr">
        <is>
          <t>kilogram</t>
        </is>
      </c>
      <c r="E1188" t="inlineStr">
        <is>
          <t>air::non-urban air or from high stacks</t>
        </is>
      </c>
      <c r="F1188" t="inlineStr">
        <is>
          <t>biosphere</t>
        </is>
      </c>
      <c r="G1188" t="n">
        <v>0</v>
      </c>
      <c r="H1188" t="n">
        <v>1.64e-07</v>
      </c>
      <c r="J1188" t="inlineStr">
        <is>
          <t>scaled by conversion factor f (1el -&gt; 1Jin)</t>
        </is>
      </c>
    </row>
    <row r="1189">
      <c r="A1189" t="inlineStr">
        <is>
          <t>Benzo(a)pyrene</t>
        </is>
      </c>
      <c r="B1189" t="n">
        <v>1.2e-12</v>
      </c>
      <c r="D1189" t="inlineStr">
        <is>
          <t>kilogram</t>
        </is>
      </c>
      <c r="E1189" t="inlineStr">
        <is>
          <t>air::non-urban air or from high stacks</t>
        </is>
      </c>
      <c r="F1189" t="inlineStr">
        <is>
          <t>biosphere</t>
        </is>
      </c>
      <c r="G1189" t="n">
        <v>0</v>
      </c>
      <c r="H1189" t="n">
        <v>1.5e-13</v>
      </c>
      <c r="J1189" t="inlineStr">
        <is>
          <t>scaled by conversion factor f (1el -&gt; 1Jin)</t>
        </is>
      </c>
    </row>
    <row r="1190">
      <c r="A1190" t="inlineStr">
        <is>
          <t>Boron</t>
        </is>
      </c>
      <c r="B1190" t="n">
        <v>1.24e-05</v>
      </c>
      <c r="D1190" t="inlineStr">
        <is>
          <t>kilogram</t>
        </is>
      </c>
      <c r="E1190" t="inlineStr">
        <is>
          <t>air::non-urban air or from high stacks</t>
        </is>
      </c>
      <c r="F1190" t="inlineStr">
        <is>
          <t>biosphere</t>
        </is>
      </c>
      <c r="G1190" t="n">
        <v>0</v>
      </c>
      <c r="H1190" t="n">
        <v>1.55e-06</v>
      </c>
      <c r="J1190" t="inlineStr">
        <is>
          <t>scaled by conversion factor f (1el -&gt; 1Jin))</t>
        </is>
      </c>
    </row>
    <row r="1191">
      <c r="A1191" t="inlineStr">
        <is>
          <t>Bromine</t>
        </is>
      </c>
      <c r="B1191" t="n">
        <v>1.664e-07</v>
      </c>
      <c r="D1191" t="inlineStr">
        <is>
          <t>kilogram</t>
        </is>
      </c>
      <c r="E1191" t="inlineStr">
        <is>
          <t>air::non-urban air or from high stacks</t>
        </is>
      </c>
      <c r="F1191" t="inlineStr">
        <is>
          <t>biosphere</t>
        </is>
      </c>
      <c r="G1191" t="n">
        <v>0</v>
      </c>
      <c r="H1191" t="n">
        <v>2.08e-08</v>
      </c>
      <c r="J1191" t="inlineStr">
        <is>
          <t>scaled by conversion factor f (1el -&gt; 1Jin)</t>
        </is>
      </c>
    </row>
    <row r="1192">
      <c r="A1192" t="inlineStr">
        <is>
          <t>Butane</t>
        </is>
      </c>
      <c r="B1192" t="n">
        <v>1.144e-07</v>
      </c>
      <c r="D1192" t="inlineStr">
        <is>
          <t>kilogram</t>
        </is>
      </c>
      <c r="E1192" t="inlineStr">
        <is>
          <t>air::non-urban air or from high stacks</t>
        </is>
      </c>
      <c r="F1192" t="inlineStr">
        <is>
          <t>biosphere</t>
        </is>
      </c>
      <c r="G1192" t="n">
        <v>0</v>
      </c>
      <c r="H1192" t="n">
        <v>1.43e-08</v>
      </c>
      <c r="J1192" t="inlineStr">
        <is>
          <t>scaled by conversion factor f (1el -&gt; 1Jin)</t>
        </is>
      </c>
    </row>
    <row r="1193">
      <c r="A1193" t="inlineStr">
        <is>
          <t>Cadmium</t>
        </is>
      </c>
      <c r="B1193" t="n">
        <v>9.200000000000001e-11</v>
      </c>
      <c r="D1193" t="inlineStr">
        <is>
          <t>kilogram</t>
        </is>
      </c>
      <c r="E1193" t="inlineStr">
        <is>
          <t>air::non-urban air or from high stacks</t>
        </is>
      </c>
      <c r="F1193" t="inlineStr">
        <is>
          <t>biosphere</t>
        </is>
      </c>
      <c r="G1193" t="n">
        <v>0</v>
      </c>
      <c r="H1193" t="n">
        <v>1.15e-11</v>
      </c>
      <c r="J1193" t="inlineStr">
        <is>
          <t>scaled by conversion factor f (1el -&gt; 1Jin)</t>
        </is>
      </c>
    </row>
    <row r="1194">
      <c r="A1194" t="inlineStr">
        <is>
          <t>Carbon dioxide, fossil</t>
        </is>
      </c>
      <c r="B1194">
        <f>B1184*8.7*0.115</f>
        <v>0.92</v>
      </c>
      <c r="D1194" t="inlineStr">
        <is>
          <t>kilogram</t>
        </is>
      </c>
      <c r="E1194" t="inlineStr">
        <is>
          <t>air::non-urban air or from high stacks</t>
        </is>
      </c>
      <c r="F1194" t="inlineStr">
        <is>
          <t>biosphere</t>
        </is>
      </c>
      <c r="G1194" t="n">
        <v>0</v>
      </c>
      <c r="H1194" t="n">
        <v>0.108</v>
      </c>
    </row>
    <row r="1195">
      <c r="A1195" t="inlineStr">
        <is>
          <t>Carbon monoxide, fossil</t>
        </is>
      </c>
      <c r="B1195" t="n">
        <v>7.624e-05</v>
      </c>
      <c r="D1195" t="inlineStr">
        <is>
          <t>kilogram</t>
        </is>
      </c>
      <c r="E1195" t="inlineStr">
        <is>
          <t>air::non-urban air or from high stacks</t>
        </is>
      </c>
      <c r="F1195" t="inlineStr">
        <is>
          <t>biosphere</t>
        </is>
      </c>
      <c r="G1195" t="n">
        <v>0</v>
      </c>
      <c r="H1195" t="n">
        <v>9.53e-06</v>
      </c>
      <c r="J1195" t="inlineStr">
        <is>
          <t>scaled by conversion factor f (1el -&gt; 1Jin)</t>
        </is>
      </c>
    </row>
    <row r="1196">
      <c r="A1196" t="inlineStr">
        <is>
          <t>Chromium</t>
        </is>
      </c>
      <c r="B1196" t="n">
        <v>1.16e-09</v>
      </c>
      <c r="D1196" t="inlineStr">
        <is>
          <t>kilogram</t>
        </is>
      </c>
      <c r="E1196" t="inlineStr">
        <is>
          <t>air::non-urban air or from high stacks</t>
        </is>
      </c>
      <c r="F1196" t="inlineStr">
        <is>
          <t>biosphere</t>
        </is>
      </c>
      <c r="G1196" t="n">
        <v>0</v>
      </c>
      <c r="H1196" t="n">
        <v>1.45e-10</v>
      </c>
      <c r="J1196" t="inlineStr">
        <is>
          <t>scaled by conversion factor f (1el -&gt; 1Jin)</t>
        </is>
      </c>
    </row>
    <row r="1197">
      <c r="A1197" t="inlineStr">
        <is>
          <t>Chromium VI</t>
        </is>
      </c>
      <c r="B1197" t="n">
        <v>1.448e-10</v>
      </c>
      <c r="D1197" t="inlineStr">
        <is>
          <t>kilogram</t>
        </is>
      </c>
      <c r="E1197" t="inlineStr">
        <is>
          <t>air::non-urban air or from high stacks</t>
        </is>
      </c>
      <c r="F1197" t="inlineStr">
        <is>
          <t>biosphere</t>
        </is>
      </c>
      <c r="G1197" t="n">
        <v>0</v>
      </c>
      <c r="H1197" t="n">
        <v>1.81e-11</v>
      </c>
      <c r="J1197" t="inlineStr">
        <is>
          <t>scaled by conversion factor f (1el -&gt; 1Jin)</t>
        </is>
      </c>
    </row>
    <row r="1198">
      <c r="A1198" t="inlineStr">
        <is>
          <t>Cobalt</t>
        </is>
      </c>
      <c r="B1198" t="n">
        <v>5.248e-10</v>
      </c>
      <c r="D1198" t="inlineStr">
        <is>
          <t>kilogram</t>
        </is>
      </c>
      <c r="E1198" t="inlineStr">
        <is>
          <t>air::non-urban air or from high stacks</t>
        </is>
      </c>
      <c r="F1198" t="inlineStr">
        <is>
          <t>biosphere</t>
        </is>
      </c>
      <c r="G1198" t="n">
        <v>0</v>
      </c>
      <c r="H1198" t="n">
        <v>6.56e-11</v>
      </c>
      <c r="J1198" t="inlineStr">
        <is>
          <t>scaled by conversion factor f (1el -&gt; 1Jin)</t>
        </is>
      </c>
    </row>
    <row r="1199">
      <c r="A1199" t="inlineStr">
        <is>
          <t>Copper</t>
        </is>
      </c>
      <c r="B1199" t="n">
        <v>1.216e-09</v>
      </c>
      <c r="D1199" t="inlineStr">
        <is>
          <t>kilogram</t>
        </is>
      </c>
      <c r="E1199" t="inlineStr">
        <is>
          <t>air::non-urban air or from high stacks</t>
        </is>
      </c>
      <c r="F1199" t="inlineStr">
        <is>
          <t>biosphere</t>
        </is>
      </c>
      <c r="G1199" t="n">
        <v>0</v>
      </c>
      <c r="H1199" t="n">
        <v>1.52e-10</v>
      </c>
      <c r="J1199" t="inlineStr">
        <is>
          <t>scaled by conversion factor f (1el -&gt; 1Jin)</t>
        </is>
      </c>
    </row>
    <row r="1200">
      <c r="A1200" t="inlineStr">
        <is>
          <t>Dinitrogen monoxide</t>
        </is>
      </c>
      <c r="B1200" t="n">
        <v>2.832e-05</v>
      </c>
      <c r="D1200" t="inlineStr">
        <is>
          <t>kilogram</t>
        </is>
      </c>
      <c r="E1200" t="inlineStr">
        <is>
          <t>air::non-urban air or from high stacks</t>
        </is>
      </c>
      <c r="F1200" t="inlineStr">
        <is>
          <t>biosphere</t>
        </is>
      </c>
      <c r="G1200" t="n">
        <v>0</v>
      </c>
      <c r="H1200" t="n">
        <v>3.54e-06</v>
      </c>
      <c r="J1200" t="inlineStr">
        <is>
          <t>scaled by conversion factor f (1el -&gt; 1Jin)</t>
        </is>
      </c>
    </row>
    <row r="1201">
      <c r="A1201" t="inlineStr">
        <is>
          <t>Dioxins, measured as 2,3,7,8-tetrachlorodibenzo-p-dioxin</t>
        </is>
      </c>
      <c r="B1201" t="n">
        <v>4.216e-14</v>
      </c>
      <c r="D1201" t="inlineStr">
        <is>
          <t>kilogram</t>
        </is>
      </c>
      <c r="E1201" t="inlineStr">
        <is>
          <t>air::non-urban air or from high stacks</t>
        </is>
      </c>
      <c r="F1201" t="inlineStr">
        <is>
          <t>biosphere</t>
        </is>
      </c>
      <c r="G1201" t="n">
        <v>0</v>
      </c>
      <c r="H1201" t="n">
        <v>5.27e-15</v>
      </c>
      <c r="J1201" t="inlineStr">
        <is>
          <t>scaled by conversion factor f (1el -&gt; 1Jin)</t>
        </is>
      </c>
    </row>
    <row r="1202">
      <c r="A1202" t="inlineStr">
        <is>
          <t>Ethane</t>
        </is>
      </c>
      <c r="B1202" t="n">
        <v>2.464e-07</v>
      </c>
      <c r="D1202" t="inlineStr">
        <is>
          <t>kilogram</t>
        </is>
      </c>
      <c r="E1202" t="inlineStr">
        <is>
          <t>air::non-urban air or from high stacks</t>
        </is>
      </c>
      <c r="F1202" t="inlineStr">
        <is>
          <t>biosphere</t>
        </is>
      </c>
      <c r="G1202" t="n">
        <v>0</v>
      </c>
      <c r="H1202" t="n">
        <v>3.08e-08</v>
      </c>
      <c r="J1202" t="inlineStr">
        <is>
          <t>scaled by conversion factor f (1el -&gt; 1Jin)</t>
        </is>
      </c>
    </row>
    <row r="1203">
      <c r="A1203" t="inlineStr">
        <is>
          <t>Formaldehyde</t>
        </is>
      </c>
      <c r="B1203" t="n">
        <v>3.488e-07</v>
      </c>
      <c r="D1203" t="inlineStr">
        <is>
          <t>kilogram</t>
        </is>
      </c>
      <c r="E1203" t="inlineStr">
        <is>
          <t>air::non-urban air or from high stacks</t>
        </is>
      </c>
      <c r="F1203" t="inlineStr">
        <is>
          <t>biosphere</t>
        </is>
      </c>
      <c r="G1203" t="n">
        <v>0</v>
      </c>
      <c r="H1203" t="n">
        <v>4.36e-08</v>
      </c>
      <c r="J1203" t="inlineStr">
        <is>
          <t>scaled by conversion factor f (1el -&gt; 1Jin)</t>
        </is>
      </c>
    </row>
    <row r="1204">
      <c r="A1204" t="inlineStr">
        <is>
          <t>Heat, waste</t>
        </is>
      </c>
      <c r="B1204" t="n">
        <v>1.856</v>
      </c>
      <c r="D1204" t="inlineStr">
        <is>
          <t>megajoule</t>
        </is>
      </c>
      <c r="E1204" t="inlineStr">
        <is>
          <t>air::non-urban air or from high stacks</t>
        </is>
      </c>
      <c r="F1204" t="inlineStr">
        <is>
          <t>biosphere</t>
        </is>
      </c>
      <c r="G1204" t="n">
        <v>0</v>
      </c>
      <c r="H1204" t="n">
        <v>0.232</v>
      </c>
      <c r="J1204" t="inlineStr">
        <is>
          <t>scaled by conversion factor f (1el -&gt; 1Jin)</t>
        </is>
      </c>
    </row>
    <row r="1205">
      <c r="A1205" t="inlineStr">
        <is>
          <t>Hydrocarbons, aliphatic, alkanes, unspecified</t>
        </is>
      </c>
      <c r="B1205" t="n">
        <v>1.32e-06</v>
      </c>
      <c r="D1205" t="inlineStr">
        <is>
          <t>kilogram</t>
        </is>
      </c>
      <c r="E1205" t="inlineStr">
        <is>
          <t>air::non-urban air or from high stacks</t>
        </is>
      </c>
      <c r="F1205" t="inlineStr">
        <is>
          <t>biosphere</t>
        </is>
      </c>
      <c r="G1205" t="n">
        <v>0</v>
      </c>
      <c r="H1205" t="n">
        <v>1.65e-07</v>
      </c>
      <c r="J1205" t="inlineStr">
        <is>
          <t>scaled by conversion factor f (1el -&gt; 1Jin)</t>
        </is>
      </c>
    </row>
    <row r="1206">
      <c r="A1206" t="inlineStr">
        <is>
          <t>Hydrocarbons, aliphatic, unsaturated</t>
        </is>
      </c>
      <c r="B1206" t="n">
        <v>1.304e-06</v>
      </c>
      <c r="D1206" t="inlineStr">
        <is>
          <t>kilogram</t>
        </is>
      </c>
      <c r="E1206" t="inlineStr">
        <is>
          <t>air::non-urban air or from high stacks</t>
        </is>
      </c>
      <c r="F1206" t="inlineStr">
        <is>
          <t>biosphere</t>
        </is>
      </c>
      <c r="G1206" t="n">
        <v>0</v>
      </c>
      <c r="H1206" t="n">
        <v>1.63e-07</v>
      </c>
      <c r="J1206" t="inlineStr">
        <is>
          <t>scaled by conversion factor f (1el -&gt; 1Jin)</t>
        </is>
      </c>
    </row>
    <row r="1207">
      <c r="A1207" t="inlineStr">
        <is>
          <t>Hydrogen chloride</t>
        </is>
      </c>
      <c r="B1207" t="n">
        <v>1.76e-05</v>
      </c>
      <c r="D1207" t="inlineStr">
        <is>
          <t>kilogram</t>
        </is>
      </c>
      <c r="E1207" t="inlineStr">
        <is>
          <t>air::non-urban air or from high stacks</t>
        </is>
      </c>
      <c r="F1207" t="inlineStr">
        <is>
          <t>biosphere</t>
        </is>
      </c>
      <c r="G1207" t="n">
        <v>0</v>
      </c>
      <c r="H1207" t="n">
        <v>2.2e-06</v>
      </c>
      <c r="J1207" t="inlineStr">
        <is>
          <t>scaled by conversion factor f (1el -&gt; 1Jin)</t>
        </is>
      </c>
    </row>
    <row r="1208">
      <c r="A1208" t="inlineStr">
        <is>
          <t>Hydrogen fluoride</t>
        </is>
      </c>
      <c r="B1208" t="n">
        <v>4.92e-06</v>
      </c>
      <c r="D1208" t="inlineStr">
        <is>
          <t>kilogram</t>
        </is>
      </c>
      <c r="E1208" t="inlineStr">
        <is>
          <t>air::non-urban air or from high stacks</t>
        </is>
      </c>
      <c r="F1208" t="inlineStr">
        <is>
          <t>biosphere</t>
        </is>
      </c>
      <c r="G1208" t="n">
        <v>0</v>
      </c>
      <c r="H1208" t="n">
        <v>6.15e-07</v>
      </c>
      <c r="J1208" t="inlineStr">
        <is>
          <t>scaled by conversion factor f (1el -&gt; 1Jin)</t>
        </is>
      </c>
    </row>
    <row r="1209">
      <c r="A1209" t="inlineStr">
        <is>
          <t>Iodine</t>
        </is>
      </c>
      <c r="B1209" t="n">
        <v>1.552e-07</v>
      </c>
      <c r="D1209" t="inlineStr">
        <is>
          <t>kilogram</t>
        </is>
      </c>
      <c r="E1209" t="inlineStr">
        <is>
          <t>air::non-urban air or from high stacks</t>
        </is>
      </c>
      <c r="F1209" t="inlineStr">
        <is>
          <t>biosphere</t>
        </is>
      </c>
      <c r="G1209" t="n">
        <v>0</v>
      </c>
      <c r="H1209" t="n">
        <v>1.94e-08</v>
      </c>
      <c r="J1209" t="inlineStr">
        <is>
          <t>scaled by conversion factor f (1el -&gt; 1Jin)</t>
        </is>
      </c>
    </row>
    <row r="1210">
      <c r="A1210" t="inlineStr">
        <is>
          <t>Lead</t>
        </is>
      </c>
      <c r="B1210" t="n">
        <v>3.16e-09</v>
      </c>
      <c r="D1210" t="inlineStr">
        <is>
          <t>kilogram</t>
        </is>
      </c>
      <c r="E1210" t="inlineStr">
        <is>
          <t>air::non-urban air or from high stacks</t>
        </is>
      </c>
      <c r="F1210" t="inlineStr">
        <is>
          <t>biosphere</t>
        </is>
      </c>
      <c r="G1210" t="n">
        <v>0</v>
      </c>
      <c r="H1210" t="n">
        <v>3.95e-10</v>
      </c>
      <c r="J1210" t="inlineStr">
        <is>
          <t>scaled by conversion factor f (1el -&gt; 1Jin)</t>
        </is>
      </c>
    </row>
    <row r="1211">
      <c r="A1211" t="inlineStr">
        <is>
          <t>Lead-210</t>
        </is>
      </c>
      <c r="B1211" t="n">
        <v>7.52e-06</v>
      </c>
      <c r="D1211" t="inlineStr">
        <is>
          <t>kilo Becquerel</t>
        </is>
      </c>
      <c r="E1211" t="inlineStr">
        <is>
          <t>air::non-urban air or from high stacks</t>
        </is>
      </c>
      <c r="F1211" t="inlineStr">
        <is>
          <t>biosphere</t>
        </is>
      </c>
      <c r="G1211" t="n">
        <v>0</v>
      </c>
      <c r="H1211" t="n">
        <v>9.4e-07</v>
      </c>
      <c r="J1211" t="inlineStr">
        <is>
          <t>scaled by conversion factor f (1el -&gt; 1Jin)</t>
        </is>
      </c>
    </row>
    <row r="1212">
      <c r="A1212" t="inlineStr">
        <is>
          <t>Manganese</t>
        </is>
      </c>
      <c r="B1212" t="n">
        <v>6.56e-09</v>
      </c>
      <c r="D1212" t="inlineStr">
        <is>
          <t>kilogram</t>
        </is>
      </c>
      <c r="E1212" t="inlineStr">
        <is>
          <t>air::non-urban air or from high stacks</t>
        </is>
      </c>
      <c r="F1212" t="inlineStr">
        <is>
          <t>biosphere</t>
        </is>
      </c>
      <c r="G1212" t="n">
        <v>0</v>
      </c>
      <c r="H1212" t="n">
        <v>8.2e-10</v>
      </c>
      <c r="J1212" t="inlineStr">
        <is>
          <t>scaled by conversion factor f (1el -&gt; 1Jin)</t>
        </is>
      </c>
    </row>
    <row r="1213">
      <c r="A1213" t="inlineStr">
        <is>
          <t>Mercury</t>
        </is>
      </c>
      <c r="B1213" t="n">
        <v>1.392e-08</v>
      </c>
      <c r="D1213" t="inlineStr">
        <is>
          <t>kilogram</t>
        </is>
      </c>
      <c r="E1213" t="inlineStr">
        <is>
          <t>air::non-urban air or from high stacks</t>
        </is>
      </c>
      <c r="F1213" t="inlineStr">
        <is>
          <t>biosphere</t>
        </is>
      </c>
      <c r="G1213" t="n">
        <v>0</v>
      </c>
      <c r="H1213" t="n">
        <v>1.74e-09</v>
      </c>
      <c r="J1213" t="inlineStr">
        <is>
          <t>scaled by conversion factor f (1el -&gt; 1Jin)</t>
        </is>
      </c>
    </row>
    <row r="1214">
      <c r="A1214" t="inlineStr">
        <is>
          <t>Methane, fossil</t>
        </is>
      </c>
      <c r="B1214" t="n">
        <v>1.216e-05</v>
      </c>
      <c r="D1214" t="inlineStr">
        <is>
          <t>kilogram</t>
        </is>
      </c>
      <c r="E1214" t="inlineStr">
        <is>
          <t>air::non-urban air or from high stacks</t>
        </is>
      </c>
      <c r="F1214" t="inlineStr">
        <is>
          <t>biosphere</t>
        </is>
      </c>
      <c r="G1214" t="n">
        <v>0</v>
      </c>
      <c r="H1214" t="n">
        <v>1.52e-06</v>
      </c>
      <c r="J1214" t="inlineStr">
        <is>
          <t>scaled by conversion factor f (1el -&gt; 1Jin)</t>
        </is>
      </c>
    </row>
    <row r="1215">
      <c r="A1215" t="inlineStr">
        <is>
          <t>Molybdenum</t>
        </is>
      </c>
      <c r="B1215" t="n">
        <v>5.248e-10</v>
      </c>
      <c r="D1215" t="inlineStr">
        <is>
          <t>kilogram</t>
        </is>
      </c>
      <c r="E1215" t="inlineStr">
        <is>
          <t>air::non-urban air or from high stacks</t>
        </is>
      </c>
      <c r="F1215" t="inlineStr">
        <is>
          <t>biosphere</t>
        </is>
      </c>
      <c r="G1215" t="n">
        <v>0</v>
      </c>
      <c r="H1215" t="n">
        <v>6.56e-11</v>
      </c>
      <c r="J1215" t="inlineStr">
        <is>
          <t>scaled by conversion factor f (1el -&gt; 1Jin)</t>
        </is>
      </c>
    </row>
    <row r="1216">
      <c r="A1216" t="inlineStr">
        <is>
          <t>NMVOC, non-methane volatile organic compounds, unspecified origin</t>
        </is>
      </c>
      <c r="B1216" t="n">
        <v>6.336e-06</v>
      </c>
      <c r="D1216" t="inlineStr">
        <is>
          <t>kilogram</t>
        </is>
      </c>
      <c r="E1216" t="inlineStr">
        <is>
          <t>air::non-urban air or from high stacks</t>
        </is>
      </c>
      <c r="F1216" t="inlineStr">
        <is>
          <t>biosphere</t>
        </is>
      </c>
      <c r="G1216" t="n">
        <v>0</v>
      </c>
      <c r="H1216" t="n">
        <v>7.92e-07</v>
      </c>
      <c r="J1216" t="inlineStr">
        <is>
          <t>scaled by conversion factor f (1el -&gt; 1Jin)</t>
        </is>
      </c>
    </row>
    <row r="1217">
      <c r="A1217" t="inlineStr">
        <is>
          <t>Nickel</t>
        </is>
      </c>
      <c r="B1217" t="n">
        <v>2.6e-09</v>
      </c>
      <c r="D1217" t="inlineStr">
        <is>
          <t>kilogram</t>
        </is>
      </c>
      <c r="E1217" t="inlineStr">
        <is>
          <t>air::non-urban air or from high stacks</t>
        </is>
      </c>
      <c r="F1217" t="inlineStr">
        <is>
          <t>biosphere</t>
        </is>
      </c>
      <c r="G1217" t="n">
        <v>0</v>
      </c>
      <c r="H1217" t="n">
        <v>3.25e-10</v>
      </c>
      <c r="J1217" t="inlineStr">
        <is>
          <t>scaled by conversion factor f (1el -&gt; 1Jin)</t>
        </is>
      </c>
    </row>
    <row r="1218">
      <c r="A1218" t="inlineStr">
        <is>
          <t>Nitrogen oxides</t>
        </is>
      </c>
      <c r="B1218" t="n">
        <v>0.0004304</v>
      </c>
      <c r="D1218" t="inlineStr">
        <is>
          <t>kilogram</t>
        </is>
      </c>
      <c r="E1218" t="inlineStr">
        <is>
          <t>air::non-urban air or from high stacks</t>
        </is>
      </c>
      <c r="F1218" t="inlineStr">
        <is>
          <t>biosphere</t>
        </is>
      </c>
      <c r="G1218" t="n">
        <v>0</v>
      </c>
      <c r="H1218" t="n">
        <v>5.38e-05</v>
      </c>
    </row>
    <row r="1219">
      <c r="A1219" t="inlineStr">
        <is>
          <t>Occupation, industrial area</t>
        </is>
      </c>
      <c r="B1219" t="n">
        <v>7.864000000000001e-05</v>
      </c>
      <c r="D1219" t="inlineStr">
        <is>
          <t>square meter-year</t>
        </is>
      </c>
      <c r="E1219" t="inlineStr">
        <is>
          <t>natural resource::land</t>
        </is>
      </c>
      <c r="F1219" t="inlineStr">
        <is>
          <t>biosphere</t>
        </is>
      </c>
      <c r="G1219" t="n">
        <v>0</v>
      </c>
      <c r="H1219" t="n">
        <v>9.830000000000001e-06</v>
      </c>
      <c r="J1219" t="inlineStr">
        <is>
          <t>scaled by conversion factor f (1el -&gt; 1Jin)</t>
        </is>
      </c>
    </row>
    <row r="1220">
      <c r="A1220" t="inlineStr">
        <is>
          <t>Occupation, industrial area</t>
        </is>
      </c>
      <c r="B1220" t="n">
        <v>2.36e-05</v>
      </c>
      <c r="D1220" t="inlineStr">
        <is>
          <t>square meter-year</t>
        </is>
      </c>
      <c r="E1220" t="inlineStr">
        <is>
          <t>natural resource::land</t>
        </is>
      </c>
      <c r="F1220" t="inlineStr">
        <is>
          <t>biosphere</t>
        </is>
      </c>
      <c r="G1220" t="n">
        <v>0</v>
      </c>
      <c r="H1220" t="n">
        <v>2.95e-06</v>
      </c>
      <c r="J1220" t="inlineStr">
        <is>
          <t>scaled by conversion factor f (1el -&gt; 1Jin)</t>
        </is>
      </c>
    </row>
    <row r="1221">
      <c r="A1221" t="inlineStr">
        <is>
          <t>Occupation, industrial area</t>
        </is>
      </c>
      <c r="B1221" t="n">
        <v>3.152e-05</v>
      </c>
      <c r="D1221" t="inlineStr">
        <is>
          <t>square meter-year</t>
        </is>
      </c>
      <c r="E1221" t="inlineStr">
        <is>
          <t>natural resource::land</t>
        </is>
      </c>
      <c r="F1221" t="inlineStr">
        <is>
          <t>biosphere</t>
        </is>
      </c>
      <c r="G1221" t="n">
        <v>0</v>
      </c>
      <c r="H1221" t="n">
        <v>3.94e-06</v>
      </c>
      <c r="J1221" t="inlineStr">
        <is>
          <t>scaled by conversion factor f (1el -&gt; 1Jin)</t>
        </is>
      </c>
    </row>
    <row r="1222">
      <c r="A1222" t="inlineStr">
        <is>
          <t>Occupation, traffic area, rail network</t>
        </is>
      </c>
      <c r="B1222" t="n">
        <v>7.864e-06</v>
      </c>
      <c r="D1222" t="inlineStr">
        <is>
          <t>square meter-year</t>
        </is>
      </c>
      <c r="E1222" t="inlineStr">
        <is>
          <t>natural resource::land</t>
        </is>
      </c>
      <c r="F1222" t="inlineStr">
        <is>
          <t>biosphere</t>
        </is>
      </c>
      <c r="G1222" t="n">
        <v>0</v>
      </c>
      <c r="H1222" t="n">
        <v>9.829999999999999e-07</v>
      </c>
      <c r="J1222" t="inlineStr">
        <is>
          <t>scaled by conversion factor f (1el -&gt; 1Jin)</t>
        </is>
      </c>
    </row>
    <row r="1223">
      <c r="A1223" t="inlineStr">
        <is>
          <t>Occupation, traffic area, road network</t>
        </is>
      </c>
      <c r="B1223" t="n">
        <v>1.576e-05</v>
      </c>
      <c r="D1223" t="inlineStr">
        <is>
          <t>square meter-year</t>
        </is>
      </c>
      <c r="E1223" t="inlineStr">
        <is>
          <t>natural resource::land</t>
        </is>
      </c>
      <c r="F1223" t="inlineStr">
        <is>
          <t>biosphere</t>
        </is>
      </c>
      <c r="G1223" t="n">
        <v>0</v>
      </c>
      <c r="H1223" t="n">
        <v>1.97e-06</v>
      </c>
      <c r="J1223" t="inlineStr">
        <is>
          <t>scaled by conversion factor f (1el -&gt; 1Jin)</t>
        </is>
      </c>
    </row>
    <row r="1224">
      <c r="A1224" t="inlineStr">
        <is>
          <t>PAH, polycyclic aromatic hydrocarbons</t>
        </is>
      </c>
      <c r="B1224" t="n">
        <v>6.016e-08</v>
      </c>
      <c r="D1224" t="inlineStr">
        <is>
          <t>kilogram</t>
        </is>
      </c>
      <c r="E1224" t="inlineStr">
        <is>
          <t>air::non-urban air or from high stacks</t>
        </is>
      </c>
      <c r="F1224" t="inlineStr">
        <is>
          <t>biosphere</t>
        </is>
      </c>
      <c r="G1224" t="n">
        <v>0</v>
      </c>
      <c r="H1224" t="n">
        <v>7.520000000000001e-09</v>
      </c>
      <c r="J1224" t="inlineStr">
        <is>
          <t>scaled by conversion factor f (1el -&gt; 1Jin)</t>
        </is>
      </c>
    </row>
    <row r="1225">
      <c r="A1225" t="inlineStr">
        <is>
          <t>Pentane</t>
        </is>
      </c>
      <c r="B1225" t="n">
        <v>8.88e-07</v>
      </c>
      <c r="D1225" t="inlineStr">
        <is>
          <t>kilogram</t>
        </is>
      </c>
      <c r="E1225" t="inlineStr">
        <is>
          <t>air::non-urban air or from high stacks</t>
        </is>
      </c>
      <c r="F1225" t="inlineStr">
        <is>
          <t>biosphere</t>
        </is>
      </c>
      <c r="G1225" t="n">
        <v>0</v>
      </c>
      <c r="H1225" t="n">
        <v>1.11e-07</v>
      </c>
      <c r="J1225" t="inlineStr">
        <is>
          <t>scaled by conversion factor f (1el -&gt; 1Jin)</t>
        </is>
      </c>
    </row>
    <row r="1226">
      <c r="A1226" t="inlineStr">
        <is>
          <t>Polonium-210</t>
        </is>
      </c>
      <c r="B1226" t="n">
        <v>1.376e-05</v>
      </c>
      <c r="D1226" t="inlineStr">
        <is>
          <t>kilo Becquerel</t>
        </is>
      </c>
      <c r="E1226" t="inlineStr">
        <is>
          <t>air::non-urban air or from high stacks</t>
        </is>
      </c>
      <c r="F1226" t="inlineStr">
        <is>
          <t>biosphere</t>
        </is>
      </c>
      <c r="G1226" t="n">
        <v>0</v>
      </c>
      <c r="H1226" t="n">
        <v>1.72e-06</v>
      </c>
      <c r="J1226" t="inlineStr">
        <is>
          <t>scaled by conversion factor f (1el -&gt; 1Jin)</t>
        </is>
      </c>
    </row>
    <row r="1227">
      <c r="A1227" t="inlineStr">
        <is>
          <t>Potassium-40</t>
        </is>
      </c>
      <c r="B1227" t="n">
        <v>4.888e-06</v>
      </c>
      <c r="D1227" t="inlineStr">
        <is>
          <t>kilo Becquerel</t>
        </is>
      </c>
      <c r="E1227" t="inlineStr">
        <is>
          <t>air::non-urban air or from high stacks</t>
        </is>
      </c>
      <c r="F1227" t="inlineStr">
        <is>
          <t>biosphere</t>
        </is>
      </c>
      <c r="G1227" t="n">
        <v>0</v>
      </c>
      <c r="H1227" t="n">
        <v>6.11e-07</v>
      </c>
      <c r="J1227" t="inlineStr">
        <is>
          <t>scaled by conversion factor f (1el -&gt; 1Jin)</t>
        </is>
      </c>
    </row>
    <row r="1228">
      <c r="A1228" t="inlineStr">
        <is>
          <t>Propane</t>
        </is>
      </c>
      <c r="B1228" t="n">
        <v>2.104e-07</v>
      </c>
      <c r="D1228" t="inlineStr">
        <is>
          <t>kilogram</t>
        </is>
      </c>
      <c r="E1228" t="inlineStr">
        <is>
          <t>air::non-urban air or from high stacks</t>
        </is>
      </c>
      <c r="F1228" t="inlineStr">
        <is>
          <t>biosphere</t>
        </is>
      </c>
      <c r="G1228" t="n">
        <v>0</v>
      </c>
      <c r="H1228" t="n">
        <v>2.63e-08</v>
      </c>
      <c r="J1228" t="inlineStr">
        <is>
          <t>scaled by conversion factor f (1el -&gt; 1Jin)</t>
        </is>
      </c>
    </row>
    <row r="1229">
      <c r="A1229" t="inlineStr">
        <is>
          <t>Propene</t>
        </is>
      </c>
      <c r="B1229" t="n">
        <v>9.6e-08</v>
      </c>
      <c r="D1229" t="inlineStr">
        <is>
          <t>kilogram</t>
        </is>
      </c>
      <c r="E1229" t="inlineStr">
        <is>
          <t>air::non-urban air or from high stacks</t>
        </is>
      </c>
      <c r="F1229" t="inlineStr">
        <is>
          <t>biosphere</t>
        </is>
      </c>
      <c r="G1229" t="n">
        <v>0</v>
      </c>
      <c r="H1229" t="n">
        <v>1.2e-08</v>
      </c>
      <c r="J1229" t="inlineStr">
        <is>
          <t>scaled by conversion factor f (1el -&gt; 1Jin)</t>
        </is>
      </c>
    </row>
    <row r="1230">
      <c r="A1230" t="inlineStr">
        <is>
          <t>Radium-226</t>
        </is>
      </c>
      <c r="B1230" t="n">
        <v>1.944e-06</v>
      </c>
      <c r="D1230" t="inlineStr">
        <is>
          <t>kilo Becquerel</t>
        </is>
      </c>
      <c r="E1230" t="inlineStr">
        <is>
          <t>air::non-urban air or from high stacks</t>
        </is>
      </c>
      <c r="F1230" t="inlineStr">
        <is>
          <t>biosphere</t>
        </is>
      </c>
      <c r="G1230" t="n">
        <v>0</v>
      </c>
      <c r="H1230" t="n">
        <v>2.43e-07</v>
      </c>
      <c r="J1230" t="inlineStr">
        <is>
          <t>scaled by conversion factor f (1el -&gt; 1Jin)</t>
        </is>
      </c>
    </row>
    <row r="1231">
      <c r="A1231" t="inlineStr">
        <is>
          <t>Radium-228</t>
        </is>
      </c>
      <c r="B1231" t="n">
        <v>1.272e-06</v>
      </c>
      <c r="D1231" t="inlineStr">
        <is>
          <t>kilo Becquerel</t>
        </is>
      </c>
      <c r="E1231" t="inlineStr">
        <is>
          <t>air::non-urban air or from high stacks</t>
        </is>
      </c>
      <c r="F1231" t="inlineStr">
        <is>
          <t>biosphere</t>
        </is>
      </c>
      <c r="G1231" t="n">
        <v>0</v>
      </c>
      <c r="H1231" t="n">
        <v>1.59e-07</v>
      </c>
      <c r="J1231" t="inlineStr">
        <is>
          <t>scaled by conversion factor f (1el -&gt; 1Jin)</t>
        </is>
      </c>
    </row>
    <row r="1232">
      <c r="A1232" t="inlineStr">
        <is>
          <t>Selenium</t>
        </is>
      </c>
      <c r="B1232" t="n">
        <v>1.792e-08</v>
      </c>
      <c r="D1232" t="inlineStr">
        <is>
          <t>kilogram</t>
        </is>
      </c>
      <c r="E1232" t="inlineStr">
        <is>
          <t>air::non-urban air or from high stacks</t>
        </is>
      </c>
      <c r="F1232" t="inlineStr">
        <is>
          <t>biosphere</t>
        </is>
      </c>
      <c r="G1232" t="n">
        <v>0</v>
      </c>
      <c r="H1232" t="n">
        <v>2.24e-09</v>
      </c>
      <c r="J1232" t="inlineStr">
        <is>
          <t>scaled by conversion factor f (1el -&gt; 1Jin)</t>
        </is>
      </c>
    </row>
    <row r="1233">
      <c r="A1233" t="inlineStr">
        <is>
          <t>Strontium</t>
        </is>
      </c>
      <c r="B1233" t="n">
        <v>2.76e-09</v>
      </c>
      <c r="D1233" t="inlineStr">
        <is>
          <t>kilogram</t>
        </is>
      </c>
      <c r="E1233" t="inlineStr">
        <is>
          <t>air::non-urban air or from high stacks</t>
        </is>
      </c>
      <c r="F1233" t="inlineStr">
        <is>
          <t>biosphere</t>
        </is>
      </c>
      <c r="G1233" t="n">
        <v>0</v>
      </c>
      <c r="H1233" t="n">
        <v>3.45e-10</v>
      </c>
      <c r="J1233" t="inlineStr">
        <is>
          <t>scaled by conversion factor f (1el -&gt; 1Jin)</t>
        </is>
      </c>
    </row>
    <row r="1234">
      <c r="A1234" t="inlineStr">
        <is>
          <t>Sulfur dioxide</t>
        </is>
      </c>
      <c r="B1234" t="n">
        <v>0.000652</v>
      </c>
      <c r="D1234" t="inlineStr">
        <is>
          <t>kilogram</t>
        </is>
      </c>
      <c r="E1234" t="inlineStr">
        <is>
          <t>air::non-urban air or from high stacks</t>
        </is>
      </c>
      <c r="F1234" t="inlineStr">
        <is>
          <t>biosphere</t>
        </is>
      </c>
      <c r="G1234" t="n">
        <v>0</v>
      </c>
      <c r="H1234" t="n">
        <v>8.15e-05</v>
      </c>
    </row>
    <row r="1235">
      <c r="A1235" t="inlineStr">
        <is>
          <t>Thorium-228</t>
        </is>
      </c>
      <c r="B1235" t="n">
        <v>1.024e-06</v>
      </c>
      <c r="D1235" t="inlineStr">
        <is>
          <t>kilo Becquerel</t>
        </is>
      </c>
      <c r="E1235" t="inlineStr">
        <is>
          <t>air::non-urban air or from high stacks</t>
        </is>
      </c>
      <c r="F1235" t="inlineStr">
        <is>
          <t>biosphere</t>
        </is>
      </c>
      <c r="G1235" t="n">
        <v>0</v>
      </c>
      <c r="H1235" t="n">
        <v>1.28e-07</v>
      </c>
      <c r="J1235" t="inlineStr">
        <is>
          <t>scaled by conversion factor f (1el -&gt; 1Jin)</t>
        </is>
      </c>
    </row>
    <row r="1236">
      <c r="A1236" t="inlineStr">
        <is>
          <t>Thorium-232</t>
        </is>
      </c>
      <c r="B1236" t="n">
        <v>1.6e-06</v>
      </c>
      <c r="D1236" t="inlineStr">
        <is>
          <t>kilo Becquerel</t>
        </is>
      </c>
      <c r="E1236" t="inlineStr">
        <is>
          <t>air::non-urban air or from high stacks</t>
        </is>
      </c>
      <c r="F1236" t="inlineStr">
        <is>
          <t>biosphere</t>
        </is>
      </c>
      <c r="G1236" t="n">
        <v>0</v>
      </c>
      <c r="H1236" t="n">
        <v>2e-07</v>
      </c>
      <c r="J1236" t="inlineStr">
        <is>
          <t>scaled by conversion factor f (1el -&gt; 1Jin)</t>
        </is>
      </c>
    </row>
    <row r="1237">
      <c r="A1237" t="inlineStr">
        <is>
          <t>Toluene</t>
        </is>
      </c>
      <c r="B1237" t="n">
        <v>6.560000000000001e-07</v>
      </c>
      <c r="D1237" t="inlineStr">
        <is>
          <t>kilogram</t>
        </is>
      </c>
      <c r="E1237" t="inlineStr">
        <is>
          <t>air::non-urban air or from high stacks</t>
        </is>
      </c>
      <c r="F1237" t="inlineStr">
        <is>
          <t>biosphere</t>
        </is>
      </c>
      <c r="G1237" t="n">
        <v>0</v>
      </c>
      <c r="H1237" t="n">
        <v>8.200000000000001e-08</v>
      </c>
      <c r="J1237" t="inlineStr">
        <is>
          <t>scaled by conversion factor f (1el -&gt; 1Jin)</t>
        </is>
      </c>
    </row>
    <row r="1238">
      <c r="A1238" t="inlineStr">
        <is>
          <t>Uranium-238</t>
        </is>
      </c>
      <c r="B1238" t="n">
        <v>1.24e-06</v>
      </c>
      <c r="D1238" t="inlineStr">
        <is>
          <t>kilo Becquerel</t>
        </is>
      </c>
      <c r="E1238" t="inlineStr">
        <is>
          <t>air::non-urban air or from high stacks</t>
        </is>
      </c>
      <c r="F1238" t="inlineStr">
        <is>
          <t>biosphere</t>
        </is>
      </c>
      <c r="G1238" t="n">
        <v>0</v>
      </c>
      <c r="H1238" t="n">
        <v>1.55e-07</v>
      </c>
      <c r="J1238" t="inlineStr">
        <is>
          <t>scaled by conversion factor f (1el -&gt; 1Jin)</t>
        </is>
      </c>
    </row>
    <row r="1239">
      <c r="A1239" t="inlineStr">
        <is>
          <t>Vanadium</t>
        </is>
      </c>
      <c r="B1239" t="n">
        <v>1.144e-09</v>
      </c>
      <c r="D1239" t="inlineStr">
        <is>
          <t>kilogram</t>
        </is>
      </c>
      <c r="E1239" t="inlineStr">
        <is>
          <t>air::non-urban air or from high stacks</t>
        </is>
      </c>
      <c r="F1239" t="inlineStr">
        <is>
          <t>biosphere</t>
        </is>
      </c>
      <c r="G1239" t="n">
        <v>0</v>
      </c>
      <c r="H1239" t="n">
        <v>1.43e-10</v>
      </c>
      <c r="J1239" t="inlineStr">
        <is>
          <t>scaled by conversion factor f (1el -&gt; 1Jin)</t>
        </is>
      </c>
    </row>
    <row r="1240">
      <c r="A1240" t="inlineStr">
        <is>
          <t>Xylene</t>
        </is>
      </c>
      <c r="B1240" t="n">
        <v>5.544e-06</v>
      </c>
      <c r="D1240" t="inlineStr">
        <is>
          <t>kilogram</t>
        </is>
      </c>
      <c r="E1240" t="inlineStr">
        <is>
          <t>air::non-urban air or from high stacks</t>
        </is>
      </c>
      <c r="F1240" t="inlineStr">
        <is>
          <t>biosphere</t>
        </is>
      </c>
      <c r="G1240" t="n">
        <v>0</v>
      </c>
      <c r="H1240" t="n">
        <v>6.93e-07</v>
      </c>
      <c r="J1240" t="inlineStr">
        <is>
          <t>scaled by conversion factor f (1el -&gt; 1Jin)</t>
        </is>
      </c>
    </row>
    <row r="1241">
      <c r="A1241" t="inlineStr">
        <is>
          <t>Zinc</t>
        </is>
      </c>
      <c r="B1241" t="n">
        <v>4.592e-10</v>
      </c>
      <c r="D1241" t="inlineStr">
        <is>
          <t>kilogram</t>
        </is>
      </c>
      <c r="E1241" t="inlineStr">
        <is>
          <t>air::non-urban air or from high stacks</t>
        </is>
      </c>
      <c r="F1241" t="inlineStr">
        <is>
          <t>biosphere</t>
        </is>
      </c>
      <c r="G1241" t="n">
        <v>0</v>
      </c>
      <c r="H1241" t="n">
        <v>5.74e-11</v>
      </c>
      <c r="J1241" t="inlineStr">
        <is>
          <t>scaled by conversion factor f (1el -&gt; 1Jin)</t>
        </is>
      </c>
    </row>
    <row r="1242">
      <c r="A1242" t="inlineStr">
        <is>
          <t>heat production, heavy fuel oil, at industrial furnace 1MW</t>
        </is>
      </c>
      <c r="B1242" t="n">
        <v>0.0007664</v>
      </c>
      <c r="C1242" t="inlineStr">
        <is>
          <t>Europe without Switzerland</t>
        </is>
      </c>
      <c r="D1242" t="inlineStr">
        <is>
          <t>megajoule</t>
        </is>
      </c>
      <c r="E1242" t="inlineStr">
        <is>
          <t>Materials/fuels</t>
        </is>
      </c>
      <c r="F1242" t="inlineStr">
        <is>
          <t>technosphere</t>
        </is>
      </c>
      <c r="G1242" t="n">
        <v>0</v>
      </c>
      <c r="H1242" t="n">
        <v>9.58e-05</v>
      </c>
      <c r="J1242" t="inlineStr">
        <is>
          <t>scaled by conversion factor f (1el -&gt; 1Jin)</t>
        </is>
      </c>
      <c r="L1242" t="inlineStr">
        <is>
          <t>Heat, light fuel oil, at industrial furnace 1MW U</t>
        </is>
      </c>
      <c r="M1242" t="inlineStr">
        <is>
          <t>heat, district or industrial, other than natural gas</t>
        </is>
      </c>
    </row>
    <row r="1243">
      <c r="A1243" t="inlineStr">
        <is>
          <t>lime production, milled, loose</t>
        </is>
      </c>
      <c r="B1243" t="n">
        <v>0.02208</v>
      </c>
      <c r="C1243" t="inlineStr">
        <is>
          <t>CH</t>
        </is>
      </c>
      <c r="D1243" t="inlineStr">
        <is>
          <t>kilogram</t>
        </is>
      </c>
      <c r="E1243" t="inlineStr">
        <is>
          <t>Materials/fuels</t>
        </is>
      </c>
      <c r="F1243" t="inlineStr">
        <is>
          <t>technosphere</t>
        </is>
      </c>
      <c r="G1243" t="n">
        <v>0</v>
      </c>
      <c r="H1243" t="n">
        <v>0.00276</v>
      </c>
      <c r="J1243" t="inlineStr">
        <is>
          <t>scaled by conversion factor f (1el -&gt; 1Jin)</t>
        </is>
      </c>
      <c r="K1243" t="inlineStr">
        <is>
          <t>lime</t>
        </is>
      </c>
      <c r="L1243" t="inlineStr">
        <is>
          <t>Limestone, milled, loose, at plant/CH U</t>
        </is>
      </c>
      <c r="M1243" t="inlineStr">
        <is>
          <t>lime</t>
        </is>
      </c>
    </row>
    <row r="1244">
      <c r="A1244" t="inlineStr">
        <is>
          <t>market for aluminium, cast alloy</t>
        </is>
      </c>
      <c r="B1244" t="n">
        <v>6.592e-08</v>
      </c>
      <c r="C1244" t="inlineStr">
        <is>
          <t>GLO</t>
        </is>
      </c>
      <c r="D1244" t="inlineStr">
        <is>
          <t>kilogram</t>
        </is>
      </c>
      <c r="E1244" t="inlineStr">
        <is>
          <t>Materials/fuels</t>
        </is>
      </c>
      <c r="F1244" t="inlineStr">
        <is>
          <t>technosphere</t>
        </is>
      </c>
      <c r="G1244" t="n">
        <v>0</v>
      </c>
      <c r="H1244" t="n">
        <v>8.24e-09</v>
      </c>
      <c r="J1244" t="inlineStr">
        <is>
          <t>scaled by conversion factor f (1el -&gt; 1Jin)</t>
        </is>
      </c>
      <c r="L1244" t="inlineStr">
        <is>
          <t>Aluminium, production mix, at plant U</t>
        </is>
      </c>
      <c r="M1244" t="inlineStr">
        <is>
          <t>aluminium, cast alloy</t>
        </is>
      </c>
    </row>
    <row r="1245">
      <c r="A1245" t="inlineStr">
        <is>
          <t>market for ammonia, liquid</t>
        </is>
      </c>
      <c r="B1245" t="n">
        <v>3.168e-06</v>
      </c>
      <c r="C1245" t="inlineStr">
        <is>
          <t>RER</t>
        </is>
      </c>
      <c r="D1245" t="inlineStr">
        <is>
          <t>kilogram</t>
        </is>
      </c>
      <c r="E1245" t="inlineStr">
        <is>
          <t>Materials/fuels</t>
        </is>
      </c>
      <c r="F1245" t="inlineStr">
        <is>
          <t>technosphere</t>
        </is>
      </c>
      <c r="G1245" t="n">
        <v>0</v>
      </c>
      <c r="H1245" t="n">
        <v>3.96e-07</v>
      </c>
      <c r="J1245" t="inlineStr">
        <is>
          <t>scaled by conversion factor f (1el -&gt; 1Jin)</t>
        </is>
      </c>
      <c r="K1245" t="inlineStr">
        <is>
          <t>ammonia, liquid</t>
        </is>
      </c>
      <c r="L1245" t="inlineStr">
        <is>
          <t>Ammonia, liquid, at regional storehouse U</t>
        </is>
      </c>
      <c r="M1245" t="inlineStr">
        <is>
          <t>ammonia, liquid</t>
        </is>
      </c>
    </row>
    <row r="1246">
      <c r="A1246" t="inlineStr">
        <is>
          <t>market for calcium chloride</t>
        </is>
      </c>
      <c r="B1246" t="n">
        <v>7.968e-05</v>
      </c>
      <c r="C1246" t="inlineStr">
        <is>
          <t>RER</t>
        </is>
      </c>
      <c r="D1246" t="inlineStr">
        <is>
          <t>kilogram</t>
        </is>
      </c>
      <c r="E1246" t="inlineStr">
        <is>
          <t>Materials/fuels</t>
        </is>
      </c>
      <c r="F1246" t="inlineStr">
        <is>
          <t>technosphere</t>
        </is>
      </c>
      <c r="G1246" t="n">
        <v>0</v>
      </c>
      <c r="H1246" t="n">
        <v>9.96e-06</v>
      </c>
      <c r="J1246" t="inlineStr">
        <is>
          <t>scaled by conversion factor f (1el -&gt; 1Jin)</t>
        </is>
      </c>
      <c r="L1246" t="inlineStr">
        <is>
          <t>Calcium chloride, CaCl2, at regional storage/CH U</t>
        </is>
      </c>
      <c r="M1246" t="inlineStr">
        <is>
          <t>calcium chloride</t>
        </is>
      </c>
    </row>
    <row r="1247">
      <c r="A1247" t="inlineStr">
        <is>
          <t>market for cast iron</t>
        </is>
      </c>
      <c r="B1247" t="n">
        <v>1.456e-06</v>
      </c>
      <c r="C1247" t="inlineStr">
        <is>
          <t>GLO</t>
        </is>
      </c>
      <c r="D1247" t="inlineStr">
        <is>
          <t>kilogram</t>
        </is>
      </c>
      <c r="E1247" t="inlineStr">
        <is>
          <t>Materials/fuels</t>
        </is>
      </c>
      <c r="F1247" t="inlineStr">
        <is>
          <t>technosphere</t>
        </is>
      </c>
      <c r="G1247" t="n">
        <v>0</v>
      </c>
      <c r="H1247" t="n">
        <v>1.82e-07</v>
      </c>
      <c r="J1247" t="inlineStr">
        <is>
          <t>scaled by conversion factor f (1el -&gt; 1Jin)</t>
        </is>
      </c>
      <c r="L1247" t="inlineStr">
        <is>
          <t>Cast iron, at plant U</t>
        </is>
      </c>
      <c r="M1247" t="inlineStr">
        <is>
          <t>cast iron</t>
        </is>
      </c>
    </row>
    <row r="1248">
      <c r="A1248" t="inlineStr">
        <is>
          <t>market for chemicals, inorganic</t>
        </is>
      </c>
      <c r="B1248" t="n">
        <v>5.112e-05</v>
      </c>
      <c r="C1248" t="inlineStr">
        <is>
          <t>GLO</t>
        </is>
      </c>
      <c r="D1248" t="inlineStr">
        <is>
          <t>kilogram</t>
        </is>
      </c>
      <c r="E1248" t="inlineStr">
        <is>
          <t>Materials/fuels</t>
        </is>
      </c>
      <c r="F1248" t="inlineStr">
        <is>
          <t>technosphere</t>
        </is>
      </c>
      <c r="G1248" t="n">
        <v>0</v>
      </c>
      <c r="H1248" t="n">
        <v>6.39e-06</v>
      </c>
      <c r="J1248" t="inlineStr">
        <is>
          <t>scaled by conversion factor f (1el -&gt; 1Jin)</t>
        </is>
      </c>
      <c r="L1248" t="inlineStr">
        <is>
          <t>Chemicals inorganic, at plant/GLO U</t>
        </is>
      </c>
      <c r="M1248" t="inlineStr">
        <is>
          <t>chemical, inorganic</t>
        </is>
      </c>
    </row>
    <row r="1249">
      <c r="A1249" t="inlineStr">
        <is>
          <t>market for copper</t>
        </is>
      </c>
      <c r="B1249" t="n">
        <v>7.656000000000001e-08</v>
      </c>
      <c r="C1249" t="inlineStr">
        <is>
          <t>GLO</t>
        </is>
      </c>
      <c r="D1249" t="inlineStr">
        <is>
          <t>kilogram</t>
        </is>
      </c>
      <c r="E1249" t="inlineStr">
        <is>
          <t>Materials/fuels</t>
        </is>
      </c>
      <c r="F1249" t="inlineStr">
        <is>
          <t>technosphere</t>
        </is>
      </c>
      <c r="G1249" t="n">
        <v>0</v>
      </c>
      <c r="H1249" t="n">
        <v>9.570000000000001e-09</v>
      </c>
      <c r="J1249" t="inlineStr">
        <is>
          <t>scaled by conversion factor f (1el -&gt; 1Jin)</t>
        </is>
      </c>
      <c r="K1249" t="inlineStr">
        <is>
          <t>copper</t>
        </is>
      </c>
      <c r="L1249" t="inlineStr">
        <is>
          <t>Copper, at regional storage U</t>
        </is>
      </c>
      <c r="M1249" t="inlineStr">
        <is>
          <t>copper</t>
        </is>
      </c>
    </row>
    <row r="1250">
      <c r="A1250" t="inlineStr">
        <is>
          <t>market for lead</t>
        </is>
      </c>
      <c r="B1250" t="n">
        <v>1.936e-09</v>
      </c>
      <c r="C1250" t="inlineStr">
        <is>
          <t>GLO</t>
        </is>
      </c>
      <c r="D1250" t="inlineStr">
        <is>
          <t>kilogram</t>
        </is>
      </c>
      <c r="E1250" t="inlineStr">
        <is>
          <t>Materials/fuels</t>
        </is>
      </c>
      <c r="F1250" t="inlineStr">
        <is>
          <t>technosphere</t>
        </is>
      </c>
      <c r="G1250" t="n">
        <v>0</v>
      </c>
      <c r="H1250" t="n">
        <v>2.42e-10</v>
      </c>
      <c r="J1250" t="inlineStr">
        <is>
          <t>scaled by conversion factor f (1el -&gt; 1Jin)</t>
        </is>
      </c>
      <c r="L1250" t="inlineStr">
        <is>
          <t>Lead, at regional storage U</t>
        </is>
      </c>
      <c r="M1250" t="inlineStr">
        <is>
          <t>lead</t>
        </is>
      </c>
    </row>
    <row r="1251">
      <c r="A1251" t="inlineStr">
        <is>
          <t>market for lubricating oil</t>
        </is>
      </c>
      <c r="B1251" t="n">
        <v>2.112e-05</v>
      </c>
      <c r="C1251" t="inlineStr">
        <is>
          <t>RER</t>
        </is>
      </c>
      <c r="D1251" t="inlineStr">
        <is>
          <t>kilogram</t>
        </is>
      </c>
      <c r="E1251" t="inlineStr">
        <is>
          <t>Materials/fuels</t>
        </is>
      </c>
      <c r="F1251" t="inlineStr">
        <is>
          <t>technosphere</t>
        </is>
      </c>
      <c r="G1251" t="n">
        <v>0</v>
      </c>
      <c r="H1251" t="n">
        <v>2.64e-06</v>
      </c>
      <c r="J1251" t="inlineStr">
        <is>
          <t>scaled by conversion factor f (1el -&gt; 1Jin)</t>
        </is>
      </c>
      <c r="L1251" t="inlineStr">
        <is>
          <t>Lubricating oil, at plant U</t>
        </is>
      </c>
      <c r="M1251" t="inlineStr">
        <is>
          <t>lubricating oil</t>
        </is>
      </c>
    </row>
    <row r="1252">
      <c r="A1252" t="inlineStr">
        <is>
          <t>market for monoethanolamine</t>
        </is>
      </c>
      <c r="B1252" t="n">
        <v>4.136e-06</v>
      </c>
      <c r="C1252" t="inlineStr">
        <is>
          <t>GLO</t>
        </is>
      </c>
      <c r="D1252" t="inlineStr">
        <is>
          <t>kilogram</t>
        </is>
      </c>
      <c r="E1252" t="inlineStr">
        <is>
          <t>Materials/fuels</t>
        </is>
      </c>
      <c r="F1252" t="inlineStr">
        <is>
          <t>technosphere</t>
        </is>
      </c>
      <c r="G1252" t="n">
        <v>0</v>
      </c>
      <c r="H1252" t="n">
        <v>5.17e-07</v>
      </c>
      <c r="J1252" t="inlineStr">
        <is>
          <t>scaled by conversion factor f (1el -&gt; 1Jin)</t>
        </is>
      </c>
      <c r="L1252" t="inlineStr">
        <is>
          <t>Monoethanolamine, at plant U</t>
        </is>
      </c>
      <c r="M1252" t="inlineStr">
        <is>
          <t>monoethanolamine</t>
        </is>
      </c>
    </row>
    <row r="1253">
      <c r="A1253" t="inlineStr">
        <is>
          <t>market for polyvinylfluoride</t>
        </is>
      </c>
      <c r="B1253" t="n">
        <v>5.504e-08</v>
      </c>
      <c r="C1253" t="inlineStr">
        <is>
          <t>GLO</t>
        </is>
      </c>
      <c r="D1253" t="inlineStr">
        <is>
          <t>kilogram</t>
        </is>
      </c>
      <c r="E1253" t="inlineStr">
        <is>
          <t>Materials/fuels</t>
        </is>
      </c>
      <c r="F1253" t="inlineStr">
        <is>
          <t>technosphere</t>
        </is>
      </c>
      <c r="G1253" t="n">
        <v>0</v>
      </c>
      <c r="H1253" t="n">
        <v>6.88e-09</v>
      </c>
      <c r="J1253" t="inlineStr">
        <is>
          <t>scaled by conversion factor f (1el -&gt; 1Jin)</t>
        </is>
      </c>
      <c r="L1253" t="inlineStr">
        <is>
          <t>Polyvinylchloride, at regional storage U</t>
        </is>
      </c>
      <c r="M1253" t="inlineStr">
        <is>
          <t>polyvinylfluoride</t>
        </is>
      </c>
    </row>
    <row r="1254">
      <c r="A1254" t="inlineStr">
        <is>
          <t>market for reinforcing steel</t>
        </is>
      </c>
      <c r="B1254" t="n">
        <v>1.264e-06</v>
      </c>
      <c r="C1254" t="inlineStr">
        <is>
          <t>GLO</t>
        </is>
      </c>
      <c r="D1254" t="inlineStr">
        <is>
          <t>kilogram</t>
        </is>
      </c>
      <c r="E1254" t="inlineStr">
        <is>
          <t>Materials/fuels</t>
        </is>
      </c>
      <c r="F1254" t="inlineStr">
        <is>
          <t>technosphere</t>
        </is>
      </c>
      <c r="G1254" t="n">
        <v>0</v>
      </c>
      <c r="H1254" t="n">
        <v>1.58e-07</v>
      </c>
      <c r="J1254" t="inlineStr">
        <is>
          <t>scaled by conversion factor f (1el -&gt; 1Jin)</t>
        </is>
      </c>
      <c r="L1254" t="inlineStr">
        <is>
          <t>Reinforcing steel, at plant U</t>
        </is>
      </c>
      <c r="M1254" t="inlineStr">
        <is>
          <t>reinforcing steel</t>
        </is>
      </c>
    </row>
    <row r="1255">
      <c r="A1255" t="inlineStr">
        <is>
          <t>market for sodium hydroxide, without water, in 50% solution state</t>
        </is>
      </c>
      <c r="B1255" t="n">
        <v>0.0004616</v>
      </c>
      <c r="C1255" t="inlineStr">
        <is>
          <t>GLO</t>
        </is>
      </c>
      <c r="D1255" t="inlineStr">
        <is>
          <t>kilogram</t>
        </is>
      </c>
      <c r="E1255" t="inlineStr">
        <is>
          <t>Materials/fuels</t>
        </is>
      </c>
      <c r="F1255" t="inlineStr">
        <is>
          <t>technosphere</t>
        </is>
      </c>
      <c r="G1255" t="n">
        <v>0</v>
      </c>
      <c r="H1255" t="n">
        <v>5.77e-05</v>
      </c>
      <c r="J1255" t="inlineStr">
        <is>
          <t>scaled by conversion factor f (1el -&gt; 1Jin)</t>
        </is>
      </c>
      <c r="L1255" t="inlineStr">
        <is>
          <t>Sodium hydroxide, 50% in hydrogenO, production mix, at plant U</t>
        </is>
      </c>
      <c r="M1255" t="inlineStr">
        <is>
          <t>sodium hydroxide, without water, in 50% solution state</t>
        </is>
      </c>
    </row>
    <row r="1256">
      <c r="A1256" t="inlineStr">
        <is>
          <t>market for sodium hypochlorite, without water, in 15% solution state</t>
        </is>
      </c>
      <c r="B1256" t="n">
        <v>4.384e-05</v>
      </c>
      <c r="C1256" t="inlineStr">
        <is>
          <t>RER</t>
        </is>
      </c>
      <c r="D1256" t="inlineStr">
        <is>
          <t>kilogram</t>
        </is>
      </c>
      <c r="E1256" t="inlineStr">
        <is>
          <t>Materials/fuels</t>
        </is>
      </c>
      <c r="F1256" t="inlineStr">
        <is>
          <t>technosphere</t>
        </is>
      </c>
      <c r="G1256" t="n">
        <v>0</v>
      </c>
      <c r="H1256" t="n">
        <v>5.48e-06</v>
      </c>
      <c r="J1256" t="inlineStr">
        <is>
          <t>scaled by conversion factor f (1el -&gt; 1Jin)</t>
        </is>
      </c>
      <c r="L1256" t="inlineStr">
        <is>
          <t>Sodium hypochlorite, 15% in hydrogenO, at plant U</t>
        </is>
      </c>
      <c r="M1256" t="inlineStr">
        <is>
          <t>sodium hypochlorite, without water, in 15% solution state</t>
        </is>
      </c>
    </row>
    <row r="1257">
      <c r="A1257" t="inlineStr">
        <is>
          <t>market for steel, low-alloyed</t>
        </is>
      </c>
      <c r="B1257" t="n">
        <v>6.952e-07</v>
      </c>
      <c r="C1257" t="inlineStr">
        <is>
          <t>GLO</t>
        </is>
      </c>
      <c r="D1257" t="inlineStr">
        <is>
          <t>kilogram</t>
        </is>
      </c>
      <c r="E1257" t="inlineStr">
        <is>
          <t>Materials/fuels</t>
        </is>
      </c>
      <c r="F1257" t="inlineStr">
        <is>
          <t>technosphere</t>
        </is>
      </c>
      <c r="G1257" t="n">
        <v>0</v>
      </c>
      <c r="H1257" t="n">
        <v>8.69e-08</v>
      </c>
      <c r="J1257" t="inlineStr">
        <is>
          <t>scaled by conversion factor f (1el -&gt; 1Jin)</t>
        </is>
      </c>
      <c r="L1257" t="inlineStr">
        <is>
          <t>Steel, low-alloyed, at plant U</t>
        </is>
      </c>
      <c r="M1257" t="inlineStr">
        <is>
          <t>steel, low-alloyed</t>
        </is>
      </c>
    </row>
    <row r="1258">
      <c r="A1258" t="inlineStr">
        <is>
          <t>market for stone wool, packed</t>
        </is>
      </c>
      <c r="B1258" t="n">
        <v>4.984e-08</v>
      </c>
      <c r="C1258" t="inlineStr">
        <is>
          <t>GLO</t>
        </is>
      </c>
      <c r="D1258" t="inlineStr">
        <is>
          <t>kilogram</t>
        </is>
      </c>
      <c r="E1258" t="inlineStr">
        <is>
          <t>Materials/fuels</t>
        </is>
      </c>
      <c r="F1258" t="inlineStr">
        <is>
          <t>technosphere</t>
        </is>
      </c>
      <c r="G1258" t="n">
        <v>0</v>
      </c>
      <c r="H1258" t="n">
        <v>6.23e-09</v>
      </c>
      <c r="J1258" t="inlineStr">
        <is>
          <t>scaled by conversion factor f (1el -&gt; 1Jin)</t>
        </is>
      </c>
      <c r="K1258" t="inlineStr">
        <is>
          <t>stone wool, packed</t>
        </is>
      </c>
      <c r="L1258" t="inlineStr">
        <is>
          <t>Rock wool, packed, at plant/CH U</t>
        </is>
      </c>
      <c r="M1258" t="inlineStr">
        <is>
          <t>stone wool, packed</t>
        </is>
      </c>
    </row>
    <row r="1259">
      <c r="A1259" t="inlineStr">
        <is>
          <t>market for sulfuric acid</t>
        </is>
      </c>
      <c r="B1259" t="n">
        <v>0.000212</v>
      </c>
      <c r="C1259" t="inlineStr">
        <is>
          <t>RER</t>
        </is>
      </c>
      <c r="D1259" t="inlineStr">
        <is>
          <t>kilogram</t>
        </is>
      </c>
      <c r="E1259" t="inlineStr">
        <is>
          <t>Materials/fuels</t>
        </is>
      </c>
      <c r="F1259" t="inlineStr">
        <is>
          <t>technosphere</t>
        </is>
      </c>
      <c r="G1259" t="n">
        <v>0</v>
      </c>
      <c r="H1259" t="n">
        <v>2.65e-05</v>
      </c>
      <c r="J1259" t="inlineStr">
        <is>
          <t>scaled by conversion factor f (1el -&gt; 1Jin)</t>
        </is>
      </c>
      <c r="L1259" t="inlineStr">
        <is>
          <t>Sulphuric acid, liquid, at plant U</t>
        </is>
      </c>
      <c r="M1259" t="inlineStr">
        <is>
          <t>sulfuric acid</t>
        </is>
      </c>
    </row>
    <row r="1260">
      <c r="A1260" t="inlineStr">
        <is>
          <t>market for transport, freight train</t>
        </is>
      </c>
      <c r="B1260" t="n">
        <v>0.002368</v>
      </c>
      <c r="C1260" t="inlineStr">
        <is>
          <t>Europe without Switzerland</t>
        </is>
      </c>
      <c r="D1260" t="inlineStr">
        <is>
          <t>ton kilometer</t>
        </is>
      </c>
      <c r="E1260" t="inlineStr">
        <is>
          <t>Materials/fuels</t>
        </is>
      </c>
      <c r="F1260" t="inlineStr">
        <is>
          <t>technosphere</t>
        </is>
      </c>
      <c r="G1260" t="n">
        <v>0</v>
      </c>
      <c r="H1260" t="n">
        <v>0.000296</v>
      </c>
      <c r="J1260" t="inlineStr">
        <is>
          <t>scaled by conversion factor f (1el -&gt; 1Jin)</t>
        </is>
      </c>
      <c r="L1260" t="inlineStr">
        <is>
          <t>Transport, freight, rail U</t>
        </is>
      </c>
      <c r="M1260" t="inlineStr">
        <is>
          <t>transport, freight train</t>
        </is>
      </c>
    </row>
    <row r="1261">
      <c r="A1261" t="inlineStr">
        <is>
          <t>market for transport, freight, lorry, unspecified</t>
        </is>
      </c>
      <c r="B1261" t="n">
        <v>0.001184</v>
      </c>
      <c r="C1261" t="inlineStr">
        <is>
          <t>RER</t>
        </is>
      </c>
      <c r="D1261" t="inlineStr">
        <is>
          <t>ton kilometer</t>
        </is>
      </c>
      <c r="E1261" t="inlineStr">
        <is>
          <t>Materials/fuels</t>
        </is>
      </c>
      <c r="F1261" t="inlineStr">
        <is>
          <t>technosphere</t>
        </is>
      </c>
      <c r="G1261" t="n">
        <v>0</v>
      </c>
      <c r="H1261" t="n">
        <v>0.000148</v>
      </c>
      <c r="J1261" t="inlineStr">
        <is>
          <t>scaled by conversion factor f (1el -&gt; 1Jin)</t>
        </is>
      </c>
      <c r="L1261" t="inlineStr">
        <is>
          <t>Transport, lorry &gt;16t, fleet average U</t>
        </is>
      </c>
      <c r="M1261" t="inlineStr">
        <is>
          <t>transport, freight, lorry, unspecified</t>
        </is>
      </c>
    </row>
    <row r="1262">
      <c r="A1262" t="inlineStr">
        <is>
          <t>polyethylene production, low density, granulate</t>
        </is>
      </c>
      <c r="B1262" t="n">
        <v>4.712e-09</v>
      </c>
      <c r="C1262" t="inlineStr">
        <is>
          <t>RER</t>
        </is>
      </c>
      <c r="D1262" t="inlineStr">
        <is>
          <t>kilogram</t>
        </is>
      </c>
      <c r="E1262" t="inlineStr">
        <is>
          <t>Materials/fuels</t>
        </is>
      </c>
      <c r="F1262" t="inlineStr">
        <is>
          <t>technosphere</t>
        </is>
      </c>
      <c r="G1262" t="n">
        <v>0</v>
      </c>
      <c r="H1262" t="n">
        <v>5.89e-10</v>
      </c>
      <c r="J1262" t="inlineStr">
        <is>
          <t>scaled by conversion factor f (1el -&gt; 1Jin)</t>
        </is>
      </c>
      <c r="K1262" t="inlineStr">
        <is>
          <t>polyethylene, low density, granulate</t>
        </is>
      </c>
      <c r="L1262" t="inlineStr">
        <is>
          <t>Polyethylene, LDPE, granulate, at plant U</t>
        </is>
      </c>
      <c r="M1262" t="inlineStr">
        <is>
          <t>polyethylene, low density, granulate</t>
        </is>
      </c>
    </row>
    <row r="1263">
      <c r="A1263" t="inlineStr">
        <is>
          <t>polypropylene production, granulate</t>
        </is>
      </c>
      <c r="B1263" t="n">
        <v>2.36e-09</v>
      </c>
      <c r="C1263" t="inlineStr">
        <is>
          <t>RER</t>
        </is>
      </c>
      <c r="D1263" t="inlineStr">
        <is>
          <t>kilogram</t>
        </is>
      </c>
      <c r="E1263" t="inlineStr">
        <is>
          <t>Materials/fuels</t>
        </is>
      </c>
      <c r="F1263" t="inlineStr">
        <is>
          <t>technosphere</t>
        </is>
      </c>
      <c r="G1263" t="n">
        <v>0</v>
      </c>
      <c r="H1263" t="n">
        <v>2.95e-10</v>
      </c>
      <c r="J1263" t="inlineStr">
        <is>
          <t>scaled by conversion factor f (1el -&gt; 1Jin)</t>
        </is>
      </c>
      <c r="K1263" t="inlineStr">
        <is>
          <t>polypropylene, granulate</t>
        </is>
      </c>
      <c r="L1263" t="inlineStr">
        <is>
          <t>Polypropylene, granulate, at plant U</t>
        </is>
      </c>
      <c r="M1263" t="inlineStr">
        <is>
          <t>polypropylene, granulate</t>
        </is>
      </c>
    </row>
    <row r="1264">
      <c r="A1264" t="inlineStr">
        <is>
          <t>polystyrene production, high impact</t>
        </is>
      </c>
      <c r="B1264" t="n">
        <v>1.656e-08</v>
      </c>
      <c r="C1264" t="inlineStr">
        <is>
          <t>RER</t>
        </is>
      </c>
      <c r="D1264" t="inlineStr">
        <is>
          <t>kilogram</t>
        </is>
      </c>
      <c r="E1264" t="inlineStr">
        <is>
          <t>Materials/fuels</t>
        </is>
      </c>
      <c r="F1264" t="inlineStr">
        <is>
          <t>technosphere</t>
        </is>
      </c>
      <c r="G1264" t="n">
        <v>0</v>
      </c>
      <c r="H1264" t="n">
        <v>2.07e-09</v>
      </c>
      <c r="J1264" t="inlineStr">
        <is>
          <t>scaled by conversion factor f (1el -&gt; 1Jin)</t>
        </is>
      </c>
      <c r="K1264" t="inlineStr">
        <is>
          <t>polystyrene, high impact</t>
        </is>
      </c>
      <c r="L1264" t="inlineStr">
        <is>
          <t>Polystyrene, high impact, HIPS, at plant U</t>
        </is>
      </c>
      <c r="M1264" t="inlineStr">
        <is>
          <t>polystyrene, high impact</t>
        </is>
      </c>
    </row>
    <row r="1265">
      <c r="A1265" t="inlineStr">
        <is>
          <t>primary zinc production from concentrate</t>
        </is>
      </c>
      <c r="B1265" t="n">
        <v>6.296e-09</v>
      </c>
      <c r="C1265" t="inlineStr">
        <is>
          <t>RoW</t>
        </is>
      </c>
      <c r="D1265" t="inlineStr">
        <is>
          <t>kilogram</t>
        </is>
      </c>
      <c r="E1265" t="inlineStr">
        <is>
          <t>Materials/fuels</t>
        </is>
      </c>
      <c r="F1265" t="inlineStr">
        <is>
          <t>technosphere</t>
        </is>
      </c>
      <c r="G1265" t="n">
        <v>0</v>
      </c>
      <c r="H1265" t="n">
        <v>7.87e-10</v>
      </c>
      <c r="J1265" t="inlineStr">
        <is>
          <t>scaled by conversion factor f (1el -&gt; 1Jin)</t>
        </is>
      </c>
      <c r="K1265" t="inlineStr">
        <is>
          <t>zinc</t>
        </is>
      </c>
      <c r="L1265" t="inlineStr">
        <is>
          <t>Zinc, primary, at regional storage U</t>
        </is>
      </c>
      <c r="M1265" t="inlineStr">
        <is>
          <t>indium rich leaching residues, from zinc production</t>
        </is>
      </c>
    </row>
    <row r="1266">
      <c r="A1266" t="inlineStr">
        <is>
          <t>steel production, chromium steel 18/8, hot rolled</t>
        </is>
      </c>
      <c r="B1266" t="n">
        <v>5.816e-08</v>
      </c>
      <c r="C1266" t="inlineStr">
        <is>
          <t>RER</t>
        </is>
      </c>
      <c r="D1266" t="inlineStr">
        <is>
          <t>kilogram</t>
        </is>
      </c>
      <c r="E1266" t="inlineStr">
        <is>
          <t>Materials/fuels</t>
        </is>
      </c>
      <c r="F1266" t="inlineStr">
        <is>
          <t>technosphere</t>
        </is>
      </c>
      <c r="G1266" t="n">
        <v>0</v>
      </c>
      <c r="H1266" t="n">
        <v>7.27e-09</v>
      </c>
      <c r="J1266" t="inlineStr">
        <is>
          <t>scaled by conversion factor f (1el -&gt; 1Jin)</t>
        </is>
      </c>
      <c r="K1266" t="inlineStr">
        <is>
          <t>steel, chromium steel 18/8, hot rolled</t>
        </is>
      </c>
      <c r="L1266" t="inlineStr">
        <is>
          <t>Chromium steel 18/8, at plant U</t>
        </is>
      </c>
      <c r="M1266" t="inlineStr">
        <is>
          <t>steel, chromium steel 18/8, hot rolled</t>
        </is>
      </c>
    </row>
    <row r="1267">
      <c r="A1267" t="inlineStr">
        <is>
          <t>treatment of average incineration residue, residual material landfill</t>
        </is>
      </c>
      <c r="B1267" t="n">
        <v>-0.01536</v>
      </c>
      <c r="C1267" t="inlineStr">
        <is>
          <t>RoW</t>
        </is>
      </c>
      <c r="D1267" t="inlineStr">
        <is>
          <t>kilogram</t>
        </is>
      </c>
      <c r="E1267" t="inlineStr">
        <is>
          <t>Waste to treatment</t>
        </is>
      </c>
      <c r="F1267" t="inlineStr">
        <is>
          <t>technosphere</t>
        </is>
      </c>
      <c r="G1267" t="n">
        <v>0</v>
      </c>
      <c r="H1267" t="n">
        <v>0.00192</v>
      </c>
      <c r="J1267" t="inlineStr">
        <is>
          <t>scaled by conversion factor f (1el -&gt; 1Jin)</t>
        </is>
      </c>
      <c r="L1267" t="inlineStr">
        <is>
          <t>Disposal, average incineration residue, 0% water, to residual material landfill/CH U</t>
        </is>
      </c>
      <c r="M1267" t="inlineStr">
        <is>
          <t>average incineration residue</t>
        </is>
      </c>
    </row>
    <row r="1268">
      <c r="A1268" t="inlineStr">
        <is>
          <t>treatment of hard coal ash, residual material landfill</t>
        </is>
      </c>
      <c r="B1268" t="n">
        <v>-0.02888</v>
      </c>
      <c r="C1268" t="inlineStr">
        <is>
          <t>RoW</t>
        </is>
      </c>
      <c r="D1268" t="inlineStr">
        <is>
          <t>kilogram</t>
        </is>
      </c>
      <c r="E1268" t="inlineStr">
        <is>
          <t>Waste to treatment</t>
        </is>
      </c>
      <c r="F1268" t="inlineStr">
        <is>
          <t>technosphere</t>
        </is>
      </c>
      <c r="G1268" t="n">
        <v>0</v>
      </c>
      <c r="H1268" t="n">
        <v>0.00361</v>
      </c>
      <c r="J1268" t="inlineStr">
        <is>
          <t>scaled by conversion factor f (1el -&gt; 1Jin)</t>
        </is>
      </c>
      <c r="L1268" t="inlineStr">
        <is>
          <t>Disposal, hard coal ash, 0% water, to residual material landfill/DE U</t>
        </is>
      </c>
      <c r="M1268" t="inlineStr">
        <is>
          <t>hard coal ash</t>
        </is>
      </c>
    </row>
    <row r="1269">
      <c r="A1269" t="inlineStr">
        <is>
          <t>treatment of hazardous waste, hazardous waste incineration</t>
        </is>
      </c>
      <c r="B1269" t="n">
        <v>-1.448e-06</v>
      </c>
      <c r="C1269" t="inlineStr">
        <is>
          <t>CH</t>
        </is>
      </c>
      <c r="D1269" t="inlineStr">
        <is>
          <t>kilogram</t>
        </is>
      </c>
      <c r="E1269" t="inlineStr">
        <is>
          <t>Waste to treatment</t>
        </is>
      </c>
      <c r="F1269" t="inlineStr">
        <is>
          <t>technosphere</t>
        </is>
      </c>
      <c r="G1269" t="n">
        <v>0</v>
      </c>
      <c r="H1269" t="n">
        <v>1.81e-07</v>
      </c>
      <c r="J1269" t="inlineStr">
        <is>
          <t>scaled by conversion factor f (1el -&gt; 1Jin)</t>
        </is>
      </c>
      <c r="L1269" t="inlineStr">
        <is>
          <t>Disposal, hazardous waste, 25% water, to hazardous waste incineration/CH U</t>
        </is>
      </c>
      <c r="M1269" t="inlineStr">
        <is>
          <t>hazardous waste, for incineration</t>
        </is>
      </c>
    </row>
    <row r="1270">
      <c r="A1270" t="inlineStr">
        <is>
          <t>treatment of inert waste, sanitary landfill</t>
        </is>
      </c>
      <c r="B1270" t="n">
        <v>-1.248e-05</v>
      </c>
      <c r="C1270" t="inlineStr">
        <is>
          <t>CH</t>
        </is>
      </c>
      <c r="D1270" t="inlineStr">
        <is>
          <t>kilogram</t>
        </is>
      </c>
      <c r="E1270" t="inlineStr">
        <is>
          <t>Waste to treatment</t>
        </is>
      </c>
      <c r="F1270" t="inlineStr">
        <is>
          <t>technosphere</t>
        </is>
      </c>
      <c r="G1270" t="n">
        <v>0</v>
      </c>
      <c r="H1270" t="n">
        <v>1.56e-06</v>
      </c>
      <c r="J1270" t="inlineStr">
        <is>
          <t>scaled by conversion factor f (1el -&gt; 1Jin)</t>
        </is>
      </c>
      <c r="K1270" t="inlineStr">
        <is>
          <t>inert waste</t>
        </is>
      </c>
      <c r="L1270" t="inlineStr">
        <is>
          <t>Disposal, inert material, 0% water, to sanitary landfill/CH U</t>
        </is>
      </c>
      <c r="M1270" t="inlineStr">
        <is>
          <t>inert waste</t>
        </is>
      </c>
    </row>
    <row r="1271">
      <c r="A1271" t="inlineStr">
        <is>
          <t>treatment of municipal solid waste, incineration</t>
        </is>
      </c>
      <c r="B1271" t="n">
        <v>-0.00092</v>
      </c>
      <c r="C1271" t="inlineStr">
        <is>
          <t>CH</t>
        </is>
      </c>
      <c r="D1271" t="inlineStr">
        <is>
          <t>kilogram</t>
        </is>
      </c>
      <c r="E1271" t="inlineStr">
        <is>
          <t>Waste to treatment</t>
        </is>
      </c>
      <c r="F1271" t="inlineStr">
        <is>
          <t>technosphere</t>
        </is>
      </c>
      <c r="G1271" t="n">
        <v>0</v>
      </c>
      <c r="H1271" t="n">
        <v>0.000115</v>
      </c>
      <c r="J1271" t="inlineStr">
        <is>
          <t>scaled by conversion factor f (1el -&gt; 1Jin)</t>
        </is>
      </c>
      <c r="L1271" t="inlineStr">
        <is>
          <t>Disposal, municipal solid waste, 22.9% water, to municipal incineration/CH U</t>
        </is>
      </c>
      <c r="M1271" t="inlineStr">
        <is>
          <t>municipal solid waste</t>
        </is>
      </c>
    </row>
    <row r="1272">
      <c r="A1272" t="inlineStr">
        <is>
          <t>treatment of residue from cooling tower, sanitary landfill</t>
        </is>
      </c>
      <c r="B1272" t="n">
        <v>-4e-05</v>
      </c>
      <c r="C1272" t="inlineStr">
        <is>
          <t>CH</t>
        </is>
      </c>
      <c r="D1272" t="inlineStr">
        <is>
          <t>kilogram</t>
        </is>
      </c>
      <c r="E1272" t="inlineStr">
        <is>
          <t>Waste to treatment</t>
        </is>
      </c>
      <c r="F1272" t="inlineStr">
        <is>
          <t>technosphere</t>
        </is>
      </c>
      <c r="G1272" t="n">
        <v>0</v>
      </c>
      <c r="H1272" t="n">
        <v>5e-06</v>
      </c>
      <c r="J1272" t="inlineStr">
        <is>
          <t>assumed to be the same as in the hard coal pulverised dataset</t>
        </is>
      </c>
      <c r="L1272" t="inlineStr">
        <is>
          <t>Disposal, residue from cooling tower, 30% water, to sanitary landfill/CH U</t>
        </is>
      </c>
      <c r="M1272" t="inlineStr">
        <is>
          <t>residue from cooling tower</t>
        </is>
      </c>
    </row>
    <row r="1273">
      <c r="A1273" t="inlineStr">
        <is>
          <t>treatment of scrap steel, inert material landfill</t>
        </is>
      </c>
      <c r="B1273" t="n">
        <v>-0.0001184</v>
      </c>
      <c r="C1273" t="inlineStr">
        <is>
          <t>CH</t>
        </is>
      </c>
      <c r="D1273" t="inlineStr">
        <is>
          <t>kilogram</t>
        </is>
      </c>
      <c r="E1273" t="inlineStr">
        <is>
          <t>Waste to treatment</t>
        </is>
      </c>
      <c r="F1273" t="inlineStr">
        <is>
          <t>technosphere</t>
        </is>
      </c>
      <c r="G1273" t="n">
        <v>0</v>
      </c>
      <c r="H1273" t="n">
        <v>1.48e-05</v>
      </c>
      <c r="J1273" t="inlineStr">
        <is>
          <t>scaled by conversion factor f (1el -&gt; 1Jin)</t>
        </is>
      </c>
      <c r="K1273" t="inlineStr">
        <is>
          <t>scrap steel</t>
        </is>
      </c>
      <c r="L1273" t="inlineStr">
        <is>
          <t>Disposal, steel, 0% water, to inert material landfill/CH U</t>
        </is>
      </c>
      <c r="M1273" t="inlineStr">
        <is>
          <t>scrap steel</t>
        </is>
      </c>
    </row>
    <row r="1274">
      <c r="A1274" t="inlineStr">
        <is>
          <t>treatment of spent solvent mixture, hazardous waste incineration</t>
        </is>
      </c>
      <c r="B1274" t="n">
        <v>-4.928e-06</v>
      </c>
      <c r="C1274" t="inlineStr">
        <is>
          <t>CH</t>
        </is>
      </c>
      <c r="D1274" t="inlineStr">
        <is>
          <t>kilogram</t>
        </is>
      </c>
      <c r="E1274" t="inlineStr">
        <is>
          <t>Waste to treatment</t>
        </is>
      </c>
      <c r="F1274" t="inlineStr">
        <is>
          <t>technosphere</t>
        </is>
      </c>
      <c r="G1274" t="n">
        <v>0</v>
      </c>
      <c r="H1274" t="n">
        <v>6.16e-07</v>
      </c>
      <c r="J1274" t="inlineStr">
        <is>
          <t>scaled by conversion factor f (1el -&gt; 1Jin)</t>
        </is>
      </c>
      <c r="L1274" t="inlineStr">
        <is>
          <t>Disposal, solvents mixture, 16.5% water, to hazardous waste incineration/CH U</t>
        </is>
      </c>
      <c r="M1274" t="inlineStr">
        <is>
          <t>spent solvent mixture</t>
        </is>
      </c>
    </row>
    <row r="1275">
      <c r="A1275" t="inlineStr">
        <is>
          <t>treatment of waste emulsion paint, municipal incineration</t>
        </is>
      </c>
      <c r="B1275" t="n">
        <v>-1.632e-06</v>
      </c>
      <c r="C1275" t="inlineStr">
        <is>
          <t>CH</t>
        </is>
      </c>
      <c r="D1275" t="inlineStr">
        <is>
          <t>kilogram</t>
        </is>
      </c>
      <c r="E1275" t="inlineStr">
        <is>
          <t>Waste to treatment</t>
        </is>
      </c>
      <c r="F1275" t="inlineStr">
        <is>
          <t>technosphere</t>
        </is>
      </c>
      <c r="G1275" t="n">
        <v>0</v>
      </c>
      <c r="H1275" t="n">
        <v>2.04e-07</v>
      </c>
      <c r="J1275" t="inlineStr">
        <is>
          <t>scaled by conversion factor f (1el -&gt; 1Jin)</t>
        </is>
      </c>
      <c r="K1275" t="inlineStr">
        <is>
          <t>waste emulsion paint</t>
        </is>
      </c>
      <c r="L1275" t="inlineStr">
        <is>
          <t>Disposal, emulsion paint, 0% water, to municipal incineration/CH U</t>
        </is>
      </c>
      <c r="M1275" t="inlineStr">
        <is>
          <t>waste emulsion paint</t>
        </is>
      </c>
    </row>
    <row r="1276">
      <c r="A1276" t="inlineStr">
        <is>
          <t>treatment of waste mineral oil, hazardous waste incineration</t>
        </is>
      </c>
      <c r="B1276" t="n">
        <v>-4.832e-06</v>
      </c>
      <c r="C1276" t="inlineStr">
        <is>
          <t>CH</t>
        </is>
      </c>
      <c r="D1276" t="inlineStr">
        <is>
          <t>kilogram</t>
        </is>
      </c>
      <c r="E1276" t="inlineStr">
        <is>
          <t>Waste to treatment</t>
        </is>
      </c>
      <c r="F1276" t="inlineStr">
        <is>
          <t>technosphere</t>
        </is>
      </c>
      <c r="G1276" t="n">
        <v>0</v>
      </c>
      <c r="H1276" t="n">
        <v>6.04e-07</v>
      </c>
      <c r="J1276" t="inlineStr">
        <is>
          <t>scaled by conversion factor f (1el -&gt; 1Jin)</t>
        </is>
      </c>
      <c r="L1276" t="inlineStr">
        <is>
          <t>Disposal, used mineral oil, 10% water, to hazardous waste incineration/CH U</t>
        </is>
      </c>
      <c r="M1276" t="inlineStr">
        <is>
          <t>waste mineral oil</t>
        </is>
      </c>
    </row>
    <row r="1277" ht="16" customHeight="1">
      <c r="A1277" t="inlineStr">
        <is>
          <t>treatment of waste plastic, mixture, municipal incineration</t>
        </is>
      </c>
      <c r="B1277" t="n">
        <v>-7.008000000000001e-05</v>
      </c>
      <c r="C1277" t="inlineStr">
        <is>
          <t>CH</t>
        </is>
      </c>
      <c r="D1277" t="inlineStr">
        <is>
          <t>kilogram</t>
        </is>
      </c>
      <c r="E1277" t="inlineStr">
        <is>
          <t>Waste to treatment</t>
        </is>
      </c>
      <c r="F1277" t="inlineStr">
        <is>
          <t>technosphere</t>
        </is>
      </c>
      <c r="G1277" t="n">
        <v>0</v>
      </c>
      <c r="H1277" t="n">
        <v>8.760000000000001e-06</v>
      </c>
      <c r="J1277" t="inlineStr">
        <is>
          <t>scaled by conversion factor f (1el -&gt; 1Jin)</t>
        </is>
      </c>
      <c r="K1277" t="inlineStr">
        <is>
          <t>waste plastic, mixture</t>
        </is>
      </c>
      <c r="L1277" t="inlineStr">
        <is>
          <t>Disposal, plastics, mixture, 15.3% water, to municipal incineration/CH U</t>
        </is>
      </c>
      <c r="M1277" t="inlineStr">
        <is>
          <t>waste plastic, mixture</t>
        </is>
      </c>
    </row>
    <row r="1278">
      <c r="A1278" t="inlineStr">
        <is>
          <t>treatment of waste textile, soiled, municipal incineration</t>
        </is>
      </c>
      <c r="B1278" t="n">
        <v>-0.0001152</v>
      </c>
      <c r="C1278" t="inlineStr">
        <is>
          <t>CH</t>
        </is>
      </c>
      <c r="D1278" t="inlineStr">
        <is>
          <t>kilogram</t>
        </is>
      </c>
      <c r="E1278" t="inlineStr">
        <is>
          <t>Waste to treatment</t>
        </is>
      </c>
      <c r="F1278" t="inlineStr">
        <is>
          <t>technosphere</t>
        </is>
      </c>
      <c r="G1278" t="n">
        <v>0</v>
      </c>
      <c r="H1278" t="n">
        <v>1.44e-05</v>
      </c>
      <c r="J1278" t="inlineStr">
        <is>
          <t>scaled by conversion factor f (1el -&gt; 1Jin)</t>
        </is>
      </c>
      <c r="K1278" t="inlineStr">
        <is>
          <t>waste textile, soiled</t>
        </is>
      </c>
      <c r="L1278" t="inlineStr">
        <is>
          <t>Disposal, textiles, soiled, 25% water, to municipal incineration/CH U</t>
        </is>
      </c>
      <c r="M1278" t="inlineStr">
        <is>
          <t>waste textile, soiled</t>
        </is>
      </c>
    </row>
    <row r="1279">
      <c r="A1279" t="inlineStr">
        <is>
          <t>treatment of waste wood, untreated, sanitary landfill</t>
        </is>
      </c>
      <c r="B1279" t="n">
        <v>-1.576e-05</v>
      </c>
      <c r="C1279" t="inlineStr">
        <is>
          <t>CH</t>
        </is>
      </c>
      <c r="D1279" t="inlineStr">
        <is>
          <t>kilogram</t>
        </is>
      </c>
      <c r="E1279" t="inlineStr">
        <is>
          <t>Waste to treatment</t>
        </is>
      </c>
      <c r="F1279" t="inlineStr">
        <is>
          <t>technosphere</t>
        </is>
      </c>
      <c r="G1279" t="n">
        <v>0</v>
      </c>
      <c r="H1279" t="n">
        <v>1.97e-06</v>
      </c>
      <c r="J1279" t="inlineStr">
        <is>
          <t>scaled by conversion factor f (1el -&gt; 1Jin)</t>
        </is>
      </c>
      <c r="L1279" t="inlineStr">
        <is>
          <t>Disposal, building, waste wood, untreated, to final disposal/CH U</t>
        </is>
      </c>
      <c r="M1279" t="inlineStr">
        <is>
          <t>waste wood, untreated</t>
        </is>
      </c>
    </row>
    <row r="1280"/>
    <row r="1281">
      <c r="A1281" s="1" t="inlineStr">
        <is>
          <t>Activity</t>
        </is>
      </c>
      <c r="B1281" s="1" t="inlineStr">
        <is>
          <t>electricity production, at lignite-fired power plant, pulverised</t>
        </is>
      </c>
    </row>
    <row r="1282">
      <c r="A1282" t="inlineStr">
        <is>
          <t>location</t>
        </is>
      </c>
      <c r="B1282" t="inlineStr">
        <is>
          <t>RER</t>
        </is>
      </c>
    </row>
    <row r="1283">
      <c r="A1283" t="inlineStr">
        <is>
          <t>production amount</t>
        </is>
      </c>
      <c r="B1283" t="n">
        <v>1</v>
      </c>
    </row>
    <row r="1284">
      <c r="A1284" t="inlineStr">
        <is>
          <t>comment</t>
        </is>
      </c>
      <c r="B1284" t="inlineStr">
        <is>
          <t>Lignite-fired, pulverised. 989 MWel. 7500 full load hours per year. 40 years lifetime. 43% net electrical efficiency.</t>
        </is>
      </c>
    </row>
    <row r="1285" ht="16" customHeight="1">
      <c r="A1285" t="inlineStr">
        <is>
          <t>source</t>
        </is>
      </c>
      <c r="B1285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286">
      <c r="A1286" t="inlineStr">
        <is>
          <t>reference product</t>
        </is>
      </c>
      <c r="B1286" t="inlineStr">
        <is>
          <t>electricity, high voltage</t>
        </is>
      </c>
    </row>
    <row r="1287">
      <c r="A1287" t="inlineStr">
        <is>
          <t>type</t>
        </is>
      </c>
      <c r="B1287" t="inlineStr">
        <is>
          <t>process</t>
        </is>
      </c>
    </row>
    <row r="1288">
      <c r="A1288" t="inlineStr">
        <is>
          <t>unit</t>
        </is>
      </c>
      <c r="B1288" t="inlineStr">
        <is>
          <t>kilowatt hour</t>
        </is>
      </c>
    </row>
    <row r="1289">
      <c r="A1289" s="1" t="inlineStr">
        <is>
          <t>Exchanges</t>
        </is>
      </c>
    </row>
    <row r="1290">
      <c r="A1290" t="inlineStr">
        <is>
          <t>name</t>
        </is>
      </c>
      <c r="B1290" t="inlineStr">
        <is>
          <t>amount</t>
        </is>
      </c>
      <c r="C1290" t="inlineStr">
        <is>
          <t>location</t>
        </is>
      </c>
      <c r="D1290" t="inlineStr">
        <is>
          <t>unit</t>
        </is>
      </c>
      <c r="E1290" t="inlineStr">
        <is>
          <t>categories</t>
        </is>
      </c>
      <c r="F1290" t="inlineStr">
        <is>
          <t>type</t>
        </is>
      </c>
      <c r="G1290" t="inlineStr">
        <is>
          <t>uncertainty type</t>
        </is>
      </c>
      <c r="H1290" t="inlineStr">
        <is>
          <t>loc</t>
        </is>
      </c>
      <c r="I1290" t="inlineStr">
        <is>
          <t>allocation</t>
        </is>
      </c>
      <c r="J1290" t="inlineStr">
        <is>
          <t>comment</t>
        </is>
      </c>
      <c r="K1290" t="inlineStr">
        <is>
          <t>simapro name</t>
        </is>
      </c>
      <c r="L1290" t="inlineStr">
        <is>
          <t>negative</t>
        </is>
      </c>
      <c r="M1290" t="inlineStr">
        <is>
          <t>reference product</t>
        </is>
      </c>
    </row>
    <row r="1291">
      <c r="A1291" t="inlineStr">
        <is>
          <t>electricity production, at lignite-fired power plant, pulverised</t>
        </is>
      </c>
      <c r="B1291" t="n">
        <v>1</v>
      </c>
      <c r="C1291" t="inlineStr">
        <is>
          <t>RER</t>
        </is>
      </c>
      <c r="D1291" t="inlineStr">
        <is>
          <t>kilowatt hour</t>
        </is>
      </c>
      <c r="E1291" t="inlineStr">
        <is>
          <t>CCS Europe 2025::Lignite</t>
        </is>
      </c>
      <c r="F1291" t="inlineStr">
        <is>
          <t>production</t>
        </is>
      </c>
      <c r="I1291" t="n">
        <v>100</v>
      </c>
      <c r="K1291" t="inlineStr">
        <is>
          <t>electricity production, at lignite-fired power plant, pulverised U</t>
        </is>
      </c>
    </row>
    <row r="1292">
      <c r="A1292" t="inlineStr">
        <is>
          <t>Antimony</t>
        </is>
      </c>
      <c r="B1292" t="n">
        <v>1.09647e-10</v>
      </c>
      <c r="D1292" t="inlineStr">
        <is>
          <t>kilogram</t>
        </is>
      </c>
      <c r="E1292" t="inlineStr">
        <is>
          <t>air::non-urban air or from high stacks</t>
        </is>
      </c>
      <c r="F1292" t="inlineStr">
        <is>
          <t>biosphere</t>
        </is>
      </c>
      <c r="G1292" t="n">
        <v>0</v>
      </c>
      <c r="H1292" t="n">
        <v>1.31e-11</v>
      </c>
    </row>
    <row r="1293">
      <c r="A1293" t="inlineStr">
        <is>
          <t>Arsenic</t>
        </is>
      </c>
      <c r="B1293" t="n">
        <v>6.17706e-09</v>
      </c>
      <c r="D1293" t="inlineStr">
        <is>
          <t>kilogram</t>
        </is>
      </c>
      <c r="E1293" t="inlineStr">
        <is>
          <t>air::non-urban air or from high stacks</t>
        </is>
      </c>
      <c r="F1293" t="inlineStr">
        <is>
          <t>biosphere</t>
        </is>
      </c>
      <c r="G1293" t="n">
        <v>0</v>
      </c>
      <c r="H1293" t="n">
        <v>7.38e-10</v>
      </c>
    </row>
    <row r="1294">
      <c r="A1294" t="inlineStr">
        <is>
          <t>Barium</t>
        </is>
      </c>
      <c r="B1294" t="n">
        <v>3.649319999999999e-08</v>
      </c>
      <c r="D1294" t="inlineStr">
        <is>
          <t>kilogram</t>
        </is>
      </c>
      <c r="E1294" t="inlineStr">
        <is>
          <t>air::non-urban air or from high stacks</t>
        </is>
      </c>
      <c r="F1294" t="inlineStr">
        <is>
          <t>biosphere</t>
        </is>
      </c>
      <c r="G1294" t="n">
        <v>0</v>
      </c>
      <c r="H1294" t="n">
        <v>4.36e-09</v>
      </c>
    </row>
    <row r="1295">
      <c r="A1295" t="inlineStr">
        <is>
          <t>Benzene</t>
        </is>
      </c>
      <c r="B1295" t="n">
        <v>1.81629e-06</v>
      </c>
      <c r="D1295" t="inlineStr">
        <is>
          <t>kilogram</t>
        </is>
      </c>
      <c r="E1295" t="inlineStr">
        <is>
          <t>air::non-urban air or from high stacks</t>
        </is>
      </c>
      <c r="F1295" t="inlineStr">
        <is>
          <t>biosphere</t>
        </is>
      </c>
      <c r="G1295" t="n">
        <v>0</v>
      </c>
      <c r="H1295" t="n">
        <v>2.17e-07</v>
      </c>
    </row>
    <row r="1296">
      <c r="A1296" t="inlineStr">
        <is>
          <t>Benzo(a)pyrene</t>
        </is>
      </c>
      <c r="B1296" t="n">
        <v>1.674e-12</v>
      </c>
      <c r="D1296" t="inlineStr">
        <is>
          <t>kilogram</t>
        </is>
      </c>
      <c r="E1296" t="inlineStr">
        <is>
          <t>air::non-urban air or from high stacks</t>
        </is>
      </c>
      <c r="F1296" t="inlineStr">
        <is>
          <t>biosphere</t>
        </is>
      </c>
      <c r="G1296" t="n">
        <v>0</v>
      </c>
      <c r="H1296" t="n">
        <v>2e-13</v>
      </c>
    </row>
    <row r="1297">
      <c r="A1297" t="inlineStr">
        <is>
          <t>Boron</t>
        </is>
      </c>
      <c r="B1297" t="n">
        <v>1.73259e-05</v>
      </c>
      <c r="D1297" t="inlineStr">
        <is>
          <t>kilogram</t>
        </is>
      </c>
      <c r="E1297" t="inlineStr">
        <is>
          <t>air::non-urban air or from high stacks</t>
        </is>
      </c>
      <c r="F1297" t="inlineStr">
        <is>
          <t>biosphere</t>
        </is>
      </c>
      <c r="G1297" t="n">
        <v>0</v>
      </c>
      <c r="H1297" t="n">
        <v>2.07e-06</v>
      </c>
    </row>
    <row r="1298">
      <c r="A1298" t="inlineStr">
        <is>
          <t>Bromine</t>
        </is>
      </c>
      <c r="B1298" t="n">
        <v>2.31012e-07</v>
      </c>
      <c r="D1298" t="inlineStr">
        <is>
          <t>kilogram</t>
        </is>
      </c>
      <c r="E1298" t="inlineStr">
        <is>
          <t>air::non-urban air or from high stacks</t>
        </is>
      </c>
      <c r="F1298" t="inlineStr">
        <is>
          <t>biosphere</t>
        </is>
      </c>
      <c r="G1298" t="n">
        <v>0</v>
      </c>
      <c r="H1298" t="n">
        <v>2.76e-08</v>
      </c>
    </row>
    <row r="1299">
      <c r="A1299" t="inlineStr">
        <is>
          <t>Butane</t>
        </is>
      </c>
      <c r="B1299" t="n">
        <v>1.5903e-07</v>
      </c>
      <c r="D1299" t="inlineStr">
        <is>
          <t>kilogram</t>
        </is>
      </c>
      <c r="E1299" t="inlineStr">
        <is>
          <t>air::non-urban air or from high stacks</t>
        </is>
      </c>
      <c r="F1299" t="inlineStr">
        <is>
          <t>biosphere</t>
        </is>
      </c>
      <c r="G1299" t="n">
        <v>0</v>
      </c>
      <c r="H1299" t="n">
        <v>1.9e-08</v>
      </c>
    </row>
    <row r="1300">
      <c r="A1300" t="inlineStr">
        <is>
          <t>Cadmium</t>
        </is>
      </c>
      <c r="B1300" t="n">
        <v>1.28061e-10</v>
      </c>
      <c r="D1300" t="inlineStr">
        <is>
          <t>kilogram</t>
        </is>
      </c>
      <c r="E1300" t="inlineStr">
        <is>
          <t>air::non-urban air or from high stacks</t>
        </is>
      </c>
      <c r="F1300" t="inlineStr">
        <is>
          <t>biosphere</t>
        </is>
      </c>
      <c r="G1300" t="n">
        <v>0</v>
      </c>
      <c r="H1300" t="n">
        <v>1.53e-11</v>
      </c>
    </row>
    <row r="1301">
      <c r="A1301" t="inlineStr">
        <is>
          <t>Carbon dioxide, fossil</t>
        </is>
      </c>
      <c r="B1301">
        <f>B1351*8.7*0.115</f>
        <v>0.962790697674419</v>
      </c>
      <c r="D1301" t="inlineStr">
        <is>
          <t>kilogram</t>
        </is>
      </c>
      <c r="E1301" t="inlineStr">
        <is>
          <t>air::non-urban air or from high stacks</t>
        </is>
      </c>
      <c r="F1301" t="inlineStr">
        <is>
          <t>biosphere</t>
        </is>
      </c>
      <c r="G1301" t="n">
        <v>0</v>
      </c>
      <c r="H1301" t="n">
        <v>-2.225624051857917</v>
      </c>
      <c r="I1301" t="n">
        <v>0.05218000766212133</v>
      </c>
      <c r="L1301" t="n">
        <v>0</v>
      </c>
    </row>
    <row r="1302">
      <c r="A1302" t="inlineStr">
        <is>
          <t>Carbon monoxide, fossil</t>
        </is>
      </c>
      <c r="B1302" t="n">
        <v>0.0001674</v>
      </c>
      <c r="D1302" t="inlineStr">
        <is>
          <t>kilogram</t>
        </is>
      </c>
      <c r="E1302" t="inlineStr">
        <is>
          <t>air::non-urban air or from high stacks</t>
        </is>
      </c>
      <c r="F1302" t="inlineStr">
        <is>
          <t>biosphere</t>
        </is>
      </c>
      <c r="G1302" t="n">
        <v>0</v>
      </c>
      <c r="H1302" t="n">
        <v>2e-05</v>
      </c>
    </row>
    <row r="1303">
      <c r="A1303" t="inlineStr">
        <is>
          <t>Chromium</t>
        </is>
      </c>
      <c r="B1303" t="n">
        <v>1.62378e-09</v>
      </c>
      <c r="D1303" t="inlineStr">
        <is>
          <t>kilogram</t>
        </is>
      </c>
      <c r="E1303" t="inlineStr">
        <is>
          <t>air::non-urban air or from high stacks</t>
        </is>
      </c>
      <c r="F1303" t="inlineStr">
        <is>
          <t>biosphere</t>
        </is>
      </c>
      <c r="G1303" t="n">
        <v>0</v>
      </c>
      <c r="H1303" t="n">
        <v>1.94e-10</v>
      </c>
    </row>
    <row r="1304">
      <c r="A1304" t="inlineStr">
        <is>
          <t>Chromium VI</t>
        </is>
      </c>
      <c r="B1304" t="n">
        <v>2.0088e-10</v>
      </c>
      <c r="D1304" t="inlineStr">
        <is>
          <t>kilogram</t>
        </is>
      </c>
      <c r="E1304" t="inlineStr">
        <is>
          <t>air::non-urban air or from high stacks</t>
        </is>
      </c>
      <c r="F1304" t="inlineStr">
        <is>
          <t>biosphere</t>
        </is>
      </c>
      <c r="G1304" t="n">
        <v>0</v>
      </c>
      <c r="H1304" t="n">
        <v>2.4e-11</v>
      </c>
    </row>
    <row r="1305">
      <c r="A1305" t="inlineStr">
        <is>
          <t>Cobalt</t>
        </is>
      </c>
      <c r="B1305" t="n">
        <v>7.307009999999999e-10</v>
      </c>
      <c r="D1305" t="inlineStr">
        <is>
          <t>kilogram</t>
        </is>
      </c>
      <c r="E1305" t="inlineStr">
        <is>
          <t>air::non-urban air or from high stacks</t>
        </is>
      </c>
      <c r="F1305" t="inlineStr">
        <is>
          <t>biosphere</t>
        </is>
      </c>
      <c r="G1305" t="n">
        <v>0</v>
      </c>
      <c r="H1305" t="n">
        <v>8.73e-11</v>
      </c>
    </row>
    <row r="1306">
      <c r="A1306" t="inlineStr">
        <is>
          <t>Copper</t>
        </is>
      </c>
      <c r="B1306" t="n">
        <v>1.68237e-09</v>
      </c>
      <c r="D1306" t="inlineStr">
        <is>
          <t>kilogram</t>
        </is>
      </c>
      <c r="E1306" t="inlineStr">
        <is>
          <t>air::non-urban air or from high stacks</t>
        </is>
      </c>
      <c r="F1306" t="inlineStr">
        <is>
          <t>biosphere</t>
        </is>
      </c>
      <c r="G1306" t="n">
        <v>0</v>
      </c>
      <c r="H1306" t="n">
        <v>2.01e-10</v>
      </c>
    </row>
    <row r="1307">
      <c r="A1307" t="inlineStr">
        <is>
          <t>Dinitrogen monoxide</t>
        </is>
      </c>
      <c r="B1307" t="n">
        <v>2.16783e-05</v>
      </c>
      <c r="D1307" t="inlineStr">
        <is>
          <t>kilogram</t>
        </is>
      </c>
      <c r="E1307" t="inlineStr">
        <is>
          <t>air::non-urban air or from high stacks</t>
        </is>
      </c>
      <c r="F1307" t="inlineStr">
        <is>
          <t>biosphere</t>
        </is>
      </c>
      <c r="G1307" t="n">
        <v>0</v>
      </c>
      <c r="H1307" t="n">
        <v>2.59e-06</v>
      </c>
    </row>
    <row r="1308">
      <c r="A1308" t="inlineStr">
        <is>
          <t>Dioxins, measured as 2,3,7,8-tetrachlorodibenzo-p-dioxin</t>
        </is>
      </c>
      <c r="B1308" t="n">
        <v>5.858999999999999e-14</v>
      </c>
      <c r="D1308" t="inlineStr">
        <is>
          <t>kilogram</t>
        </is>
      </c>
      <c r="E1308" t="inlineStr">
        <is>
          <t>air::non-urban air or from high stacks</t>
        </is>
      </c>
      <c r="F1308" t="inlineStr">
        <is>
          <t>biosphere</t>
        </is>
      </c>
      <c r="G1308" t="n">
        <v>0</v>
      </c>
      <c r="H1308" t="n">
        <v>7e-15</v>
      </c>
    </row>
    <row r="1309">
      <c r="A1309" t="inlineStr">
        <is>
          <t>Ethane</t>
        </is>
      </c>
      <c r="B1309" t="n">
        <v>3.4317e-07</v>
      </c>
      <c r="D1309" t="inlineStr">
        <is>
          <t>kilogram</t>
        </is>
      </c>
      <c r="E1309" t="inlineStr">
        <is>
          <t>air::non-urban air or from high stacks</t>
        </is>
      </c>
      <c r="F1309" t="inlineStr">
        <is>
          <t>biosphere</t>
        </is>
      </c>
      <c r="G1309" t="n">
        <v>0</v>
      </c>
      <c r="H1309" t="n">
        <v>4.1e-08</v>
      </c>
    </row>
    <row r="1310">
      <c r="A1310" t="inlineStr">
        <is>
          <t>Formaldehyde</t>
        </is>
      </c>
      <c r="B1310" t="n">
        <v>4.8546e-07</v>
      </c>
      <c r="D1310" t="inlineStr">
        <is>
          <t>kilogram</t>
        </is>
      </c>
      <c r="E1310" t="inlineStr">
        <is>
          <t>air::non-urban air or from high stacks</t>
        </is>
      </c>
      <c r="F1310" t="inlineStr">
        <is>
          <t>biosphere</t>
        </is>
      </c>
      <c r="G1310" t="n">
        <v>0</v>
      </c>
      <c r="H1310" t="n">
        <v>5.8e-08</v>
      </c>
    </row>
    <row r="1311">
      <c r="A1311" t="inlineStr">
        <is>
          <t>Heat, waste</t>
        </is>
      </c>
      <c r="B1311" t="n">
        <v>5.624639999999999</v>
      </c>
      <c r="D1311" t="inlineStr">
        <is>
          <t>megajoule</t>
        </is>
      </c>
      <c r="E1311" t="inlineStr">
        <is>
          <t>air::non-urban air or from high stacks</t>
        </is>
      </c>
      <c r="F1311" t="inlineStr">
        <is>
          <t>biosphere</t>
        </is>
      </c>
      <c r="G1311" t="n">
        <v>0</v>
      </c>
      <c r="H1311" t="n">
        <v>0.672</v>
      </c>
    </row>
    <row r="1312">
      <c r="A1312" t="inlineStr">
        <is>
          <t>Heat, waste</t>
        </is>
      </c>
      <c r="B1312" t="n">
        <v>1.48149</v>
      </c>
      <c r="D1312" t="inlineStr">
        <is>
          <t>megajoule</t>
        </is>
      </c>
      <c r="E1312" t="inlineStr">
        <is>
          <t>water::surface water</t>
        </is>
      </c>
      <c r="F1312" t="inlineStr">
        <is>
          <t>biosphere</t>
        </is>
      </c>
      <c r="G1312" t="n">
        <v>0</v>
      </c>
      <c r="H1312" t="n">
        <v>0.177</v>
      </c>
    </row>
    <row r="1313">
      <c r="A1313" t="inlineStr">
        <is>
          <t>Hydrocarbons, aliphatic, alkanes, unspecified</t>
        </is>
      </c>
      <c r="B1313" t="n">
        <v>1.83303e-06</v>
      </c>
      <c r="D1313" t="inlineStr">
        <is>
          <t>kilogram</t>
        </is>
      </c>
      <c r="E1313" t="inlineStr">
        <is>
          <t>air::non-urban air or from high stacks</t>
        </is>
      </c>
      <c r="F1313" t="inlineStr">
        <is>
          <t>biosphere</t>
        </is>
      </c>
      <c r="G1313" t="n">
        <v>0</v>
      </c>
      <c r="H1313" t="n">
        <v>2.19e-07</v>
      </c>
    </row>
    <row r="1314">
      <c r="A1314" t="inlineStr">
        <is>
          <t>Hydrocarbons, aliphatic, unsaturated</t>
        </is>
      </c>
      <c r="B1314" t="n">
        <v>1.80792e-06</v>
      </c>
      <c r="D1314" t="inlineStr">
        <is>
          <t>kilogram</t>
        </is>
      </c>
      <c r="E1314" t="inlineStr">
        <is>
          <t>air::non-urban air or from high stacks</t>
        </is>
      </c>
      <c r="F1314" t="inlineStr">
        <is>
          <t>biosphere</t>
        </is>
      </c>
      <c r="G1314" t="n">
        <v>0</v>
      </c>
      <c r="H1314" t="n">
        <v>2.16e-07</v>
      </c>
    </row>
    <row r="1315">
      <c r="A1315" t="inlineStr">
        <is>
          <t>Hydrogen chloride</t>
        </is>
      </c>
      <c r="B1315" t="n">
        <v>2.45241e-05</v>
      </c>
      <c r="D1315" t="inlineStr">
        <is>
          <t>kilogram</t>
        </is>
      </c>
      <c r="E1315" t="inlineStr">
        <is>
          <t>air::non-urban air or from high stacks</t>
        </is>
      </c>
      <c r="F1315" t="inlineStr">
        <is>
          <t>biosphere</t>
        </is>
      </c>
      <c r="G1315" t="n">
        <v>0</v>
      </c>
      <c r="H1315" t="n">
        <v>2.93e-06</v>
      </c>
    </row>
    <row r="1316">
      <c r="A1316" t="inlineStr">
        <is>
          <t>Hydrogen fluoride</t>
        </is>
      </c>
      <c r="B1316" t="n">
        <v>6.838289999999999e-06</v>
      </c>
      <c r="D1316" t="inlineStr">
        <is>
          <t>kilogram</t>
        </is>
      </c>
      <c r="E1316" t="inlineStr">
        <is>
          <t>air::non-urban air or from high stacks</t>
        </is>
      </c>
      <c r="F1316" t="inlineStr">
        <is>
          <t>biosphere</t>
        </is>
      </c>
      <c r="G1316" t="n">
        <v>0</v>
      </c>
      <c r="H1316" t="n">
        <v>8.17e-07</v>
      </c>
    </row>
    <row r="1317">
      <c r="A1317" t="inlineStr">
        <is>
          <t>Iodine</t>
        </is>
      </c>
      <c r="B1317" t="n">
        <v>2.16783e-07</v>
      </c>
      <c r="D1317" t="inlineStr">
        <is>
          <t>kilogram</t>
        </is>
      </c>
      <c r="E1317" t="inlineStr">
        <is>
          <t>air::non-urban air or from high stacks</t>
        </is>
      </c>
      <c r="F1317" t="inlineStr">
        <is>
          <t>biosphere</t>
        </is>
      </c>
      <c r="G1317" t="n">
        <v>0</v>
      </c>
      <c r="H1317" t="n">
        <v>2.59e-08</v>
      </c>
    </row>
    <row r="1318">
      <c r="A1318" t="inlineStr">
        <is>
          <t>Lead</t>
        </is>
      </c>
      <c r="B1318" t="n">
        <v>4.38588e-09</v>
      </c>
      <c r="D1318" t="inlineStr">
        <is>
          <t>kilogram</t>
        </is>
      </c>
      <c r="E1318" t="inlineStr">
        <is>
          <t>air::non-urban air or from high stacks</t>
        </is>
      </c>
      <c r="F1318" t="inlineStr">
        <is>
          <t>biosphere</t>
        </is>
      </c>
      <c r="G1318" t="n">
        <v>0</v>
      </c>
      <c r="H1318" t="n">
        <v>5.240000000000001e-10</v>
      </c>
    </row>
    <row r="1319">
      <c r="A1319" t="inlineStr">
        <is>
          <t>Lead-210</t>
        </is>
      </c>
      <c r="B1319" t="n">
        <v>1.04625e-05</v>
      </c>
      <c r="D1319" t="inlineStr">
        <is>
          <t>kilo Becquerel</t>
        </is>
      </c>
      <c r="E1319" t="inlineStr">
        <is>
          <t>air::non-urban air or from high stacks</t>
        </is>
      </c>
      <c r="F1319" t="inlineStr">
        <is>
          <t>biosphere</t>
        </is>
      </c>
      <c r="G1319" t="n">
        <v>0</v>
      </c>
      <c r="H1319" t="n">
        <v>1.25e-06</v>
      </c>
    </row>
    <row r="1320">
      <c r="A1320" t="inlineStr">
        <is>
          <t>Manganese</t>
        </is>
      </c>
      <c r="B1320" t="n">
        <v>9.123299999999998e-09</v>
      </c>
      <c r="D1320" t="inlineStr">
        <is>
          <t>kilogram</t>
        </is>
      </c>
      <c r="E1320" t="inlineStr">
        <is>
          <t>air::non-urban air or from high stacks</t>
        </is>
      </c>
      <c r="F1320" t="inlineStr">
        <is>
          <t>biosphere</t>
        </is>
      </c>
      <c r="G1320" t="n">
        <v>0</v>
      </c>
      <c r="H1320" t="n">
        <v>1.09e-09</v>
      </c>
    </row>
    <row r="1321">
      <c r="A1321" t="inlineStr">
        <is>
          <t>Mercury</t>
        </is>
      </c>
      <c r="B1321" t="n">
        <v>1.9251e-08</v>
      </c>
      <c r="D1321" t="inlineStr">
        <is>
          <t>kilogram</t>
        </is>
      </c>
      <c r="E1321" t="inlineStr">
        <is>
          <t>air::non-urban air or from high stacks</t>
        </is>
      </c>
      <c r="F1321" t="inlineStr">
        <is>
          <t>biosphere</t>
        </is>
      </c>
      <c r="G1321" t="n">
        <v>0</v>
      </c>
      <c r="H1321" t="n">
        <v>2.3e-09</v>
      </c>
    </row>
    <row r="1322">
      <c r="A1322" t="inlineStr">
        <is>
          <t>Methane, fossil</t>
        </is>
      </c>
      <c r="B1322" t="n">
        <v>8.369999999999999e-06</v>
      </c>
      <c r="D1322" t="inlineStr">
        <is>
          <t>kilogram</t>
        </is>
      </c>
      <c r="E1322" t="inlineStr">
        <is>
          <t>air::non-urban air or from high stacks</t>
        </is>
      </c>
      <c r="F1322" t="inlineStr">
        <is>
          <t>biosphere</t>
        </is>
      </c>
      <c r="G1322" t="n">
        <v>0</v>
      </c>
      <c r="H1322" t="n">
        <v>1e-06</v>
      </c>
    </row>
    <row r="1323">
      <c r="A1323" t="inlineStr">
        <is>
          <t>Molybdenum</t>
        </is>
      </c>
      <c r="B1323" t="n">
        <v>7.307009999999999e-10</v>
      </c>
      <c r="D1323" t="inlineStr">
        <is>
          <t>kilogram</t>
        </is>
      </c>
      <c r="E1323" t="inlineStr">
        <is>
          <t>air::non-urban air or from high stacks</t>
        </is>
      </c>
      <c r="F1323" t="inlineStr">
        <is>
          <t>biosphere</t>
        </is>
      </c>
      <c r="G1323" t="n">
        <v>0</v>
      </c>
      <c r="H1323" t="n">
        <v>8.73e-11</v>
      </c>
    </row>
    <row r="1324">
      <c r="A1324" t="inlineStr">
        <is>
          <t>Nickel</t>
        </is>
      </c>
      <c r="B1324" t="n">
        <v>3.61584e-09</v>
      </c>
      <c r="D1324" t="inlineStr">
        <is>
          <t>kilogram</t>
        </is>
      </c>
      <c r="E1324" t="inlineStr">
        <is>
          <t>air::non-urban air or from high stacks</t>
        </is>
      </c>
      <c r="F1324" t="inlineStr">
        <is>
          <t>biosphere</t>
        </is>
      </c>
      <c r="G1324" t="n">
        <v>0</v>
      </c>
      <c r="H1324" t="n">
        <v>4.32e-10</v>
      </c>
    </row>
    <row r="1325">
      <c r="A1325" t="inlineStr">
        <is>
          <t>Nitrogen oxides</t>
        </is>
      </c>
      <c r="B1325" t="n">
        <v>0.000598455</v>
      </c>
      <c r="D1325" t="inlineStr">
        <is>
          <t>kilogram</t>
        </is>
      </c>
      <c r="E1325" t="inlineStr">
        <is>
          <t>air::non-urban air or from high stacks</t>
        </is>
      </c>
      <c r="F1325" t="inlineStr">
        <is>
          <t>biosphere</t>
        </is>
      </c>
      <c r="G1325" t="n">
        <v>0</v>
      </c>
      <c r="H1325" t="n">
        <v>-9.545813108264312</v>
      </c>
      <c r="I1325" t="n">
        <v>0.2093551674290925</v>
      </c>
      <c r="L1325" t="n">
        <v>0</v>
      </c>
    </row>
    <row r="1326">
      <c r="A1326" t="inlineStr">
        <is>
          <t>PAH, polycyclic aromatic hydrocarbons</t>
        </is>
      </c>
      <c r="B1326" t="n">
        <v>8.37e-09</v>
      </c>
      <c r="D1326" t="inlineStr">
        <is>
          <t>kilogram</t>
        </is>
      </c>
      <c r="E1326" t="inlineStr">
        <is>
          <t>air::non-urban air or from high stacks</t>
        </is>
      </c>
      <c r="F1326" t="inlineStr">
        <is>
          <t>biosphere</t>
        </is>
      </c>
      <c r="G1326" t="n">
        <v>0</v>
      </c>
      <c r="H1326" t="n">
        <v>1e-09</v>
      </c>
    </row>
    <row r="1327">
      <c r="A1327" t="inlineStr">
        <is>
          <t>Particulates, &lt; 2.5 um</t>
        </is>
      </c>
      <c r="B1327" t="n">
        <v>7.616699999999999e-05</v>
      </c>
      <c r="D1327" t="inlineStr">
        <is>
          <t>kilogram</t>
        </is>
      </c>
      <c r="E1327" t="inlineStr">
        <is>
          <t>air::non-urban air or from high stacks</t>
        </is>
      </c>
      <c r="F1327" t="inlineStr">
        <is>
          <t>biosphere</t>
        </is>
      </c>
      <c r="G1327" t="n">
        <v>0</v>
      </c>
      <c r="H1327" t="n">
        <v>9.099999999999999e-06</v>
      </c>
    </row>
    <row r="1328">
      <c r="A1328" t="inlineStr">
        <is>
          <t>Particulates, &gt; 10 um</t>
        </is>
      </c>
      <c r="B1328" t="n">
        <v>4.477949999999999e-06</v>
      </c>
      <c r="D1328" t="inlineStr">
        <is>
          <t>kilogram</t>
        </is>
      </c>
      <c r="E1328" t="inlineStr">
        <is>
          <t>air::non-urban air or from high stacks</t>
        </is>
      </c>
      <c r="F1328" t="inlineStr">
        <is>
          <t>biosphere</t>
        </is>
      </c>
      <c r="G1328" t="n">
        <v>0</v>
      </c>
      <c r="H1328" t="n">
        <v>5.35e-07</v>
      </c>
    </row>
    <row r="1329">
      <c r="A1329" t="inlineStr">
        <is>
          <t>Particulates, &gt; 2.5 um, and &lt; 10um</t>
        </is>
      </c>
      <c r="B1329" t="n">
        <v>8.955899999999998e-06</v>
      </c>
      <c r="D1329" t="inlineStr">
        <is>
          <t>kilogram</t>
        </is>
      </c>
      <c r="E1329" t="inlineStr">
        <is>
          <t>air::non-urban air or from high stacks</t>
        </is>
      </c>
      <c r="F1329" t="inlineStr">
        <is>
          <t>biosphere</t>
        </is>
      </c>
      <c r="G1329" t="n">
        <v>0</v>
      </c>
      <c r="H1329" t="n">
        <v>-13.74785190949046</v>
      </c>
      <c r="I1329" t="n">
        <v>0.4120877214831746</v>
      </c>
      <c r="L1329" t="n">
        <v>0</v>
      </c>
    </row>
    <row r="1330">
      <c r="A1330" t="inlineStr">
        <is>
          <t>Pentane</t>
        </is>
      </c>
      <c r="B1330" t="n">
        <v>1.23039e-06</v>
      </c>
      <c r="D1330" t="inlineStr">
        <is>
          <t>kilogram</t>
        </is>
      </c>
      <c r="E1330" t="inlineStr">
        <is>
          <t>air::non-urban air or from high stacks</t>
        </is>
      </c>
      <c r="F1330" t="inlineStr">
        <is>
          <t>biosphere</t>
        </is>
      </c>
      <c r="G1330" t="n">
        <v>0</v>
      </c>
      <c r="H1330" t="n">
        <v>1.47e-07</v>
      </c>
    </row>
    <row r="1331">
      <c r="A1331" t="inlineStr">
        <is>
          <t>Polonium-210</t>
        </is>
      </c>
      <c r="B1331" t="n">
        <v>1.91673e-05</v>
      </c>
      <c r="D1331" t="inlineStr">
        <is>
          <t>kilo Becquerel</t>
        </is>
      </c>
      <c r="E1331" t="inlineStr">
        <is>
          <t>air::non-urban air or from high stacks</t>
        </is>
      </c>
      <c r="F1331" t="inlineStr">
        <is>
          <t>biosphere</t>
        </is>
      </c>
      <c r="G1331" t="n">
        <v>0</v>
      </c>
      <c r="H1331" t="n">
        <v>2.29e-06</v>
      </c>
    </row>
    <row r="1332">
      <c r="A1332" t="inlineStr">
        <is>
          <t>Potassium-40</t>
        </is>
      </c>
      <c r="B1332" t="n">
        <v>6.796439999999999e-06</v>
      </c>
      <c r="D1332" t="inlineStr">
        <is>
          <t>kilo Becquerel</t>
        </is>
      </c>
      <c r="E1332" t="inlineStr">
        <is>
          <t>air::non-urban air or from high stacks</t>
        </is>
      </c>
      <c r="F1332" t="inlineStr">
        <is>
          <t>biosphere</t>
        </is>
      </c>
      <c r="G1332" t="n">
        <v>0</v>
      </c>
      <c r="H1332" t="n">
        <v>8.12e-07</v>
      </c>
    </row>
    <row r="1333">
      <c r="A1333" t="inlineStr">
        <is>
          <t>Propane</t>
        </is>
      </c>
      <c r="B1333" t="n">
        <v>2.9295e-07</v>
      </c>
      <c r="D1333" t="inlineStr">
        <is>
          <t>kilogram</t>
        </is>
      </c>
      <c r="E1333" t="inlineStr">
        <is>
          <t>air::non-urban air or from high stacks</t>
        </is>
      </c>
      <c r="F1333" t="inlineStr">
        <is>
          <t>biosphere</t>
        </is>
      </c>
      <c r="G1333" t="n">
        <v>0</v>
      </c>
      <c r="H1333" t="n">
        <v>3.5e-08</v>
      </c>
    </row>
    <row r="1334">
      <c r="A1334" t="inlineStr">
        <is>
          <t>Propene</t>
        </is>
      </c>
      <c r="B1334" t="n">
        <v>1.3392e-07</v>
      </c>
      <c r="D1334" t="inlineStr">
        <is>
          <t>kilogram</t>
        </is>
      </c>
      <c r="E1334" t="inlineStr">
        <is>
          <t>air::non-urban air or from high stacks</t>
        </is>
      </c>
      <c r="F1334" t="inlineStr">
        <is>
          <t>biosphere</t>
        </is>
      </c>
      <c r="G1334" t="n">
        <v>0</v>
      </c>
      <c r="H1334" t="n">
        <v>1.6e-08</v>
      </c>
    </row>
    <row r="1335">
      <c r="A1335" t="inlineStr">
        <is>
          <t>Radium-226</t>
        </is>
      </c>
      <c r="B1335" t="n">
        <v>2.71188e-06</v>
      </c>
      <c r="D1335" t="inlineStr">
        <is>
          <t>kilo Becquerel</t>
        </is>
      </c>
      <c r="E1335" t="inlineStr">
        <is>
          <t>air::non-urban air or from high stacks</t>
        </is>
      </c>
      <c r="F1335" t="inlineStr">
        <is>
          <t>biosphere</t>
        </is>
      </c>
      <c r="G1335" t="n">
        <v>0</v>
      </c>
      <c r="H1335" t="n">
        <v>3.24e-07</v>
      </c>
    </row>
    <row r="1336">
      <c r="A1336" t="inlineStr">
        <is>
          <t>Radium-228</t>
        </is>
      </c>
      <c r="B1336" t="n">
        <v>2.64492e-06</v>
      </c>
      <c r="D1336" t="inlineStr">
        <is>
          <t>kilo Becquerel</t>
        </is>
      </c>
      <c r="E1336" t="inlineStr">
        <is>
          <t>air::non-urban air or from high stacks</t>
        </is>
      </c>
      <c r="F1336" t="inlineStr">
        <is>
          <t>biosphere</t>
        </is>
      </c>
      <c r="G1336" t="n">
        <v>0</v>
      </c>
      <c r="H1336" t="n">
        <v>3.16e-07</v>
      </c>
    </row>
    <row r="1337">
      <c r="A1337" t="inlineStr">
        <is>
          <t>Radon-220</t>
        </is>
      </c>
      <c r="B1337" t="n">
        <v>0.00115506</v>
      </c>
      <c r="D1337" t="inlineStr">
        <is>
          <t>kilo Becquerel</t>
        </is>
      </c>
      <c r="E1337" t="inlineStr">
        <is>
          <t>air::non-urban air or from high stacks</t>
        </is>
      </c>
      <c r="F1337" t="inlineStr">
        <is>
          <t>biosphere</t>
        </is>
      </c>
      <c r="G1337" t="n">
        <v>0</v>
      </c>
      <c r="H1337" t="n">
        <v>0.000138</v>
      </c>
    </row>
    <row r="1338">
      <c r="A1338" t="inlineStr">
        <is>
          <t>Radon-222</t>
        </is>
      </c>
      <c r="B1338" t="n">
        <v>0.00205065</v>
      </c>
      <c r="D1338" t="inlineStr">
        <is>
          <t>kilo Becquerel</t>
        </is>
      </c>
      <c r="E1338" t="inlineStr">
        <is>
          <t>air::non-urban air or from high stacks</t>
        </is>
      </c>
      <c r="F1338" t="inlineStr">
        <is>
          <t>biosphere</t>
        </is>
      </c>
      <c r="G1338" t="n">
        <v>0</v>
      </c>
      <c r="H1338" t="n">
        <v>0.000245</v>
      </c>
    </row>
    <row r="1339">
      <c r="A1339" t="inlineStr">
        <is>
          <t>Selenium</t>
        </is>
      </c>
      <c r="B1339" t="n">
        <v>2.49426e-08</v>
      </c>
      <c r="D1339" t="inlineStr">
        <is>
          <t>kilogram</t>
        </is>
      </c>
      <c r="E1339" t="inlineStr">
        <is>
          <t>air::non-urban air or from high stacks</t>
        </is>
      </c>
      <c r="F1339" t="inlineStr">
        <is>
          <t>biosphere</t>
        </is>
      </c>
      <c r="G1339" t="n">
        <v>0</v>
      </c>
      <c r="H1339" t="n">
        <v>2.98e-09</v>
      </c>
    </row>
    <row r="1340">
      <c r="A1340" t="inlineStr">
        <is>
          <t>Strontium</t>
        </is>
      </c>
      <c r="B1340" t="n">
        <v>3.83346e-09</v>
      </c>
      <c r="D1340" t="inlineStr">
        <is>
          <t>kilogram</t>
        </is>
      </c>
      <c r="E1340" t="inlineStr">
        <is>
          <t>air::non-urban air or from high stacks</t>
        </is>
      </c>
      <c r="F1340" t="inlineStr">
        <is>
          <t>biosphere</t>
        </is>
      </c>
      <c r="G1340" t="n">
        <v>0</v>
      </c>
      <c r="H1340" t="n">
        <v>4.58e-10</v>
      </c>
    </row>
    <row r="1341">
      <c r="A1341" t="inlineStr">
        <is>
          <t>Sulfur dioxide</t>
        </is>
      </c>
      <c r="B1341" t="n">
        <v>0.000441099</v>
      </c>
      <c r="D1341" t="inlineStr">
        <is>
          <t>kilogram</t>
        </is>
      </c>
      <c r="E1341" t="inlineStr">
        <is>
          <t>air::non-urban air or from high stacks</t>
        </is>
      </c>
      <c r="F1341" t="inlineStr">
        <is>
          <t>biosphere</t>
        </is>
      </c>
      <c r="G1341" t="n">
        <v>0</v>
      </c>
      <c r="H1341" t="n">
        <v>-9.850895102416958</v>
      </c>
      <c r="I1341" t="n">
        <v>0.05218000766212133</v>
      </c>
      <c r="L1341" t="n">
        <v>0</v>
      </c>
    </row>
    <row r="1342">
      <c r="A1342" t="inlineStr">
        <is>
          <t>Thorium-228</t>
        </is>
      </c>
      <c r="B1342" t="n">
        <v>1.4229e-06</v>
      </c>
      <c r="D1342" t="inlineStr">
        <is>
          <t>kilo Becquerel</t>
        </is>
      </c>
      <c r="E1342" t="inlineStr">
        <is>
          <t>air::non-urban air or from high stacks</t>
        </is>
      </c>
      <c r="F1342" t="inlineStr">
        <is>
          <t>biosphere</t>
        </is>
      </c>
      <c r="G1342" t="n">
        <v>0</v>
      </c>
      <c r="H1342" t="n">
        <v>1.7e-07</v>
      </c>
    </row>
    <row r="1343">
      <c r="A1343" t="inlineStr">
        <is>
          <t>Thorium-232</t>
        </is>
      </c>
      <c r="B1343" t="n">
        <v>2.23479e-06</v>
      </c>
      <c r="D1343" t="inlineStr">
        <is>
          <t>kilo Becquerel</t>
        </is>
      </c>
      <c r="E1343" t="inlineStr">
        <is>
          <t>air::non-urban air or from high stacks</t>
        </is>
      </c>
      <c r="F1343" t="inlineStr">
        <is>
          <t>biosphere</t>
        </is>
      </c>
      <c r="G1343" t="n">
        <v>0</v>
      </c>
      <c r="H1343" t="n">
        <v>2.67e-07</v>
      </c>
    </row>
    <row r="1344">
      <c r="A1344" t="inlineStr">
        <is>
          <t>Toluene</t>
        </is>
      </c>
      <c r="B1344" t="n">
        <v>9.123299999999999e-07</v>
      </c>
      <c r="D1344" t="inlineStr">
        <is>
          <t>kilogram</t>
        </is>
      </c>
      <c r="E1344" t="inlineStr">
        <is>
          <t>air::non-urban air or from high stacks</t>
        </is>
      </c>
      <c r="F1344" t="inlineStr">
        <is>
          <t>biosphere</t>
        </is>
      </c>
      <c r="G1344" t="n">
        <v>0</v>
      </c>
      <c r="H1344" t="n">
        <v>1.09e-07</v>
      </c>
    </row>
    <row r="1345">
      <c r="A1345" t="inlineStr">
        <is>
          <t>Uranium-238</t>
        </is>
      </c>
      <c r="B1345" t="n">
        <v>2.2599e-06</v>
      </c>
      <c r="D1345" t="inlineStr">
        <is>
          <t>kilo Becquerel</t>
        </is>
      </c>
      <c r="E1345" t="inlineStr">
        <is>
          <t>air::non-urban air or from high stacks</t>
        </is>
      </c>
      <c r="F1345" t="inlineStr">
        <is>
          <t>biosphere</t>
        </is>
      </c>
      <c r="G1345" t="n">
        <v>0</v>
      </c>
      <c r="H1345" t="n">
        <v>2.7e-07</v>
      </c>
    </row>
    <row r="1346">
      <c r="A1346" t="inlineStr">
        <is>
          <t>Vanadium</t>
        </is>
      </c>
      <c r="B1346" t="n">
        <v>9.123299999999999e-10</v>
      </c>
      <c r="D1346" t="inlineStr">
        <is>
          <t>kilogram</t>
        </is>
      </c>
      <c r="E1346" t="inlineStr">
        <is>
          <t>air::non-urban air or from high stacks</t>
        </is>
      </c>
      <c r="F1346" t="inlineStr">
        <is>
          <t>biosphere</t>
        </is>
      </c>
      <c r="G1346" t="n">
        <v>0</v>
      </c>
      <c r="H1346" t="n">
        <v>1.09e-10</v>
      </c>
    </row>
    <row r="1347">
      <c r="A1347" t="inlineStr">
        <is>
          <t>Water, cooling, unspecified natural origin</t>
        </is>
      </c>
      <c r="B1347" t="n">
        <v>0.029295</v>
      </c>
      <c r="D1347" t="inlineStr">
        <is>
          <t>cubic meter</t>
        </is>
      </c>
      <c r="E1347" t="inlineStr">
        <is>
          <t>natural resource::in water</t>
        </is>
      </c>
      <c r="F1347" t="inlineStr">
        <is>
          <t>biosphere</t>
        </is>
      </c>
      <c r="G1347" t="n">
        <v>0</v>
      </c>
      <c r="H1347" t="n">
        <v>0.0035</v>
      </c>
    </row>
    <row r="1348">
      <c r="A1348" t="inlineStr">
        <is>
          <t>Xylene</t>
        </is>
      </c>
      <c r="B1348" t="n">
        <v>7.717139999999999e-06</v>
      </c>
      <c r="D1348" t="inlineStr">
        <is>
          <t>kilogram</t>
        </is>
      </c>
      <c r="E1348" t="inlineStr">
        <is>
          <t>air::non-urban air or from high stacks</t>
        </is>
      </c>
      <c r="F1348" t="inlineStr">
        <is>
          <t>biosphere</t>
        </is>
      </c>
      <c r="G1348" t="n">
        <v>0</v>
      </c>
      <c r="H1348" t="n">
        <v>9.22e-07</v>
      </c>
    </row>
    <row r="1349">
      <c r="A1349" t="inlineStr">
        <is>
          <t>Zinc</t>
        </is>
      </c>
      <c r="B1349" t="n">
        <v>6.39468e-09</v>
      </c>
      <c r="D1349" t="inlineStr">
        <is>
          <t>kilogram</t>
        </is>
      </c>
      <c r="E1349" t="inlineStr">
        <is>
          <t>air::non-urban air or from high stacks</t>
        </is>
      </c>
      <c r="F1349" t="inlineStr">
        <is>
          <t>biosphere</t>
        </is>
      </c>
      <c r="G1349" t="n">
        <v>0</v>
      </c>
      <c r="H1349" t="n">
        <v>7.640000000000001e-10</v>
      </c>
    </row>
    <row r="1350">
      <c r="A1350" t="inlineStr">
        <is>
          <t>desulfurisation of lignite flue gas</t>
        </is>
      </c>
      <c r="B1350" t="n">
        <v>0.008303039999999999</v>
      </c>
      <c r="C1350" t="inlineStr">
        <is>
          <t>GLO</t>
        </is>
      </c>
      <c r="D1350" t="inlineStr">
        <is>
          <t>kilogram</t>
        </is>
      </c>
      <c r="E1350" t="inlineStr">
        <is>
          <t>Materials/fuels</t>
        </is>
      </c>
      <c r="F1350" t="inlineStr">
        <is>
          <t>technosphere</t>
        </is>
      </c>
      <c r="G1350" t="n">
        <v>0</v>
      </c>
      <c r="H1350" t="n">
        <v>-6.915787450679401</v>
      </c>
      <c r="I1350" t="n">
        <v>0.05218000766212133</v>
      </c>
      <c r="L1350" t="n">
        <v>0</v>
      </c>
      <c r="M1350" t="inlineStr">
        <is>
          <t>SOx retained, in lignite flue gas desulfurisation</t>
        </is>
      </c>
    </row>
    <row r="1351">
      <c r="A1351" t="inlineStr">
        <is>
          <t>market for lignite</t>
        </is>
      </c>
      <c r="B1351">
        <f>(3.6/8.7)/0.43</f>
        <v>0.962309542902967</v>
      </c>
      <c r="C1351" t="inlineStr">
        <is>
          <t>RER</t>
        </is>
      </c>
      <c r="D1351" t="inlineStr">
        <is>
          <t>kilogram</t>
        </is>
      </c>
      <c r="E1351" t="inlineStr">
        <is>
          <t>Materials/fuels</t>
        </is>
      </c>
      <c r="F1351" t="inlineStr">
        <is>
          <t>technosphere</t>
        </is>
      </c>
      <c r="G1351" t="n">
        <v>0</v>
      </c>
      <c r="H1351" t="n">
        <v>-2.162823150618887</v>
      </c>
      <c r="I1351" t="n">
        <v>0.0338293242369074</v>
      </c>
      <c r="K1351" t="inlineStr">
        <is>
          <t>1/energy content from Dones et al. (2007) "Teil VI - Kohle - Data v2.0" p.112</t>
        </is>
      </c>
      <c r="L1351" t="n">
        <v>0</v>
      </c>
      <c r="M1351" t="inlineStr">
        <is>
          <t>lignite</t>
        </is>
      </c>
    </row>
    <row r="1352">
      <c r="A1352" t="inlineStr">
        <is>
          <t>market for NOx retained, by selective catalytic reduction</t>
        </is>
      </c>
      <c r="B1352" t="n">
        <v>0.00169074</v>
      </c>
      <c r="C1352" t="inlineStr">
        <is>
          <t>GLO</t>
        </is>
      </c>
      <c r="D1352" t="inlineStr">
        <is>
          <t>kilogram</t>
        </is>
      </c>
      <c r="E1352" t="inlineStr">
        <is>
          <t>Materials/fuels</t>
        </is>
      </c>
      <c r="F1352" t="inlineStr">
        <is>
          <t>technosphere</t>
        </is>
      </c>
      <c r="G1352" t="n">
        <v>0</v>
      </c>
      <c r="H1352" t="n">
        <v>-8.507242860563069</v>
      </c>
      <c r="I1352" t="n">
        <v>0.2093551674290925</v>
      </c>
      <c r="L1352" t="n">
        <v>0</v>
      </c>
      <c r="M1352" t="inlineStr">
        <is>
          <t>NOx retained, by selective catalytic reduction</t>
        </is>
      </c>
    </row>
    <row r="1353">
      <c r="A1353" t="inlineStr">
        <is>
          <t>market for chlorine, liquid</t>
        </is>
      </c>
      <c r="B1353" t="n">
        <v>8.37e-05</v>
      </c>
      <c r="C1353" t="inlineStr">
        <is>
          <t>RER</t>
        </is>
      </c>
      <c r="D1353" t="inlineStr">
        <is>
          <t>kilogram</t>
        </is>
      </c>
      <c r="E1353" t="inlineStr">
        <is>
          <t>Materials/fuels</t>
        </is>
      </c>
      <c r="F1353" t="inlineStr">
        <is>
          <t>technosphere</t>
        </is>
      </c>
      <c r="G1353" t="n">
        <v>0</v>
      </c>
      <c r="H1353" t="n">
        <v>1e-05</v>
      </c>
      <c r="M1353" t="inlineStr">
        <is>
          <t>chlorine, liquid</t>
        </is>
      </c>
    </row>
    <row r="1354">
      <c r="A1354" t="inlineStr">
        <is>
          <t>market for lignite power plant</t>
        </is>
      </c>
      <c r="B1354" t="n">
        <v>3.37311e-12</v>
      </c>
      <c r="C1354" t="inlineStr">
        <is>
          <t>GLO</t>
        </is>
      </c>
      <c r="D1354" t="inlineStr">
        <is>
          <t>unit</t>
        </is>
      </c>
      <c r="E1354" t="inlineStr">
        <is>
          <t>Materials/fuels</t>
        </is>
      </c>
      <c r="F1354" t="inlineStr">
        <is>
          <t>technosphere</t>
        </is>
      </c>
      <c r="G1354" t="n">
        <v>0</v>
      </c>
      <c r="H1354" t="n">
        <v>-28.539839832964</v>
      </c>
      <c r="I1354" t="n">
        <v>0.5526284156933892</v>
      </c>
      <c r="K1354" t="inlineStr">
        <is>
          <t>n_plant = 1/(lifetime*annual fuel input)</t>
        </is>
      </c>
      <c r="L1354" t="n">
        <v>0</v>
      </c>
      <c r="M1354" t="inlineStr">
        <is>
          <t>lignite power plant</t>
        </is>
      </c>
    </row>
    <row r="1355">
      <c r="A1355" t="inlineStr">
        <is>
          <t>market for transport, freight train</t>
        </is>
      </c>
      <c r="B1355" t="n">
        <v>6.277499999999999e-05</v>
      </c>
      <c r="C1355" t="inlineStr">
        <is>
          <t>Europe without Switzerland</t>
        </is>
      </c>
      <c r="D1355" t="inlineStr">
        <is>
          <t>ton kilometer</t>
        </is>
      </c>
      <c r="E1355" t="inlineStr">
        <is>
          <t>Materials/fuels</t>
        </is>
      </c>
      <c r="F1355" t="inlineStr">
        <is>
          <t>technosphere</t>
        </is>
      </c>
      <c r="G1355" t="n">
        <v>0</v>
      </c>
      <c r="H1355" t="n">
        <v>7.5e-06</v>
      </c>
      <c r="M1355" t="inlineStr">
        <is>
          <t>transport, freight train</t>
        </is>
      </c>
    </row>
    <row r="1356">
      <c r="A1356" t="inlineStr">
        <is>
          <t>market for water, completely softened</t>
        </is>
      </c>
      <c r="B1356" t="n">
        <v>0.0219629514678253</v>
      </c>
      <c r="C1356" t="inlineStr">
        <is>
          <t>RoW</t>
        </is>
      </c>
      <c r="D1356" t="inlineStr">
        <is>
          <t>kilogram</t>
        </is>
      </c>
      <c r="E1356" t="inlineStr">
        <is>
          <t>Materials/fuels</t>
        </is>
      </c>
      <c r="F1356" t="inlineStr">
        <is>
          <t>technosphere</t>
        </is>
      </c>
      <c r="G1356" t="n">
        <v>0</v>
      </c>
      <c r="H1356" t="n">
        <v>0.006</v>
      </c>
      <c r="M1356" t="inlineStr">
        <is>
          <t>water, completely softened</t>
        </is>
      </c>
    </row>
    <row r="1357">
      <c r="A1357" t="inlineStr">
        <is>
          <t>market for water, completely softened</t>
        </is>
      </c>
      <c r="B1357" t="n">
        <v>0.01181660390642793</v>
      </c>
      <c r="C1357" t="inlineStr">
        <is>
          <t>RER</t>
        </is>
      </c>
      <c r="D1357" t="inlineStr">
        <is>
          <t>kilogram</t>
        </is>
      </c>
      <c r="E1357" t="inlineStr">
        <is>
          <t>Materials/fuels</t>
        </is>
      </c>
      <c r="F1357" t="inlineStr">
        <is>
          <t>technosphere</t>
        </is>
      </c>
      <c r="G1357" t="n">
        <v>0</v>
      </c>
      <c r="H1357" t="n">
        <v>0.006</v>
      </c>
      <c r="M1357" t="inlineStr">
        <is>
          <t>water, completely softened</t>
        </is>
      </c>
    </row>
    <row r="1358" ht="16" customHeight="1">
      <c r="A1358" t="inlineStr">
        <is>
          <t>market for water, completely softened</t>
        </is>
      </c>
      <c r="B1358" t="n">
        <v>0.01644044462574676</v>
      </c>
      <c r="C1358" t="inlineStr">
        <is>
          <t>US</t>
        </is>
      </c>
      <c r="D1358" t="inlineStr">
        <is>
          <t>kilogram</t>
        </is>
      </c>
      <c r="E1358" t="inlineStr">
        <is>
          <t>Materials/fuels</t>
        </is>
      </c>
      <c r="F1358" t="inlineStr">
        <is>
          <t>technosphere</t>
        </is>
      </c>
      <c r="G1358" t="n">
        <v>0</v>
      </c>
      <c r="H1358" t="n">
        <v>0.006</v>
      </c>
      <c r="M1358" t="inlineStr">
        <is>
          <t>water, completely softened</t>
        </is>
      </c>
    </row>
    <row r="1359">
      <c r="A1359" t="inlineStr">
        <is>
          <t>market for water, decarbonised</t>
        </is>
      </c>
      <c r="B1359" t="n">
        <v>1.2555</v>
      </c>
      <c r="C1359" t="inlineStr">
        <is>
          <t>RoW</t>
        </is>
      </c>
      <c r="D1359" t="inlineStr">
        <is>
          <t>kilogram</t>
        </is>
      </c>
      <c r="E1359" t="inlineStr">
        <is>
          <t>Materials/fuels</t>
        </is>
      </c>
      <c r="F1359" t="inlineStr">
        <is>
          <t>technosphere</t>
        </is>
      </c>
      <c r="G1359" t="n">
        <v>0</v>
      </c>
      <c r="H1359" t="n">
        <v>0.15</v>
      </c>
      <c r="M1359" t="inlineStr">
        <is>
          <t>water, decarbonised</t>
        </is>
      </c>
    </row>
    <row r="1360">
      <c r="A1360" t="inlineStr">
        <is>
          <t>treatment of lignite ash, opencast refill</t>
        </is>
      </c>
      <c r="B1360" t="n">
        <v>-0.0596781</v>
      </c>
      <c r="C1360" t="inlineStr">
        <is>
          <t>RoW</t>
        </is>
      </c>
      <c r="D1360" t="inlineStr">
        <is>
          <t>kilogram</t>
        </is>
      </c>
      <c r="E1360" t="inlineStr">
        <is>
          <t>Waste to treatment</t>
        </is>
      </c>
      <c r="F1360" t="inlineStr">
        <is>
          <t>technosphere</t>
        </is>
      </c>
      <c r="G1360" t="n">
        <v>0</v>
      </c>
      <c r="H1360" t="n">
        <v>0.00713</v>
      </c>
      <c r="M1360" t="inlineStr">
        <is>
          <t>lignite ash</t>
        </is>
      </c>
    </row>
    <row r="1361">
      <c r="A1361" t="inlineStr">
        <is>
          <t>treatment of residue from cooling tower, sanitary landfill</t>
        </is>
      </c>
      <c r="B1361" t="n">
        <v>-4.185e-05</v>
      </c>
      <c r="C1361" t="inlineStr">
        <is>
          <t>CH</t>
        </is>
      </c>
      <c r="D1361" t="inlineStr">
        <is>
          <t>kilogram</t>
        </is>
      </c>
      <c r="E1361" t="inlineStr">
        <is>
          <t>Waste to treatment</t>
        </is>
      </c>
      <c r="F1361" t="inlineStr">
        <is>
          <t>technosphere</t>
        </is>
      </c>
      <c r="G1361" t="n">
        <v>0</v>
      </c>
      <c r="H1361" t="n">
        <v>5e-06</v>
      </c>
      <c r="K1361" t="inlineStr">
        <is>
          <t>assumed to be the same as in the hard coal pulverised dataset</t>
        </is>
      </c>
      <c r="M1361" t="inlineStr">
        <is>
          <t>residue from cooling tower</t>
        </is>
      </c>
    </row>
    <row r="1362"/>
    <row r="1363"/>
    <row r="1364">
      <c r="A1364" s="1" t="inlineStr">
        <is>
          <t>Activity</t>
        </is>
      </c>
      <c r="B1364" s="1" t="inlineStr">
        <is>
          <t>electricity production, at lignite-fired power plant, oxy, pipeline 200km, storage 1000m</t>
        </is>
      </c>
    </row>
    <row r="1365">
      <c r="A1365" t="inlineStr">
        <is>
          <t>location</t>
        </is>
      </c>
      <c r="B1365" t="inlineStr">
        <is>
          <t>RER</t>
        </is>
      </c>
    </row>
    <row r="1366" ht="16" customHeight="1">
      <c r="A1366" t="inlineStr">
        <is>
          <t>production amount</t>
        </is>
      </c>
      <c r="B1366" t="n">
        <v>1</v>
      </c>
    </row>
    <row r="1367">
      <c r="A1367" t="inlineStr">
        <is>
          <t>reference product</t>
        </is>
      </c>
      <c r="B1367" t="inlineStr">
        <is>
          <t>electricity, high voltage</t>
        </is>
      </c>
    </row>
    <row r="1368">
      <c r="A1368" t="inlineStr">
        <is>
          <t>comment</t>
        </is>
      </c>
      <c r="B1368" t="inlineStr">
        <is>
          <t>Lignite-fired, pulverised, CCS, oxy, Cryogenic ASU, 95% CO2 capture efficiency. 782 MWel. 7500 full load hours per year. 40 years lifetime. 34% net electrical efficiency.</t>
        </is>
      </c>
    </row>
    <row r="1369">
      <c r="A1369" t="inlineStr">
        <is>
          <t>source</t>
        </is>
      </c>
      <c r="B1369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370">
      <c r="A1370" t="inlineStr">
        <is>
          <t>type</t>
        </is>
      </c>
      <c r="B1370" t="inlineStr">
        <is>
          <t>process</t>
        </is>
      </c>
    </row>
    <row r="1371">
      <c r="A1371" t="inlineStr">
        <is>
          <t>unit</t>
        </is>
      </c>
      <c r="B1371" t="inlineStr">
        <is>
          <t>kilowatt hour</t>
        </is>
      </c>
    </row>
    <row r="1372">
      <c r="A1372" s="1" t="inlineStr">
        <is>
          <t>Exchanges</t>
        </is>
      </c>
    </row>
    <row r="1373">
      <c r="A1373" t="inlineStr">
        <is>
          <t>name</t>
        </is>
      </c>
      <c r="B1373" t="inlineStr">
        <is>
          <t>amount</t>
        </is>
      </c>
      <c r="C1373" t="inlineStr">
        <is>
          <t>location</t>
        </is>
      </c>
      <c r="D1373" t="inlineStr">
        <is>
          <t>unit</t>
        </is>
      </c>
      <c r="E1373" t="inlineStr">
        <is>
          <t>categories</t>
        </is>
      </c>
      <c r="F1373" t="inlineStr">
        <is>
          <t>type</t>
        </is>
      </c>
      <c r="G1373" t="inlineStr">
        <is>
          <t>uncertainty type</t>
        </is>
      </c>
      <c r="H1373" t="inlineStr">
        <is>
          <t>loc</t>
        </is>
      </c>
      <c r="I1373" t="inlineStr">
        <is>
          <t>allocation</t>
        </is>
      </c>
      <c r="J1373" t="inlineStr">
        <is>
          <t>comment</t>
        </is>
      </c>
      <c r="K1373" t="inlineStr">
        <is>
          <t>simapro name</t>
        </is>
      </c>
      <c r="L1373" t="inlineStr">
        <is>
          <t>negative</t>
        </is>
      </c>
      <c r="M1373" t="inlineStr">
        <is>
          <t>reference product</t>
        </is>
      </c>
    </row>
    <row r="1374">
      <c r="A1374" t="inlineStr">
        <is>
          <t>electricity production, at lignite-fired power plant, oxy, pipeline 200km, storage 1000m</t>
        </is>
      </c>
      <c r="B1374" t="n">
        <v>1</v>
      </c>
      <c r="C1374" t="inlineStr">
        <is>
          <t>RER</t>
        </is>
      </c>
      <c r="D1374" t="inlineStr">
        <is>
          <t>kilowatt hour</t>
        </is>
      </c>
      <c r="E1374" t="inlineStr">
        <is>
          <t>CCS Europe 2025::Lignite</t>
        </is>
      </c>
      <c r="F1374" t="inlineStr">
        <is>
          <t>production</t>
        </is>
      </c>
      <c r="I1374" t="n">
        <v>100</v>
      </c>
      <c r="K1374" t="inlineStr">
        <is>
          <t>electricity production, at lignite-fired power plant, oxy, pipeline 200km, storage 1000m U</t>
        </is>
      </c>
    </row>
    <row r="1375">
      <c r="A1375" t="inlineStr">
        <is>
          <t>Antimony</t>
        </is>
      </c>
      <c r="B1375" t="n">
        <v>1.09647e-10</v>
      </c>
      <c r="D1375" t="inlineStr">
        <is>
          <t>kilogram</t>
        </is>
      </c>
      <c r="E1375" t="inlineStr">
        <is>
          <t>air::non-urban air or from high stacks</t>
        </is>
      </c>
      <c r="F1375" t="inlineStr">
        <is>
          <t>biosphere</t>
        </is>
      </c>
      <c r="G1375" t="n">
        <v>0</v>
      </c>
      <c r="H1375" t="n">
        <v>1.31e-11</v>
      </c>
    </row>
    <row r="1376">
      <c r="A1376" t="inlineStr">
        <is>
          <t>Arsenic</t>
        </is>
      </c>
      <c r="B1376" t="n">
        <v>6.17706e-09</v>
      </c>
      <c r="D1376" t="inlineStr">
        <is>
          <t>kilogram</t>
        </is>
      </c>
      <c r="E1376" t="inlineStr">
        <is>
          <t>air::non-urban air or from high stacks</t>
        </is>
      </c>
      <c r="F1376" t="inlineStr">
        <is>
          <t>biosphere</t>
        </is>
      </c>
      <c r="G1376" t="n">
        <v>0</v>
      </c>
      <c r="H1376" t="n">
        <v>7.38e-10</v>
      </c>
    </row>
    <row r="1377">
      <c r="A1377" t="inlineStr">
        <is>
          <t>Barium</t>
        </is>
      </c>
      <c r="B1377" t="n">
        <v>3.649319999999999e-08</v>
      </c>
      <c r="D1377" t="inlineStr">
        <is>
          <t>kilogram</t>
        </is>
      </c>
      <c r="E1377" t="inlineStr">
        <is>
          <t>air::non-urban air or from high stacks</t>
        </is>
      </c>
      <c r="F1377" t="inlineStr">
        <is>
          <t>biosphere</t>
        </is>
      </c>
      <c r="G1377" t="n">
        <v>0</v>
      </c>
      <c r="H1377" t="n">
        <v>4.36e-09</v>
      </c>
    </row>
    <row r="1378">
      <c r="A1378" t="inlineStr">
        <is>
          <t>Benzene</t>
        </is>
      </c>
      <c r="B1378" t="n">
        <v>1.81629e-06</v>
      </c>
      <c r="D1378" t="inlineStr">
        <is>
          <t>kilogram</t>
        </is>
      </c>
      <c r="E1378" t="inlineStr">
        <is>
          <t>air::non-urban air or from high stacks</t>
        </is>
      </c>
      <c r="F1378" t="inlineStr">
        <is>
          <t>biosphere</t>
        </is>
      </c>
      <c r="G1378" t="n">
        <v>0</v>
      </c>
      <c r="H1378" t="n">
        <v>2.17e-07</v>
      </c>
    </row>
    <row r="1379">
      <c r="A1379" t="inlineStr">
        <is>
          <t>Benzo(a)pyrene</t>
        </is>
      </c>
      <c r="B1379" t="n">
        <v>1.674e-12</v>
      </c>
      <c r="D1379" t="inlineStr">
        <is>
          <t>kilogram</t>
        </is>
      </c>
      <c r="E1379" t="inlineStr">
        <is>
          <t>air::non-urban air or from high stacks</t>
        </is>
      </c>
      <c r="F1379" t="inlineStr">
        <is>
          <t>biosphere</t>
        </is>
      </c>
      <c r="G1379" t="n">
        <v>0</v>
      </c>
      <c r="H1379" t="n">
        <v>2e-13</v>
      </c>
    </row>
    <row r="1380">
      <c r="A1380" t="inlineStr">
        <is>
          <t>Boron</t>
        </is>
      </c>
      <c r="B1380" t="n">
        <v>1.73259e-05</v>
      </c>
      <c r="D1380" t="inlineStr">
        <is>
          <t>kilogram</t>
        </is>
      </c>
      <c r="E1380" t="inlineStr">
        <is>
          <t>air::non-urban air or from high stacks</t>
        </is>
      </c>
      <c r="F1380" t="inlineStr">
        <is>
          <t>biosphere</t>
        </is>
      </c>
      <c r="G1380" t="n">
        <v>0</v>
      </c>
      <c r="H1380" t="n">
        <v>2.07e-06</v>
      </c>
    </row>
    <row r="1381">
      <c r="A1381" t="inlineStr">
        <is>
          <t>Bromine</t>
        </is>
      </c>
      <c r="B1381" t="n">
        <v>2.31012e-07</v>
      </c>
      <c r="D1381" t="inlineStr">
        <is>
          <t>kilogram</t>
        </is>
      </c>
      <c r="E1381" t="inlineStr">
        <is>
          <t>air::non-urban air or from high stacks</t>
        </is>
      </c>
      <c r="F1381" t="inlineStr">
        <is>
          <t>biosphere</t>
        </is>
      </c>
      <c r="G1381" t="n">
        <v>0</v>
      </c>
      <c r="H1381" t="n">
        <v>2.76e-08</v>
      </c>
    </row>
    <row r="1382">
      <c r="A1382" t="inlineStr">
        <is>
          <t>Butane</t>
        </is>
      </c>
      <c r="B1382" t="n">
        <v>1.5903e-07</v>
      </c>
      <c r="D1382" t="inlineStr">
        <is>
          <t>kilogram</t>
        </is>
      </c>
      <c r="E1382" t="inlineStr">
        <is>
          <t>air::non-urban air or from high stacks</t>
        </is>
      </c>
      <c r="F1382" t="inlineStr">
        <is>
          <t>biosphere</t>
        </is>
      </c>
      <c r="G1382" t="n">
        <v>0</v>
      </c>
      <c r="H1382" t="n">
        <v>1.9e-08</v>
      </c>
    </row>
    <row r="1383">
      <c r="A1383" t="inlineStr">
        <is>
          <t>Cadmium</t>
        </is>
      </c>
      <c r="B1383" t="n">
        <v>1.28061e-10</v>
      </c>
      <c r="D1383" t="inlineStr">
        <is>
          <t>kilogram</t>
        </is>
      </c>
      <c r="E1383" t="inlineStr">
        <is>
          <t>air::non-urban air or from high stacks</t>
        </is>
      </c>
      <c r="F1383" t="inlineStr">
        <is>
          <t>biosphere</t>
        </is>
      </c>
      <c r="G1383" t="n">
        <v>0</v>
      </c>
      <c r="H1383" t="n">
        <v>1.53e-11</v>
      </c>
    </row>
    <row r="1384">
      <c r="A1384" t="inlineStr">
        <is>
          <t>Carbon dioxide, fossil</t>
        </is>
      </c>
      <c r="B1384">
        <f>B1435*8.7*0.115*0.05</f>
        <v>0.055945945945946</v>
      </c>
      <c r="D1384" t="inlineStr">
        <is>
          <t>kilogram</t>
        </is>
      </c>
      <c r="E1384" t="inlineStr">
        <is>
          <t>air::non-urban air or from high stacks</t>
        </is>
      </c>
      <c r="F1384" t="inlineStr">
        <is>
          <t>biosphere</t>
        </is>
      </c>
      <c r="G1384" t="n">
        <v>0</v>
      </c>
      <c r="H1384" t="n">
        <v>-5.221356325411908</v>
      </c>
      <c r="I1384" t="n">
        <v>0.05218000766212133</v>
      </c>
      <c r="K1384" t="inlineStr">
        <is>
          <t>90% capture rate</t>
        </is>
      </c>
      <c r="L1384" t="n">
        <v>0</v>
      </c>
    </row>
    <row r="1385">
      <c r="A1385" t="inlineStr">
        <is>
          <t>Carbon monoxide, fossil</t>
        </is>
      </c>
      <c r="B1385" t="n">
        <v>0.0001674</v>
      </c>
      <c r="D1385" t="inlineStr">
        <is>
          <t>kilogram</t>
        </is>
      </c>
      <c r="E1385" t="inlineStr">
        <is>
          <t>air::non-urban air or from high stacks</t>
        </is>
      </c>
      <c r="F1385" t="inlineStr">
        <is>
          <t>biosphere</t>
        </is>
      </c>
      <c r="G1385" t="n">
        <v>0</v>
      </c>
      <c r="H1385" t="n">
        <v>2e-05</v>
      </c>
    </row>
    <row r="1386">
      <c r="A1386" t="inlineStr">
        <is>
          <t>Chromium</t>
        </is>
      </c>
      <c r="B1386" t="n">
        <v>1.62378e-09</v>
      </c>
      <c r="D1386" t="inlineStr">
        <is>
          <t>kilogram</t>
        </is>
      </c>
      <c r="E1386" t="inlineStr">
        <is>
          <t>air::non-urban air or from high stacks</t>
        </is>
      </c>
      <c r="F1386" t="inlineStr">
        <is>
          <t>biosphere</t>
        </is>
      </c>
      <c r="G1386" t="n">
        <v>0</v>
      </c>
      <c r="H1386" t="n">
        <v>1.94e-10</v>
      </c>
    </row>
    <row r="1387">
      <c r="A1387" t="inlineStr">
        <is>
          <t>Chromium VI</t>
        </is>
      </c>
      <c r="B1387" t="n">
        <v>2.0088e-10</v>
      </c>
      <c r="D1387" t="inlineStr">
        <is>
          <t>kilogram</t>
        </is>
      </c>
      <c r="E1387" t="inlineStr">
        <is>
          <t>air::non-urban air or from high stacks</t>
        </is>
      </c>
      <c r="F1387" t="inlineStr">
        <is>
          <t>biosphere</t>
        </is>
      </c>
      <c r="G1387" t="n">
        <v>0</v>
      </c>
      <c r="H1387" t="n">
        <v>2.4e-11</v>
      </c>
    </row>
    <row r="1388">
      <c r="A1388" t="inlineStr">
        <is>
          <t>Cobalt</t>
        </is>
      </c>
      <c r="B1388" t="n">
        <v>7.307009999999999e-10</v>
      </c>
      <c r="D1388" t="inlineStr">
        <is>
          <t>kilogram</t>
        </is>
      </c>
      <c r="E1388" t="inlineStr">
        <is>
          <t>air::non-urban air or from high stacks</t>
        </is>
      </c>
      <c r="F1388" t="inlineStr">
        <is>
          <t>biosphere</t>
        </is>
      </c>
      <c r="G1388" t="n">
        <v>0</v>
      </c>
      <c r="H1388" t="n">
        <v>8.73e-11</v>
      </c>
    </row>
    <row r="1389">
      <c r="A1389" t="inlineStr">
        <is>
          <t>Copper</t>
        </is>
      </c>
      <c r="B1389" t="n">
        <v>1.68237e-09</v>
      </c>
      <c r="D1389" t="inlineStr">
        <is>
          <t>kilogram</t>
        </is>
      </c>
      <c r="E1389" t="inlineStr">
        <is>
          <t>air::non-urban air or from high stacks</t>
        </is>
      </c>
      <c r="F1389" t="inlineStr">
        <is>
          <t>biosphere</t>
        </is>
      </c>
      <c r="G1389" t="n">
        <v>0</v>
      </c>
      <c r="H1389" t="n">
        <v>2.01e-10</v>
      </c>
    </row>
    <row r="1390">
      <c r="A1390" t="inlineStr">
        <is>
          <t>Dinitrogen monoxide</t>
        </is>
      </c>
      <c r="B1390" t="n">
        <v>2.16783e-05</v>
      </c>
      <c r="D1390" t="inlineStr">
        <is>
          <t>kilogram</t>
        </is>
      </c>
      <c r="E1390" t="inlineStr">
        <is>
          <t>air::non-urban air or from high stacks</t>
        </is>
      </c>
      <c r="F1390" t="inlineStr">
        <is>
          <t>biosphere</t>
        </is>
      </c>
      <c r="G1390" t="n">
        <v>0</v>
      </c>
      <c r="H1390" t="n">
        <v>2.59e-06</v>
      </c>
    </row>
    <row r="1391">
      <c r="A1391" t="inlineStr">
        <is>
          <t>Dioxins, measured as 2,3,7,8-tetrachlorodibenzo-p-dioxin</t>
        </is>
      </c>
      <c r="B1391" t="n">
        <v>5.858999999999999e-14</v>
      </c>
      <c r="D1391" t="inlineStr">
        <is>
          <t>kilogram</t>
        </is>
      </c>
      <c r="E1391" t="inlineStr">
        <is>
          <t>air::non-urban air or from high stacks</t>
        </is>
      </c>
      <c r="F1391" t="inlineStr">
        <is>
          <t>biosphere</t>
        </is>
      </c>
      <c r="G1391" t="n">
        <v>0</v>
      </c>
      <c r="H1391" t="n">
        <v>7e-15</v>
      </c>
    </row>
    <row r="1392">
      <c r="A1392" t="inlineStr">
        <is>
          <t>Ethane</t>
        </is>
      </c>
      <c r="B1392" t="n">
        <v>3.4317e-07</v>
      </c>
      <c r="D1392" t="inlineStr">
        <is>
          <t>kilogram</t>
        </is>
      </c>
      <c r="E1392" t="inlineStr">
        <is>
          <t>air::non-urban air or from high stacks</t>
        </is>
      </c>
      <c r="F1392" t="inlineStr">
        <is>
          <t>biosphere</t>
        </is>
      </c>
      <c r="G1392" t="n">
        <v>0</v>
      </c>
      <c r="H1392" t="n">
        <v>4.1e-08</v>
      </c>
    </row>
    <row r="1393">
      <c r="A1393" t="inlineStr">
        <is>
          <t>Formaldehyde</t>
        </is>
      </c>
      <c r="B1393" t="n">
        <v>4.8546e-07</v>
      </c>
      <c r="D1393" t="inlineStr">
        <is>
          <t>kilogram</t>
        </is>
      </c>
      <c r="E1393" t="inlineStr">
        <is>
          <t>air::non-urban air or from high stacks</t>
        </is>
      </c>
      <c r="F1393" t="inlineStr">
        <is>
          <t>biosphere</t>
        </is>
      </c>
      <c r="G1393" t="n">
        <v>0</v>
      </c>
      <c r="H1393" t="n">
        <v>5.8e-08</v>
      </c>
    </row>
    <row r="1394">
      <c r="A1394" t="inlineStr">
        <is>
          <t>Heat, waste</t>
        </is>
      </c>
      <c r="B1394" t="n">
        <v>5.624639999999999</v>
      </c>
      <c r="D1394" t="inlineStr">
        <is>
          <t>megajoule</t>
        </is>
      </c>
      <c r="E1394" t="inlineStr">
        <is>
          <t>air::non-urban air or from high stacks</t>
        </is>
      </c>
      <c r="F1394" t="inlineStr">
        <is>
          <t>biosphere</t>
        </is>
      </c>
      <c r="G1394" t="n">
        <v>0</v>
      </c>
      <c r="H1394" t="n">
        <v>0.672</v>
      </c>
    </row>
    <row r="1395">
      <c r="A1395" t="inlineStr">
        <is>
          <t>Heat, waste</t>
        </is>
      </c>
      <c r="B1395" t="n">
        <v>1.48149</v>
      </c>
      <c r="D1395" t="inlineStr">
        <is>
          <t>megajoule</t>
        </is>
      </c>
      <c r="E1395" t="inlineStr">
        <is>
          <t>water::surface water</t>
        </is>
      </c>
      <c r="F1395" t="inlineStr">
        <is>
          <t>biosphere</t>
        </is>
      </c>
      <c r="G1395" t="n">
        <v>0</v>
      </c>
      <c r="H1395" t="n">
        <v>0.177</v>
      </c>
    </row>
    <row r="1396">
      <c r="A1396" t="inlineStr">
        <is>
          <t>Hydrocarbons, aliphatic, alkanes, unspecified</t>
        </is>
      </c>
      <c r="B1396" t="n">
        <v>1.83303e-06</v>
      </c>
      <c r="D1396" t="inlineStr">
        <is>
          <t>kilogram</t>
        </is>
      </c>
      <c r="E1396" t="inlineStr">
        <is>
          <t>air::non-urban air or from high stacks</t>
        </is>
      </c>
      <c r="F1396" t="inlineStr">
        <is>
          <t>biosphere</t>
        </is>
      </c>
      <c r="G1396" t="n">
        <v>0</v>
      </c>
      <c r="H1396" t="n">
        <v>2.19e-07</v>
      </c>
    </row>
    <row r="1397">
      <c r="A1397" t="inlineStr">
        <is>
          <t>Hydrocarbons, aliphatic, unsaturated</t>
        </is>
      </c>
      <c r="B1397" t="n">
        <v>1.80792e-06</v>
      </c>
      <c r="D1397" t="inlineStr">
        <is>
          <t>kilogram</t>
        </is>
      </c>
      <c r="E1397" t="inlineStr">
        <is>
          <t>air::non-urban air or from high stacks</t>
        </is>
      </c>
      <c r="F1397" t="inlineStr">
        <is>
          <t>biosphere</t>
        </is>
      </c>
      <c r="G1397" t="n">
        <v>0</v>
      </c>
      <c r="H1397" t="n">
        <v>2.16e-07</v>
      </c>
    </row>
    <row r="1398">
      <c r="A1398" t="inlineStr">
        <is>
          <t>Hydrogen chloride</t>
        </is>
      </c>
      <c r="B1398" t="n">
        <v>2.45241e-05</v>
      </c>
      <c r="D1398" t="inlineStr">
        <is>
          <t>kilogram</t>
        </is>
      </c>
      <c r="E1398" t="inlineStr">
        <is>
          <t>air::non-urban air or from high stacks</t>
        </is>
      </c>
      <c r="F1398" t="inlineStr">
        <is>
          <t>biosphere</t>
        </is>
      </c>
      <c r="G1398" t="n">
        <v>0</v>
      </c>
      <c r="H1398" t="n">
        <v>2.93e-06</v>
      </c>
    </row>
    <row r="1399">
      <c r="A1399" t="inlineStr">
        <is>
          <t>Hydrogen fluoride</t>
        </is>
      </c>
      <c r="B1399" t="n">
        <v>6.838289999999999e-06</v>
      </c>
      <c r="D1399" t="inlineStr">
        <is>
          <t>kilogram</t>
        </is>
      </c>
      <c r="E1399" t="inlineStr">
        <is>
          <t>air::non-urban air or from high stacks</t>
        </is>
      </c>
      <c r="F1399" t="inlineStr">
        <is>
          <t>biosphere</t>
        </is>
      </c>
      <c r="G1399" t="n">
        <v>0</v>
      </c>
      <c r="H1399" t="n">
        <v>8.17e-07</v>
      </c>
    </row>
    <row r="1400">
      <c r="A1400" t="inlineStr">
        <is>
          <t>Iodine</t>
        </is>
      </c>
      <c r="B1400" t="n">
        <v>2.16783e-07</v>
      </c>
      <c r="D1400" t="inlineStr">
        <is>
          <t>kilogram</t>
        </is>
      </c>
      <c r="E1400" t="inlineStr">
        <is>
          <t>air::non-urban air or from high stacks</t>
        </is>
      </c>
      <c r="F1400" t="inlineStr">
        <is>
          <t>biosphere</t>
        </is>
      </c>
      <c r="G1400" t="n">
        <v>0</v>
      </c>
      <c r="H1400" t="n">
        <v>2.59e-08</v>
      </c>
    </row>
    <row r="1401">
      <c r="A1401" t="inlineStr">
        <is>
          <t>Lead</t>
        </is>
      </c>
      <c r="B1401" t="n">
        <v>4.38588e-09</v>
      </c>
      <c r="D1401" t="inlineStr">
        <is>
          <t>kilogram</t>
        </is>
      </c>
      <c r="E1401" t="inlineStr">
        <is>
          <t>air::non-urban air or from high stacks</t>
        </is>
      </c>
      <c r="F1401" t="inlineStr">
        <is>
          <t>biosphere</t>
        </is>
      </c>
      <c r="G1401" t="n">
        <v>0</v>
      </c>
      <c r="H1401" t="n">
        <v>5.240000000000001e-10</v>
      </c>
    </row>
    <row r="1402">
      <c r="A1402" t="inlineStr">
        <is>
          <t>Lead-210</t>
        </is>
      </c>
      <c r="B1402" t="n">
        <v>1.04625e-05</v>
      </c>
      <c r="D1402" t="inlineStr">
        <is>
          <t>kilo Becquerel</t>
        </is>
      </c>
      <c r="E1402" t="inlineStr">
        <is>
          <t>air::non-urban air or from high stacks</t>
        </is>
      </c>
      <c r="F1402" t="inlineStr">
        <is>
          <t>biosphere</t>
        </is>
      </c>
      <c r="G1402" t="n">
        <v>0</v>
      </c>
      <c r="H1402" t="n">
        <v>1.25e-06</v>
      </c>
    </row>
    <row r="1403">
      <c r="A1403" t="inlineStr">
        <is>
          <t>Manganese</t>
        </is>
      </c>
      <c r="B1403" t="n">
        <v>9.123299999999998e-09</v>
      </c>
      <c r="D1403" t="inlineStr">
        <is>
          <t>kilogram</t>
        </is>
      </c>
      <c r="E1403" t="inlineStr">
        <is>
          <t>air::non-urban air or from high stacks</t>
        </is>
      </c>
      <c r="F1403" t="inlineStr">
        <is>
          <t>biosphere</t>
        </is>
      </c>
      <c r="G1403" t="n">
        <v>0</v>
      </c>
      <c r="H1403" t="n">
        <v>1.09e-09</v>
      </c>
    </row>
    <row r="1404">
      <c r="A1404" t="inlineStr">
        <is>
          <t>Mercury</t>
        </is>
      </c>
      <c r="B1404" t="n">
        <v>1.9251e-08</v>
      </c>
      <c r="D1404" t="inlineStr">
        <is>
          <t>kilogram</t>
        </is>
      </c>
      <c r="E1404" t="inlineStr">
        <is>
          <t>air::non-urban air or from high stacks</t>
        </is>
      </c>
      <c r="F1404" t="inlineStr">
        <is>
          <t>biosphere</t>
        </is>
      </c>
      <c r="G1404" t="n">
        <v>0</v>
      </c>
      <c r="H1404" t="n">
        <v>2.3e-09</v>
      </c>
    </row>
    <row r="1405">
      <c r="A1405" t="inlineStr">
        <is>
          <t>Methane, fossil</t>
        </is>
      </c>
      <c r="B1405" t="n">
        <v>8.369999999999999e-06</v>
      </c>
      <c r="D1405" t="inlineStr">
        <is>
          <t>kilogram</t>
        </is>
      </c>
      <c r="E1405" t="inlineStr">
        <is>
          <t>air::non-urban air or from high stacks</t>
        </is>
      </c>
      <c r="F1405" t="inlineStr">
        <is>
          <t>biosphere</t>
        </is>
      </c>
      <c r="G1405" t="n">
        <v>0</v>
      </c>
      <c r="H1405" t="n">
        <v>1e-06</v>
      </c>
    </row>
    <row r="1406">
      <c r="A1406" t="inlineStr">
        <is>
          <t>Molybdenum</t>
        </is>
      </c>
      <c r="B1406" t="n">
        <v>7.307009999999999e-10</v>
      </c>
      <c r="D1406" t="inlineStr">
        <is>
          <t>kilogram</t>
        </is>
      </c>
      <c r="E1406" t="inlineStr">
        <is>
          <t>air::non-urban air or from high stacks</t>
        </is>
      </c>
      <c r="F1406" t="inlineStr">
        <is>
          <t>biosphere</t>
        </is>
      </c>
      <c r="G1406" t="n">
        <v>0</v>
      </c>
      <c r="H1406" t="n">
        <v>8.73e-11</v>
      </c>
    </row>
    <row r="1407">
      <c r="A1407" t="inlineStr">
        <is>
          <t>Nickel</t>
        </is>
      </c>
      <c r="B1407" t="n">
        <v>3.61584e-09</v>
      </c>
      <c r="D1407" t="inlineStr">
        <is>
          <t>kilogram</t>
        </is>
      </c>
      <c r="E1407" t="inlineStr">
        <is>
          <t>air::non-urban air or from high stacks</t>
        </is>
      </c>
      <c r="F1407" t="inlineStr">
        <is>
          <t>biosphere</t>
        </is>
      </c>
      <c r="G1407" t="n">
        <v>0</v>
      </c>
      <c r="H1407" t="n">
        <v>4.32e-10</v>
      </c>
    </row>
    <row r="1408">
      <c r="A1408" t="inlineStr">
        <is>
          <t>Nitrogen oxides</t>
        </is>
      </c>
      <c r="B1408" t="n">
        <v>0.000299646</v>
      </c>
      <c r="D1408" t="inlineStr">
        <is>
          <t>kilogram</t>
        </is>
      </c>
      <c r="E1408" t="inlineStr">
        <is>
          <t>air::non-urban air or from high stacks</t>
        </is>
      </c>
      <c r="F1408" t="inlineStr">
        <is>
          <t>biosphere</t>
        </is>
      </c>
      <c r="G1408" t="n">
        <v>0</v>
      </c>
      <c r="H1408" t="n">
        <v>-10.23756266455762</v>
      </c>
      <c r="I1408" t="n">
        <v>0.2093551674290925</v>
      </c>
      <c r="K1408" t="inlineStr">
        <is>
          <t>additional reduction: 50%</t>
        </is>
      </c>
      <c r="L1408" t="n">
        <v>0</v>
      </c>
    </row>
    <row r="1409">
      <c r="A1409" t="inlineStr">
        <is>
          <t>PAH, polycyclic aromatic hydrocarbons</t>
        </is>
      </c>
      <c r="B1409" t="n">
        <v>8.37e-09</v>
      </c>
      <c r="D1409" t="inlineStr">
        <is>
          <t>kilogram</t>
        </is>
      </c>
      <c r="E1409" t="inlineStr">
        <is>
          <t>air::non-urban air or from high stacks</t>
        </is>
      </c>
      <c r="F1409" t="inlineStr">
        <is>
          <t>biosphere</t>
        </is>
      </c>
      <c r="G1409" t="n">
        <v>0</v>
      </c>
      <c r="H1409" t="n">
        <v>1e-09</v>
      </c>
    </row>
    <row r="1410">
      <c r="A1410" t="inlineStr">
        <is>
          <t>Particulates, &lt; 2.5 um</t>
        </is>
      </c>
      <c r="B1410" t="n">
        <v>3.80835e-05</v>
      </c>
      <c r="D1410" t="inlineStr">
        <is>
          <t>kilogram</t>
        </is>
      </c>
      <c r="E1410" t="inlineStr">
        <is>
          <t>air::non-urban air or from high stacks</t>
        </is>
      </c>
      <c r="F1410" t="inlineStr">
        <is>
          <t>biosphere</t>
        </is>
      </c>
      <c r="G1410" t="n">
        <v>0</v>
      </c>
      <c r="H1410" t="n">
        <v>4.55e-06</v>
      </c>
      <c r="K1410" t="inlineStr">
        <is>
          <t>additional reduction: 50%</t>
        </is>
      </c>
    </row>
    <row r="1411">
      <c r="A1411" t="inlineStr">
        <is>
          <t>Particulates, &gt; 10 um</t>
        </is>
      </c>
      <c r="B1411" t="n">
        <v>2.24316e-06</v>
      </c>
      <c r="D1411" t="inlineStr">
        <is>
          <t>kilogram</t>
        </is>
      </c>
      <c r="E1411" t="inlineStr">
        <is>
          <t>air::non-urban air or from high stacks</t>
        </is>
      </c>
      <c r="F1411" t="inlineStr">
        <is>
          <t>biosphere</t>
        </is>
      </c>
      <c r="G1411" t="n">
        <v>0</v>
      </c>
      <c r="H1411" t="n">
        <v>2.68e-07</v>
      </c>
      <c r="K1411" t="inlineStr">
        <is>
          <t>additional reduction: 50%</t>
        </is>
      </c>
    </row>
    <row r="1412">
      <c r="A1412" t="inlineStr">
        <is>
          <t>Particulates, &gt; 2.5 um, and &lt; 10um</t>
        </is>
      </c>
      <c r="B1412" t="n">
        <v>4.477949999999999e-06</v>
      </c>
      <c r="D1412" t="inlineStr">
        <is>
          <t>kilogram</t>
        </is>
      </c>
      <c r="E1412" t="inlineStr">
        <is>
          <t>air::non-urban air or from high stacks</t>
        </is>
      </c>
      <c r="F1412" t="inlineStr">
        <is>
          <t>biosphere</t>
        </is>
      </c>
      <c r="G1412" t="n">
        <v>0</v>
      </c>
      <c r="H1412" t="n">
        <v>-14.4409990900504</v>
      </c>
      <c r="I1412" t="n">
        <v>0.4120877214831746</v>
      </c>
      <c r="K1412" t="inlineStr">
        <is>
          <t>additional reduction: 50%</t>
        </is>
      </c>
      <c r="L1412" t="n">
        <v>0</v>
      </c>
    </row>
    <row r="1413">
      <c r="A1413" t="inlineStr">
        <is>
          <t>Pentane</t>
        </is>
      </c>
      <c r="B1413" t="n">
        <v>1.23039e-06</v>
      </c>
      <c r="D1413" t="inlineStr">
        <is>
          <t>kilogram</t>
        </is>
      </c>
      <c r="E1413" t="inlineStr">
        <is>
          <t>air::non-urban air or from high stacks</t>
        </is>
      </c>
      <c r="F1413" t="inlineStr">
        <is>
          <t>biosphere</t>
        </is>
      </c>
      <c r="G1413" t="n">
        <v>0</v>
      </c>
      <c r="H1413" t="n">
        <v>1.47e-07</v>
      </c>
    </row>
    <row r="1414">
      <c r="A1414" t="inlineStr">
        <is>
          <t>Polonium-210</t>
        </is>
      </c>
      <c r="B1414" t="n">
        <v>1.91673e-05</v>
      </c>
      <c r="D1414" t="inlineStr">
        <is>
          <t>kilo Becquerel</t>
        </is>
      </c>
      <c r="E1414" t="inlineStr">
        <is>
          <t>air::non-urban air or from high stacks</t>
        </is>
      </c>
      <c r="F1414" t="inlineStr">
        <is>
          <t>biosphere</t>
        </is>
      </c>
      <c r="G1414" t="n">
        <v>0</v>
      </c>
      <c r="H1414" t="n">
        <v>2.29e-06</v>
      </c>
    </row>
    <row r="1415">
      <c r="A1415" t="inlineStr">
        <is>
          <t>Potassium-40</t>
        </is>
      </c>
      <c r="B1415" t="n">
        <v>6.796439999999999e-06</v>
      </c>
      <c r="D1415" t="inlineStr">
        <is>
          <t>kilo Becquerel</t>
        </is>
      </c>
      <c r="E1415" t="inlineStr">
        <is>
          <t>air::non-urban air or from high stacks</t>
        </is>
      </c>
      <c r="F1415" t="inlineStr">
        <is>
          <t>biosphere</t>
        </is>
      </c>
      <c r="G1415" t="n">
        <v>0</v>
      </c>
      <c r="H1415" t="n">
        <v>8.12e-07</v>
      </c>
    </row>
    <row r="1416">
      <c r="A1416" t="inlineStr">
        <is>
          <t>Propane</t>
        </is>
      </c>
      <c r="B1416" t="n">
        <v>2.9295e-07</v>
      </c>
      <c r="D1416" t="inlineStr">
        <is>
          <t>kilogram</t>
        </is>
      </c>
      <c r="E1416" t="inlineStr">
        <is>
          <t>air::non-urban air or from high stacks</t>
        </is>
      </c>
      <c r="F1416" t="inlineStr">
        <is>
          <t>biosphere</t>
        </is>
      </c>
      <c r="G1416" t="n">
        <v>0</v>
      </c>
      <c r="H1416" t="n">
        <v>3.5e-08</v>
      </c>
    </row>
    <row r="1417">
      <c r="A1417" t="inlineStr">
        <is>
          <t>Propene</t>
        </is>
      </c>
      <c r="B1417" t="n">
        <v>1.3392e-07</v>
      </c>
      <c r="D1417" t="inlineStr">
        <is>
          <t>kilogram</t>
        </is>
      </c>
      <c r="E1417" t="inlineStr">
        <is>
          <t>air::non-urban air or from high stacks</t>
        </is>
      </c>
      <c r="F1417" t="inlineStr">
        <is>
          <t>biosphere</t>
        </is>
      </c>
      <c r="G1417" t="n">
        <v>0</v>
      </c>
      <c r="H1417" t="n">
        <v>1.6e-08</v>
      </c>
    </row>
    <row r="1418">
      <c r="A1418" t="inlineStr">
        <is>
          <t>Radium-226</t>
        </is>
      </c>
      <c r="B1418" t="n">
        <v>2.71188e-06</v>
      </c>
      <c r="D1418" t="inlineStr">
        <is>
          <t>kilo Becquerel</t>
        </is>
      </c>
      <c r="E1418" t="inlineStr">
        <is>
          <t>air::non-urban air or from high stacks</t>
        </is>
      </c>
      <c r="F1418" t="inlineStr">
        <is>
          <t>biosphere</t>
        </is>
      </c>
      <c r="G1418" t="n">
        <v>0</v>
      </c>
      <c r="H1418" t="n">
        <v>3.24e-07</v>
      </c>
    </row>
    <row r="1419">
      <c r="A1419" t="inlineStr">
        <is>
          <t>Radium-228</t>
        </is>
      </c>
      <c r="B1419" t="n">
        <v>2.64492e-06</v>
      </c>
      <c r="D1419" t="inlineStr">
        <is>
          <t>kilo Becquerel</t>
        </is>
      </c>
      <c r="E1419" t="inlineStr">
        <is>
          <t>air::non-urban air or from high stacks</t>
        </is>
      </c>
      <c r="F1419" t="inlineStr">
        <is>
          <t>biosphere</t>
        </is>
      </c>
      <c r="G1419" t="n">
        <v>0</v>
      </c>
      <c r="H1419" t="n">
        <v>3.16e-07</v>
      </c>
    </row>
    <row r="1420">
      <c r="A1420" t="inlineStr">
        <is>
          <t>Radon-220</t>
        </is>
      </c>
      <c r="B1420" t="n">
        <v>0.00115506</v>
      </c>
      <c r="D1420" t="inlineStr">
        <is>
          <t>kilo Becquerel</t>
        </is>
      </c>
      <c r="E1420" t="inlineStr">
        <is>
          <t>air::non-urban air or from high stacks</t>
        </is>
      </c>
      <c r="F1420" t="inlineStr">
        <is>
          <t>biosphere</t>
        </is>
      </c>
      <c r="G1420" t="n">
        <v>0</v>
      </c>
      <c r="H1420" t="n">
        <v>0.000138</v>
      </c>
    </row>
    <row r="1421">
      <c r="A1421" t="inlineStr">
        <is>
          <t>Radon-222</t>
        </is>
      </c>
      <c r="B1421" t="n">
        <v>0.00205065</v>
      </c>
      <c r="D1421" t="inlineStr">
        <is>
          <t>kilo Becquerel</t>
        </is>
      </c>
      <c r="E1421" t="inlineStr">
        <is>
          <t>air::non-urban air or from high stacks</t>
        </is>
      </c>
      <c r="F1421" t="inlineStr">
        <is>
          <t>biosphere</t>
        </is>
      </c>
      <c r="G1421" t="n">
        <v>0</v>
      </c>
      <c r="H1421" t="n">
        <v>0.000245</v>
      </c>
    </row>
    <row r="1422">
      <c r="A1422" t="inlineStr">
        <is>
          <t>Selenium</t>
        </is>
      </c>
      <c r="B1422" t="n">
        <v>2.49426e-08</v>
      </c>
      <c r="D1422" t="inlineStr">
        <is>
          <t>kilogram</t>
        </is>
      </c>
      <c r="E1422" t="inlineStr">
        <is>
          <t>air::non-urban air or from high stacks</t>
        </is>
      </c>
      <c r="F1422" t="inlineStr">
        <is>
          <t>biosphere</t>
        </is>
      </c>
      <c r="G1422" t="n">
        <v>0</v>
      </c>
      <c r="H1422" t="n">
        <v>2.98e-09</v>
      </c>
    </row>
    <row r="1423">
      <c r="A1423" t="inlineStr">
        <is>
          <t>Strontium</t>
        </is>
      </c>
      <c r="B1423" t="n">
        <v>3.83346e-09</v>
      </c>
      <c r="D1423" t="inlineStr">
        <is>
          <t>kilogram</t>
        </is>
      </c>
      <c r="E1423" t="inlineStr">
        <is>
          <t>air::non-urban air or from high stacks</t>
        </is>
      </c>
      <c r="F1423" t="inlineStr">
        <is>
          <t>biosphere</t>
        </is>
      </c>
      <c r="G1423" t="n">
        <v>0</v>
      </c>
      <c r="H1423" t="n">
        <v>4.58e-10</v>
      </c>
    </row>
    <row r="1424">
      <c r="A1424" t="inlineStr">
        <is>
          <t>Sulfur dioxide</t>
        </is>
      </c>
      <c r="B1424" t="n">
        <v>0.000330615</v>
      </c>
      <c r="D1424" t="inlineStr">
        <is>
          <t>kilogram</t>
        </is>
      </c>
      <c r="E1424" t="inlineStr">
        <is>
          <t>air::non-urban air or from high stacks</t>
        </is>
      </c>
      <c r="F1424" t="inlineStr">
        <is>
          <t>biosphere</t>
        </is>
      </c>
      <c r="G1424" t="n">
        <v>0</v>
      </c>
      <c r="H1424" t="n">
        <v>-10.1392098860572</v>
      </c>
      <c r="I1424" t="n">
        <v>0.05218000766212133</v>
      </c>
      <c r="K1424" t="inlineStr">
        <is>
          <t>additional reduction: 25%</t>
        </is>
      </c>
      <c r="L1424" t="n">
        <v>0</v>
      </c>
    </row>
    <row r="1425">
      <c r="A1425" t="inlineStr">
        <is>
          <t>Thorium-228</t>
        </is>
      </c>
      <c r="B1425" t="n">
        <v>1.4229e-06</v>
      </c>
      <c r="D1425" t="inlineStr">
        <is>
          <t>kilo Becquerel</t>
        </is>
      </c>
      <c r="E1425" t="inlineStr">
        <is>
          <t>air::non-urban air or from high stacks</t>
        </is>
      </c>
      <c r="F1425" t="inlineStr">
        <is>
          <t>biosphere</t>
        </is>
      </c>
      <c r="G1425" t="n">
        <v>0</v>
      </c>
      <c r="H1425" t="n">
        <v>1.7e-07</v>
      </c>
    </row>
    <row r="1426">
      <c r="A1426" t="inlineStr">
        <is>
          <t>Thorium-232</t>
        </is>
      </c>
      <c r="B1426" t="n">
        <v>2.23479e-06</v>
      </c>
      <c r="D1426" t="inlineStr">
        <is>
          <t>kilo Becquerel</t>
        </is>
      </c>
      <c r="E1426" t="inlineStr">
        <is>
          <t>air::non-urban air or from high stacks</t>
        </is>
      </c>
      <c r="F1426" t="inlineStr">
        <is>
          <t>biosphere</t>
        </is>
      </c>
      <c r="G1426" t="n">
        <v>0</v>
      </c>
      <c r="H1426" t="n">
        <v>2.67e-07</v>
      </c>
    </row>
    <row r="1427">
      <c r="A1427" t="inlineStr">
        <is>
          <t>Toluene</t>
        </is>
      </c>
      <c r="B1427" t="n">
        <v>9.123299999999999e-07</v>
      </c>
      <c r="D1427" t="inlineStr">
        <is>
          <t>kilogram</t>
        </is>
      </c>
      <c r="E1427" t="inlineStr">
        <is>
          <t>air::non-urban air or from high stacks</t>
        </is>
      </c>
      <c r="F1427" t="inlineStr">
        <is>
          <t>biosphere</t>
        </is>
      </c>
      <c r="G1427" t="n">
        <v>0</v>
      </c>
      <c r="H1427" t="n">
        <v>1.09e-07</v>
      </c>
    </row>
    <row r="1428">
      <c r="A1428" t="inlineStr">
        <is>
          <t>Uranium-238</t>
        </is>
      </c>
      <c r="B1428" t="n">
        <v>2.2599e-06</v>
      </c>
      <c r="D1428" t="inlineStr">
        <is>
          <t>kilo Becquerel</t>
        </is>
      </c>
      <c r="E1428" t="inlineStr">
        <is>
          <t>air::non-urban air or from high stacks</t>
        </is>
      </c>
      <c r="F1428" t="inlineStr">
        <is>
          <t>biosphere</t>
        </is>
      </c>
      <c r="G1428" t="n">
        <v>0</v>
      </c>
      <c r="H1428" t="n">
        <v>2.7e-07</v>
      </c>
    </row>
    <row r="1429">
      <c r="A1429" t="inlineStr">
        <is>
          <t>Vanadium</t>
        </is>
      </c>
      <c r="B1429" t="n">
        <v>9.123299999999999e-10</v>
      </c>
      <c r="D1429" t="inlineStr">
        <is>
          <t>kilogram</t>
        </is>
      </c>
      <c r="E1429" t="inlineStr">
        <is>
          <t>air::non-urban air or from high stacks</t>
        </is>
      </c>
      <c r="F1429" t="inlineStr">
        <is>
          <t>biosphere</t>
        </is>
      </c>
      <c r="G1429" t="n">
        <v>0</v>
      </c>
      <c r="H1429" t="n">
        <v>1.09e-10</v>
      </c>
    </row>
    <row r="1430">
      <c r="A1430" t="inlineStr">
        <is>
          <t>Water, cooling, unspecified natural origin</t>
        </is>
      </c>
      <c r="B1430" t="n">
        <v>0.029295</v>
      </c>
      <c r="D1430" t="inlineStr">
        <is>
          <t>cubic meter</t>
        </is>
      </c>
      <c r="E1430" t="inlineStr">
        <is>
          <t>natural resource::in water</t>
        </is>
      </c>
      <c r="F1430" t="inlineStr">
        <is>
          <t>biosphere</t>
        </is>
      </c>
      <c r="G1430" t="n">
        <v>0</v>
      </c>
      <c r="H1430" t="n">
        <v>0.0035</v>
      </c>
    </row>
    <row r="1431">
      <c r="A1431" t="inlineStr">
        <is>
          <t>Xylene</t>
        </is>
      </c>
      <c r="B1431" t="n">
        <v>7.717139999999999e-06</v>
      </c>
      <c r="D1431" t="inlineStr">
        <is>
          <t>kilogram</t>
        </is>
      </c>
      <c r="E1431" t="inlineStr">
        <is>
          <t>air::non-urban air or from high stacks</t>
        </is>
      </c>
      <c r="F1431" t="inlineStr">
        <is>
          <t>biosphere</t>
        </is>
      </c>
      <c r="G1431" t="n">
        <v>0</v>
      </c>
      <c r="H1431" t="n">
        <v>9.22e-07</v>
      </c>
    </row>
    <row r="1432">
      <c r="A1432" t="inlineStr">
        <is>
          <t>Zinc</t>
        </is>
      </c>
      <c r="B1432" t="n">
        <v>6.39468e-09</v>
      </c>
      <c r="D1432" t="inlineStr">
        <is>
          <t>kilogram</t>
        </is>
      </c>
      <c r="E1432" t="inlineStr">
        <is>
          <t>air::non-urban air or from high stacks</t>
        </is>
      </c>
      <c r="F1432" t="inlineStr">
        <is>
          <t>biosphere</t>
        </is>
      </c>
      <c r="G1432" t="n">
        <v>0</v>
      </c>
      <c r="H1432" t="n">
        <v>7.640000000000001e-10</v>
      </c>
    </row>
    <row r="1433">
      <c r="A1433" t="inlineStr">
        <is>
          <t>carbon dioxide, captured from lignite, oxy, pipeline 200km, storage 1000m</t>
        </is>
      </c>
      <c r="B1433" s="3">
        <f>B1435*8.7*0.115*0.95</f>
        <v>1.06297297297297</v>
      </c>
      <c r="C1433" t="inlineStr">
        <is>
          <t>RER</t>
        </is>
      </c>
      <c r="D1433" t="inlineStr">
        <is>
          <t>kilogram</t>
        </is>
      </c>
      <c r="E1433" t="inlineStr">
        <is>
          <t>Materials/fuels</t>
        </is>
      </c>
      <c r="F1433" t="inlineStr">
        <is>
          <t>technosphere</t>
        </is>
      </c>
      <c r="G1433" t="n">
        <v>0</v>
      </c>
      <c r="H1433" t="n">
        <v>0.103</v>
      </c>
      <c r="K1433" t="inlineStr">
        <is>
          <t>95% capture rate</t>
        </is>
      </c>
    </row>
    <row r="1434">
      <c r="A1434" t="inlineStr">
        <is>
          <t>desulfurisation of lignite flue gas</t>
        </is>
      </c>
      <c r="B1434" t="n">
        <v>0.0084537</v>
      </c>
      <c r="C1434" t="inlineStr">
        <is>
          <t>GLO</t>
        </is>
      </c>
      <c r="D1434" t="inlineStr">
        <is>
          <t>kilogram</t>
        </is>
      </c>
      <c r="E1434" t="inlineStr">
        <is>
          <t>Materials/fuels</t>
        </is>
      </c>
      <c r="F1434" t="inlineStr">
        <is>
          <t>technosphere</t>
        </is>
      </c>
      <c r="G1434" t="n">
        <v>0</v>
      </c>
      <c r="H1434" t="n">
        <v>-6.897804948128969</v>
      </c>
      <c r="I1434" t="n">
        <v>0.05218000766212133</v>
      </c>
      <c r="K1434" t="inlineStr">
        <is>
          <t>additional reduction: 25%</t>
        </is>
      </c>
      <c r="L1434" t="n">
        <v>0</v>
      </c>
      <c r="M1434" t="inlineStr">
        <is>
          <t>SOx retained, in lignite flue gas desulfurisation</t>
        </is>
      </c>
    </row>
    <row r="1435">
      <c r="A1435" t="inlineStr">
        <is>
          <t>market for lignite</t>
        </is>
      </c>
      <c r="B1435">
        <f>(3.6/8.7)/0.37</f>
        <v>1.11835973904939</v>
      </c>
      <c r="C1435" t="inlineStr">
        <is>
          <t>RER</t>
        </is>
      </c>
      <c r="D1435" t="inlineStr">
        <is>
          <t>kilogram</t>
        </is>
      </c>
      <c r="E1435" t="inlineStr">
        <is>
          <t>Materials/fuels</t>
        </is>
      </c>
      <c r="F1435" t="inlineStr">
        <is>
          <t>technosphere</t>
        </is>
      </c>
      <c r="G1435" t="n">
        <v>0</v>
      </c>
      <c r="H1435" t="n">
        <v>-2.162823150618887</v>
      </c>
      <c r="I1435" t="n">
        <v>0.0338293242369074</v>
      </c>
      <c r="K1435" t="inlineStr">
        <is>
          <t>1/energy content from Dones et al. (2007) "Teil VI - Kohle - Data v2.0" p.112</t>
        </is>
      </c>
      <c r="L1435" t="n">
        <v>0</v>
      </c>
      <c r="M1435" t="inlineStr">
        <is>
          <t>lignite</t>
        </is>
      </c>
    </row>
    <row r="1436">
      <c r="A1436" t="inlineStr">
        <is>
          <t>market for NOx retained, by selective catalytic reduction</t>
        </is>
      </c>
      <c r="B1436" t="n">
        <v>0.0008453699999999999</v>
      </c>
      <c r="C1436" t="inlineStr">
        <is>
          <t>GLO</t>
        </is>
      </c>
      <c r="D1436" t="inlineStr">
        <is>
          <t>kilogram</t>
        </is>
      </c>
      <c r="E1436" t="inlineStr">
        <is>
          <t>Materials/fuels</t>
        </is>
      </c>
      <c r="F1436" t="inlineStr">
        <is>
          <t>technosphere</t>
        </is>
      </c>
      <c r="G1436" t="n">
        <v>0</v>
      </c>
      <c r="H1436" t="n">
        <v>-9.200390041123015</v>
      </c>
      <c r="I1436" t="n">
        <v>0.2093551674290925</v>
      </c>
      <c r="K1436" t="inlineStr">
        <is>
          <t>additional reduction: 50%</t>
        </is>
      </c>
      <c r="L1436" t="n">
        <v>0</v>
      </c>
      <c r="M1436" t="inlineStr">
        <is>
          <t>NOx retained, by selective catalytic reduction</t>
        </is>
      </c>
    </row>
    <row r="1437">
      <c r="A1437" t="inlineStr">
        <is>
          <t>market for chlorine, liquid</t>
        </is>
      </c>
      <c r="B1437" t="n">
        <v>8.37e-05</v>
      </c>
      <c r="C1437" t="inlineStr">
        <is>
          <t>RER</t>
        </is>
      </c>
      <c r="D1437" t="inlineStr">
        <is>
          <t>kilogram</t>
        </is>
      </c>
      <c r="E1437" t="inlineStr">
        <is>
          <t>Materials/fuels</t>
        </is>
      </c>
      <c r="F1437" t="inlineStr">
        <is>
          <t>technosphere</t>
        </is>
      </c>
      <c r="G1437" t="n">
        <v>0</v>
      </c>
      <c r="H1437" t="n">
        <v>1e-05</v>
      </c>
      <c r="M1437" t="inlineStr">
        <is>
          <t>chlorine, liquid</t>
        </is>
      </c>
    </row>
    <row r="1438">
      <c r="A1438" t="inlineStr">
        <is>
          <t>market for lignite power plant</t>
        </is>
      </c>
      <c r="B1438" t="n">
        <v>3.37311e-12</v>
      </c>
      <c r="C1438" t="inlineStr">
        <is>
          <t>GLO</t>
        </is>
      </c>
      <c r="D1438" t="inlineStr">
        <is>
          <t>unit</t>
        </is>
      </c>
      <c r="E1438" t="inlineStr">
        <is>
          <t>Materials/fuels</t>
        </is>
      </c>
      <c r="F1438" t="inlineStr">
        <is>
          <t>technosphere</t>
        </is>
      </c>
      <c r="G1438" t="n">
        <v>0</v>
      </c>
      <c r="H1438" t="n">
        <v>-28.539839832964</v>
      </c>
      <c r="I1438" t="n">
        <v>0.5526284156933892</v>
      </c>
      <c r="K1438" t="inlineStr">
        <is>
          <t>n_plant = 1/(lifetime*annual fuel input)</t>
        </is>
      </c>
      <c r="L1438" t="n">
        <v>0</v>
      </c>
      <c r="M1438" t="inlineStr">
        <is>
          <t>lignite power plant</t>
        </is>
      </c>
    </row>
    <row r="1439">
      <c r="A1439" t="inlineStr">
        <is>
          <t>market for transport, freight train</t>
        </is>
      </c>
      <c r="B1439" t="n">
        <v>6.277499999999999e-05</v>
      </c>
      <c r="C1439" t="inlineStr">
        <is>
          <t>Europe without Switzerland</t>
        </is>
      </c>
      <c r="D1439" t="inlineStr">
        <is>
          <t>ton kilometer</t>
        </is>
      </c>
      <c r="E1439" t="inlineStr">
        <is>
          <t>Materials/fuels</t>
        </is>
      </c>
      <c r="F1439" t="inlineStr">
        <is>
          <t>technosphere</t>
        </is>
      </c>
      <c r="G1439" t="n">
        <v>0</v>
      </c>
      <c r="H1439" t="n">
        <v>7.5e-06</v>
      </c>
      <c r="M1439" t="inlineStr">
        <is>
          <t>transport, freight train</t>
        </is>
      </c>
    </row>
    <row r="1440" ht="16" customHeight="1">
      <c r="A1440" t="inlineStr">
        <is>
          <t>market for water, completely softened</t>
        </is>
      </c>
      <c r="B1440" t="n">
        <v>0.0219629514678253</v>
      </c>
      <c r="C1440" t="inlineStr">
        <is>
          <t>RoW</t>
        </is>
      </c>
      <c r="D1440" t="inlineStr">
        <is>
          <t>kilogram</t>
        </is>
      </c>
      <c r="E1440" t="inlineStr">
        <is>
          <t>Materials/fuels</t>
        </is>
      </c>
      <c r="F1440" t="inlineStr">
        <is>
          <t>technosphere</t>
        </is>
      </c>
      <c r="G1440" t="n">
        <v>0</v>
      </c>
      <c r="H1440" t="n">
        <v>0.006</v>
      </c>
      <c r="M1440" t="inlineStr">
        <is>
          <t>water, completely softened</t>
        </is>
      </c>
      <c r="O1440" t="inlineStr">
        <is>
          <t>water, completely softened, from decarbonised water, at user</t>
        </is>
      </c>
    </row>
    <row r="1441">
      <c r="A1441" t="inlineStr">
        <is>
          <t>market for water, completely softened</t>
        </is>
      </c>
      <c r="B1441" t="n">
        <v>0.01181660390642793</v>
      </c>
      <c r="C1441" t="inlineStr">
        <is>
          <t>RER</t>
        </is>
      </c>
      <c r="D1441" t="inlineStr">
        <is>
          <t>kilogram</t>
        </is>
      </c>
      <c r="E1441" t="inlineStr">
        <is>
          <t>Materials/fuels</t>
        </is>
      </c>
      <c r="F1441" t="inlineStr">
        <is>
          <t>technosphere</t>
        </is>
      </c>
      <c r="G1441" t="n">
        <v>0</v>
      </c>
      <c r="H1441" t="n">
        <v>0.006</v>
      </c>
      <c r="M1441" t="inlineStr">
        <is>
          <t>water, completely softened</t>
        </is>
      </c>
      <c r="O1441" t="inlineStr">
        <is>
          <t>water, completely softened, from decarbonised water, at user</t>
        </is>
      </c>
    </row>
    <row r="1442">
      <c r="A1442" t="inlineStr">
        <is>
          <t>market for water, completely softened</t>
        </is>
      </c>
      <c r="B1442" t="n">
        <v>0.01644044462574676</v>
      </c>
      <c r="C1442" t="inlineStr">
        <is>
          <t>US</t>
        </is>
      </c>
      <c r="D1442" t="inlineStr">
        <is>
          <t>kilogram</t>
        </is>
      </c>
      <c r="E1442" t="inlineStr">
        <is>
          <t>Materials/fuels</t>
        </is>
      </c>
      <c r="F1442" t="inlineStr">
        <is>
          <t>technosphere</t>
        </is>
      </c>
      <c r="G1442" t="n">
        <v>0</v>
      </c>
      <c r="H1442" t="n">
        <v>0.006</v>
      </c>
      <c r="M1442" t="inlineStr">
        <is>
          <t>water, completely softened</t>
        </is>
      </c>
      <c r="O1442" t="inlineStr">
        <is>
          <t>water, completely softened, from decarbonised water, at user</t>
        </is>
      </c>
    </row>
    <row r="1443">
      <c r="A1443" t="inlineStr">
        <is>
          <t>market for water, decarbonised</t>
        </is>
      </c>
      <c r="B1443" t="n">
        <v>1.2555</v>
      </c>
      <c r="C1443" t="inlineStr">
        <is>
          <t>RoW</t>
        </is>
      </c>
      <c r="D1443" t="inlineStr">
        <is>
          <t>kilogram</t>
        </is>
      </c>
      <c r="E1443" t="inlineStr">
        <is>
          <t>Materials/fuels</t>
        </is>
      </c>
      <c r="F1443" t="inlineStr">
        <is>
          <t>technosphere</t>
        </is>
      </c>
      <c r="G1443" t="n">
        <v>0</v>
      </c>
      <c r="H1443" t="n">
        <v>0.15</v>
      </c>
      <c r="M1443" t="inlineStr">
        <is>
          <t>water, decarbonised</t>
        </is>
      </c>
      <c r="O1443" t="inlineStr">
        <is>
          <t>water, decarbonised, at user</t>
        </is>
      </c>
    </row>
    <row r="1444">
      <c r="A1444" t="inlineStr">
        <is>
          <t>treatment of lignite ash, opencast refill</t>
        </is>
      </c>
      <c r="B1444" t="n">
        <v>-0.0596781</v>
      </c>
      <c r="C1444" t="inlineStr">
        <is>
          <t>RoW</t>
        </is>
      </c>
      <c r="D1444" t="inlineStr">
        <is>
          <t>kilogram</t>
        </is>
      </c>
      <c r="E1444" t="inlineStr">
        <is>
          <t>Waste to treatment</t>
        </is>
      </c>
      <c r="F1444" t="inlineStr">
        <is>
          <t>technosphere</t>
        </is>
      </c>
      <c r="G1444" t="n">
        <v>0</v>
      </c>
      <c r="H1444" t="n">
        <v>0.00713</v>
      </c>
      <c r="M1444" t="inlineStr">
        <is>
          <t>lignite ash</t>
        </is>
      </c>
    </row>
    <row r="1445">
      <c r="A1445" t="inlineStr">
        <is>
          <t>treatment of residue from cooling tower, sanitary landfill</t>
        </is>
      </c>
      <c r="B1445" t="n">
        <v>-4.185e-05</v>
      </c>
      <c r="C1445" t="inlineStr">
        <is>
          <t>CH</t>
        </is>
      </c>
      <c r="D1445" t="inlineStr">
        <is>
          <t>kilogram</t>
        </is>
      </c>
      <c r="E1445" t="inlineStr">
        <is>
          <t>Waste to treatment</t>
        </is>
      </c>
      <c r="F1445" t="inlineStr">
        <is>
          <t>technosphere</t>
        </is>
      </c>
      <c r="G1445" t="n">
        <v>0</v>
      </c>
      <c r="H1445" t="n">
        <v>5e-06</v>
      </c>
      <c r="K1445" t="inlineStr">
        <is>
          <t>assumed to be the same as in the hard coal pulverised dataset</t>
        </is>
      </c>
      <c r="M1445" t="inlineStr">
        <is>
          <t>residue from cooling tower</t>
        </is>
      </c>
    </row>
    <row r="1446"/>
    <row r="1447"/>
    <row r="1448" ht="16" customHeight="1">
      <c r="A1448" s="1" t="inlineStr">
        <is>
          <t>Activity</t>
        </is>
      </c>
      <c r="B1448" s="1" t="inlineStr">
        <is>
          <t>electricity production, at lignite-fired power plant, post, pipeline 200km, storage 1000m</t>
        </is>
      </c>
    </row>
    <row r="1449">
      <c r="A1449" t="inlineStr">
        <is>
          <t>location</t>
        </is>
      </c>
      <c r="B1449" t="inlineStr">
        <is>
          <t>RER</t>
        </is>
      </c>
    </row>
    <row r="1450">
      <c r="A1450" t="inlineStr">
        <is>
          <t>production amount</t>
        </is>
      </c>
      <c r="B1450" t="n">
        <v>1</v>
      </c>
    </row>
    <row r="1451">
      <c r="A1451" t="inlineStr">
        <is>
          <t>reference product</t>
        </is>
      </c>
      <c r="B1451" t="inlineStr">
        <is>
          <t>electricity, high voltage</t>
        </is>
      </c>
    </row>
    <row r="1452">
      <c r="A1452" t="inlineStr">
        <is>
          <t>comment</t>
        </is>
      </c>
      <c r="B1452" t="inlineStr">
        <is>
          <t>Lignite-fired, pulverised, CCS, post, MEA, 90% CO2 capture efficiency. 759 MWel. 7500 full load hours per year. 40 years lifetime. 33% net electrical efficiency.</t>
        </is>
      </c>
    </row>
    <row r="1453">
      <c r="A1453" t="inlineStr">
        <is>
          <t>source</t>
        </is>
      </c>
      <c r="B1453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454">
      <c r="A1454" t="inlineStr">
        <is>
          <t>type</t>
        </is>
      </c>
      <c r="B1454" t="inlineStr">
        <is>
          <t>process</t>
        </is>
      </c>
    </row>
    <row r="1455">
      <c r="A1455" t="inlineStr">
        <is>
          <t>unit</t>
        </is>
      </c>
      <c r="B1455" t="inlineStr">
        <is>
          <t>kilowatt hour</t>
        </is>
      </c>
    </row>
    <row r="1456">
      <c r="A1456" s="1" t="inlineStr">
        <is>
          <t>Exchanges</t>
        </is>
      </c>
    </row>
    <row r="1457">
      <c r="A1457" t="inlineStr">
        <is>
          <t>name</t>
        </is>
      </c>
      <c r="B1457" t="inlineStr">
        <is>
          <t>amount</t>
        </is>
      </c>
      <c r="C1457" t="inlineStr">
        <is>
          <t>location</t>
        </is>
      </c>
      <c r="D1457" t="inlineStr">
        <is>
          <t>unit</t>
        </is>
      </c>
      <c r="E1457" t="inlineStr">
        <is>
          <t>categories</t>
        </is>
      </c>
      <c r="F1457" t="inlineStr">
        <is>
          <t>type</t>
        </is>
      </c>
      <c r="G1457" t="inlineStr">
        <is>
          <t>uncertainty type</t>
        </is>
      </c>
      <c r="H1457" t="inlineStr">
        <is>
          <t>loc</t>
        </is>
      </c>
      <c r="I1457" t="inlineStr">
        <is>
          <t>allocation</t>
        </is>
      </c>
      <c r="J1457" t="inlineStr">
        <is>
          <t>comment</t>
        </is>
      </c>
      <c r="K1457" t="inlineStr">
        <is>
          <t>simapro name</t>
        </is>
      </c>
      <c r="L1457" t="inlineStr">
        <is>
          <t>negative</t>
        </is>
      </c>
      <c r="M1457" t="inlineStr">
        <is>
          <t>reference product</t>
        </is>
      </c>
    </row>
    <row r="1458">
      <c r="A1458" t="inlineStr">
        <is>
          <t>electricity production, at lignite-fired power plant, post, pipeline 200km, storage 1000m</t>
        </is>
      </c>
      <c r="B1458" t="n">
        <v>1</v>
      </c>
      <c r="C1458" t="inlineStr">
        <is>
          <t>RER</t>
        </is>
      </c>
      <c r="D1458" t="inlineStr">
        <is>
          <t>kilowatt hour</t>
        </is>
      </c>
      <c r="E1458" t="inlineStr">
        <is>
          <t>CCS Europe 2025::Lignite</t>
        </is>
      </c>
      <c r="F1458" t="inlineStr">
        <is>
          <t>production</t>
        </is>
      </c>
      <c r="I1458" t="n">
        <v>100</v>
      </c>
      <c r="K1458" t="inlineStr">
        <is>
          <t>electricity production, at lignite-fired power plant, post, pipeline 200km, storage 1000m U</t>
        </is>
      </c>
    </row>
    <row r="1459">
      <c r="A1459" t="inlineStr">
        <is>
          <t>Antimony</t>
        </is>
      </c>
      <c r="B1459" t="n">
        <v>1.09647e-10</v>
      </c>
      <c r="D1459" t="inlineStr">
        <is>
          <t>kilogram</t>
        </is>
      </c>
      <c r="E1459" t="inlineStr">
        <is>
          <t>air::non-urban air or from high stacks</t>
        </is>
      </c>
      <c r="F1459" t="inlineStr">
        <is>
          <t>biosphere</t>
        </is>
      </c>
      <c r="G1459" t="n">
        <v>0</v>
      </c>
      <c r="H1459" t="n">
        <v>1.31e-11</v>
      </c>
    </row>
    <row r="1460">
      <c r="A1460" t="inlineStr">
        <is>
          <t>Arsenic</t>
        </is>
      </c>
      <c r="B1460" t="n">
        <v>6.17706e-09</v>
      </c>
      <c r="D1460" t="inlineStr">
        <is>
          <t>kilogram</t>
        </is>
      </c>
      <c r="E1460" t="inlineStr">
        <is>
          <t>air::non-urban air or from high stacks</t>
        </is>
      </c>
      <c r="F1460" t="inlineStr">
        <is>
          <t>biosphere</t>
        </is>
      </c>
      <c r="G1460" t="n">
        <v>0</v>
      </c>
      <c r="H1460" t="n">
        <v>7.38e-10</v>
      </c>
    </row>
    <row r="1461">
      <c r="A1461" t="inlineStr">
        <is>
          <t>Barium</t>
        </is>
      </c>
      <c r="B1461" t="n">
        <v>3.649319999999999e-08</v>
      </c>
      <c r="D1461" t="inlineStr">
        <is>
          <t>kilogram</t>
        </is>
      </c>
      <c r="E1461" t="inlineStr">
        <is>
          <t>air::non-urban air or from high stacks</t>
        </is>
      </c>
      <c r="F1461" t="inlineStr">
        <is>
          <t>biosphere</t>
        </is>
      </c>
      <c r="G1461" t="n">
        <v>0</v>
      </c>
      <c r="H1461" t="n">
        <v>4.36e-09</v>
      </c>
    </row>
    <row r="1462">
      <c r="A1462" t="inlineStr">
        <is>
          <t>Benzene</t>
        </is>
      </c>
      <c r="B1462" t="n">
        <v>1.81629e-06</v>
      </c>
      <c r="D1462" t="inlineStr">
        <is>
          <t>kilogram</t>
        </is>
      </c>
      <c r="E1462" t="inlineStr">
        <is>
          <t>air::non-urban air or from high stacks</t>
        </is>
      </c>
      <c r="F1462" t="inlineStr">
        <is>
          <t>biosphere</t>
        </is>
      </c>
      <c r="G1462" t="n">
        <v>0</v>
      </c>
      <c r="H1462" t="n">
        <v>2.17e-07</v>
      </c>
    </row>
    <row r="1463">
      <c r="A1463" t="inlineStr">
        <is>
          <t>Benzo(a)pyrene</t>
        </is>
      </c>
      <c r="B1463" t="n">
        <v>1.674e-12</v>
      </c>
      <c r="D1463" t="inlineStr">
        <is>
          <t>kilogram</t>
        </is>
      </c>
      <c r="E1463" t="inlineStr">
        <is>
          <t>air::non-urban air or from high stacks</t>
        </is>
      </c>
      <c r="F1463" t="inlineStr">
        <is>
          <t>biosphere</t>
        </is>
      </c>
      <c r="G1463" t="n">
        <v>0</v>
      </c>
      <c r="H1463" t="n">
        <v>2e-13</v>
      </c>
    </row>
    <row r="1464">
      <c r="A1464" t="inlineStr">
        <is>
          <t>Boron</t>
        </is>
      </c>
      <c r="B1464" t="n">
        <v>1.73259e-05</v>
      </c>
      <c r="D1464" t="inlineStr">
        <is>
          <t>kilogram</t>
        </is>
      </c>
      <c r="E1464" t="inlineStr">
        <is>
          <t>air::non-urban air or from high stacks</t>
        </is>
      </c>
      <c r="F1464" t="inlineStr">
        <is>
          <t>biosphere</t>
        </is>
      </c>
      <c r="G1464" t="n">
        <v>0</v>
      </c>
      <c r="H1464" t="n">
        <v>2.07e-06</v>
      </c>
    </row>
    <row r="1465">
      <c r="A1465" t="inlineStr">
        <is>
          <t>Bromine</t>
        </is>
      </c>
      <c r="B1465" t="n">
        <v>2.31012e-07</v>
      </c>
      <c r="D1465" t="inlineStr">
        <is>
          <t>kilogram</t>
        </is>
      </c>
      <c r="E1465" t="inlineStr">
        <is>
          <t>air::non-urban air or from high stacks</t>
        </is>
      </c>
      <c r="F1465" t="inlineStr">
        <is>
          <t>biosphere</t>
        </is>
      </c>
      <c r="G1465" t="n">
        <v>0</v>
      </c>
      <c r="H1465" t="n">
        <v>2.76e-08</v>
      </c>
    </row>
    <row r="1466">
      <c r="A1466" t="inlineStr">
        <is>
          <t>Butane</t>
        </is>
      </c>
      <c r="B1466" t="n">
        <v>1.5903e-07</v>
      </c>
      <c r="D1466" t="inlineStr">
        <is>
          <t>kilogram</t>
        </is>
      </c>
      <c r="E1466" t="inlineStr">
        <is>
          <t>air::non-urban air or from high stacks</t>
        </is>
      </c>
      <c r="F1466" t="inlineStr">
        <is>
          <t>biosphere</t>
        </is>
      </c>
      <c r="G1466" t="n">
        <v>0</v>
      </c>
      <c r="H1466" t="n">
        <v>1.9e-08</v>
      </c>
    </row>
    <row r="1467">
      <c r="A1467" t="inlineStr">
        <is>
          <t>Cadmium</t>
        </is>
      </c>
      <c r="B1467" t="n">
        <v>1.28061e-10</v>
      </c>
      <c r="D1467" t="inlineStr">
        <is>
          <t>kilogram</t>
        </is>
      </c>
      <c r="E1467" t="inlineStr">
        <is>
          <t>air::non-urban air or from high stacks</t>
        </is>
      </c>
      <c r="F1467" t="inlineStr">
        <is>
          <t>biosphere</t>
        </is>
      </c>
      <c r="G1467" t="n">
        <v>0</v>
      </c>
      <c r="H1467" t="n">
        <v>1.53e-11</v>
      </c>
    </row>
    <row r="1468">
      <c r="A1468" t="inlineStr">
        <is>
          <t>Carbon dioxide, fossil</t>
        </is>
      </c>
      <c r="B1468">
        <f>B1519*8.7*0.115*0.1</f>
        <v>0.125454545454545</v>
      </c>
      <c r="D1468" t="inlineStr">
        <is>
          <t>kilogram</t>
        </is>
      </c>
      <c r="E1468" t="inlineStr">
        <is>
          <t>air::non-urban air or from high stacks</t>
        </is>
      </c>
      <c r="F1468" t="inlineStr">
        <is>
          <t>biosphere</t>
        </is>
      </c>
      <c r="G1468" t="n">
        <v>0</v>
      </c>
      <c r="H1468" t="n">
        <v>-4.528209144851963</v>
      </c>
      <c r="I1468" t="n">
        <v>0.05218000766212133</v>
      </c>
      <c r="K1468" t="inlineStr">
        <is>
          <t>90% capture rate</t>
        </is>
      </c>
      <c r="L1468" t="n">
        <v>0</v>
      </c>
    </row>
    <row r="1469">
      <c r="A1469" t="inlineStr">
        <is>
          <t>Carbon monoxide, fossil</t>
        </is>
      </c>
      <c r="B1469" t="n">
        <v>0.0001674</v>
      </c>
      <c r="D1469" t="inlineStr">
        <is>
          <t>kilogram</t>
        </is>
      </c>
      <c r="E1469" t="inlineStr">
        <is>
          <t>air::non-urban air or from high stacks</t>
        </is>
      </c>
      <c r="F1469" t="inlineStr">
        <is>
          <t>biosphere</t>
        </is>
      </c>
      <c r="G1469" t="n">
        <v>0</v>
      </c>
      <c r="H1469" t="n">
        <v>2e-05</v>
      </c>
    </row>
    <row r="1470">
      <c r="A1470" t="inlineStr">
        <is>
          <t>Chromium</t>
        </is>
      </c>
      <c r="B1470" t="n">
        <v>1.62378e-09</v>
      </c>
      <c r="D1470" t="inlineStr">
        <is>
          <t>kilogram</t>
        </is>
      </c>
      <c r="E1470" t="inlineStr">
        <is>
          <t>air::non-urban air or from high stacks</t>
        </is>
      </c>
      <c r="F1470" t="inlineStr">
        <is>
          <t>biosphere</t>
        </is>
      </c>
      <c r="G1470" t="n">
        <v>0</v>
      </c>
      <c r="H1470" t="n">
        <v>1.94e-10</v>
      </c>
    </row>
    <row r="1471">
      <c r="A1471" t="inlineStr">
        <is>
          <t>Chromium VI</t>
        </is>
      </c>
      <c r="B1471" t="n">
        <v>2.0088e-10</v>
      </c>
      <c r="D1471" t="inlineStr">
        <is>
          <t>kilogram</t>
        </is>
      </c>
      <c r="E1471" t="inlineStr">
        <is>
          <t>air::non-urban air or from high stacks</t>
        </is>
      </c>
      <c r="F1471" t="inlineStr">
        <is>
          <t>biosphere</t>
        </is>
      </c>
      <c r="G1471" t="n">
        <v>0</v>
      </c>
      <c r="H1471" t="n">
        <v>2.4e-11</v>
      </c>
    </row>
    <row r="1472">
      <c r="A1472" t="inlineStr">
        <is>
          <t>Cobalt</t>
        </is>
      </c>
      <c r="B1472" t="n">
        <v>7.307009999999999e-10</v>
      </c>
      <c r="D1472" t="inlineStr">
        <is>
          <t>kilogram</t>
        </is>
      </c>
      <c r="E1472" t="inlineStr">
        <is>
          <t>air::non-urban air or from high stacks</t>
        </is>
      </c>
      <c r="F1472" t="inlineStr">
        <is>
          <t>biosphere</t>
        </is>
      </c>
      <c r="G1472" t="n">
        <v>0</v>
      </c>
      <c r="H1472" t="n">
        <v>8.73e-11</v>
      </c>
    </row>
    <row r="1473">
      <c r="A1473" t="inlineStr">
        <is>
          <t>Copper</t>
        </is>
      </c>
      <c r="B1473" t="n">
        <v>1.68237e-09</v>
      </c>
      <c r="D1473" t="inlineStr">
        <is>
          <t>kilogram</t>
        </is>
      </c>
      <c r="E1473" t="inlineStr">
        <is>
          <t>air::non-urban air or from high stacks</t>
        </is>
      </c>
      <c r="F1473" t="inlineStr">
        <is>
          <t>biosphere</t>
        </is>
      </c>
      <c r="G1473" t="n">
        <v>0</v>
      </c>
      <c r="H1473" t="n">
        <v>2.01e-10</v>
      </c>
    </row>
    <row r="1474">
      <c r="A1474" t="inlineStr">
        <is>
          <t>Dinitrogen monoxide</t>
        </is>
      </c>
      <c r="B1474" t="n">
        <v>2.16783e-05</v>
      </c>
      <c r="D1474" t="inlineStr">
        <is>
          <t>kilogram</t>
        </is>
      </c>
      <c r="E1474" t="inlineStr">
        <is>
          <t>air::non-urban air or from high stacks</t>
        </is>
      </c>
      <c r="F1474" t="inlineStr">
        <is>
          <t>biosphere</t>
        </is>
      </c>
      <c r="G1474" t="n">
        <v>0</v>
      </c>
      <c r="H1474" t="n">
        <v>2.59e-06</v>
      </c>
    </row>
    <row r="1475">
      <c r="A1475" t="inlineStr">
        <is>
          <t>Dioxins, measured as 2,3,7,8-tetrachlorodibenzo-p-dioxin</t>
        </is>
      </c>
      <c r="B1475" t="n">
        <v>5.858999999999999e-14</v>
      </c>
      <c r="D1475" t="inlineStr">
        <is>
          <t>kilogram</t>
        </is>
      </c>
      <c r="E1475" t="inlineStr">
        <is>
          <t>air::non-urban air or from high stacks</t>
        </is>
      </c>
      <c r="F1475" t="inlineStr">
        <is>
          <t>biosphere</t>
        </is>
      </c>
      <c r="G1475" t="n">
        <v>0</v>
      </c>
      <c r="H1475" t="n">
        <v>7e-15</v>
      </c>
    </row>
    <row r="1476">
      <c r="A1476" t="inlineStr">
        <is>
          <t>Ethane</t>
        </is>
      </c>
      <c r="B1476" t="n">
        <v>3.4317e-07</v>
      </c>
      <c r="D1476" t="inlineStr">
        <is>
          <t>kilogram</t>
        </is>
      </c>
      <c r="E1476" t="inlineStr">
        <is>
          <t>air::non-urban air or from high stacks</t>
        </is>
      </c>
      <c r="F1476" t="inlineStr">
        <is>
          <t>biosphere</t>
        </is>
      </c>
      <c r="G1476" t="n">
        <v>0</v>
      </c>
      <c r="H1476" t="n">
        <v>4.1e-08</v>
      </c>
    </row>
    <row r="1477">
      <c r="A1477" t="inlineStr">
        <is>
          <t>Formaldehyde</t>
        </is>
      </c>
      <c r="B1477" t="n">
        <v>4.8546e-07</v>
      </c>
      <c r="D1477" t="inlineStr">
        <is>
          <t>kilogram</t>
        </is>
      </c>
      <c r="E1477" t="inlineStr">
        <is>
          <t>air::non-urban air or from high stacks</t>
        </is>
      </c>
      <c r="F1477" t="inlineStr">
        <is>
          <t>biosphere</t>
        </is>
      </c>
      <c r="G1477" t="n">
        <v>0</v>
      </c>
      <c r="H1477" t="n">
        <v>5.8e-08</v>
      </c>
    </row>
    <row r="1478">
      <c r="A1478" t="inlineStr">
        <is>
          <t>Heat, waste</t>
        </is>
      </c>
      <c r="B1478" t="n">
        <v>5.624639999999999</v>
      </c>
      <c r="D1478" t="inlineStr">
        <is>
          <t>megajoule</t>
        </is>
      </c>
      <c r="E1478" t="inlineStr">
        <is>
          <t>air::non-urban air or from high stacks</t>
        </is>
      </c>
      <c r="F1478" t="inlineStr">
        <is>
          <t>biosphere</t>
        </is>
      </c>
      <c r="G1478" t="n">
        <v>0</v>
      </c>
      <c r="H1478" t="n">
        <v>0.672</v>
      </c>
    </row>
    <row r="1479">
      <c r="A1479" t="inlineStr">
        <is>
          <t>Heat, waste</t>
        </is>
      </c>
      <c r="B1479" t="n">
        <v>1.48149</v>
      </c>
      <c r="D1479" t="inlineStr">
        <is>
          <t>megajoule</t>
        </is>
      </c>
      <c r="E1479" t="inlineStr">
        <is>
          <t>water::surface water</t>
        </is>
      </c>
      <c r="F1479" t="inlineStr">
        <is>
          <t>biosphere</t>
        </is>
      </c>
      <c r="G1479" t="n">
        <v>0</v>
      </c>
      <c r="H1479" t="n">
        <v>0.177</v>
      </c>
    </row>
    <row r="1480">
      <c r="A1480" t="inlineStr">
        <is>
          <t>Hydrocarbons, aliphatic, alkanes, unspecified</t>
        </is>
      </c>
      <c r="B1480" t="n">
        <v>1.83303e-06</v>
      </c>
      <c r="D1480" t="inlineStr">
        <is>
          <t>kilogram</t>
        </is>
      </c>
      <c r="E1480" t="inlineStr">
        <is>
          <t>air::non-urban air or from high stacks</t>
        </is>
      </c>
      <c r="F1480" t="inlineStr">
        <is>
          <t>biosphere</t>
        </is>
      </c>
      <c r="G1480" t="n">
        <v>0</v>
      </c>
      <c r="H1480" t="n">
        <v>2.19e-07</v>
      </c>
    </row>
    <row r="1481">
      <c r="A1481" t="inlineStr">
        <is>
          <t>Hydrocarbons, aliphatic, unsaturated</t>
        </is>
      </c>
      <c r="B1481" t="n">
        <v>1.80792e-06</v>
      </c>
      <c r="D1481" t="inlineStr">
        <is>
          <t>kilogram</t>
        </is>
      </c>
      <c r="E1481" t="inlineStr">
        <is>
          <t>air::non-urban air or from high stacks</t>
        </is>
      </c>
      <c r="F1481" t="inlineStr">
        <is>
          <t>biosphere</t>
        </is>
      </c>
      <c r="G1481" t="n">
        <v>0</v>
      </c>
      <c r="H1481" t="n">
        <v>2.16e-07</v>
      </c>
    </row>
    <row r="1482">
      <c r="A1482" t="inlineStr">
        <is>
          <t>Hydrogen chloride</t>
        </is>
      </c>
      <c r="B1482" t="n">
        <v>2.45241e-05</v>
      </c>
      <c r="D1482" t="inlineStr">
        <is>
          <t>kilogram</t>
        </is>
      </c>
      <c r="E1482" t="inlineStr">
        <is>
          <t>air::non-urban air or from high stacks</t>
        </is>
      </c>
      <c r="F1482" t="inlineStr">
        <is>
          <t>biosphere</t>
        </is>
      </c>
      <c r="G1482" t="n">
        <v>0</v>
      </c>
      <c r="H1482" t="n">
        <v>2.93e-06</v>
      </c>
    </row>
    <row r="1483">
      <c r="A1483" t="inlineStr">
        <is>
          <t>Hydrogen fluoride</t>
        </is>
      </c>
      <c r="B1483" t="n">
        <v>6.838289999999999e-06</v>
      </c>
      <c r="D1483" t="inlineStr">
        <is>
          <t>kilogram</t>
        </is>
      </c>
      <c r="E1483" t="inlineStr">
        <is>
          <t>air::non-urban air or from high stacks</t>
        </is>
      </c>
      <c r="F1483" t="inlineStr">
        <is>
          <t>biosphere</t>
        </is>
      </c>
      <c r="G1483" t="n">
        <v>0</v>
      </c>
      <c r="H1483" t="n">
        <v>8.17e-07</v>
      </c>
    </row>
    <row r="1484">
      <c r="A1484" t="inlineStr">
        <is>
          <t>Iodine</t>
        </is>
      </c>
      <c r="B1484" t="n">
        <v>2.16783e-07</v>
      </c>
      <c r="D1484" t="inlineStr">
        <is>
          <t>kilogram</t>
        </is>
      </c>
      <c r="E1484" t="inlineStr">
        <is>
          <t>air::non-urban air or from high stacks</t>
        </is>
      </c>
      <c r="F1484" t="inlineStr">
        <is>
          <t>biosphere</t>
        </is>
      </c>
      <c r="G1484" t="n">
        <v>0</v>
      </c>
      <c r="H1484" t="n">
        <v>2.59e-08</v>
      </c>
    </row>
    <row r="1485">
      <c r="A1485" t="inlineStr">
        <is>
          <t>Lead</t>
        </is>
      </c>
      <c r="B1485" t="n">
        <v>4.38588e-09</v>
      </c>
      <c r="D1485" t="inlineStr">
        <is>
          <t>kilogram</t>
        </is>
      </c>
      <c r="E1485" t="inlineStr">
        <is>
          <t>air::non-urban air or from high stacks</t>
        </is>
      </c>
      <c r="F1485" t="inlineStr">
        <is>
          <t>biosphere</t>
        </is>
      </c>
      <c r="G1485" t="n">
        <v>0</v>
      </c>
      <c r="H1485" t="n">
        <v>5.240000000000001e-10</v>
      </c>
    </row>
    <row r="1486">
      <c r="A1486" t="inlineStr">
        <is>
          <t>Lead-210</t>
        </is>
      </c>
      <c r="B1486" t="n">
        <v>1.04625e-05</v>
      </c>
      <c r="D1486" t="inlineStr">
        <is>
          <t>kilo Becquerel</t>
        </is>
      </c>
      <c r="E1486" t="inlineStr">
        <is>
          <t>air::non-urban air or from high stacks</t>
        </is>
      </c>
      <c r="F1486" t="inlineStr">
        <is>
          <t>biosphere</t>
        </is>
      </c>
      <c r="G1486" t="n">
        <v>0</v>
      </c>
      <c r="H1486" t="n">
        <v>1.25e-06</v>
      </c>
    </row>
    <row r="1487">
      <c r="A1487" t="inlineStr">
        <is>
          <t>Manganese</t>
        </is>
      </c>
      <c r="B1487" t="n">
        <v>9.123299999999998e-09</v>
      </c>
      <c r="D1487" t="inlineStr">
        <is>
          <t>kilogram</t>
        </is>
      </c>
      <c r="E1487" t="inlineStr">
        <is>
          <t>air::non-urban air or from high stacks</t>
        </is>
      </c>
      <c r="F1487" t="inlineStr">
        <is>
          <t>biosphere</t>
        </is>
      </c>
      <c r="G1487" t="n">
        <v>0</v>
      </c>
      <c r="H1487" t="n">
        <v>1.09e-09</v>
      </c>
    </row>
    <row r="1488">
      <c r="A1488" t="inlineStr">
        <is>
          <t>Mercury</t>
        </is>
      </c>
      <c r="B1488" t="n">
        <v>1.9251e-08</v>
      </c>
      <c r="D1488" t="inlineStr">
        <is>
          <t>kilogram</t>
        </is>
      </c>
      <c r="E1488" t="inlineStr">
        <is>
          <t>air::non-urban air or from high stacks</t>
        </is>
      </c>
      <c r="F1488" t="inlineStr">
        <is>
          <t>biosphere</t>
        </is>
      </c>
      <c r="G1488" t="n">
        <v>0</v>
      </c>
      <c r="H1488" t="n">
        <v>2.3e-09</v>
      </c>
    </row>
    <row r="1489">
      <c r="A1489" t="inlineStr">
        <is>
          <t>Methane, fossil</t>
        </is>
      </c>
      <c r="B1489" t="n">
        <v>8.369999999999999e-06</v>
      </c>
      <c r="D1489" t="inlineStr">
        <is>
          <t>kilogram</t>
        </is>
      </c>
      <c r="E1489" t="inlineStr">
        <is>
          <t>air::non-urban air or from high stacks</t>
        </is>
      </c>
      <c r="F1489" t="inlineStr">
        <is>
          <t>biosphere</t>
        </is>
      </c>
      <c r="G1489" t="n">
        <v>0</v>
      </c>
      <c r="H1489" t="n">
        <v>1e-06</v>
      </c>
    </row>
    <row r="1490">
      <c r="A1490" t="inlineStr">
        <is>
          <t>Molybdenum</t>
        </is>
      </c>
      <c r="B1490" t="n">
        <v>7.307009999999999e-10</v>
      </c>
      <c r="D1490" t="inlineStr">
        <is>
          <t>kilogram</t>
        </is>
      </c>
      <c r="E1490" t="inlineStr">
        <is>
          <t>air::non-urban air or from high stacks</t>
        </is>
      </c>
      <c r="F1490" t="inlineStr">
        <is>
          <t>biosphere</t>
        </is>
      </c>
      <c r="G1490" t="n">
        <v>0</v>
      </c>
      <c r="H1490" t="n">
        <v>8.73e-11</v>
      </c>
    </row>
    <row r="1491">
      <c r="A1491" t="inlineStr">
        <is>
          <t>Nickel</t>
        </is>
      </c>
      <c r="B1491" t="n">
        <v>3.61584e-09</v>
      </c>
      <c r="D1491" t="inlineStr">
        <is>
          <t>kilogram</t>
        </is>
      </c>
      <c r="E1491" t="inlineStr">
        <is>
          <t>air::non-urban air or from high stacks</t>
        </is>
      </c>
      <c r="F1491" t="inlineStr">
        <is>
          <t>biosphere</t>
        </is>
      </c>
      <c r="G1491" t="n">
        <v>0</v>
      </c>
      <c r="H1491" t="n">
        <v>4.32e-10</v>
      </c>
    </row>
    <row r="1492">
      <c r="A1492" t="inlineStr">
        <is>
          <t>Nitrogen oxides</t>
        </is>
      </c>
      <c r="B1492" t="n">
        <v>0.0005833889999999999</v>
      </c>
      <c r="D1492" t="inlineStr">
        <is>
          <t>kilogram</t>
        </is>
      </c>
      <c r="E1492" t="inlineStr">
        <is>
          <t>air::non-urban air or from high stacks</t>
        </is>
      </c>
      <c r="F1492" t="inlineStr">
        <is>
          <t>biosphere</t>
        </is>
      </c>
      <c r="G1492" t="n">
        <v>0</v>
      </c>
      <c r="H1492" t="n">
        <v>-9.571310240197796</v>
      </c>
      <c r="I1492" t="n">
        <v>0.2093551674290925</v>
      </c>
      <c r="K1492" t="inlineStr">
        <is>
          <t>additional reduction: 2.5%</t>
        </is>
      </c>
      <c r="L1492" t="n">
        <v>0</v>
      </c>
    </row>
    <row r="1493">
      <c r="A1493" t="inlineStr">
        <is>
          <t>PAH, polycyclic aromatic hydrocarbons</t>
        </is>
      </c>
      <c r="B1493" t="n">
        <v>8.37e-09</v>
      </c>
      <c r="D1493" t="inlineStr">
        <is>
          <t>kilogram</t>
        </is>
      </c>
      <c r="E1493" t="inlineStr">
        <is>
          <t>air::non-urban air or from high stacks</t>
        </is>
      </c>
      <c r="F1493" t="inlineStr">
        <is>
          <t>biosphere</t>
        </is>
      </c>
      <c r="G1493" t="n">
        <v>0</v>
      </c>
      <c r="H1493" t="n">
        <v>1e-09</v>
      </c>
    </row>
    <row r="1494">
      <c r="A1494" t="inlineStr">
        <is>
          <t>Particulates, &lt; 2.5 um</t>
        </is>
      </c>
      <c r="B1494" t="n">
        <v>3.80835e-05</v>
      </c>
      <c r="D1494" t="inlineStr">
        <is>
          <t>kilogram</t>
        </is>
      </c>
      <c r="E1494" t="inlineStr">
        <is>
          <t>air::non-urban air or from high stacks</t>
        </is>
      </c>
      <c r="F1494" t="inlineStr">
        <is>
          <t>biosphere</t>
        </is>
      </c>
      <c r="G1494" t="n">
        <v>0</v>
      </c>
      <c r="H1494" t="n">
        <v>4.55e-06</v>
      </c>
      <c r="K1494" t="inlineStr">
        <is>
          <t>additional reduction: 50%</t>
        </is>
      </c>
    </row>
    <row r="1495">
      <c r="A1495" t="inlineStr">
        <is>
          <t>Particulates, &gt; 10 um</t>
        </is>
      </c>
      <c r="B1495" t="n">
        <v>2.24316e-06</v>
      </c>
      <c r="D1495" t="inlineStr">
        <is>
          <t>kilogram</t>
        </is>
      </c>
      <c r="E1495" t="inlineStr">
        <is>
          <t>air::non-urban air or from high stacks</t>
        </is>
      </c>
      <c r="F1495" t="inlineStr">
        <is>
          <t>biosphere</t>
        </is>
      </c>
      <c r="G1495" t="n">
        <v>0</v>
      </c>
      <c r="H1495" t="n">
        <v>2.68e-07</v>
      </c>
      <c r="K1495" t="inlineStr">
        <is>
          <t>additional reduction: 50%</t>
        </is>
      </c>
    </row>
    <row r="1496">
      <c r="A1496" t="inlineStr">
        <is>
          <t>Particulates, &gt; 2.5 um, and &lt; 10um</t>
        </is>
      </c>
      <c r="B1496" t="n">
        <v>4.477949999999999e-06</v>
      </c>
      <c r="D1496" t="inlineStr">
        <is>
          <t>kilogram</t>
        </is>
      </c>
      <c r="E1496" t="inlineStr">
        <is>
          <t>air::non-urban air or from high stacks</t>
        </is>
      </c>
      <c r="F1496" t="inlineStr">
        <is>
          <t>biosphere</t>
        </is>
      </c>
      <c r="G1496" t="n">
        <v>0</v>
      </c>
      <c r="H1496" t="n">
        <v>-14.4409990900504</v>
      </c>
      <c r="I1496" t="n">
        <v>0.4120877214831746</v>
      </c>
      <c r="K1496" t="inlineStr">
        <is>
          <t>additional reduction: 50%</t>
        </is>
      </c>
      <c r="L1496" t="n">
        <v>0</v>
      </c>
    </row>
    <row r="1497">
      <c r="A1497" t="inlineStr">
        <is>
          <t>Pentane</t>
        </is>
      </c>
      <c r="B1497" t="n">
        <v>1.23039e-06</v>
      </c>
      <c r="D1497" t="inlineStr">
        <is>
          <t>kilogram</t>
        </is>
      </c>
      <c r="E1497" t="inlineStr">
        <is>
          <t>air::non-urban air or from high stacks</t>
        </is>
      </c>
      <c r="F1497" t="inlineStr">
        <is>
          <t>biosphere</t>
        </is>
      </c>
      <c r="G1497" t="n">
        <v>0</v>
      </c>
      <c r="H1497" t="n">
        <v>1.47e-07</v>
      </c>
    </row>
    <row r="1498">
      <c r="A1498" t="inlineStr">
        <is>
          <t>Polonium-210</t>
        </is>
      </c>
      <c r="B1498" t="n">
        <v>1.91673e-05</v>
      </c>
      <c r="D1498" t="inlineStr">
        <is>
          <t>kilo Becquerel</t>
        </is>
      </c>
      <c r="E1498" t="inlineStr">
        <is>
          <t>air::non-urban air or from high stacks</t>
        </is>
      </c>
      <c r="F1498" t="inlineStr">
        <is>
          <t>biosphere</t>
        </is>
      </c>
      <c r="G1498" t="n">
        <v>0</v>
      </c>
      <c r="H1498" t="n">
        <v>2.29e-06</v>
      </c>
    </row>
    <row r="1499">
      <c r="A1499" t="inlineStr">
        <is>
          <t>Potassium-40</t>
        </is>
      </c>
      <c r="B1499" t="n">
        <v>6.796439999999999e-06</v>
      </c>
      <c r="D1499" t="inlineStr">
        <is>
          <t>kilo Becquerel</t>
        </is>
      </c>
      <c r="E1499" t="inlineStr">
        <is>
          <t>air::non-urban air or from high stacks</t>
        </is>
      </c>
      <c r="F1499" t="inlineStr">
        <is>
          <t>biosphere</t>
        </is>
      </c>
      <c r="G1499" t="n">
        <v>0</v>
      </c>
      <c r="H1499" t="n">
        <v>8.12e-07</v>
      </c>
    </row>
    <row r="1500">
      <c r="A1500" t="inlineStr">
        <is>
          <t>Propane</t>
        </is>
      </c>
      <c r="B1500" t="n">
        <v>2.9295e-07</v>
      </c>
      <c r="D1500" t="inlineStr">
        <is>
          <t>kilogram</t>
        </is>
      </c>
      <c r="E1500" t="inlineStr">
        <is>
          <t>air::non-urban air or from high stacks</t>
        </is>
      </c>
      <c r="F1500" t="inlineStr">
        <is>
          <t>biosphere</t>
        </is>
      </c>
      <c r="G1500" t="n">
        <v>0</v>
      </c>
      <c r="H1500" t="n">
        <v>3.5e-08</v>
      </c>
    </row>
    <row r="1501">
      <c r="A1501" t="inlineStr">
        <is>
          <t>Propene</t>
        </is>
      </c>
      <c r="B1501" t="n">
        <v>1.3392e-07</v>
      </c>
      <c r="D1501" t="inlineStr">
        <is>
          <t>kilogram</t>
        </is>
      </c>
      <c r="E1501" t="inlineStr">
        <is>
          <t>air::non-urban air or from high stacks</t>
        </is>
      </c>
      <c r="F1501" t="inlineStr">
        <is>
          <t>biosphere</t>
        </is>
      </c>
      <c r="G1501" t="n">
        <v>0</v>
      </c>
      <c r="H1501" t="n">
        <v>1.6e-08</v>
      </c>
    </row>
    <row r="1502">
      <c r="A1502" t="inlineStr">
        <is>
          <t>Radium-226</t>
        </is>
      </c>
      <c r="B1502" t="n">
        <v>2.71188e-06</v>
      </c>
      <c r="D1502" t="inlineStr">
        <is>
          <t>kilo Becquerel</t>
        </is>
      </c>
      <c r="E1502" t="inlineStr">
        <is>
          <t>air::non-urban air or from high stacks</t>
        </is>
      </c>
      <c r="F1502" t="inlineStr">
        <is>
          <t>biosphere</t>
        </is>
      </c>
      <c r="G1502" t="n">
        <v>0</v>
      </c>
      <c r="H1502" t="n">
        <v>3.24e-07</v>
      </c>
    </row>
    <row r="1503">
      <c r="A1503" t="inlineStr">
        <is>
          <t>Radium-228</t>
        </is>
      </c>
      <c r="B1503" t="n">
        <v>2.64492e-06</v>
      </c>
      <c r="D1503" t="inlineStr">
        <is>
          <t>kilo Becquerel</t>
        </is>
      </c>
      <c r="E1503" t="inlineStr">
        <is>
          <t>air::non-urban air or from high stacks</t>
        </is>
      </c>
      <c r="F1503" t="inlineStr">
        <is>
          <t>biosphere</t>
        </is>
      </c>
      <c r="G1503" t="n">
        <v>0</v>
      </c>
      <c r="H1503" t="n">
        <v>3.16e-07</v>
      </c>
    </row>
    <row r="1504">
      <c r="A1504" t="inlineStr">
        <is>
          <t>Radon-220</t>
        </is>
      </c>
      <c r="B1504" t="n">
        <v>0.00115506</v>
      </c>
      <c r="D1504" t="inlineStr">
        <is>
          <t>kilo Becquerel</t>
        </is>
      </c>
      <c r="E1504" t="inlineStr">
        <is>
          <t>air::non-urban air or from high stacks</t>
        </is>
      </c>
      <c r="F1504" t="inlineStr">
        <is>
          <t>biosphere</t>
        </is>
      </c>
      <c r="G1504" t="n">
        <v>0</v>
      </c>
      <c r="H1504" t="n">
        <v>0.000138</v>
      </c>
    </row>
    <row r="1505">
      <c r="A1505" t="inlineStr">
        <is>
          <t>Radon-222</t>
        </is>
      </c>
      <c r="B1505" t="n">
        <v>0.00205065</v>
      </c>
      <c r="D1505" t="inlineStr">
        <is>
          <t>kilo Becquerel</t>
        </is>
      </c>
      <c r="E1505" t="inlineStr">
        <is>
          <t>air::non-urban air or from high stacks</t>
        </is>
      </c>
      <c r="F1505" t="inlineStr">
        <is>
          <t>biosphere</t>
        </is>
      </c>
      <c r="G1505" t="n">
        <v>0</v>
      </c>
      <c r="H1505" t="n">
        <v>0.000245</v>
      </c>
    </row>
    <row r="1506">
      <c r="A1506" t="inlineStr">
        <is>
          <t>Selenium</t>
        </is>
      </c>
      <c r="B1506" t="n">
        <v>2.49426e-08</v>
      </c>
      <c r="D1506" t="inlineStr">
        <is>
          <t>kilogram</t>
        </is>
      </c>
      <c r="E1506" t="inlineStr">
        <is>
          <t>air::non-urban air or from high stacks</t>
        </is>
      </c>
      <c r="F1506" t="inlineStr">
        <is>
          <t>biosphere</t>
        </is>
      </c>
      <c r="G1506" t="n">
        <v>0</v>
      </c>
      <c r="H1506" t="n">
        <v>2.98e-09</v>
      </c>
    </row>
    <row r="1507">
      <c r="A1507" t="inlineStr">
        <is>
          <t>Strontium</t>
        </is>
      </c>
      <c r="B1507" t="n">
        <v>3.83346e-09</v>
      </c>
      <c r="D1507" t="inlineStr">
        <is>
          <t>kilogram</t>
        </is>
      </c>
      <c r="E1507" t="inlineStr">
        <is>
          <t>air::non-urban air or from high stacks</t>
        </is>
      </c>
      <c r="F1507" t="inlineStr">
        <is>
          <t>biosphere</t>
        </is>
      </c>
      <c r="G1507" t="n">
        <v>0</v>
      </c>
      <c r="H1507" t="n">
        <v>4.58e-10</v>
      </c>
    </row>
    <row r="1508">
      <c r="A1508" t="inlineStr">
        <is>
          <t>Sulfur dioxide</t>
        </is>
      </c>
      <c r="B1508" t="n">
        <v>2.20131e-05</v>
      </c>
      <c r="D1508" t="inlineStr">
        <is>
          <t>kilogram</t>
        </is>
      </c>
      <c r="E1508" t="inlineStr">
        <is>
          <t>air::non-urban air or from high stacks</t>
        </is>
      </c>
      <c r="F1508" t="inlineStr">
        <is>
          <t>biosphere</t>
        </is>
      </c>
      <c r="G1508" t="n">
        <v>0</v>
      </c>
      <c r="H1508" t="n">
        <v>-12.8485267117746</v>
      </c>
      <c r="I1508" t="n">
        <v>0.05218000766212133</v>
      </c>
      <c r="K1508" t="inlineStr">
        <is>
          <t>additional reduction: 95%</t>
        </is>
      </c>
      <c r="L1508" t="n">
        <v>0</v>
      </c>
    </row>
    <row r="1509">
      <c r="A1509" t="inlineStr">
        <is>
          <t>Thorium-228</t>
        </is>
      </c>
      <c r="B1509" t="n">
        <v>1.4229e-06</v>
      </c>
      <c r="D1509" t="inlineStr">
        <is>
          <t>kilo Becquerel</t>
        </is>
      </c>
      <c r="E1509" t="inlineStr">
        <is>
          <t>air::non-urban air or from high stacks</t>
        </is>
      </c>
      <c r="F1509" t="inlineStr">
        <is>
          <t>biosphere</t>
        </is>
      </c>
      <c r="G1509" t="n">
        <v>0</v>
      </c>
      <c r="H1509" t="n">
        <v>1.7e-07</v>
      </c>
    </row>
    <row r="1510">
      <c r="A1510" t="inlineStr">
        <is>
          <t>Thorium-232</t>
        </is>
      </c>
      <c r="B1510" t="n">
        <v>2.23479e-06</v>
      </c>
      <c r="D1510" t="inlineStr">
        <is>
          <t>kilo Becquerel</t>
        </is>
      </c>
      <c r="E1510" t="inlineStr">
        <is>
          <t>air::non-urban air or from high stacks</t>
        </is>
      </c>
      <c r="F1510" t="inlineStr">
        <is>
          <t>biosphere</t>
        </is>
      </c>
      <c r="G1510" t="n">
        <v>0</v>
      </c>
      <c r="H1510" t="n">
        <v>2.67e-07</v>
      </c>
    </row>
    <row r="1511">
      <c r="A1511" t="inlineStr">
        <is>
          <t>Toluene</t>
        </is>
      </c>
      <c r="B1511" t="n">
        <v>9.123299999999999e-07</v>
      </c>
      <c r="D1511" t="inlineStr">
        <is>
          <t>kilogram</t>
        </is>
      </c>
      <c r="E1511" t="inlineStr">
        <is>
          <t>air::non-urban air or from high stacks</t>
        </is>
      </c>
      <c r="F1511" t="inlineStr">
        <is>
          <t>biosphere</t>
        </is>
      </c>
      <c r="G1511" t="n">
        <v>0</v>
      </c>
      <c r="H1511" t="n">
        <v>1.09e-07</v>
      </c>
    </row>
    <row r="1512">
      <c r="A1512" t="inlineStr">
        <is>
          <t>Uranium-238</t>
        </is>
      </c>
      <c r="B1512" t="n">
        <v>2.2599e-06</v>
      </c>
      <c r="D1512" t="inlineStr">
        <is>
          <t>kilo Becquerel</t>
        </is>
      </c>
      <c r="E1512" t="inlineStr">
        <is>
          <t>air::non-urban air or from high stacks</t>
        </is>
      </c>
      <c r="F1512" t="inlineStr">
        <is>
          <t>biosphere</t>
        </is>
      </c>
      <c r="G1512" t="n">
        <v>0</v>
      </c>
      <c r="H1512" t="n">
        <v>2.7e-07</v>
      </c>
    </row>
    <row r="1513">
      <c r="A1513" t="inlineStr">
        <is>
          <t>Vanadium</t>
        </is>
      </c>
      <c r="B1513" t="n">
        <v>9.123299999999999e-10</v>
      </c>
      <c r="D1513" t="inlineStr">
        <is>
          <t>kilogram</t>
        </is>
      </c>
      <c r="E1513" t="inlineStr">
        <is>
          <t>air::non-urban air or from high stacks</t>
        </is>
      </c>
      <c r="F1513" t="inlineStr">
        <is>
          <t>biosphere</t>
        </is>
      </c>
      <c r="G1513" t="n">
        <v>0</v>
      </c>
      <c r="H1513" t="n">
        <v>1.09e-10</v>
      </c>
    </row>
    <row r="1514">
      <c r="A1514" t="inlineStr">
        <is>
          <t>Water, cooling, unspecified natural origin</t>
        </is>
      </c>
      <c r="B1514" t="n">
        <v>0.029295</v>
      </c>
      <c r="D1514" t="inlineStr">
        <is>
          <t>cubic meter</t>
        </is>
      </c>
      <c r="E1514" t="inlineStr">
        <is>
          <t>natural resource::in water</t>
        </is>
      </c>
      <c r="F1514" t="inlineStr">
        <is>
          <t>biosphere</t>
        </is>
      </c>
      <c r="G1514" t="n">
        <v>0</v>
      </c>
      <c r="H1514" t="n">
        <v>0.0035</v>
      </c>
    </row>
    <row r="1515">
      <c r="A1515" t="inlineStr">
        <is>
          <t>Xylene</t>
        </is>
      </c>
      <c r="B1515" t="n">
        <v>7.717139999999999e-06</v>
      </c>
      <c r="D1515" t="inlineStr">
        <is>
          <t>kilogram</t>
        </is>
      </c>
      <c r="E1515" t="inlineStr">
        <is>
          <t>air::non-urban air or from high stacks</t>
        </is>
      </c>
      <c r="F1515" t="inlineStr">
        <is>
          <t>biosphere</t>
        </is>
      </c>
      <c r="G1515" t="n">
        <v>0</v>
      </c>
      <c r="H1515" t="n">
        <v>9.22e-07</v>
      </c>
    </row>
    <row r="1516">
      <c r="A1516" t="inlineStr">
        <is>
          <t>Zinc</t>
        </is>
      </c>
      <c r="B1516" t="n">
        <v>6.39468e-09</v>
      </c>
      <c r="D1516" t="inlineStr">
        <is>
          <t>kilogram</t>
        </is>
      </c>
      <c r="E1516" t="inlineStr">
        <is>
          <t>air::non-urban air or from high stacks</t>
        </is>
      </c>
      <c r="F1516" t="inlineStr">
        <is>
          <t>biosphere</t>
        </is>
      </c>
      <c r="G1516" t="n">
        <v>0</v>
      </c>
      <c r="H1516" t="n">
        <v>7.640000000000001e-10</v>
      </c>
    </row>
    <row r="1517">
      <c r="A1517" t="inlineStr">
        <is>
          <t>carbon dioxide, captured from lignite, post, pipeline 200km, storage 1000m</t>
        </is>
      </c>
      <c r="B1517">
        <f>B1519*8.7*0.115*0.9</f>
        <v>1.12909090909091</v>
      </c>
      <c r="C1517" t="inlineStr">
        <is>
          <t>RER</t>
        </is>
      </c>
      <c r="D1517" t="inlineStr">
        <is>
          <t>kilogram</t>
        </is>
      </c>
      <c r="E1517" t="inlineStr">
        <is>
          <t>Materials/fuels</t>
        </is>
      </c>
      <c r="F1517" t="inlineStr">
        <is>
          <t>technosphere</t>
        </is>
      </c>
      <c r="G1517" t="n">
        <v>0</v>
      </c>
      <c r="H1517" t="n">
        <v>0.09719999999999999</v>
      </c>
      <c r="K1517" t="inlineStr">
        <is>
          <t>90% capture rate</t>
        </is>
      </c>
    </row>
    <row r="1518">
      <c r="A1518" t="inlineStr">
        <is>
          <t>desulfurisation of lignite flue gas</t>
        </is>
      </c>
      <c r="B1518" t="n">
        <v>0.008704799999999999</v>
      </c>
      <c r="C1518" t="inlineStr">
        <is>
          <t>GLO</t>
        </is>
      </c>
      <c r="D1518" t="inlineStr">
        <is>
          <t>kilogram</t>
        </is>
      </c>
      <c r="E1518" t="inlineStr">
        <is>
          <t>Materials/fuels</t>
        </is>
      </c>
      <c r="F1518" t="inlineStr">
        <is>
          <t>technosphere</t>
        </is>
      </c>
      <c r="G1518" t="n">
        <v>0</v>
      </c>
      <c r="H1518" t="n">
        <v>-6.868534565828856</v>
      </c>
      <c r="I1518" t="n">
        <v>0.05218000766212133</v>
      </c>
      <c r="K1518" t="inlineStr">
        <is>
          <t>additional reduction: 95%</t>
        </is>
      </c>
      <c r="L1518" t="n">
        <v>0</v>
      </c>
      <c r="M1518" t="inlineStr">
        <is>
          <t>SOx retained, in lignite flue gas desulfurisation</t>
        </is>
      </c>
    </row>
    <row r="1519">
      <c r="A1519" t="inlineStr">
        <is>
          <t>market for lignite</t>
        </is>
      </c>
      <c r="B1519">
        <f>(3.6/8.7)/0.33</f>
        <v>1.25391849529781</v>
      </c>
      <c r="C1519" t="inlineStr">
        <is>
          <t>RER</t>
        </is>
      </c>
      <c r="D1519" t="inlineStr">
        <is>
          <t>kilogram</t>
        </is>
      </c>
      <c r="E1519" t="inlineStr">
        <is>
          <t>Materials/fuels</t>
        </is>
      </c>
      <c r="F1519" t="inlineStr">
        <is>
          <t>technosphere</t>
        </is>
      </c>
      <c r="G1519" t="n">
        <v>0</v>
      </c>
      <c r="H1519" t="n">
        <v>-2.162823150618887</v>
      </c>
      <c r="I1519" t="n">
        <v>0.0338293242369074</v>
      </c>
      <c r="K1519" t="inlineStr">
        <is>
          <t>1/energy content from Dones et al. (2007) "Teil VI - Kohle - Data v2.0" p.112</t>
        </is>
      </c>
      <c r="L1519" t="n">
        <v>0</v>
      </c>
      <c r="M1519" t="inlineStr">
        <is>
          <t>lignite</t>
        </is>
      </c>
    </row>
    <row r="1520">
      <c r="A1520" t="inlineStr">
        <is>
          <t>market for NOx retained, by selective catalytic reduction</t>
        </is>
      </c>
      <c r="B1520" t="n">
        <v>0.00164889</v>
      </c>
      <c r="C1520" t="inlineStr">
        <is>
          <t>GLO</t>
        </is>
      </c>
      <c r="D1520" t="inlineStr">
        <is>
          <t>kilogram</t>
        </is>
      </c>
      <c r="E1520" t="inlineStr">
        <is>
          <t>Materials/fuels</t>
        </is>
      </c>
      <c r="F1520" t="inlineStr">
        <is>
          <t>technosphere</t>
        </is>
      </c>
      <c r="G1520" t="n">
        <v>0</v>
      </c>
      <c r="H1520" t="n">
        <v>-8.532306829226286</v>
      </c>
      <c r="I1520" t="n">
        <v>0.2093551674290925</v>
      </c>
      <c r="K1520" t="inlineStr">
        <is>
          <t>additional reduction: 2.5%</t>
        </is>
      </c>
      <c r="L1520" t="n">
        <v>0</v>
      </c>
      <c r="M1520" t="inlineStr">
        <is>
          <t>NOx retained, by selective catalytic reduction</t>
        </is>
      </c>
    </row>
    <row r="1521" ht="16" customHeight="1">
      <c r="A1521" t="inlineStr">
        <is>
          <t>market for chlorine, liquid</t>
        </is>
      </c>
      <c r="B1521" t="n">
        <v>8.37e-05</v>
      </c>
      <c r="C1521" t="inlineStr">
        <is>
          <t>RER</t>
        </is>
      </c>
      <c r="D1521" t="inlineStr">
        <is>
          <t>kilogram</t>
        </is>
      </c>
      <c r="E1521" t="inlineStr">
        <is>
          <t>Materials/fuels</t>
        </is>
      </c>
      <c r="F1521" t="inlineStr">
        <is>
          <t>technosphere</t>
        </is>
      </c>
      <c r="G1521" t="n">
        <v>0</v>
      </c>
      <c r="H1521" t="n">
        <v>1e-05</v>
      </c>
      <c r="M1521" t="inlineStr">
        <is>
          <t>chlorine, liquid</t>
        </is>
      </c>
    </row>
    <row r="1522">
      <c r="A1522" t="inlineStr">
        <is>
          <t>market for lignite power plant</t>
        </is>
      </c>
      <c r="B1522" t="n">
        <v>3.37311e-12</v>
      </c>
      <c r="C1522" t="inlineStr">
        <is>
          <t>GLO</t>
        </is>
      </c>
      <c r="D1522" t="inlineStr">
        <is>
          <t>unit</t>
        </is>
      </c>
      <c r="E1522" t="inlineStr">
        <is>
          <t>Materials/fuels</t>
        </is>
      </c>
      <c r="F1522" t="inlineStr">
        <is>
          <t>technosphere</t>
        </is>
      </c>
      <c r="G1522" t="n">
        <v>0</v>
      </c>
      <c r="H1522" t="n">
        <v>-28.539839832964</v>
      </c>
      <c r="I1522" t="n">
        <v>0.5526284156933892</v>
      </c>
      <c r="K1522" t="inlineStr">
        <is>
          <t>n_plant = 1/(lifetime*annual fuel input)</t>
        </is>
      </c>
      <c r="L1522" t="n">
        <v>0</v>
      </c>
      <c r="M1522" t="inlineStr">
        <is>
          <t>lignite power plant</t>
        </is>
      </c>
    </row>
    <row r="1523">
      <c r="A1523" t="inlineStr">
        <is>
          <t>market for transport, freight train</t>
        </is>
      </c>
      <c r="B1523" t="n">
        <v>6.277499999999999e-05</v>
      </c>
      <c r="C1523" t="inlineStr">
        <is>
          <t>Europe without Switzerland</t>
        </is>
      </c>
      <c r="D1523" t="inlineStr">
        <is>
          <t>ton kilometer</t>
        </is>
      </c>
      <c r="E1523" t="inlineStr">
        <is>
          <t>Materials/fuels</t>
        </is>
      </c>
      <c r="F1523" t="inlineStr">
        <is>
          <t>technosphere</t>
        </is>
      </c>
      <c r="G1523" t="n">
        <v>0</v>
      </c>
      <c r="H1523" t="n">
        <v>7.5e-06</v>
      </c>
      <c r="M1523" t="inlineStr">
        <is>
          <t>transport, freight train</t>
        </is>
      </c>
    </row>
    <row r="1524">
      <c r="A1524" t="inlineStr">
        <is>
          <t>market for water, completely softened</t>
        </is>
      </c>
      <c r="B1524" t="n">
        <v>0.0219629514678253</v>
      </c>
      <c r="C1524" t="inlineStr">
        <is>
          <t>RoW</t>
        </is>
      </c>
      <c r="D1524" t="inlineStr">
        <is>
          <t>kilogram</t>
        </is>
      </c>
      <c r="E1524" t="inlineStr">
        <is>
          <t>Materials/fuels</t>
        </is>
      </c>
      <c r="F1524" t="inlineStr">
        <is>
          <t>technosphere</t>
        </is>
      </c>
      <c r="G1524" t="n">
        <v>0</v>
      </c>
      <c r="H1524" t="n">
        <v>0.006</v>
      </c>
      <c r="M1524" t="inlineStr">
        <is>
          <t>water, completely softened</t>
        </is>
      </c>
    </row>
    <row r="1525">
      <c r="A1525" t="inlineStr">
        <is>
          <t>market for water, completely softened</t>
        </is>
      </c>
      <c r="B1525" t="n">
        <v>0.01181660390642793</v>
      </c>
      <c r="C1525" t="inlineStr">
        <is>
          <t>RER</t>
        </is>
      </c>
      <c r="D1525" t="inlineStr">
        <is>
          <t>kilogram</t>
        </is>
      </c>
      <c r="E1525" t="inlineStr">
        <is>
          <t>Materials/fuels</t>
        </is>
      </c>
      <c r="F1525" t="inlineStr">
        <is>
          <t>technosphere</t>
        </is>
      </c>
      <c r="G1525" t="n">
        <v>0</v>
      </c>
      <c r="H1525" t="n">
        <v>0.006</v>
      </c>
      <c r="M1525" t="inlineStr">
        <is>
          <t>water, completely softened</t>
        </is>
      </c>
    </row>
    <row r="1526">
      <c r="A1526" t="inlineStr">
        <is>
          <t>market for water, completely softened</t>
        </is>
      </c>
      <c r="B1526" t="n">
        <v>0.01644044462574676</v>
      </c>
      <c r="C1526" t="inlineStr">
        <is>
          <t>US</t>
        </is>
      </c>
      <c r="D1526" t="inlineStr">
        <is>
          <t>kilogram</t>
        </is>
      </c>
      <c r="E1526" t="inlineStr">
        <is>
          <t>Materials/fuels</t>
        </is>
      </c>
      <c r="F1526" t="inlineStr">
        <is>
          <t>technosphere</t>
        </is>
      </c>
      <c r="G1526" t="n">
        <v>0</v>
      </c>
      <c r="H1526" t="n">
        <v>0.006</v>
      </c>
      <c r="M1526" t="inlineStr">
        <is>
          <t>water, completely softened</t>
        </is>
      </c>
    </row>
    <row r="1527">
      <c r="A1527" t="inlineStr">
        <is>
          <t>market for water, decarbonised</t>
        </is>
      </c>
      <c r="B1527" t="n">
        <v>1.2555</v>
      </c>
      <c r="C1527" t="inlineStr">
        <is>
          <t>RoW</t>
        </is>
      </c>
      <c r="D1527" t="inlineStr">
        <is>
          <t>kilogram</t>
        </is>
      </c>
      <c r="E1527" t="inlineStr">
        <is>
          <t>Materials/fuels</t>
        </is>
      </c>
      <c r="F1527" t="inlineStr">
        <is>
          <t>technosphere</t>
        </is>
      </c>
      <c r="G1527" t="n">
        <v>0</v>
      </c>
      <c r="H1527" t="n">
        <v>0.15</v>
      </c>
      <c r="M1527" t="inlineStr">
        <is>
          <t>water, decarbonised</t>
        </is>
      </c>
    </row>
    <row r="1528">
      <c r="A1528" t="inlineStr">
        <is>
          <t>treatment of lignite ash, opencast refill</t>
        </is>
      </c>
      <c r="B1528" t="n">
        <v>-0.0596781</v>
      </c>
      <c r="C1528" t="inlineStr">
        <is>
          <t>RoW</t>
        </is>
      </c>
      <c r="D1528" t="inlineStr">
        <is>
          <t>kilogram</t>
        </is>
      </c>
      <c r="E1528" t="inlineStr">
        <is>
          <t>Waste to treatment</t>
        </is>
      </c>
      <c r="F1528" t="inlineStr">
        <is>
          <t>technosphere</t>
        </is>
      </c>
      <c r="G1528" t="n">
        <v>0</v>
      </c>
      <c r="H1528" t="n">
        <v>0.00713</v>
      </c>
      <c r="M1528" t="inlineStr">
        <is>
          <t>lignite ash</t>
        </is>
      </c>
    </row>
    <row r="1529" ht="16" customHeight="1">
      <c r="A1529" t="inlineStr">
        <is>
          <t>treatment of residue from cooling tower, sanitary landfill</t>
        </is>
      </c>
      <c r="B1529" t="n">
        <v>-4.185e-05</v>
      </c>
      <c r="C1529" t="inlineStr">
        <is>
          <t>CH</t>
        </is>
      </c>
      <c r="D1529" t="inlineStr">
        <is>
          <t>kilogram</t>
        </is>
      </c>
      <c r="E1529" t="inlineStr">
        <is>
          <t>Waste to treatment</t>
        </is>
      </c>
      <c r="F1529" t="inlineStr">
        <is>
          <t>technosphere</t>
        </is>
      </c>
      <c r="G1529" t="n">
        <v>0</v>
      </c>
      <c r="H1529" t="n">
        <v>5e-06</v>
      </c>
      <c r="K1529" t="inlineStr">
        <is>
          <t>assumed to be the same as in the hard coal pulverised dataset</t>
        </is>
      </c>
      <c r="M1529" t="inlineStr">
        <is>
          <t>residue from cooling tower</t>
        </is>
      </c>
    </row>
    <row r="1530"/>
    <row r="1531">
      <c r="A1531" s="1" t="inlineStr">
        <is>
          <t>Activity</t>
        </is>
      </c>
      <c r="B1531" s="1" t="inlineStr">
        <is>
          <t>electricity production, at lignite-fired IGCC power plant, pre, pipeline 200km, storage 1000m</t>
        </is>
      </c>
    </row>
    <row r="1532">
      <c r="A1532" t="inlineStr">
        <is>
          <t>location</t>
        </is>
      </c>
      <c r="B1532" t="inlineStr">
        <is>
          <t>RER</t>
        </is>
      </c>
    </row>
    <row r="1533">
      <c r="A1533" t="inlineStr">
        <is>
          <t>production amount</t>
        </is>
      </c>
      <c r="B1533" t="n">
        <v>1</v>
      </c>
    </row>
    <row r="1534">
      <c r="A1534" t="inlineStr">
        <is>
          <t>comment</t>
        </is>
      </c>
      <c r="B1534" t="inlineStr">
        <is>
          <t>Lignite-fired, Integrated Gasification Combined Cycle, CCS, pre, Selexol, 90% CO2 efficiency. 740 MWel. 7500 full load hours per year. 40 years lifetime. 37% net electrical efficiency.</t>
        </is>
      </c>
    </row>
    <row r="1535">
      <c r="A1535" t="inlineStr">
        <is>
          <t>source</t>
        </is>
      </c>
      <c r="B1535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536">
      <c r="A1536" t="inlineStr">
        <is>
          <t>reference product</t>
        </is>
      </c>
      <c r="B1536" t="inlineStr">
        <is>
          <t>electricity, high voltage</t>
        </is>
      </c>
    </row>
    <row r="1537">
      <c r="A1537" t="inlineStr">
        <is>
          <t>type</t>
        </is>
      </c>
      <c r="B1537" t="inlineStr">
        <is>
          <t>process</t>
        </is>
      </c>
    </row>
    <row r="1538">
      <c r="A1538" t="inlineStr">
        <is>
          <t>unit</t>
        </is>
      </c>
      <c r="B1538" t="inlineStr">
        <is>
          <t>kilowatt hour</t>
        </is>
      </c>
    </row>
    <row r="1539">
      <c r="A1539" s="1" t="inlineStr">
        <is>
          <t>Exchanges</t>
        </is>
      </c>
    </row>
    <row r="1540">
      <c r="A1540" t="inlineStr">
        <is>
          <t>name</t>
        </is>
      </c>
      <c r="B1540" t="inlineStr">
        <is>
          <t>amount</t>
        </is>
      </c>
      <c r="C1540" t="inlineStr">
        <is>
          <t>location</t>
        </is>
      </c>
      <c r="D1540" t="inlineStr">
        <is>
          <t>unit</t>
        </is>
      </c>
      <c r="E1540" t="inlineStr">
        <is>
          <t>categories</t>
        </is>
      </c>
      <c r="F1540" t="inlineStr">
        <is>
          <t>type</t>
        </is>
      </c>
      <c r="G1540" t="inlineStr">
        <is>
          <t>uncertainty type</t>
        </is>
      </c>
      <c r="H1540" t="inlineStr">
        <is>
          <t>loc</t>
        </is>
      </c>
      <c r="I1540" t="inlineStr">
        <is>
          <t>allocation</t>
        </is>
      </c>
      <c r="J1540" t="inlineStr">
        <is>
          <t>comment</t>
        </is>
      </c>
      <c r="K1540" t="inlineStr">
        <is>
          <t>simapro name</t>
        </is>
      </c>
      <c r="L1540" t="inlineStr">
        <is>
          <t>negative</t>
        </is>
      </c>
      <c r="M1540" t="inlineStr">
        <is>
          <t>reference product</t>
        </is>
      </c>
    </row>
    <row r="1541">
      <c r="A1541" t="inlineStr">
        <is>
          <t>electricity production, at lignite-fired IGCC power plant, pre, pipeline 200km, storage 1000m</t>
        </is>
      </c>
      <c r="B1541" t="n">
        <v>1</v>
      </c>
      <c r="C1541" t="inlineStr">
        <is>
          <t>RER</t>
        </is>
      </c>
      <c r="D1541" t="inlineStr">
        <is>
          <t>kilowatt hour</t>
        </is>
      </c>
      <c r="E1541" t="inlineStr">
        <is>
          <t>CCS Europe 2025::Lignite</t>
        </is>
      </c>
      <c r="F1541" t="inlineStr">
        <is>
          <t>production</t>
        </is>
      </c>
      <c r="I1541" t="n">
        <v>100</v>
      </c>
      <c r="K1541" t="inlineStr">
        <is>
          <t>electricity production, at lignite-fired power plant, pre, pipeline 200km, storage 1000m U</t>
        </is>
      </c>
    </row>
    <row r="1542">
      <c r="A1542" t="inlineStr">
        <is>
          <t>carbon dioxide, captured from lignite, pre, pipeline 200km, storage 1000m</t>
        </is>
      </c>
      <c r="B1542" s="5">
        <f>B1544*8.7*0.115*0.9</f>
        <v>0.100753054054054</v>
      </c>
      <c r="C1542" t="inlineStr">
        <is>
          <t>RER</t>
        </is>
      </c>
      <c r="D1542" t="inlineStr">
        <is>
          <t>kilogram</t>
        </is>
      </c>
      <c r="E1542" t="inlineStr">
        <is>
          <t>Materials/fuels</t>
        </is>
      </c>
      <c r="F1542" t="inlineStr">
        <is>
          <t>technosphere</t>
        </is>
      </c>
      <c r="G1542" t="n">
        <v>0</v>
      </c>
      <c r="H1542" t="n">
        <v>0.0975</v>
      </c>
      <c r="J1542" t="inlineStr">
        <is>
          <t>90% capture rate</t>
        </is>
      </c>
      <c r="L1542" t="inlineStr">
        <is>
          <t>carbon dioxide, captured from lignite, pre, pipeline 200km, storage 1000m U</t>
        </is>
      </c>
    </row>
    <row r="1543">
      <c r="A1543" t="inlineStr">
        <is>
          <t>Lignite IGCC power plant 450MW</t>
        </is>
      </c>
      <c r="B1543" t="n">
        <v>3.704e-12</v>
      </c>
      <c r="C1543" t="inlineStr">
        <is>
          <t>RER</t>
        </is>
      </c>
      <c r="D1543" t="inlineStr">
        <is>
          <t>unit</t>
        </is>
      </c>
      <c r="E1543" t="inlineStr">
        <is>
          <t>Materials/fuels</t>
        </is>
      </c>
      <c r="F1543" t="inlineStr">
        <is>
          <t>technosphere</t>
        </is>
      </c>
      <c r="G1543" t="n">
        <v>0</v>
      </c>
      <c r="H1543" t="n">
        <v>4.63e-13</v>
      </c>
      <c r="J1543" t="inlineStr">
        <is>
          <t>n_plant = 1/(lifetime* annual fuel input)</t>
        </is>
      </c>
      <c r="L1543" t="inlineStr">
        <is>
          <t>Lignite IGCC power plant 450MW U</t>
        </is>
      </c>
    </row>
    <row r="1544">
      <c r="A1544" t="inlineStr">
        <is>
          <t>market for lignite</t>
        </is>
      </c>
      <c r="B1544">
        <f>(3.6/8.7)/0.37</f>
        <v>0.11189189189189193</v>
      </c>
      <c r="C1544" t="inlineStr">
        <is>
          <t>RER</t>
        </is>
      </c>
      <c r="D1544" t="inlineStr">
        <is>
          <t>kilogram</t>
        </is>
      </c>
      <c r="E1544" t="inlineStr">
        <is>
          <t>Materials/fuels</t>
        </is>
      </c>
      <c r="F1544" t="inlineStr">
        <is>
          <t>technosphere</t>
        </is>
      </c>
      <c r="G1544" t="n">
        <v>0</v>
      </c>
      <c r="H1544" t="n">
        <v>0.115</v>
      </c>
      <c r="J1544" t="inlineStr">
        <is>
          <t>1/energy content from Dones et al. (2007) "Teil VI - Kohle - Data v2.0" p.112</t>
        </is>
      </c>
      <c r="K1544" t="inlineStr">
        <is>
          <t>lignite</t>
        </is>
      </c>
      <c r="L1544" t="inlineStr">
        <is>
          <t>Lignite, at mine U</t>
        </is>
      </c>
      <c r="M1544" t="inlineStr">
        <is>
          <t>lignite</t>
        </is>
      </c>
    </row>
    <row r="1545">
      <c r="A1545" t="inlineStr">
        <is>
          <t>Antimony</t>
        </is>
      </c>
      <c r="B1545" t="n">
        <v>7.88e-11</v>
      </c>
      <c r="D1545" t="inlineStr">
        <is>
          <t>kilogram</t>
        </is>
      </c>
      <c r="E1545" t="inlineStr">
        <is>
          <t>air::non-urban air or from high stacks</t>
        </is>
      </c>
      <c r="F1545" t="inlineStr">
        <is>
          <t>biosphere</t>
        </is>
      </c>
      <c r="G1545" t="n">
        <v>0</v>
      </c>
      <c r="H1545" t="n">
        <v>9.85e-12</v>
      </c>
      <c r="J1545" t="inlineStr">
        <is>
          <t>scaled by efficiency factor f (see "Parameters")</t>
        </is>
      </c>
    </row>
    <row r="1546">
      <c r="A1546" t="inlineStr">
        <is>
          <t>Arsenic</t>
        </is>
      </c>
      <c r="B1546" t="n">
        <v>4.44e-09</v>
      </c>
      <c r="D1546" t="inlineStr">
        <is>
          <t>kilogram</t>
        </is>
      </c>
      <c r="E1546" t="inlineStr">
        <is>
          <t>air::non-urban air or from high stacks</t>
        </is>
      </c>
      <c r="F1546" t="inlineStr">
        <is>
          <t>biosphere</t>
        </is>
      </c>
      <c r="G1546" t="n">
        <v>0</v>
      </c>
      <c r="H1546" t="n">
        <v>5.55e-10</v>
      </c>
      <c r="J1546" t="inlineStr">
        <is>
          <t>scaled by efficiency factor f (see "Parameters")</t>
        </is>
      </c>
    </row>
    <row r="1547">
      <c r="A1547" t="inlineStr">
        <is>
          <t>Barium</t>
        </is>
      </c>
      <c r="B1547" t="n">
        <v>1.312e-06</v>
      </c>
      <c r="D1547" t="inlineStr">
        <is>
          <t>kilogram</t>
        </is>
      </c>
      <c r="E1547" t="inlineStr">
        <is>
          <t>air::non-urban air or from high stacks</t>
        </is>
      </c>
      <c r="F1547" t="inlineStr">
        <is>
          <t>biosphere</t>
        </is>
      </c>
      <c r="G1547" t="n">
        <v>0</v>
      </c>
      <c r="H1547" t="n">
        <v>1.64e-07</v>
      </c>
      <c r="J1547" t="inlineStr">
        <is>
          <t>scaled by efficiency factor f (see "Parameters")</t>
        </is>
      </c>
    </row>
    <row r="1548">
      <c r="A1548" t="inlineStr">
        <is>
          <t>Benzene</t>
        </is>
      </c>
      <c r="B1548" t="n">
        <v>1.312e-06</v>
      </c>
      <c r="D1548" t="inlineStr">
        <is>
          <t>kilogram</t>
        </is>
      </c>
      <c r="E1548" t="inlineStr">
        <is>
          <t>air::non-urban air or from high stacks</t>
        </is>
      </c>
      <c r="F1548" t="inlineStr">
        <is>
          <t>biosphere</t>
        </is>
      </c>
      <c r="G1548" t="n">
        <v>0</v>
      </c>
      <c r="H1548" t="n">
        <v>1.64e-07</v>
      </c>
      <c r="J1548" t="inlineStr">
        <is>
          <t>scaled by efficiency factor f (see "Parameters")</t>
        </is>
      </c>
    </row>
    <row r="1549">
      <c r="A1549" t="inlineStr">
        <is>
          <t>Benzo(a)pyrene</t>
        </is>
      </c>
      <c r="B1549" t="n">
        <v>1.2e-12</v>
      </c>
      <c r="D1549" t="inlineStr">
        <is>
          <t>kilogram</t>
        </is>
      </c>
      <c r="E1549" t="inlineStr">
        <is>
          <t>air::non-urban air or from high stacks</t>
        </is>
      </c>
      <c r="F1549" t="inlineStr">
        <is>
          <t>biosphere</t>
        </is>
      </c>
      <c r="G1549" t="n">
        <v>0</v>
      </c>
      <c r="H1549" t="n">
        <v>1.5e-13</v>
      </c>
      <c r="J1549" t="inlineStr">
        <is>
          <t>scaled by efficiency factor f (see "Parameters")</t>
        </is>
      </c>
    </row>
    <row r="1550">
      <c r="A1550" t="inlineStr">
        <is>
          <t>Boron</t>
        </is>
      </c>
      <c r="B1550" t="n">
        <v>1.24e-05</v>
      </c>
      <c r="D1550" t="inlineStr">
        <is>
          <t>kilogram</t>
        </is>
      </c>
      <c r="E1550" t="inlineStr">
        <is>
          <t>air::non-urban air or from high stacks</t>
        </is>
      </c>
      <c r="F1550" t="inlineStr">
        <is>
          <t>biosphere</t>
        </is>
      </c>
      <c r="G1550" t="n">
        <v>0</v>
      </c>
      <c r="H1550" t="n">
        <v>1.55e-06</v>
      </c>
      <c r="J1550" t="inlineStr">
        <is>
          <t>scaled by efficiency factor f (see "Parameters")</t>
        </is>
      </c>
    </row>
    <row r="1551">
      <c r="A1551" t="inlineStr">
        <is>
          <t>Bromine</t>
        </is>
      </c>
      <c r="B1551" t="n">
        <v>1.664e-07</v>
      </c>
      <c r="D1551" t="inlineStr">
        <is>
          <t>kilogram</t>
        </is>
      </c>
      <c r="E1551" t="inlineStr">
        <is>
          <t>air::non-urban air or from high stacks</t>
        </is>
      </c>
      <c r="F1551" t="inlineStr">
        <is>
          <t>biosphere</t>
        </is>
      </c>
      <c r="G1551" t="n">
        <v>0</v>
      </c>
      <c r="H1551" t="n">
        <v>2.08e-08</v>
      </c>
      <c r="J1551" t="inlineStr">
        <is>
          <t>scaled by efficiency factor f (see "Parameters")</t>
        </is>
      </c>
    </row>
    <row r="1552">
      <c r="A1552" t="inlineStr">
        <is>
          <t>Butane</t>
        </is>
      </c>
      <c r="B1552" t="n">
        <v>1.144e-07</v>
      </c>
      <c r="D1552" t="inlineStr">
        <is>
          <t>kilogram</t>
        </is>
      </c>
      <c r="E1552" t="inlineStr">
        <is>
          <t>air::non-urban air or from high stacks</t>
        </is>
      </c>
      <c r="F1552" t="inlineStr">
        <is>
          <t>biosphere</t>
        </is>
      </c>
      <c r="G1552" t="n">
        <v>0</v>
      </c>
      <c r="H1552" t="n">
        <v>1.43e-08</v>
      </c>
      <c r="J1552" t="inlineStr">
        <is>
          <t>scaled by efficiency factor f (see "Parameters")</t>
        </is>
      </c>
    </row>
    <row r="1553">
      <c r="A1553" t="inlineStr">
        <is>
          <t>Cadmium</t>
        </is>
      </c>
      <c r="B1553" t="n">
        <v>9.200000000000001e-11</v>
      </c>
      <c r="D1553" t="inlineStr">
        <is>
          <t>kilogram</t>
        </is>
      </c>
      <c r="E1553" t="inlineStr">
        <is>
          <t>air::non-urban air or from high stacks</t>
        </is>
      </c>
      <c r="F1553" t="inlineStr">
        <is>
          <t>biosphere</t>
        </is>
      </c>
      <c r="G1553" t="n">
        <v>0</v>
      </c>
      <c r="H1553" t="n">
        <v>1.15e-11</v>
      </c>
      <c r="J1553" t="inlineStr">
        <is>
          <t>scaled by efficiency factor f (see "Parameters")</t>
        </is>
      </c>
    </row>
    <row r="1554">
      <c r="A1554" t="inlineStr">
        <is>
          <t>Carbon dioxide, fossil</t>
        </is>
      </c>
      <c r="B1554">
        <f>(B1544*8.7*0.115)*0.1</f>
        <v>0.0111947837837838</v>
      </c>
      <c r="D1554" t="inlineStr">
        <is>
          <t>kilogram</t>
        </is>
      </c>
      <c r="E1554" t="inlineStr">
        <is>
          <t>air::non-urban air or from high stacks</t>
        </is>
      </c>
      <c r="F1554" t="inlineStr">
        <is>
          <t>biosphere</t>
        </is>
      </c>
      <c r="G1554" t="n">
        <v>0</v>
      </c>
      <c r="H1554" t="n">
        <v>0.0108</v>
      </c>
      <c r="J1554" t="inlineStr">
        <is>
          <t>90% capture rate</t>
        </is>
      </c>
    </row>
    <row r="1555">
      <c r="A1555" t="inlineStr">
        <is>
          <t>Carbon monoxide, fossil</t>
        </is>
      </c>
      <c r="B1555" t="n">
        <v>7.624e-05</v>
      </c>
      <c r="D1555" t="inlineStr">
        <is>
          <t>kilogram</t>
        </is>
      </c>
      <c r="E1555" t="inlineStr">
        <is>
          <t>air::non-urban air or from high stacks</t>
        </is>
      </c>
      <c r="F1555" t="inlineStr">
        <is>
          <t>biosphere</t>
        </is>
      </c>
      <c r="G1555" t="n">
        <v>0</v>
      </c>
      <c r="H1555" t="n">
        <v>9.53e-06</v>
      </c>
      <c r="J1555" t="inlineStr">
        <is>
          <t>scaled by efficiency factor f (see "Parameters")</t>
        </is>
      </c>
    </row>
    <row r="1556">
      <c r="A1556" t="inlineStr">
        <is>
          <t>Chromium</t>
        </is>
      </c>
      <c r="B1556" t="n">
        <v>1.16e-09</v>
      </c>
      <c r="D1556" t="inlineStr">
        <is>
          <t>kilogram</t>
        </is>
      </c>
      <c r="E1556" t="inlineStr">
        <is>
          <t>air::non-urban air or from high stacks</t>
        </is>
      </c>
      <c r="F1556" t="inlineStr">
        <is>
          <t>biosphere</t>
        </is>
      </c>
      <c r="G1556" t="n">
        <v>0</v>
      </c>
      <c r="H1556" t="n">
        <v>1.45e-10</v>
      </c>
      <c r="J1556" t="inlineStr">
        <is>
          <t>scaled by efficiency factor f (see "Parameters")</t>
        </is>
      </c>
    </row>
    <row r="1557">
      <c r="A1557" t="inlineStr">
        <is>
          <t>Chromium VI</t>
        </is>
      </c>
      <c r="B1557" t="n">
        <v>1.448e-10</v>
      </c>
      <c r="D1557" t="inlineStr">
        <is>
          <t>kilogram</t>
        </is>
      </c>
      <c r="E1557" t="inlineStr">
        <is>
          <t>air::non-urban air or from high stacks</t>
        </is>
      </c>
      <c r="F1557" t="inlineStr">
        <is>
          <t>biosphere</t>
        </is>
      </c>
      <c r="G1557" t="n">
        <v>0</v>
      </c>
      <c r="H1557" t="n">
        <v>1.81e-11</v>
      </c>
      <c r="J1557" t="inlineStr">
        <is>
          <t>scaled by efficiency factor f (see "Parameters")</t>
        </is>
      </c>
    </row>
    <row r="1558">
      <c r="A1558" t="inlineStr">
        <is>
          <t>Cobalt</t>
        </is>
      </c>
      <c r="B1558" t="n">
        <v>5.248e-10</v>
      </c>
      <c r="D1558" t="inlineStr">
        <is>
          <t>kilogram</t>
        </is>
      </c>
      <c r="E1558" t="inlineStr">
        <is>
          <t>air::non-urban air or from high stacks</t>
        </is>
      </c>
      <c r="F1558" t="inlineStr">
        <is>
          <t>biosphere</t>
        </is>
      </c>
      <c r="G1558" t="n">
        <v>0</v>
      </c>
      <c r="H1558" t="n">
        <v>6.56e-11</v>
      </c>
      <c r="J1558" t="inlineStr">
        <is>
          <t>scaled by efficiency factor f (see "Parameters")</t>
        </is>
      </c>
    </row>
    <row r="1559">
      <c r="A1559" t="inlineStr">
        <is>
          <t>Copper</t>
        </is>
      </c>
      <c r="B1559" t="n">
        <v>1.216e-09</v>
      </c>
      <c r="D1559" t="inlineStr">
        <is>
          <t>kilogram</t>
        </is>
      </c>
      <c r="E1559" t="inlineStr">
        <is>
          <t>air::non-urban air or from high stacks</t>
        </is>
      </c>
      <c r="F1559" t="inlineStr">
        <is>
          <t>biosphere</t>
        </is>
      </c>
      <c r="G1559" t="n">
        <v>0</v>
      </c>
      <c r="H1559" t="n">
        <v>1.52e-10</v>
      </c>
      <c r="J1559" t="inlineStr">
        <is>
          <t>scaled by efficiency factor f (see "Parameters")</t>
        </is>
      </c>
    </row>
    <row r="1560">
      <c r="A1560" t="inlineStr">
        <is>
          <t>Dinitrogen monoxide</t>
        </is>
      </c>
      <c r="B1560" t="n">
        <v>2.832e-05</v>
      </c>
      <c r="D1560" t="inlineStr">
        <is>
          <t>kilogram</t>
        </is>
      </c>
      <c r="E1560" t="inlineStr">
        <is>
          <t>air::non-urban air or from high stacks</t>
        </is>
      </c>
      <c r="F1560" t="inlineStr">
        <is>
          <t>biosphere</t>
        </is>
      </c>
      <c r="G1560" t="n">
        <v>0</v>
      </c>
      <c r="H1560" t="n">
        <v>3.54e-06</v>
      </c>
      <c r="J1560" t="inlineStr">
        <is>
          <t>scaled by efficiency factor f (see "Parameters")</t>
        </is>
      </c>
    </row>
    <row r="1561">
      <c r="A1561" t="inlineStr">
        <is>
          <t>Dioxins, measured as 2,3,7,8-tetrachlorodibenzo-p-dioxin</t>
        </is>
      </c>
      <c r="B1561" t="n">
        <v>4.216e-14</v>
      </c>
      <c r="D1561" t="inlineStr">
        <is>
          <t>kilogram</t>
        </is>
      </c>
      <c r="E1561" t="inlineStr">
        <is>
          <t>air::non-urban air or from high stacks</t>
        </is>
      </c>
      <c r="F1561" t="inlineStr">
        <is>
          <t>biosphere</t>
        </is>
      </c>
      <c r="G1561" t="n">
        <v>0</v>
      </c>
      <c r="H1561" t="n">
        <v>5.27e-15</v>
      </c>
      <c r="J1561" t="inlineStr">
        <is>
          <t>scaled by efficiency factor f (see "Parameters")</t>
        </is>
      </c>
    </row>
    <row r="1562">
      <c r="A1562" t="inlineStr">
        <is>
          <t>Ethane</t>
        </is>
      </c>
      <c r="B1562" t="n">
        <v>2.464e-07</v>
      </c>
      <c r="D1562" t="inlineStr">
        <is>
          <t>kilogram</t>
        </is>
      </c>
      <c r="E1562" t="inlineStr">
        <is>
          <t>air::non-urban air or from high stacks</t>
        </is>
      </c>
      <c r="F1562" t="inlineStr">
        <is>
          <t>biosphere</t>
        </is>
      </c>
      <c r="G1562" t="n">
        <v>0</v>
      </c>
      <c r="H1562" t="n">
        <v>3.08e-08</v>
      </c>
      <c r="J1562" t="inlineStr">
        <is>
          <t>scaled by efficiency factor f (see "Parameters")</t>
        </is>
      </c>
    </row>
    <row r="1563">
      <c r="A1563" t="inlineStr">
        <is>
          <t>Formaldehyde</t>
        </is>
      </c>
      <c r="B1563" t="n">
        <v>3.488e-07</v>
      </c>
      <c r="D1563" t="inlineStr">
        <is>
          <t>kilogram</t>
        </is>
      </c>
      <c r="E1563" t="inlineStr">
        <is>
          <t>air::non-urban air or from high stacks</t>
        </is>
      </c>
      <c r="F1563" t="inlineStr">
        <is>
          <t>biosphere</t>
        </is>
      </c>
      <c r="G1563" t="n">
        <v>0</v>
      </c>
      <c r="H1563" t="n">
        <v>4.36e-08</v>
      </c>
      <c r="J1563" t="inlineStr">
        <is>
          <t>scaled by efficiency factor f (see "Parameters")</t>
        </is>
      </c>
    </row>
    <row r="1564">
      <c r="A1564" t="inlineStr">
        <is>
          <t>Heat, waste</t>
        </is>
      </c>
      <c r="B1564" t="n">
        <v>1.856</v>
      </c>
      <c r="D1564" t="inlineStr">
        <is>
          <t>megajoule</t>
        </is>
      </c>
      <c r="E1564" t="inlineStr">
        <is>
          <t>air::non-urban air or from high stacks</t>
        </is>
      </c>
      <c r="F1564" t="inlineStr">
        <is>
          <t>biosphere</t>
        </is>
      </c>
      <c r="G1564" t="n">
        <v>0</v>
      </c>
      <c r="H1564" t="n">
        <v>0.232</v>
      </c>
      <c r="J1564" t="inlineStr">
        <is>
          <t>scaled by efficiency factor f (see "Parameters")</t>
        </is>
      </c>
    </row>
    <row r="1565">
      <c r="A1565" t="inlineStr">
        <is>
          <t>Hydrocarbons, aliphatic, alkanes, unspecified</t>
        </is>
      </c>
      <c r="B1565" t="n">
        <v>1.32e-06</v>
      </c>
      <c r="D1565" t="inlineStr">
        <is>
          <t>kilogram</t>
        </is>
      </c>
      <c r="E1565" t="inlineStr">
        <is>
          <t>air::non-urban air or from high stacks</t>
        </is>
      </c>
      <c r="F1565" t="inlineStr">
        <is>
          <t>biosphere</t>
        </is>
      </c>
      <c r="G1565" t="n">
        <v>0</v>
      </c>
      <c r="H1565" t="n">
        <v>1.65e-07</v>
      </c>
      <c r="J1565" t="inlineStr">
        <is>
          <t>scaled by efficiency factor f (see "Parameters")</t>
        </is>
      </c>
    </row>
    <row r="1566">
      <c r="A1566" t="inlineStr">
        <is>
          <t>Hydrocarbons, aliphatic, unsaturated</t>
        </is>
      </c>
      <c r="B1566" t="n">
        <v>1.304e-06</v>
      </c>
      <c r="D1566" t="inlineStr">
        <is>
          <t>kilogram</t>
        </is>
      </c>
      <c r="E1566" t="inlineStr">
        <is>
          <t>air::non-urban air or from high stacks</t>
        </is>
      </c>
      <c r="F1566" t="inlineStr">
        <is>
          <t>biosphere</t>
        </is>
      </c>
      <c r="G1566" t="n">
        <v>0</v>
      </c>
      <c r="H1566" t="n">
        <v>1.63e-07</v>
      </c>
      <c r="J1566" t="inlineStr">
        <is>
          <t>scaled by efficiency factor f (see "Parameters")</t>
        </is>
      </c>
    </row>
    <row r="1567">
      <c r="A1567" t="inlineStr">
        <is>
          <t>Hydrogen chloride</t>
        </is>
      </c>
      <c r="B1567" t="n">
        <v>1.76e-05</v>
      </c>
      <c r="D1567" t="inlineStr">
        <is>
          <t>kilogram</t>
        </is>
      </c>
      <c r="E1567" t="inlineStr">
        <is>
          <t>air::non-urban air or from high stacks</t>
        </is>
      </c>
      <c r="F1567" t="inlineStr">
        <is>
          <t>biosphere</t>
        </is>
      </c>
      <c r="G1567" t="n">
        <v>0</v>
      </c>
      <c r="H1567" t="n">
        <v>2.2e-06</v>
      </c>
      <c r="J1567" t="inlineStr">
        <is>
          <t>scaled by efficiency factor f (see "Parameters")</t>
        </is>
      </c>
    </row>
    <row r="1568">
      <c r="A1568" t="inlineStr">
        <is>
          <t>Hydrogen fluoride</t>
        </is>
      </c>
      <c r="B1568" t="n">
        <v>4.92e-06</v>
      </c>
      <c r="D1568" t="inlineStr">
        <is>
          <t>kilogram</t>
        </is>
      </c>
      <c r="E1568" t="inlineStr">
        <is>
          <t>air::non-urban air or from high stacks</t>
        </is>
      </c>
      <c r="F1568" t="inlineStr">
        <is>
          <t>biosphere</t>
        </is>
      </c>
      <c r="G1568" t="n">
        <v>0</v>
      </c>
      <c r="H1568" t="n">
        <v>6.15e-07</v>
      </c>
      <c r="J1568" t="inlineStr">
        <is>
          <t>scaled by efficiency factor f (see "Parameters")</t>
        </is>
      </c>
    </row>
    <row r="1569">
      <c r="A1569" t="inlineStr">
        <is>
          <t>Iodine</t>
        </is>
      </c>
      <c r="B1569" t="n">
        <v>1.552e-07</v>
      </c>
      <c r="D1569" t="inlineStr">
        <is>
          <t>kilogram</t>
        </is>
      </c>
      <c r="E1569" t="inlineStr">
        <is>
          <t>air::non-urban air or from high stacks</t>
        </is>
      </c>
      <c r="F1569" t="inlineStr">
        <is>
          <t>biosphere</t>
        </is>
      </c>
      <c r="G1569" t="n">
        <v>0</v>
      </c>
      <c r="H1569" t="n">
        <v>1.94e-08</v>
      </c>
      <c r="J1569" t="inlineStr">
        <is>
          <t>scaled by efficiency factor f (see "Parameters")</t>
        </is>
      </c>
    </row>
    <row r="1570">
      <c r="A1570" t="inlineStr">
        <is>
          <t>Lead</t>
        </is>
      </c>
      <c r="B1570" t="n">
        <v>3.16e-09</v>
      </c>
      <c r="D1570" t="inlineStr">
        <is>
          <t>kilogram</t>
        </is>
      </c>
      <c r="E1570" t="inlineStr">
        <is>
          <t>air::non-urban air or from high stacks</t>
        </is>
      </c>
      <c r="F1570" t="inlineStr">
        <is>
          <t>biosphere</t>
        </is>
      </c>
      <c r="G1570" t="n">
        <v>0</v>
      </c>
      <c r="H1570" t="n">
        <v>3.95e-10</v>
      </c>
      <c r="J1570" t="inlineStr">
        <is>
          <t>scaled by efficiency factor f (see "Parameters")</t>
        </is>
      </c>
    </row>
    <row r="1571">
      <c r="A1571" t="inlineStr">
        <is>
          <t>Lead-210</t>
        </is>
      </c>
      <c r="B1571" t="n">
        <v>7.52e-06</v>
      </c>
      <c r="D1571" t="inlineStr">
        <is>
          <t>kilo Becquerel</t>
        </is>
      </c>
      <c r="E1571" t="inlineStr">
        <is>
          <t>air::non-urban air or from high stacks</t>
        </is>
      </c>
      <c r="F1571" t="inlineStr">
        <is>
          <t>biosphere</t>
        </is>
      </c>
      <c r="G1571" t="n">
        <v>0</v>
      </c>
      <c r="H1571" t="n">
        <v>9.4e-07</v>
      </c>
      <c r="J1571" t="inlineStr">
        <is>
          <t>scaled by efficiency factor f (see "Parameters")</t>
        </is>
      </c>
    </row>
    <row r="1572">
      <c r="A1572" t="inlineStr">
        <is>
          <t>Manganese</t>
        </is>
      </c>
      <c r="B1572" t="n">
        <v>6.56e-09</v>
      </c>
      <c r="D1572" t="inlineStr">
        <is>
          <t>kilogram</t>
        </is>
      </c>
      <c r="E1572" t="inlineStr">
        <is>
          <t>air::non-urban air or from high stacks</t>
        </is>
      </c>
      <c r="F1572" t="inlineStr">
        <is>
          <t>biosphere</t>
        </is>
      </c>
      <c r="G1572" t="n">
        <v>0</v>
      </c>
      <c r="H1572" t="n">
        <v>8.2e-10</v>
      </c>
      <c r="J1572" t="inlineStr">
        <is>
          <t>scaled by efficiency factor f (see "Parameters")</t>
        </is>
      </c>
    </row>
    <row r="1573">
      <c r="A1573" t="inlineStr">
        <is>
          <t>Mercury</t>
        </is>
      </c>
      <c r="B1573" t="n">
        <v>1.392e-08</v>
      </c>
      <c r="D1573" t="inlineStr">
        <is>
          <t>kilogram</t>
        </is>
      </c>
      <c r="E1573" t="inlineStr">
        <is>
          <t>air::non-urban air or from high stacks</t>
        </is>
      </c>
      <c r="F1573" t="inlineStr">
        <is>
          <t>biosphere</t>
        </is>
      </c>
      <c r="G1573" t="n">
        <v>0</v>
      </c>
      <c r="H1573" t="n">
        <v>1.74e-09</v>
      </c>
      <c r="J1573" t="inlineStr">
        <is>
          <t>scaled by efficiency factor f (see "Parameters")</t>
        </is>
      </c>
    </row>
    <row r="1574">
      <c r="A1574" t="inlineStr">
        <is>
          <t>Methane, fossil</t>
        </is>
      </c>
      <c r="B1574" t="n">
        <v>1.216e-05</v>
      </c>
      <c r="D1574" t="inlineStr">
        <is>
          <t>kilogram</t>
        </is>
      </c>
      <c r="E1574" t="inlineStr">
        <is>
          <t>air::non-urban air or from high stacks</t>
        </is>
      </c>
      <c r="F1574" t="inlineStr">
        <is>
          <t>biosphere</t>
        </is>
      </c>
      <c r="G1574" t="n">
        <v>0</v>
      </c>
      <c r="H1574" t="n">
        <v>1.52e-06</v>
      </c>
      <c r="J1574" t="inlineStr">
        <is>
          <t>scaled by efficiency factor f (see "Parameters")</t>
        </is>
      </c>
    </row>
    <row r="1575">
      <c r="A1575" t="inlineStr">
        <is>
          <t>Molybdenum</t>
        </is>
      </c>
      <c r="B1575" t="n">
        <v>5.248e-10</v>
      </c>
      <c r="D1575" t="inlineStr">
        <is>
          <t>kilogram</t>
        </is>
      </c>
      <c r="E1575" t="inlineStr">
        <is>
          <t>air::non-urban air or from high stacks</t>
        </is>
      </c>
      <c r="F1575" t="inlineStr">
        <is>
          <t>biosphere</t>
        </is>
      </c>
      <c r="G1575" t="n">
        <v>0</v>
      </c>
      <c r="H1575" t="n">
        <v>6.56e-11</v>
      </c>
      <c r="J1575" t="inlineStr">
        <is>
          <t>scaled by efficiency factor f (see "Parameters")</t>
        </is>
      </c>
    </row>
    <row r="1576">
      <c r="A1576" t="inlineStr">
        <is>
          <t>NMVOC, non-methane volatile organic compounds, unspecified origin</t>
        </is>
      </c>
      <c r="B1576" t="n">
        <v>6.336e-06</v>
      </c>
      <c r="D1576" t="inlineStr">
        <is>
          <t>kilogram</t>
        </is>
      </c>
      <c r="E1576" t="inlineStr">
        <is>
          <t>air::non-urban air or from high stacks</t>
        </is>
      </c>
      <c r="F1576" t="inlineStr">
        <is>
          <t>biosphere</t>
        </is>
      </c>
      <c r="G1576" t="n">
        <v>0</v>
      </c>
      <c r="H1576" t="n">
        <v>7.92e-07</v>
      </c>
      <c r="J1576" t="inlineStr">
        <is>
          <t>scaled by efficiency factor f (see "Parameters")</t>
        </is>
      </c>
    </row>
    <row r="1577">
      <c r="A1577" t="inlineStr">
        <is>
          <t>Nickel</t>
        </is>
      </c>
      <c r="B1577" t="n">
        <v>2.6e-09</v>
      </c>
      <c r="D1577" t="inlineStr">
        <is>
          <t>kilogram</t>
        </is>
      </c>
      <c r="E1577" t="inlineStr">
        <is>
          <t>air::non-urban air or from high stacks</t>
        </is>
      </c>
      <c r="F1577" t="inlineStr">
        <is>
          <t>biosphere</t>
        </is>
      </c>
      <c r="G1577" t="n">
        <v>0</v>
      </c>
      <c r="H1577" t="n">
        <v>3.25e-10</v>
      </c>
      <c r="J1577" t="inlineStr">
        <is>
          <t>scaled by efficiency factor f (see "Parameters")</t>
        </is>
      </c>
    </row>
    <row r="1578">
      <c r="A1578" t="inlineStr">
        <is>
          <t>Nitrogen oxides</t>
        </is>
      </c>
      <c r="B1578" t="n">
        <v>0.0003224</v>
      </c>
      <c r="D1578" t="inlineStr">
        <is>
          <t>kilogram</t>
        </is>
      </c>
      <c r="E1578" t="inlineStr">
        <is>
          <t>air::non-urban air or from high stacks</t>
        </is>
      </c>
      <c r="F1578" t="inlineStr">
        <is>
          <t>biosphere</t>
        </is>
      </c>
      <c r="G1578" t="n">
        <v>0</v>
      </c>
      <c r="H1578" t="n">
        <v>4.03e-05</v>
      </c>
      <c r="J1578" t="inlineStr">
        <is>
          <t>additional reduction: 25% (no retention; less gas burned)</t>
        </is>
      </c>
    </row>
    <row r="1579">
      <c r="A1579" t="inlineStr">
        <is>
          <t>Occupation, industrial area</t>
        </is>
      </c>
      <c r="B1579" t="n">
        <v>2.36e-05</v>
      </c>
      <c r="D1579" t="inlineStr">
        <is>
          <t>square meter-year</t>
        </is>
      </c>
      <c r="E1579" t="inlineStr">
        <is>
          <t>natural resource::land</t>
        </is>
      </c>
      <c r="F1579" t="inlineStr">
        <is>
          <t>biosphere</t>
        </is>
      </c>
      <c r="G1579" t="n">
        <v>0</v>
      </c>
      <c r="H1579" t="n">
        <v>2.95e-06</v>
      </c>
      <c r="J1579" t="inlineStr">
        <is>
          <t>scaled by efficiency factor f (see "Parameters")</t>
        </is>
      </c>
    </row>
    <row r="1580">
      <c r="A1580" t="inlineStr">
        <is>
          <t>Occupation, industrial area</t>
        </is>
      </c>
      <c r="B1580" t="n">
        <v>7.864000000000001e-05</v>
      </c>
      <c r="D1580" t="inlineStr">
        <is>
          <t>square meter-year</t>
        </is>
      </c>
      <c r="E1580" t="inlineStr">
        <is>
          <t>natural resource::land</t>
        </is>
      </c>
      <c r="F1580" t="inlineStr">
        <is>
          <t>biosphere</t>
        </is>
      </c>
      <c r="G1580" t="n">
        <v>0</v>
      </c>
      <c r="H1580" t="n">
        <v>9.830000000000001e-06</v>
      </c>
      <c r="J1580" t="inlineStr">
        <is>
          <t>scaled by efficiency factor f (see "Parameters")</t>
        </is>
      </c>
    </row>
    <row r="1581">
      <c r="A1581" t="inlineStr">
        <is>
          <t>Occupation, industrial area</t>
        </is>
      </c>
      <c r="B1581" t="n">
        <v>3.152e-05</v>
      </c>
      <c r="D1581" t="inlineStr">
        <is>
          <t>square meter-year</t>
        </is>
      </c>
      <c r="E1581" t="inlineStr">
        <is>
          <t>natural resource::land</t>
        </is>
      </c>
      <c r="F1581" t="inlineStr">
        <is>
          <t>biosphere</t>
        </is>
      </c>
      <c r="G1581" t="n">
        <v>0</v>
      </c>
      <c r="H1581" t="n">
        <v>3.94e-06</v>
      </c>
      <c r="J1581" t="inlineStr">
        <is>
          <t>scaled by efficiency factor f (see "Parameters")</t>
        </is>
      </c>
    </row>
    <row r="1582">
      <c r="A1582" t="inlineStr">
        <is>
          <t>Occupation, traffic area, rail network</t>
        </is>
      </c>
      <c r="B1582" t="n">
        <v>7.864e-06</v>
      </c>
      <c r="D1582" t="inlineStr">
        <is>
          <t>square meter-year</t>
        </is>
      </c>
      <c r="E1582" t="inlineStr">
        <is>
          <t>natural resource::land</t>
        </is>
      </c>
      <c r="F1582" t="inlineStr">
        <is>
          <t>biosphere</t>
        </is>
      </c>
      <c r="G1582" t="n">
        <v>0</v>
      </c>
      <c r="H1582" t="n">
        <v>9.829999999999999e-07</v>
      </c>
      <c r="J1582" t="inlineStr">
        <is>
          <t>scaled by efficiency factor f (see "Parameters")</t>
        </is>
      </c>
    </row>
    <row r="1583">
      <c r="A1583" t="inlineStr">
        <is>
          <t>Occupation, traffic area, road network</t>
        </is>
      </c>
      <c r="B1583" t="n">
        <v>1.576e-05</v>
      </c>
      <c r="D1583" t="inlineStr">
        <is>
          <t>square meter-year</t>
        </is>
      </c>
      <c r="E1583" t="inlineStr">
        <is>
          <t>natural resource::land</t>
        </is>
      </c>
      <c r="F1583" t="inlineStr">
        <is>
          <t>biosphere</t>
        </is>
      </c>
      <c r="G1583" t="n">
        <v>0</v>
      </c>
      <c r="H1583" t="n">
        <v>1.97e-06</v>
      </c>
      <c r="J1583" t="inlineStr">
        <is>
          <t>scaled by efficiency factor f (see "Parameters")</t>
        </is>
      </c>
    </row>
    <row r="1584">
      <c r="A1584" t="inlineStr">
        <is>
          <t>PAH, polycyclic aromatic hydrocarbons</t>
        </is>
      </c>
      <c r="B1584" t="n">
        <v>6.016e-08</v>
      </c>
      <c r="D1584" t="inlineStr">
        <is>
          <t>kilogram</t>
        </is>
      </c>
      <c r="E1584" t="inlineStr">
        <is>
          <t>air::non-urban air or from high stacks</t>
        </is>
      </c>
      <c r="F1584" t="inlineStr">
        <is>
          <t>biosphere</t>
        </is>
      </c>
      <c r="G1584" t="n">
        <v>0</v>
      </c>
      <c r="H1584" t="n">
        <v>7.520000000000001e-09</v>
      </c>
      <c r="J1584" t="inlineStr">
        <is>
          <t>scaled by efficiency factor f (see "Parameters")</t>
        </is>
      </c>
    </row>
    <row r="1585">
      <c r="A1585" t="inlineStr">
        <is>
          <t>Pentane</t>
        </is>
      </c>
      <c r="B1585" t="n">
        <v>8.88e-07</v>
      </c>
      <c r="D1585" t="inlineStr">
        <is>
          <t>kilogram</t>
        </is>
      </c>
      <c r="E1585" t="inlineStr">
        <is>
          <t>air::non-urban air or from high stacks</t>
        </is>
      </c>
      <c r="F1585" t="inlineStr">
        <is>
          <t>biosphere</t>
        </is>
      </c>
      <c r="G1585" t="n">
        <v>0</v>
      </c>
      <c r="H1585" t="n">
        <v>1.11e-07</v>
      </c>
      <c r="J1585" t="inlineStr">
        <is>
          <t>scaled by efficiency factor f (see "Parameters")</t>
        </is>
      </c>
    </row>
    <row r="1586">
      <c r="A1586" t="inlineStr">
        <is>
          <t>Polonium-210</t>
        </is>
      </c>
      <c r="B1586" t="n">
        <v>1.376e-05</v>
      </c>
      <c r="D1586" t="inlineStr">
        <is>
          <t>kilo Becquerel</t>
        </is>
      </c>
      <c r="E1586" t="inlineStr">
        <is>
          <t>air::non-urban air or from high stacks</t>
        </is>
      </c>
      <c r="F1586" t="inlineStr">
        <is>
          <t>biosphere</t>
        </is>
      </c>
      <c r="G1586" t="n">
        <v>0</v>
      </c>
      <c r="H1586" t="n">
        <v>1.72e-06</v>
      </c>
      <c r="J1586" t="inlineStr">
        <is>
          <t>scaled by efficiency factor f (see "Parameters")</t>
        </is>
      </c>
    </row>
    <row r="1587">
      <c r="A1587" t="inlineStr">
        <is>
          <t>Potassium-40</t>
        </is>
      </c>
      <c r="B1587" t="n">
        <v>4.888e-06</v>
      </c>
      <c r="D1587" t="inlineStr">
        <is>
          <t>kilo Becquerel</t>
        </is>
      </c>
      <c r="E1587" t="inlineStr">
        <is>
          <t>air::non-urban air or from high stacks</t>
        </is>
      </c>
      <c r="F1587" t="inlineStr">
        <is>
          <t>biosphere</t>
        </is>
      </c>
      <c r="G1587" t="n">
        <v>0</v>
      </c>
      <c r="H1587" t="n">
        <v>6.11e-07</v>
      </c>
      <c r="J1587" t="inlineStr">
        <is>
          <t>scaled by efficiency factor f (see "Parameters")</t>
        </is>
      </c>
    </row>
    <row r="1588">
      <c r="A1588" t="inlineStr">
        <is>
          <t>Propane</t>
        </is>
      </c>
      <c r="B1588" t="n">
        <v>2.104e-07</v>
      </c>
      <c r="D1588" t="inlineStr">
        <is>
          <t>kilogram</t>
        </is>
      </c>
      <c r="E1588" t="inlineStr">
        <is>
          <t>air::non-urban air or from high stacks</t>
        </is>
      </c>
      <c r="F1588" t="inlineStr">
        <is>
          <t>biosphere</t>
        </is>
      </c>
      <c r="G1588" t="n">
        <v>0</v>
      </c>
      <c r="H1588" t="n">
        <v>2.63e-08</v>
      </c>
      <c r="J1588" t="inlineStr">
        <is>
          <t>scaled by efficiency factor f (see "Parameters")</t>
        </is>
      </c>
    </row>
    <row r="1589">
      <c r="A1589" t="inlineStr">
        <is>
          <t>Propene</t>
        </is>
      </c>
      <c r="B1589" t="n">
        <v>9.6e-08</v>
      </c>
      <c r="D1589" t="inlineStr">
        <is>
          <t>kilogram</t>
        </is>
      </c>
      <c r="E1589" t="inlineStr">
        <is>
          <t>air::non-urban air or from high stacks</t>
        </is>
      </c>
      <c r="F1589" t="inlineStr">
        <is>
          <t>biosphere</t>
        </is>
      </c>
      <c r="G1589" t="n">
        <v>0</v>
      </c>
      <c r="H1589" t="n">
        <v>1.2e-08</v>
      </c>
      <c r="J1589" t="inlineStr">
        <is>
          <t>scaled by efficiency factor f (see "Parameters")</t>
        </is>
      </c>
    </row>
    <row r="1590">
      <c r="A1590" t="inlineStr">
        <is>
          <t>Radium-226</t>
        </is>
      </c>
      <c r="B1590" t="n">
        <v>1.944e-06</v>
      </c>
      <c r="D1590" t="inlineStr">
        <is>
          <t>kilo Becquerel</t>
        </is>
      </c>
      <c r="E1590" t="inlineStr">
        <is>
          <t>air::non-urban air or from high stacks</t>
        </is>
      </c>
      <c r="F1590" t="inlineStr">
        <is>
          <t>biosphere</t>
        </is>
      </c>
      <c r="G1590" t="n">
        <v>0</v>
      </c>
      <c r="H1590" t="n">
        <v>2.43e-07</v>
      </c>
      <c r="J1590" t="inlineStr">
        <is>
          <t>scaled by efficiency factor f (see "Parameters")</t>
        </is>
      </c>
    </row>
    <row r="1591">
      <c r="A1591" t="inlineStr">
        <is>
          <t>Radium-228</t>
        </is>
      </c>
      <c r="B1591" t="n">
        <v>1.272e-06</v>
      </c>
      <c r="D1591" t="inlineStr">
        <is>
          <t>kilo Becquerel</t>
        </is>
      </c>
      <c r="E1591" t="inlineStr">
        <is>
          <t>air::non-urban air or from high stacks</t>
        </is>
      </c>
      <c r="F1591" t="inlineStr">
        <is>
          <t>biosphere</t>
        </is>
      </c>
      <c r="G1591" t="n">
        <v>0</v>
      </c>
      <c r="H1591" t="n">
        <v>1.59e-07</v>
      </c>
      <c r="J1591" t="inlineStr">
        <is>
          <t>scaled by efficiency factor f (see "Parameters")</t>
        </is>
      </c>
    </row>
    <row r="1592">
      <c r="A1592" t="inlineStr">
        <is>
          <t>Selenium</t>
        </is>
      </c>
      <c r="B1592" t="n">
        <v>1.792e-08</v>
      </c>
      <c r="D1592" t="inlineStr">
        <is>
          <t>kilogram</t>
        </is>
      </c>
      <c r="E1592" t="inlineStr">
        <is>
          <t>air::non-urban air or from high stacks</t>
        </is>
      </c>
      <c r="F1592" t="inlineStr">
        <is>
          <t>biosphere</t>
        </is>
      </c>
      <c r="G1592" t="n">
        <v>0</v>
      </c>
      <c r="H1592" t="n">
        <v>2.24e-09</v>
      </c>
      <c r="J1592" t="inlineStr">
        <is>
          <t>scaled by efficiency factor f (see "Parameters")</t>
        </is>
      </c>
    </row>
    <row r="1593">
      <c r="A1593" t="inlineStr">
        <is>
          <t>Strontium</t>
        </is>
      </c>
      <c r="B1593" t="n">
        <v>2.76e-09</v>
      </c>
      <c r="D1593" t="inlineStr">
        <is>
          <t>kilogram</t>
        </is>
      </c>
      <c r="E1593" t="inlineStr">
        <is>
          <t>air::non-urban air or from high stacks</t>
        </is>
      </c>
      <c r="F1593" t="inlineStr">
        <is>
          <t>biosphere</t>
        </is>
      </c>
      <c r="G1593" t="n">
        <v>0</v>
      </c>
      <c r="H1593" t="n">
        <v>3.45e-10</v>
      </c>
      <c r="J1593" t="inlineStr">
        <is>
          <t>scaled by efficiency factor f (see "Parameters")</t>
        </is>
      </c>
    </row>
    <row r="1594">
      <c r="A1594" t="inlineStr">
        <is>
          <t>Sulfur dioxide</t>
        </is>
      </c>
      <c r="B1594" t="n">
        <v>0.0005872</v>
      </c>
      <c r="D1594" t="inlineStr">
        <is>
          <t>kilogram</t>
        </is>
      </c>
      <c r="E1594" t="inlineStr">
        <is>
          <t>air::non-urban air or from high stacks</t>
        </is>
      </c>
      <c r="F1594" t="inlineStr">
        <is>
          <t>biosphere</t>
        </is>
      </c>
      <c r="G1594" t="n">
        <v>0</v>
      </c>
      <c r="H1594" t="n">
        <v>7.34e-05</v>
      </c>
      <c r="J1594" t="inlineStr">
        <is>
          <t>additional reduction: 10%</t>
        </is>
      </c>
    </row>
    <row r="1595">
      <c r="A1595" t="inlineStr">
        <is>
          <t>Thorium-228</t>
        </is>
      </c>
      <c r="B1595" t="n">
        <v>1.024e-06</v>
      </c>
      <c r="D1595" t="inlineStr">
        <is>
          <t>kilo Becquerel</t>
        </is>
      </c>
      <c r="E1595" t="inlineStr">
        <is>
          <t>air::non-urban air or from high stacks</t>
        </is>
      </c>
      <c r="F1595" t="inlineStr">
        <is>
          <t>biosphere</t>
        </is>
      </c>
      <c r="G1595" t="n">
        <v>0</v>
      </c>
      <c r="H1595" t="n">
        <v>1.28e-07</v>
      </c>
      <c r="J1595" t="inlineStr">
        <is>
          <t>scaled by efficiency factor f (see "Parameters")</t>
        </is>
      </c>
    </row>
    <row r="1596">
      <c r="A1596" t="inlineStr">
        <is>
          <t>Thorium-232</t>
        </is>
      </c>
      <c r="B1596" t="n">
        <v>1.6e-06</v>
      </c>
      <c r="D1596" t="inlineStr">
        <is>
          <t>kilo Becquerel</t>
        </is>
      </c>
      <c r="E1596" t="inlineStr">
        <is>
          <t>air::non-urban air or from high stacks</t>
        </is>
      </c>
      <c r="F1596" t="inlineStr">
        <is>
          <t>biosphere</t>
        </is>
      </c>
      <c r="G1596" t="n">
        <v>0</v>
      </c>
      <c r="H1596" t="n">
        <v>2e-07</v>
      </c>
      <c r="J1596" t="inlineStr">
        <is>
          <t>scaled by efficiency factor f (see "Parameters")</t>
        </is>
      </c>
    </row>
    <row r="1597">
      <c r="A1597" t="inlineStr">
        <is>
          <t>Toluene</t>
        </is>
      </c>
      <c r="B1597" t="n">
        <v>6.560000000000001e-07</v>
      </c>
      <c r="D1597" t="inlineStr">
        <is>
          <t>kilogram</t>
        </is>
      </c>
      <c r="E1597" t="inlineStr">
        <is>
          <t>air::non-urban air or from high stacks</t>
        </is>
      </c>
      <c r="F1597" t="inlineStr">
        <is>
          <t>biosphere</t>
        </is>
      </c>
      <c r="G1597" t="n">
        <v>0</v>
      </c>
      <c r="H1597" t="n">
        <v>8.200000000000001e-08</v>
      </c>
      <c r="J1597" t="inlineStr">
        <is>
          <t>scaled by efficiency factor f (see "Parameters")</t>
        </is>
      </c>
    </row>
    <row r="1598">
      <c r="A1598" t="inlineStr">
        <is>
          <t>Uranium-238</t>
        </is>
      </c>
      <c r="B1598" t="n">
        <v>1.24e-06</v>
      </c>
      <c r="D1598" t="inlineStr">
        <is>
          <t>kilo Becquerel</t>
        </is>
      </c>
      <c r="E1598" t="inlineStr">
        <is>
          <t>air::non-urban air or from high stacks</t>
        </is>
      </c>
      <c r="F1598" t="inlineStr">
        <is>
          <t>biosphere</t>
        </is>
      </c>
      <c r="G1598" t="n">
        <v>0</v>
      </c>
      <c r="H1598" t="n">
        <v>1.55e-07</v>
      </c>
      <c r="J1598" t="inlineStr">
        <is>
          <t>scaled by efficiency factor f (see "Parameters")</t>
        </is>
      </c>
    </row>
    <row r="1599">
      <c r="A1599" t="inlineStr">
        <is>
          <t>Vanadium</t>
        </is>
      </c>
      <c r="B1599" t="n">
        <v>1.144e-09</v>
      </c>
      <c r="D1599" t="inlineStr">
        <is>
          <t>kilogram</t>
        </is>
      </c>
      <c r="E1599" t="inlineStr">
        <is>
          <t>air::non-urban air or from high stacks</t>
        </is>
      </c>
      <c r="F1599" t="inlineStr">
        <is>
          <t>biosphere</t>
        </is>
      </c>
      <c r="G1599" t="n">
        <v>0</v>
      </c>
      <c r="H1599" t="n">
        <v>1.43e-10</v>
      </c>
      <c r="J1599" t="inlineStr">
        <is>
          <t>scaled by efficiency factor f (see "Parameters")</t>
        </is>
      </c>
    </row>
    <row r="1600">
      <c r="A1600" t="inlineStr">
        <is>
          <t>Xylene</t>
        </is>
      </c>
      <c r="B1600" t="n">
        <v>5.544e-06</v>
      </c>
      <c r="D1600" t="inlineStr">
        <is>
          <t>kilogram</t>
        </is>
      </c>
      <c r="E1600" t="inlineStr">
        <is>
          <t>air::non-urban air or from high stacks</t>
        </is>
      </c>
      <c r="F1600" t="inlineStr">
        <is>
          <t>biosphere</t>
        </is>
      </c>
      <c r="G1600" t="n">
        <v>0</v>
      </c>
      <c r="H1600" t="n">
        <v>6.93e-07</v>
      </c>
      <c r="J1600" t="inlineStr">
        <is>
          <t>scaled by efficiency factor f (see "Parameters")</t>
        </is>
      </c>
    </row>
    <row r="1601">
      <c r="A1601" t="inlineStr">
        <is>
          <t>Zinc</t>
        </is>
      </c>
      <c r="B1601" t="n">
        <v>4.592e-10</v>
      </c>
      <c r="D1601" t="inlineStr">
        <is>
          <t>kilogram</t>
        </is>
      </c>
      <c r="E1601" t="inlineStr">
        <is>
          <t>air::non-urban air or from high stacks</t>
        </is>
      </c>
      <c r="F1601" t="inlineStr">
        <is>
          <t>biosphere</t>
        </is>
      </c>
      <c r="G1601" t="n">
        <v>0</v>
      </c>
      <c r="H1601" t="n">
        <v>5.74e-11</v>
      </c>
      <c r="J1601" t="inlineStr">
        <is>
          <t>scaled by efficiency factor f (see "Parameters")</t>
        </is>
      </c>
    </row>
    <row r="1602">
      <c r="A1602" t="inlineStr">
        <is>
          <t>desulfurisation of lignite flue gas</t>
        </is>
      </c>
      <c r="B1602" t="n">
        <v>6.52e-05</v>
      </c>
      <c r="C1602" t="inlineStr">
        <is>
          <t>GLO</t>
        </is>
      </c>
      <c r="D1602" t="inlineStr">
        <is>
          <t>kilogram</t>
        </is>
      </c>
      <c r="E1602" t="inlineStr">
        <is>
          <t>Materials/fuels</t>
        </is>
      </c>
      <c r="F1602" t="inlineStr">
        <is>
          <t>technosphere</t>
        </is>
      </c>
      <c r="G1602" t="n">
        <v>0</v>
      </c>
      <c r="H1602" t="n">
        <v>8.15e-06</v>
      </c>
      <c r="J1602" t="inlineStr">
        <is>
          <t>no initial reduction (S is present as hydrogenS); additional reduction: 10%</t>
        </is>
      </c>
      <c r="K1602" t="inlineStr">
        <is>
          <t>SOx retained, in lignite flue gas desulfurisation</t>
        </is>
      </c>
      <c r="L1602" t="inlineStr">
        <is>
          <t>SOx retained, in lignite flue gas desulphurisation/GLO U</t>
        </is>
      </c>
      <c r="M1602" t="inlineStr">
        <is>
          <t>SOx retained, in lignite flue gas desulfurisation</t>
        </is>
      </c>
    </row>
    <row r="1603">
      <c r="A1603" t="inlineStr">
        <is>
          <t>heat production, heavy fuel oil, at industrial furnace 1MW</t>
        </is>
      </c>
      <c r="B1603" t="n">
        <v>0.0007664</v>
      </c>
      <c r="C1603" t="inlineStr">
        <is>
          <t>Europe without Switzerland</t>
        </is>
      </c>
      <c r="D1603" t="inlineStr">
        <is>
          <t>megajoule</t>
        </is>
      </c>
      <c r="E1603" t="inlineStr">
        <is>
          <t>Materials/fuels</t>
        </is>
      </c>
      <c r="F1603" t="inlineStr">
        <is>
          <t>technosphere</t>
        </is>
      </c>
      <c r="G1603" t="n">
        <v>0</v>
      </c>
      <c r="H1603" t="n">
        <v>9.58e-05</v>
      </c>
      <c r="J1603" t="inlineStr">
        <is>
          <t>scaled by efficiency factor f (see "Parameters")</t>
        </is>
      </c>
      <c r="L1603" t="inlineStr">
        <is>
          <t>Heat, light fuel oil, at industrial furnace 1MW U</t>
        </is>
      </c>
      <c r="M1603" t="inlineStr">
        <is>
          <t>heat, district or industrial, other than natural gas</t>
        </is>
      </c>
    </row>
    <row r="1604">
      <c r="A1604" t="inlineStr">
        <is>
          <t>lime production, milled, loose</t>
        </is>
      </c>
      <c r="B1604" t="n">
        <v>0.02208</v>
      </c>
      <c r="C1604" t="inlineStr">
        <is>
          <t>CH</t>
        </is>
      </c>
      <c r="D1604" t="inlineStr">
        <is>
          <t>kilogram</t>
        </is>
      </c>
      <c r="E1604" t="inlineStr">
        <is>
          <t>Materials/fuels</t>
        </is>
      </c>
      <c r="F1604" t="inlineStr">
        <is>
          <t>technosphere</t>
        </is>
      </c>
      <c r="G1604" t="n">
        <v>0</v>
      </c>
      <c r="H1604" t="n">
        <v>0.00276</v>
      </c>
      <c r="J1604" t="inlineStr">
        <is>
          <t>scaled by efficiency factor f (see "Parameters")</t>
        </is>
      </c>
      <c r="K1604" t="inlineStr">
        <is>
          <t>lime</t>
        </is>
      </c>
      <c r="L1604" t="inlineStr">
        <is>
          <t>Limestone, milled, loose, at plant/CH U</t>
        </is>
      </c>
      <c r="M1604" t="inlineStr">
        <is>
          <t>lime</t>
        </is>
      </c>
    </row>
    <row r="1605">
      <c r="A1605" t="inlineStr">
        <is>
          <t>market for aluminium, cast alloy</t>
        </is>
      </c>
      <c r="B1605" t="n">
        <v>6.592e-08</v>
      </c>
      <c r="C1605" t="inlineStr">
        <is>
          <t>GLO</t>
        </is>
      </c>
      <c r="D1605" t="inlineStr">
        <is>
          <t>kilogram</t>
        </is>
      </c>
      <c r="E1605" t="inlineStr">
        <is>
          <t>Materials/fuels</t>
        </is>
      </c>
      <c r="F1605" t="inlineStr">
        <is>
          <t>technosphere</t>
        </is>
      </c>
      <c r="G1605" t="n">
        <v>0</v>
      </c>
      <c r="H1605" t="n">
        <v>8.24e-09</v>
      </c>
      <c r="J1605" t="inlineStr">
        <is>
          <t>scaled by efficiency factor f (see "Parameters")</t>
        </is>
      </c>
      <c r="L1605" t="inlineStr">
        <is>
          <t>Aluminium, production mix, at plant U</t>
        </is>
      </c>
      <c r="M1605" t="inlineStr">
        <is>
          <t>aluminium, cast alloy</t>
        </is>
      </c>
    </row>
    <row r="1606">
      <c r="A1606" t="inlineStr">
        <is>
          <t>market for ammonia, liquid</t>
        </is>
      </c>
      <c r="B1606" t="n">
        <v>3.168e-06</v>
      </c>
      <c r="C1606" t="inlineStr">
        <is>
          <t>RER</t>
        </is>
      </c>
      <c r="D1606" t="inlineStr">
        <is>
          <t>kilogram</t>
        </is>
      </c>
      <c r="E1606" t="inlineStr">
        <is>
          <t>Materials/fuels</t>
        </is>
      </c>
      <c r="F1606" t="inlineStr">
        <is>
          <t>technosphere</t>
        </is>
      </c>
      <c r="G1606" t="n">
        <v>0</v>
      </c>
      <c r="H1606" t="n">
        <v>3.96e-07</v>
      </c>
      <c r="J1606" t="inlineStr">
        <is>
          <t>scaled by efficiency factor f (see "Parameters")</t>
        </is>
      </c>
      <c r="K1606" t="inlineStr">
        <is>
          <t>ammonia, liquid</t>
        </is>
      </c>
      <c r="L1606" t="inlineStr">
        <is>
          <t>Ammonia, liquid, at regional storehouse U</t>
        </is>
      </c>
      <c r="M1606" t="inlineStr">
        <is>
          <t>ammonia, liquid</t>
        </is>
      </c>
    </row>
    <row r="1607">
      <c r="A1607" t="inlineStr">
        <is>
          <t>market for calcium chloride</t>
        </is>
      </c>
      <c r="B1607" t="n">
        <v>7.968e-05</v>
      </c>
      <c r="C1607" t="inlineStr">
        <is>
          <t>RER</t>
        </is>
      </c>
      <c r="D1607" t="inlineStr">
        <is>
          <t>kilogram</t>
        </is>
      </c>
      <c r="E1607" t="inlineStr">
        <is>
          <t>Materials/fuels</t>
        </is>
      </c>
      <c r="F1607" t="inlineStr">
        <is>
          <t>technosphere</t>
        </is>
      </c>
      <c r="G1607" t="n">
        <v>0</v>
      </c>
      <c r="H1607" t="n">
        <v>9.96e-06</v>
      </c>
      <c r="J1607" t="inlineStr">
        <is>
          <t>scaled by efficiency factor f (see "Parameters")</t>
        </is>
      </c>
      <c r="L1607" t="inlineStr">
        <is>
          <t>Calcium chloride, CaCl2, at regional storage/CH U</t>
        </is>
      </c>
      <c r="M1607" t="inlineStr">
        <is>
          <t>calcium chloride</t>
        </is>
      </c>
    </row>
    <row r="1608">
      <c r="A1608" t="inlineStr">
        <is>
          <t>market for cast iron</t>
        </is>
      </c>
      <c r="B1608" t="n">
        <v>1.456e-06</v>
      </c>
      <c r="C1608" t="inlineStr">
        <is>
          <t>GLO</t>
        </is>
      </c>
      <c r="D1608" t="inlineStr">
        <is>
          <t>kilogram</t>
        </is>
      </c>
      <c r="E1608" t="inlineStr">
        <is>
          <t>Materials/fuels</t>
        </is>
      </c>
      <c r="F1608" t="inlineStr">
        <is>
          <t>technosphere</t>
        </is>
      </c>
      <c r="G1608" t="n">
        <v>0</v>
      </c>
      <c r="H1608" t="n">
        <v>1.82e-07</v>
      </c>
      <c r="J1608" t="inlineStr">
        <is>
          <t>scaled by efficiency factor f (see "Parameters")</t>
        </is>
      </c>
      <c r="L1608" t="inlineStr">
        <is>
          <t>Cast iron, at plant U</t>
        </is>
      </c>
      <c r="M1608" t="inlineStr">
        <is>
          <t>cast iron</t>
        </is>
      </c>
    </row>
    <row r="1609">
      <c r="A1609" t="inlineStr">
        <is>
          <t>market for chemicals, inorganic</t>
        </is>
      </c>
      <c r="B1609" t="n">
        <v>5.112e-05</v>
      </c>
      <c r="C1609" t="inlineStr">
        <is>
          <t>GLO</t>
        </is>
      </c>
      <c r="D1609" t="inlineStr">
        <is>
          <t>kilogram</t>
        </is>
      </c>
      <c r="E1609" t="inlineStr">
        <is>
          <t>Materials/fuels</t>
        </is>
      </c>
      <c r="F1609" t="inlineStr">
        <is>
          <t>technosphere</t>
        </is>
      </c>
      <c r="G1609" t="n">
        <v>0</v>
      </c>
      <c r="H1609" t="n">
        <v>6.39e-06</v>
      </c>
      <c r="J1609" t="inlineStr">
        <is>
          <t>scaled by efficiency factor f (see "Parameters")</t>
        </is>
      </c>
      <c r="L1609" t="inlineStr">
        <is>
          <t>Chemicals inorganic, at plant/GLO U</t>
        </is>
      </c>
      <c r="M1609" t="inlineStr">
        <is>
          <t>chemical, inorganic</t>
        </is>
      </c>
    </row>
    <row r="1610">
      <c r="A1610" t="inlineStr">
        <is>
          <t>market for copper</t>
        </is>
      </c>
      <c r="B1610" t="n">
        <v>7.656000000000001e-08</v>
      </c>
      <c r="C1610" t="inlineStr">
        <is>
          <t>GLO</t>
        </is>
      </c>
      <c r="D1610" t="inlineStr">
        <is>
          <t>kilogram</t>
        </is>
      </c>
      <c r="E1610" t="inlineStr">
        <is>
          <t>Materials/fuels</t>
        </is>
      </c>
      <c r="F1610" t="inlineStr">
        <is>
          <t>technosphere</t>
        </is>
      </c>
      <c r="G1610" t="n">
        <v>0</v>
      </c>
      <c r="H1610" t="n">
        <v>9.570000000000001e-09</v>
      </c>
      <c r="J1610" t="inlineStr">
        <is>
          <t>scaled by efficiency factor f (see "Parameters")</t>
        </is>
      </c>
      <c r="K1610" t="inlineStr">
        <is>
          <t>copper</t>
        </is>
      </c>
      <c r="L1610" t="inlineStr">
        <is>
          <t>Copper, at regional storage U</t>
        </is>
      </c>
      <c r="M1610" t="inlineStr">
        <is>
          <t>copper</t>
        </is>
      </c>
    </row>
    <row r="1611">
      <c r="A1611" t="inlineStr">
        <is>
          <t>market for lead</t>
        </is>
      </c>
      <c r="B1611" t="n">
        <v>1.936e-09</v>
      </c>
      <c r="C1611" t="inlineStr">
        <is>
          <t>GLO</t>
        </is>
      </c>
      <c r="D1611" t="inlineStr">
        <is>
          <t>kilogram</t>
        </is>
      </c>
      <c r="E1611" t="inlineStr">
        <is>
          <t>Materials/fuels</t>
        </is>
      </c>
      <c r="F1611" t="inlineStr">
        <is>
          <t>technosphere</t>
        </is>
      </c>
      <c r="G1611" t="n">
        <v>0</v>
      </c>
      <c r="H1611" t="n">
        <v>2.42e-10</v>
      </c>
      <c r="J1611" t="inlineStr">
        <is>
          <t>scaled by efficiency factor f (see "Parameters")</t>
        </is>
      </c>
      <c r="L1611" t="inlineStr">
        <is>
          <t>Lead, at regional storage U</t>
        </is>
      </c>
      <c r="M1611" t="inlineStr">
        <is>
          <t>lead</t>
        </is>
      </c>
    </row>
    <row r="1612">
      <c r="A1612" t="inlineStr">
        <is>
          <t>market for lubricating oil</t>
        </is>
      </c>
      <c r="B1612" t="n">
        <v>2.112e-05</v>
      </c>
      <c r="C1612" t="inlineStr">
        <is>
          <t>RER</t>
        </is>
      </c>
      <c r="D1612" t="inlineStr">
        <is>
          <t>kilogram</t>
        </is>
      </c>
      <c r="E1612" t="inlineStr">
        <is>
          <t>Materials/fuels</t>
        </is>
      </c>
      <c r="F1612" t="inlineStr">
        <is>
          <t>technosphere</t>
        </is>
      </c>
      <c r="G1612" t="n">
        <v>0</v>
      </c>
      <c r="H1612" t="n">
        <v>2.64e-06</v>
      </c>
      <c r="J1612" t="inlineStr">
        <is>
          <t>scaled by efficiency factor f (see "Parameters")</t>
        </is>
      </c>
      <c r="L1612" t="inlineStr">
        <is>
          <t>Lubricating oil, at plant U</t>
        </is>
      </c>
      <c r="M1612" t="inlineStr">
        <is>
          <t>lubricating oil</t>
        </is>
      </c>
    </row>
    <row r="1613">
      <c r="A1613" t="inlineStr">
        <is>
          <t>market for monoethanolamine</t>
        </is>
      </c>
      <c r="B1613" t="n">
        <v>4.136e-06</v>
      </c>
      <c r="C1613" t="inlineStr">
        <is>
          <t>GLO</t>
        </is>
      </c>
      <c r="D1613" t="inlineStr">
        <is>
          <t>kilogram</t>
        </is>
      </c>
      <c r="E1613" t="inlineStr">
        <is>
          <t>Materials/fuels</t>
        </is>
      </c>
      <c r="F1613" t="inlineStr">
        <is>
          <t>technosphere</t>
        </is>
      </c>
      <c r="G1613" t="n">
        <v>0</v>
      </c>
      <c r="H1613" t="n">
        <v>5.17e-07</v>
      </c>
      <c r="J1613" t="inlineStr">
        <is>
          <t>scaled by efficiency factor f (see "Parameters")</t>
        </is>
      </c>
      <c r="L1613" t="inlineStr">
        <is>
          <t>Monoethanolamine, at plant U</t>
        </is>
      </c>
      <c r="M1613" t="inlineStr">
        <is>
          <t>monoethanolamine</t>
        </is>
      </c>
    </row>
    <row r="1614">
      <c r="A1614" t="inlineStr">
        <is>
          <t>market for polyvinylfluoride</t>
        </is>
      </c>
      <c r="B1614" t="n">
        <v>5.504e-08</v>
      </c>
      <c r="C1614" t="inlineStr">
        <is>
          <t>GLO</t>
        </is>
      </c>
      <c r="D1614" t="inlineStr">
        <is>
          <t>kilogram</t>
        </is>
      </c>
      <c r="E1614" t="inlineStr">
        <is>
          <t>Materials/fuels</t>
        </is>
      </c>
      <c r="F1614" t="inlineStr">
        <is>
          <t>technosphere</t>
        </is>
      </c>
      <c r="G1614" t="n">
        <v>0</v>
      </c>
      <c r="H1614" t="n">
        <v>6.88e-09</v>
      </c>
      <c r="J1614" t="inlineStr">
        <is>
          <t>scaled by efficiency factor f (see "Parameters")</t>
        </is>
      </c>
      <c r="L1614" t="inlineStr">
        <is>
          <t>Polyvinylchloride, at regional storage U</t>
        </is>
      </c>
      <c r="M1614" t="inlineStr">
        <is>
          <t>polyvinylfluoride</t>
        </is>
      </c>
    </row>
    <row r="1615">
      <c r="A1615" t="inlineStr">
        <is>
          <t>market for reinforcing steel</t>
        </is>
      </c>
      <c r="B1615" t="n">
        <v>1.264e-06</v>
      </c>
      <c r="C1615" t="inlineStr">
        <is>
          <t>GLO</t>
        </is>
      </c>
      <c r="D1615" t="inlineStr">
        <is>
          <t>kilogram</t>
        </is>
      </c>
      <c r="E1615" t="inlineStr">
        <is>
          <t>Materials/fuels</t>
        </is>
      </c>
      <c r="F1615" t="inlineStr">
        <is>
          <t>technosphere</t>
        </is>
      </c>
      <c r="G1615" t="n">
        <v>0</v>
      </c>
      <c r="H1615" t="n">
        <v>1.58e-07</v>
      </c>
      <c r="J1615" t="inlineStr">
        <is>
          <t>scaled by efficiency factor f (see "Parameters")</t>
        </is>
      </c>
      <c r="L1615" t="inlineStr">
        <is>
          <t>Reinforcing steel, at plant U</t>
        </is>
      </c>
      <c r="M1615" t="inlineStr">
        <is>
          <t>reinforcing steel</t>
        </is>
      </c>
    </row>
    <row r="1616">
      <c r="A1616" t="inlineStr">
        <is>
          <t>market for sodium hydroxide, without water, in 50% solution state</t>
        </is>
      </c>
      <c r="B1616" t="n">
        <v>0.0004616</v>
      </c>
      <c r="C1616" t="inlineStr">
        <is>
          <t>GLO</t>
        </is>
      </c>
      <c r="D1616" t="inlineStr">
        <is>
          <t>kilogram</t>
        </is>
      </c>
      <c r="E1616" t="inlineStr">
        <is>
          <t>Materials/fuels</t>
        </is>
      </c>
      <c r="F1616" t="inlineStr">
        <is>
          <t>technosphere</t>
        </is>
      </c>
      <c r="G1616" t="n">
        <v>0</v>
      </c>
      <c r="H1616" t="n">
        <v>5.77e-05</v>
      </c>
      <c r="J1616" t="inlineStr">
        <is>
          <t>scaled by efficiency factor f (see "Parameters")</t>
        </is>
      </c>
      <c r="L1616" t="inlineStr">
        <is>
          <t>Sodium hydroxide, 50% in hydrogenO, production mix, at plant U</t>
        </is>
      </c>
      <c r="M1616" t="inlineStr">
        <is>
          <t>sodium hydroxide, without water, in 50% solution state</t>
        </is>
      </c>
    </row>
    <row r="1617">
      <c r="A1617" t="inlineStr">
        <is>
          <t>market for sodium hypochlorite, without water, in 15% solution state</t>
        </is>
      </c>
      <c r="B1617" t="n">
        <v>4.384e-05</v>
      </c>
      <c r="C1617" t="inlineStr">
        <is>
          <t>RER</t>
        </is>
      </c>
      <c r="D1617" t="inlineStr">
        <is>
          <t>kilogram</t>
        </is>
      </c>
      <c r="E1617" t="inlineStr">
        <is>
          <t>Materials/fuels</t>
        </is>
      </c>
      <c r="F1617" t="inlineStr">
        <is>
          <t>technosphere</t>
        </is>
      </c>
      <c r="G1617" t="n">
        <v>0</v>
      </c>
      <c r="H1617" t="n">
        <v>5.48e-06</v>
      </c>
      <c r="J1617" t="inlineStr">
        <is>
          <t>scaled by efficiency factor f (see "Parameters")</t>
        </is>
      </c>
      <c r="L1617" t="inlineStr">
        <is>
          <t>Sodium hypochlorite, 15% in hydrogenO, at plant U</t>
        </is>
      </c>
      <c r="M1617" t="inlineStr">
        <is>
          <t>sodium hypochlorite, without water, in 15% solution state</t>
        </is>
      </c>
    </row>
    <row r="1618">
      <c r="A1618" t="inlineStr">
        <is>
          <t>market for steel, low-alloyed</t>
        </is>
      </c>
      <c r="B1618" t="n">
        <v>6.952e-07</v>
      </c>
      <c r="C1618" t="inlineStr">
        <is>
          <t>GLO</t>
        </is>
      </c>
      <c r="D1618" t="inlineStr">
        <is>
          <t>kilogram</t>
        </is>
      </c>
      <c r="E1618" t="inlineStr">
        <is>
          <t>Materials/fuels</t>
        </is>
      </c>
      <c r="F1618" t="inlineStr">
        <is>
          <t>technosphere</t>
        </is>
      </c>
      <c r="G1618" t="n">
        <v>0</v>
      </c>
      <c r="H1618" t="n">
        <v>8.69e-08</v>
      </c>
      <c r="J1618" t="inlineStr">
        <is>
          <t>scaled by efficiency factor f (see "Parameters")</t>
        </is>
      </c>
      <c r="L1618" t="inlineStr">
        <is>
          <t>Steel, low-alloyed, at plant U</t>
        </is>
      </c>
      <c r="M1618" t="inlineStr">
        <is>
          <t>steel, low-alloyed</t>
        </is>
      </c>
    </row>
    <row r="1619">
      <c r="A1619" t="inlineStr">
        <is>
          <t>market for stone wool, packed</t>
        </is>
      </c>
      <c r="B1619" t="n">
        <v>4.984e-08</v>
      </c>
      <c r="C1619" t="inlineStr">
        <is>
          <t>GLO</t>
        </is>
      </c>
      <c r="D1619" t="inlineStr">
        <is>
          <t>kilogram</t>
        </is>
      </c>
      <c r="E1619" t="inlineStr">
        <is>
          <t>Materials/fuels</t>
        </is>
      </c>
      <c r="F1619" t="inlineStr">
        <is>
          <t>technosphere</t>
        </is>
      </c>
      <c r="G1619" t="n">
        <v>0</v>
      </c>
      <c r="H1619" t="n">
        <v>6.23e-09</v>
      </c>
      <c r="J1619" t="inlineStr">
        <is>
          <t>scaled by efficiency factor f (see "Parameters")</t>
        </is>
      </c>
      <c r="K1619" t="inlineStr">
        <is>
          <t>stone wool, packed</t>
        </is>
      </c>
      <c r="L1619" t="inlineStr">
        <is>
          <t>Rock wool, packed, at plant/CH U</t>
        </is>
      </c>
      <c r="M1619" t="inlineStr">
        <is>
          <t>stone wool, packed</t>
        </is>
      </c>
    </row>
    <row r="1620">
      <c r="A1620" t="inlineStr">
        <is>
          <t>market for sulfuric acid</t>
        </is>
      </c>
      <c r="B1620" t="n">
        <v>0.000212</v>
      </c>
      <c r="C1620" t="inlineStr">
        <is>
          <t>RER</t>
        </is>
      </c>
      <c r="D1620" t="inlineStr">
        <is>
          <t>kilogram</t>
        </is>
      </c>
      <c r="E1620" t="inlineStr">
        <is>
          <t>Materials/fuels</t>
        </is>
      </c>
      <c r="F1620" t="inlineStr">
        <is>
          <t>technosphere</t>
        </is>
      </c>
      <c r="G1620" t="n">
        <v>0</v>
      </c>
      <c r="H1620" t="n">
        <v>2.65e-05</v>
      </c>
      <c r="J1620" t="inlineStr">
        <is>
          <t>scaled by efficiency factor f (see "Parameters")</t>
        </is>
      </c>
      <c r="L1620" t="inlineStr">
        <is>
          <t>Sulphuric acid, liquid, at plant U</t>
        </is>
      </c>
      <c r="M1620" t="inlineStr">
        <is>
          <t>sulfuric acid</t>
        </is>
      </c>
    </row>
    <row r="1621">
      <c r="A1621" t="inlineStr">
        <is>
          <t>market for transport, freight train</t>
        </is>
      </c>
      <c r="B1621" t="n">
        <v>0.002368</v>
      </c>
      <c r="C1621" t="inlineStr">
        <is>
          <t>Europe without Switzerland</t>
        </is>
      </c>
      <c r="D1621" t="inlineStr">
        <is>
          <t>ton kilometer</t>
        </is>
      </c>
      <c r="E1621" t="inlineStr">
        <is>
          <t>Materials/fuels</t>
        </is>
      </c>
      <c r="F1621" t="inlineStr">
        <is>
          <t>technosphere</t>
        </is>
      </c>
      <c r="G1621" t="n">
        <v>0</v>
      </c>
      <c r="H1621" t="n">
        <v>0.000296</v>
      </c>
      <c r="J1621" t="inlineStr">
        <is>
          <t>scaled by efficiency factor f (see "Parameters")</t>
        </is>
      </c>
      <c r="L1621" t="inlineStr">
        <is>
          <t>Transport, freight, rail U</t>
        </is>
      </c>
      <c r="M1621" t="inlineStr">
        <is>
          <t>transport, freight train</t>
        </is>
      </c>
    </row>
    <row r="1622">
      <c r="A1622" t="inlineStr">
        <is>
          <t>market for transport, freight, lorry, unspecified</t>
        </is>
      </c>
      <c r="B1622" t="n">
        <v>0.001184</v>
      </c>
      <c r="C1622" t="inlineStr">
        <is>
          <t>RER</t>
        </is>
      </c>
      <c r="D1622" t="inlineStr">
        <is>
          <t>ton kilometer</t>
        </is>
      </c>
      <c r="E1622" t="inlineStr">
        <is>
          <t>Materials/fuels</t>
        </is>
      </c>
      <c r="F1622" t="inlineStr">
        <is>
          <t>technosphere</t>
        </is>
      </c>
      <c r="G1622" t="n">
        <v>0</v>
      </c>
      <c r="H1622" t="n">
        <v>0.000148</v>
      </c>
      <c r="J1622" t="inlineStr">
        <is>
          <t>scaled by efficiency factor f (see "Parameters")</t>
        </is>
      </c>
      <c r="L1622" t="inlineStr">
        <is>
          <t>Transport, lorry &gt;16t, fleet average U</t>
        </is>
      </c>
      <c r="M1622" t="inlineStr">
        <is>
          <t>transport, freight, lorry, unspecified</t>
        </is>
      </c>
    </row>
    <row r="1623">
      <c r="A1623" t="inlineStr">
        <is>
          <t>polyethylene production, low density, granulate</t>
        </is>
      </c>
      <c r="B1623" t="n">
        <v>4.712e-09</v>
      </c>
      <c r="C1623" t="inlineStr">
        <is>
          <t>RER</t>
        </is>
      </c>
      <c r="D1623" t="inlineStr">
        <is>
          <t>kilogram</t>
        </is>
      </c>
      <c r="E1623" t="inlineStr">
        <is>
          <t>Materials/fuels</t>
        </is>
      </c>
      <c r="F1623" t="inlineStr">
        <is>
          <t>technosphere</t>
        </is>
      </c>
      <c r="G1623" t="n">
        <v>0</v>
      </c>
      <c r="H1623" t="n">
        <v>5.89e-10</v>
      </c>
      <c r="J1623" t="inlineStr">
        <is>
          <t>scaled by efficiency factor f (see "Parameters")</t>
        </is>
      </c>
      <c r="K1623" t="inlineStr">
        <is>
          <t>polyethylene, low density, granulate</t>
        </is>
      </c>
      <c r="L1623" t="inlineStr">
        <is>
          <t>Polyethylene, LDPE, granulate, at plant U</t>
        </is>
      </c>
      <c r="M1623" t="inlineStr">
        <is>
          <t>polyethylene, low density, granulate</t>
        </is>
      </c>
    </row>
    <row r="1624">
      <c r="A1624" t="inlineStr">
        <is>
          <t>polypropylene production, granulate</t>
        </is>
      </c>
      <c r="B1624" t="n">
        <v>2.36e-09</v>
      </c>
      <c r="C1624" t="inlineStr">
        <is>
          <t>RER</t>
        </is>
      </c>
      <c r="D1624" t="inlineStr">
        <is>
          <t>kilogram</t>
        </is>
      </c>
      <c r="E1624" t="inlineStr">
        <is>
          <t>Materials/fuels</t>
        </is>
      </c>
      <c r="F1624" t="inlineStr">
        <is>
          <t>technosphere</t>
        </is>
      </c>
      <c r="G1624" t="n">
        <v>0</v>
      </c>
      <c r="H1624" t="n">
        <v>2.95e-10</v>
      </c>
      <c r="J1624" t="inlineStr">
        <is>
          <t>scaled by efficiency factor f (see "Parameters")</t>
        </is>
      </c>
      <c r="K1624" t="inlineStr">
        <is>
          <t>polypropylene, granulate</t>
        </is>
      </c>
      <c r="L1624" t="inlineStr">
        <is>
          <t>Polypropylene, granulate, at plant U</t>
        </is>
      </c>
      <c r="M1624" t="inlineStr">
        <is>
          <t>polypropylene, granulate</t>
        </is>
      </c>
    </row>
    <row r="1625">
      <c r="A1625" t="inlineStr">
        <is>
          <t>polystyrene production, high impact</t>
        </is>
      </c>
      <c r="B1625" t="n">
        <v>1.656e-08</v>
      </c>
      <c r="C1625" t="inlineStr">
        <is>
          <t>RER</t>
        </is>
      </c>
      <c r="D1625" t="inlineStr">
        <is>
          <t>kilogram</t>
        </is>
      </c>
      <c r="E1625" t="inlineStr">
        <is>
          <t>Materials/fuels</t>
        </is>
      </c>
      <c r="F1625" t="inlineStr">
        <is>
          <t>technosphere</t>
        </is>
      </c>
      <c r="G1625" t="n">
        <v>0</v>
      </c>
      <c r="H1625" t="n">
        <v>2.07e-09</v>
      </c>
      <c r="J1625" t="inlineStr">
        <is>
          <t>scaled by efficiency factor f (see "Parameters")</t>
        </is>
      </c>
      <c r="K1625" t="inlineStr">
        <is>
          <t>polystyrene, high impact</t>
        </is>
      </c>
      <c r="L1625" t="inlineStr">
        <is>
          <t>Polystyrene, high impact, HIPS, at plant U</t>
        </is>
      </c>
      <c r="M1625" t="inlineStr">
        <is>
          <t>polystyrene, high impact</t>
        </is>
      </c>
    </row>
    <row r="1626">
      <c r="A1626" t="inlineStr">
        <is>
          <t>primary zinc production from concentrate</t>
        </is>
      </c>
      <c r="B1626" t="n">
        <v>6.296e-09</v>
      </c>
      <c r="C1626" t="inlineStr">
        <is>
          <t>RoW</t>
        </is>
      </c>
      <c r="D1626" t="inlineStr">
        <is>
          <t>kilogram</t>
        </is>
      </c>
      <c r="E1626" t="inlineStr">
        <is>
          <t>Materials/fuels</t>
        </is>
      </c>
      <c r="F1626" t="inlineStr">
        <is>
          <t>technosphere</t>
        </is>
      </c>
      <c r="G1626" t="n">
        <v>0</v>
      </c>
      <c r="H1626" t="n">
        <v>7.87e-10</v>
      </c>
      <c r="J1626" t="inlineStr">
        <is>
          <t>scaled by efficiency factor f (see "Parameters")</t>
        </is>
      </c>
      <c r="K1626" t="inlineStr">
        <is>
          <t>zinc</t>
        </is>
      </c>
      <c r="L1626" t="inlineStr">
        <is>
          <t>Zinc, primary, at regional storage U</t>
        </is>
      </c>
      <c r="M1626" t="inlineStr">
        <is>
          <t>indium rich leaching residues, from zinc production</t>
        </is>
      </c>
    </row>
    <row r="1627">
      <c r="A1627" t="inlineStr">
        <is>
          <t>steel production, chromium steel 18/8, hot rolled</t>
        </is>
      </c>
      <c r="B1627" t="n">
        <v>5.816e-08</v>
      </c>
      <c r="C1627" t="inlineStr">
        <is>
          <t>RER</t>
        </is>
      </c>
      <c r="D1627" t="inlineStr">
        <is>
          <t>kilogram</t>
        </is>
      </c>
      <c r="E1627" t="inlineStr">
        <is>
          <t>Materials/fuels</t>
        </is>
      </c>
      <c r="F1627" t="inlineStr">
        <is>
          <t>technosphere</t>
        </is>
      </c>
      <c r="G1627" t="n">
        <v>0</v>
      </c>
      <c r="H1627" t="n">
        <v>7.27e-09</v>
      </c>
      <c r="J1627" t="inlineStr">
        <is>
          <t>scaled by efficiency factor f (see "Parameters")</t>
        </is>
      </c>
      <c r="K1627" t="inlineStr">
        <is>
          <t>steel, chromium steel 18/8, hot rolled</t>
        </is>
      </c>
      <c r="L1627" t="inlineStr">
        <is>
          <t>Chromium steel 18/8, at plant U</t>
        </is>
      </c>
      <c r="M1627" t="inlineStr">
        <is>
          <t>steel, chromium steel 18/8, hot rolled</t>
        </is>
      </c>
    </row>
    <row r="1628">
      <c r="A1628" t="inlineStr">
        <is>
          <t>treatment of average incineration residue, residual material landfill</t>
        </is>
      </c>
      <c r="B1628" t="n">
        <v>-0.01536</v>
      </c>
      <c r="C1628" t="inlineStr">
        <is>
          <t>RoW</t>
        </is>
      </c>
      <c r="D1628" t="inlineStr">
        <is>
          <t>kilogram</t>
        </is>
      </c>
      <c r="E1628" t="inlineStr">
        <is>
          <t>Waste to treatment</t>
        </is>
      </c>
      <c r="F1628" t="inlineStr">
        <is>
          <t>technosphere</t>
        </is>
      </c>
      <c r="G1628" t="n">
        <v>0</v>
      </c>
      <c r="H1628" t="n">
        <v>0.00192</v>
      </c>
      <c r="J1628" t="inlineStr">
        <is>
          <t>scaled by efficiency factor f (see "Parameters")</t>
        </is>
      </c>
      <c r="L1628" t="inlineStr">
        <is>
          <t>Disposal, average incineration residue, 0% water, to residual material landfill/CH U</t>
        </is>
      </c>
      <c r="M1628" t="inlineStr">
        <is>
          <t>average incineration residue</t>
        </is>
      </c>
    </row>
    <row r="1629">
      <c r="A1629" t="inlineStr">
        <is>
          <t>treatment of hard coal ash, residual material landfill</t>
        </is>
      </c>
      <c r="B1629" t="n">
        <v>-0.02888</v>
      </c>
      <c r="C1629" t="inlineStr">
        <is>
          <t>RoW</t>
        </is>
      </c>
      <c r="D1629" t="inlineStr">
        <is>
          <t>kilogram</t>
        </is>
      </c>
      <c r="E1629" t="inlineStr">
        <is>
          <t>Waste to treatment</t>
        </is>
      </c>
      <c r="F1629" t="inlineStr">
        <is>
          <t>technosphere</t>
        </is>
      </c>
      <c r="G1629" t="n">
        <v>0</v>
      </c>
      <c r="H1629" t="n">
        <v>0.00361</v>
      </c>
      <c r="J1629" t="inlineStr">
        <is>
          <t>scaled by efficiency factor f (see "Parameters")</t>
        </is>
      </c>
      <c r="L1629" t="inlineStr">
        <is>
          <t>Disposal, hard coal ash, 0% water, to residual material landfill/DE U</t>
        </is>
      </c>
      <c r="M1629" t="inlineStr">
        <is>
          <t>hard coal ash</t>
        </is>
      </c>
    </row>
    <row r="1630">
      <c r="A1630" t="inlineStr">
        <is>
          <t>treatment of hazardous waste, hazardous waste incineration</t>
        </is>
      </c>
      <c r="B1630" t="n">
        <v>-1.448e-06</v>
      </c>
      <c r="C1630" t="inlineStr">
        <is>
          <t>CH</t>
        </is>
      </c>
      <c r="D1630" t="inlineStr">
        <is>
          <t>kilogram</t>
        </is>
      </c>
      <c r="E1630" t="inlineStr">
        <is>
          <t>Waste to treatment</t>
        </is>
      </c>
      <c r="F1630" t="inlineStr">
        <is>
          <t>technosphere</t>
        </is>
      </c>
      <c r="G1630" t="n">
        <v>0</v>
      </c>
      <c r="H1630" t="n">
        <v>1.81e-07</v>
      </c>
      <c r="J1630" t="inlineStr">
        <is>
          <t>scaled by efficiency factor f (see "Parameters")</t>
        </is>
      </c>
      <c r="L1630" t="inlineStr">
        <is>
          <t>Disposal, hazardous waste, 25% water, to hazardous waste incineration/CH U</t>
        </is>
      </c>
      <c r="M1630" t="inlineStr">
        <is>
          <t>hazardous waste, for incineration</t>
        </is>
      </c>
    </row>
    <row r="1631">
      <c r="A1631" t="inlineStr">
        <is>
          <t>treatment of inert waste, sanitary landfill</t>
        </is>
      </c>
      <c r="B1631" t="n">
        <v>-1.248e-05</v>
      </c>
      <c r="C1631" t="inlineStr">
        <is>
          <t>CH</t>
        </is>
      </c>
      <c r="D1631" t="inlineStr">
        <is>
          <t>kilogram</t>
        </is>
      </c>
      <c r="E1631" t="inlineStr">
        <is>
          <t>Waste to treatment</t>
        </is>
      </c>
      <c r="F1631" t="inlineStr">
        <is>
          <t>technosphere</t>
        </is>
      </c>
      <c r="G1631" t="n">
        <v>0</v>
      </c>
      <c r="H1631" t="n">
        <v>1.56e-06</v>
      </c>
      <c r="J1631" t="inlineStr">
        <is>
          <t>scaled by efficiency factor f (see "Parameters")</t>
        </is>
      </c>
      <c r="K1631" t="inlineStr">
        <is>
          <t>inert waste</t>
        </is>
      </c>
      <c r="L1631" t="inlineStr">
        <is>
          <t>Disposal, inert material, 0% water, to sanitary landfill/CH U</t>
        </is>
      </c>
      <c r="M1631" t="inlineStr">
        <is>
          <t>inert waste</t>
        </is>
      </c>
    </row>
    <row r="1632" ht="16" customHeight="1">
      <c r="A1632" t="inlineStr">
        <is>
          <t>treatment of municipal solid waste, incineration</t>
        </is>
      </c>
      <c r="B1632" t="n">
        <v>-0.00092</v>
      </c>
      <c r="C1632" t="inlineStr">
        <is>
          <t>CH</t>
        </is>
      </c>
      <c r="D1632" t="inlineStr">
        <is>
          <t>kilogram</t>
        </is>
      </c>
      <c r="E1632" t="inlineStr">
        <is>
          <t>Waste to treatment</t>
        </is>
      </c>
      <c r="F1632" t="inlineStr">
        <is>
          <t>technosphere</t>
        </is>
      </c>
      <c r="G1632" t="n">
        <v>0</v>
      </c>
      <c r="H1632" t="n">
        <v>0.000115</v>
      </c>
      <c r="J1632" t="inlineStr">
        <is>
          <t>scaled by efficiency factor f (see "Parameters")</t>
        </is>
      </c>
      <c r="L1632" t="inlineStr">
        <is>
          <t>Disposal, municipal solid waste, 22.9% water, to municipal incineration/CH U</t>
        </is>
      </c>
      <c r="M1632" t="inlineStr">
        <is>
          <t>municipal solid waste</t>
        </is>
      </c>
    </row>
    <row r="1633">
      <c r="A1633" t="inlineStr">
        <is>
          <t>treatment of residue from cooling tower, sanitary landfill</t>
        </is>
      </c>
      <c r="B1633" t="n">
        <v>-4e-05</v>
      </c>
      <c r="C1633" t="inlineStr">
        <is>
          <t>CH</t>
        </is>
      </c>
      <c r="D1633" t="inlineStr">
        <is>
          <t>kilogram</t>
        </is>
      </c>
      <c r="E1633" t="inlineStr">
        <is>
          <t>Waste to treatment</t>
        </is>
      </c>
      <c r="F1633" t="inlineStr">
        <is>
          <t>technosphere</t>
        </is>
      </c>
      <c r="G1633" t="n">
        <v>0</v>
      </c>
      <c r="H1633" t="n">
        <v>5e-06</v>
      </c>
      <c r="J1633" t="inlineStr">
        <is>
          <t>assumed to be the same as in the hard coal pulverised dataset</t>
        </is>
      </c>
      <c r="L1633" t="inlineStr">
        <is>
          <t>Disposal, residue from cooling tower, 30% water, to sanitary landfill/CH U</t>
        </is>
      </c>
      <c r="M1633" t="inlineStr">
        <is>
          <t>residue from cooling tower</t>
        </is>
      </c>
    </row>
    <row r="1634">
      <c r="A1634" t="inlineStr">
        <is>
          <t>treatment of scrap steel, inert material landfill</t>
        </is>
      </c>
      <c r="B1634" t="n">
        <v>-0.0001184</v>
      </c>
      <c r="C1634" t="inlineStr">
        <is>
          <t>CH</t>
        </is>
      </c>
      <c r="D1634" t="inlineStr">
        <is>
          <t>kilogram</t>
        </is>
      </c>
      <c r="E1634" t="inlineStr">
        <is>
          <t>Waste to treatment</t>
        </is>
      </c>
      <c r="F1634" t="inlineStr">
        <is>
          <t>technosphere</t>
        </is>
      </c>
      <c r="G1634" t="n">
        <v>0</v>
      </c>
      <c r="H1634" t="n">
        <v>1.48e-05</v>
      </c>
      <c r="J1634" t="inlineStr">
        <is>
          <t>scaled by efficiency factor f (see "Parameters")</t>
        </is>
      </c>
      <c r="K1634" t="inlineStr">
        <is>
          <t>scrap steel</t>
        </is>
      </c>
      <c r="L1634" t="inlineStr">
        <is>
          <t>Disposal, steel, 0% water, to inert material landfill/CH U</t>
        </is>
      </c>
      <c r="M1634" t="inlineStr">
        <is>
          <t>scrap steel</t>
        </is>
      </c>
    </row>
    <row r="1635">
      <c r="A1635" t="inlineStr">
        <is>
          <t>treatment of spent solvent mixture, hazardous waste incineration</t>
        </is>
      </c>
      <c r="B1635" t="n">
        <v>-4.928e-06</v>
      </c>
      <c r="C1635" t="inlineStr">
        <is>
          <t>CH</t>
        </is>
      </c>
      <c r="D1635" t="inlineStr">
        <is>
          <t>kilogram</t>
        </is>
      </c>
      <c r="E1635" t="inlineStr">
        <is>
          <t>Waste to treatment</t>
        </is>
      </c>
      <c r="F1635" t="inlineStr">
        <is>
          <t>technosphere</t>
        </is>
      </c>
      <c r="G1635" t="n">
        <v>0</v>
      </c>
      <c r="H1635" t="n">
        <v>6.16e-07</v>
      </c>
      <c r="J1635" t="inlineStr">
        <is>
          <t>scaled by efficiency factor f (see "Parameters")</t>
        </is>
      </c>
      <c r="L1635" t="inlineStr">
        <is>
          <t>Disposal, solvents mixture, 16.5% water, to hazardous waste incineration/CH U</t>
        </is>
      </c>
      <c r="M1635" t="inlineStr">
        <is>
          <t>spent solvent mixture</t>
        </is>
      </c>
    </row>
    <row r="1636">
      <c r="A1636" t="inlineStr">
        <is>
          <t>treatment of waste emulsion paint, municipal incineration</t>
        </is>
      </c>
      <c r="B1636" t="n">
        <v>-1.632e-06</v>
      </c>
      <c r="C1636" t="inlineStr">
        <is>
          <t>CH</t>
        </is>
      </c>
      <c r="D1636" t="inlineStr">
        <is>
          <t>kilogram</t>
        </is>
      </c>
      <c r="E1636" t="inlineStr">
        <is>
          <t>Waste to treatment</t>
        </is>
      </c>
      <c r="F1636" t="inlineStr">
        <is>
          <t>technosphere</t>
        </is>
      </c>
      <c r="G1636" t="n">
        <v>0</v>
      </c>
      <c r="H1636" t="n">
        <v>2.04e-07</v>
      </c>
      <c r="J1636" t="inlineStr">
        <is>
          <t>scaled by efficiency factor f (see "Parameters")</t>
        </is>
      </c>
      <c r="K1636" t="inlineStr">
        <is>
          <t>waste emulsion paint</t>
        </is>
      </c>
      <c r="L1636" t="inlineStr">
        <is>
          <t>Disposal, emulsion paint, 0% water, to municipal incineration/CH U</t>
        </is>
      </c>
      <c r="M1636" t="inlineStr">
        <is>
          <t>waste emulsion paint</t>
        </is>
      </c>
    </row>
    <row r="1637">
      <c r="A1637" t="inlineStr">
        <is>
          <t>treatment of waste mineral oil, hazardous waste incineration</t>
        </is>
      </c>
      <c r="B1637" t="n">
        <v>-4.832e-06</v>
      </c>
      <c r="C1637" t="inlineStr">
        <is>
          <t>CH</t>
        </is>
      </c>
      <c r="D1637" t="inlineStr">
        <is>
          <t>kilogram</t>
        </is>
      </c>
      <c r="E1637" t="inlineStr">
        <is>
          <t>Waste to treatment</t>
        </is>
      </c>
      <c r="F1637" t="inlineStr">
        <is>
          <t>technosphere</t>
        </is>
      </c>
      <c r="G1637" t="n">
        <v>0</v>
      </c>
      <c r="H1637" t="n">
        <v>6.04e-07</v>
      </c>
      <c r="J1637" t="inlineStr">
        <is>
          <t>scaled by efficiency factor f (see "Parameters")</t>
        </is>
      </c>
      <c r="L1637" t="inlineStr">
        <is>
          <t>Disposal, used mineral oil, 10% water, to hazardous waste incineration/CH U</t>
        </is>
      </c>
      <c r="M1637" t="inlineStr">
        <is>
          <t>waste mineral oil</t>
        </is>
      </c>
    </row>
    <row r="1638">
      <c r="A1638" t="inlineStr">
        <is>
          <t>treatment of waste plastic, mixture, municipal incineration</t>
        </is>
      </c>
      <c r="B1638" t="n">
        <v>-7.008000000000001e-05</v>
      </c>
      <c r="C1638" t="inlineStr">
        <is>
          <t>CH</t>
        </is>
      </c>
      <c r="D1638" t="inlineStr">
        <is>
          <t>kilogram</t>
        </is>
      </c>
      <c r="E1638" t="inlineStr">
        <is>
          <t>Waste to treatment</t>
        </is>
      </c>
      <c r="F1638" t="inlineStr">
        <is>
          <t>technosphere</t>
        </is>
      </c>
      <c r="G1638" t="n">
        <v>0</v>
      </c>
      <c r="H1638" t="n">
        <v>8.760000000000001e-06</v>
      </c>
      <c r="J1638" t="inlineStr">
        <is>
          <t>scaled by efficiency factor f (see "Parameters")</t>
        </is>
      </c>
      <c r="K1638" t="inlineStr">
        <is>
          <t>waste plastic, mixture</t>
        </is>
      </c>
      <c r="L1638" t="inlineStr">
        <is>
          <t>Disposal, plastics, mixture, 15.3% water, to municipal incineration/CH U</t>
        </is>
      </c>
      <c r="M1638" t="inlineStr">
        <is>
          <t>waste plastic, mixture</t>
        </is>
      </c>
    </row>
    <row r="1639">
      <c r="A1639" t="inlineStr">
        <is>
          <t>treatment of waste textile, soiled, municipal incineration</t>
        </is>
      </c>
      <c r="B1639" t="n">
        <v>-0.0001152</v>
      </c>
      <c r="C1639" t="inlineStr">
        <is>
          <t>CH</t>
        </is>
      </c>
      <c r="D1639" t="inlineStr">
        <is>
          <t>kilogram</t>
        </is>
      </c>
      <c r="E1639" t="inlineStr">
        <is>
          <t>Waste to treatment</t>
        </is>
      </c>
      <c r="F1639" t="inlineStr">
        <is>
          <t>technosphere</t>
        </is>
      </c>
      <c r="G1639" t="n">
        <v>0</v>
      </c>
      <c r="H1639" t="n">
        <v>1.44e-05</v>
      </c>
      <c r="J1639" t="inlineStr">
        <is>
          <t>scaled by efficiency factor f (see "Parameters")</t>
        </is>
      </c>
      <c r="K1639" t="inlineStr">
        <is>
          <t>waste textile, soiled</t>
        </is>
      </c>
      <c r="L1639" t="inlineStr">
        <is>
          <t>Disposal, textiles, soiled, 25% water, to municipal incineration/CH U</t>
        </is>
      </c>
      <c r="M1639" t="inlineStr">
        <is>
          <t>waste textile, soiled</t>
        </is>
      </c>
    </row>
    <row r="1640" ht="16" customHeight="1">
      <c r="A1640" t="inlineStr">
        <is>
          <t>treatment of waste wood, untreated, sanitary landfill</t>
        </is>
      </c>
      <c r="B1640" t="n">
        <v>-1.576e-05</v>
      </c>
      <c r="C1640" t="inlineStr">
        <is>
          <t>CH</t>
        </is>
      </c>
      <c r="D1640" t="inlineStr">
        <is>
          <t>kilogram</t>
        </is>
      </c>
      <c r="E1640" t="inlineStr">
        <is>
          <t>Waste to treatment</t>
        </is>
      </c>
      <c r="F1640" t="inlineStr">
        <is>
          <t>technosphere</t>
        </is>
      </c>
      <c r="G1640" t="n">
        <v>0</v>
      </c>
      <c r="H1640" t="n">
        <v>1.97e-06</v>
      </c>
      <c r="J1640" t="inlineStr">
        <is>
          <t>scaled by efficiency factor f (see "Parameters")</t>
        </is>
      </c>
      <c r="L1640" t="inlineStr">
        <is>
          <t>Disposal, building, waste wood, untreated, to final disposal/CH U</t>
        </is>
      </c>
      <c r="M1640" t="inlineStr">
        <is>
          <t>waste wood, untreated</t>
        </is>
      </c>
    </row>
    <row r="1641"/>
    <row r="1642">
      <c r="A1642" s="1" t="inlineStr">
        <is>
          <t>Activity</t>
        </is>
      </c>
      <c r="B1642" s="1" t="inlineStr">
        <is>
          <t>electricity production, at hydrogen-fired combined cycle power plant, by auto-thermal reforming of natural gas</t>
        </is>
      </c>
    </row>
    <row r="1643">
      <c r="A1643" t="inlineStr">
        <is>
          <t>location</t>
        </is>
      </c>
      <c r="B1643" t="inlineStr">
        <is>
          <t>RER</t>
        </is>
      </c>
    </row>
    <row r="1644">
      <c r="A1644" t="inlineStr">
        <is>
          <t>production amount</t>
        </is>
      </c>
      <c r="B1644" t="n">
        <v>1</v>
      </c>
    </row>
    <row r="1645">
      <c r="A1645" t="inlineStr">
        <is>
          <t>comment</t>
        </is>
      </c>
      <c r="B1645" t="inlineStr">
        <is>
          <t>Hydrogen-fired, Auto-thermal reforming of natural gas. 420 MWel. 7500 full load hours per year. 25 years lifetime. 57% net electrical efficiency.</t>
        </is>
      </c>
    </row>
    <row r="1646">
      <c r="A1646" t="inlineStr">
        <is>
          <t>source</t>
        </is>
      </c>
      <c r="B1646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647">
      <c r="A1647" t="inlineStr">
        <is>
          <t>reference product</t>
        </is>
      </c>
      <c r="B1647" t="inlineStr">
        <is>
          <t>electricity, high voltage</t>
        </is>
      </c>
    </row>
    <row r="1648">
      <c r="A1648" t="inlineStr">
        <is>
          <t>type</t>
        </is>
      </c>
      <c r="B1648" t="inlineStr">
        <is>
          <t>process</t>
        </is>
      </c>
    </row>
    <row r="1649">
      <c r="A1649" t="inlineStr">
        <is>
          <t>unit</t>
        </is>
      </c>
      <c r="B1649" t="inlineStr">
        <is>
          <t>kilowatt hour</t>
        </is>
      </c>
    </row>
    <row r="1650">
      <c r="A1650" s="1" t="inlineStr">
        <is>
          <t>Exchanges</t>
        </is>
      </c>
    </row>
    <row r="1651">
      <c r="A1651" t="inlineStr">
        <is>
          <t>name</t>
        </is>
      </c>
      <c r="B1651" t="inlineStr">
        <is>
          <t>amount</t>
        </is>
      </c>
      <c r="C1651" t="inlineStr">
        <is>
          <t>location</t>
        </is>
      </c>
      <c r="D1651" t="inlineStr">
        <is>
          <t>unit</t>
        </is>
      </c>
      <c r="E1651" t="inlineStr">
        <is>
          <t>categories</t>
        </is>
      </c>
      <c r="F1651" t="inlineStr">
        <is>
          <t>type</t>
        </is>
      </c>
      <c r="G1651" t="inlineStr">
        <is>
          <t>uncertainty type</t>
        </is>
      </c>
      <c r="H1651" t="inlineStr">
        <is>
          <t>loc</t>
        </is>
      </c>
      <c r="I1651" t="inlineStr">
        <is>
          <t>allocation</t>
        </is>
      </c>
      <c r="J1651" t="inlineStr">
        <is>
          <t>comment</t>
        </is>
      </c>
      <c r="K1651" t="inlineStr">
        <is>
          <t>simapro name</t>
        </is>
      </c>
      <c r="L1651" t="inlineStr">
        <is>
          <t>negative</t>
        </is>
      </c>
      <c r="M1651" t="inlineStr">
        <is>
          <t>reference product</t>
        </is>
      </c>
    </row>
    <row r="1652" ht="16" customHeight="1">
      <c r="A1652" t="inlineStr">
        <is>
          <t>electricity production, at hydrogen-fired combined cycle power plant, by auto-thermal reforming of natural gas</t>
        </is>
      </c>
      <c r="B1652" t="n">
        <v>1</v>
      </c>
      <c r="C1652" t="inlineStr">
        <is>
          <t>RER</t>
        </is>
      </c>
      <c r="D1652" t="inlineStr">
        <is>
          <t>kilowatt hour</t>
        </is>
      </c>
      <c r="E1652" t="inlineStr">
        <is>
          <t>CCS Europe 2025::Natural gas</t>
        </is>
      </c>
      <c r="F1652" t="inlineStr">
        <is>
          <t>production</t>
        </is>
      </c>
      <c r="I1652" t="n">
        <v>100</v>
      </c>
      <c r="K1652" t="inlineStr">
        <is>
          <t>electricity production, at natural gas-fired power plant, auto-thermal reforming hydrogen-CC U</t>
        </is>
      </c>
    </row>
    <row r="1653">
      <c r="A1653" t="inlineStr">
        <is>
          <t>Carbon dioxide, fossil</t>
        </is>
      </c>
      <c r="B1653" t="n">
        <v>0.371616</v>
      </c>
      <c r="D1653" t="inlineStr">
        <is>
          <t>kilogram</t>
        </is>
      </c>
      <c r="E1653" t="inlineStr">
        <is>
          <t>air</t>
        </is>
      </c>
      <c r="F1653" t="inlineStr">
        <is>
          <t>biosphere</t>
        </is>
      </c>
      <c r="G1653" t="n">
        <v>0</v>
      </c>
      <c r="H1653" t="n">
        <v>0.0588</v>
      </c>
      <c r="J1653" t="inlineStr">
        <is>
          <t>Felder (2007)</t>
        </is>
      </c>
    </row>
    <row r="1654">
      <c r="A1654" t="inlineStr">
        <is>
          <t>Carbon monoxide, fossil</t>
        </is>
      </c>
      <c r="B1654" t="n">
        <v>3.33064e-06</v>
      </c>
      <c r="D1654" t="inlineStr">
        <is>
          <t>kilogram</t>
        </is>
      </c>
      <c r="E1654" t="inlineStr">
        <is>
          <t>air</t>
        </is>
      </c>
      <c r="F1654" t="inlineStr">
        <is>
          <t>biosphere</t>
        </is>
      </c>
      <c r="G1654" t="n">
        <v>0</v>
      </c>
      <c r="H1654" t="n">
        <v>5.27e-07</v>
      </c>
      <c r="J1654" t="inlineStr">
        <is>
          <t>Felder (2007)</t>
        </is>
      </c>
    </row>
    <row r="1655">
      <c r="A1655" t="inlineStr">
        <is>
          <t>Nitrogen oxides</t>
        </is>
      </c>
      <c r="B1655" t="n">
        <v>0.000171904</v>
      </c>
      <c r="D1655" t="inlineStr">
        <is>
          <t>kilogram</t>
        </is>
      </c>
      <c r="E1655" t="inlineStr">
        <is>
          <t>air</t>
        </is>
      </c>
      <c r="F1655" t="inlineStr">
        <is>
          <t>biosphere</t>
        </is>
      </c>
      <c r="G1655" t="n">
        <v>0</v>
      </c>
      <c r="H1655" t="n">
        <v>2.72e-05</v>
      </c>
      <c r="J1655" t="inlineStr">
        <is>
          <t>Felder (2007)</t>
        </is>
      </c>
    </row>
    <row r="1656">
      <c r="A1656" t="inlineStr">
        <is>
          <t>Particulates, &lt; 2.5 um</t>
        </is>
      </c>
      <c r="B1656" t="n">
        <v>9.163999999999999e-07</v>
      </c>
      <c r="D1656" t="inlineStr">
        <is>
          <t>kilogram</t>
        </is>
      </c>
      <c r="E1656" t="inlineStr">
        <is>
          <t>air</t>
        </is>
      </c>
      <c r="F1656" t="inlineStr">
        <is>
          <t>biosphere</t>
        </is>
      </c>
      <c r="G1656" t="n">
        <v>0</v>
      </c>
      <c r="H1656" t="n">
        <v>1.45e-07</v>
      </c>
      <c r="J1656" t="inlineStr">
        <is>
          <t>Felder (2007)</t>
        </is>
      </c>
    </row>
    <row r="1657">
      <c r="A1657" t="inlineStr">
        <is>
          <t>auto-thermal reforming-hydrogen GT power plant, 400MWe</t>
        </is>
      </c>
      <c r="B1657" t="n">
        <v>1.27032e-11</v>
      </c>
      <c r="C1657" t="inlineStr">
        <is>
          <t>RER</t>
        </is>
      </c>
      <c r="D1657" t="inlineStr">
        <is>
          <t>unit</t>
        </is>
      </c>
      <c r="E1657" t="inlineStr">
        <is>
          <t>Materials/fuels</t>
        </is>
      </c>
      <c r="F1657" t="inlineStr">
        <is>
          <t>technosphere</t>
        </is>
      </c>
      <c r="G1657" t="n">
        <v>0</v>
      </c>
      <c r="H1657" t="n">
        <v>2.01e-12</v>
      </c>
      <c r="J1657" t="inlineStr">
        <is>
          <t>n_plant = 1/(lifetime*annual fuel input)</t>
        </is>
      </c>
      <c r="K1657" t="inlineStr">
        <is>
          <t>auto-thermal reforming-hydrogen GT power plant, 400MWe/I U</t>
        </is>
      </c>
    </row>
    <row r="1658">
      <c r="A1658" t="inlineStr">
        <is>
          <t>market for steam, in chemical industry</t>
        </is>
      </c>
      <c r="B1658" t="n">
        <v>0.000403848</v>
      </c>
      <c r="C1658" t="inlineStr">
        <is>
          <t>RoW</t>
        </is>
      </c>
      <c r="D1658" t="inlineStr">
        <is>
          <t>kilogram</t>
        </is>
      </c>
      <c r="E1658" t="inlineStr">
        <is>
          <t>Materials/fuels</t>
        </is>
      </c>
      <c r="F1658" t="inlineStr">
        <is>
          <t>technosphere</t>
        </is>
      </c>
      <c r="G1658" t="n">
        <v>0</v>
      </c>
      <c r="H1658" t="n">
        <v>6.389999999999999e-05</v>
      </c>
      <c r="J1658" t="inlineStr">
        <is>
          <t>Felder (2007)</t>
        </is>
      </c>
      <c r="K1658" t="inlineStr">
        <is>
          <t>Steam, for chemical processes, at plant U</t>
        </is>
      </c>
      <c r="L1658" t="inlineStr">
        <is>
          <t>steam, in chemical industry</t>
        </is>
      </c>
      <c r="M1658" t="inlineStr">
        <is>
          <t>steam, in chemical industry</t>
        </is>
      </c>
    </row>
    <row r="1659">
      <c r="A1659" t="inlineStr">
        <is>
          <t>market group for electricity, medium voltage</t>
        </is>
      </c>
      <c r="B1659" t="n">
        <v>0.0133352</v>
      </c>
      <c r="C1659" t="inlineStr">
        <is>
          <t>ENTSO-E</t>
        </is>
      </c>
      <c r="D1659" t="inlineStr">
        <is>
          <t>kilowatt hour</t>
        </is>
      </c>
      <c r="E1659" t="inlineStr">
        <is>
          <t>Electricity/heat</t>
        </is>
      </c>
      <c r="F1659" t="inlineStr">
        <is>
          <t>technosphere</t>
        </is>
      </c>
      <c r="G1659" t="n">
        <v>0</v>
      </c>
      <c r="H1659" t="n">
        <v>0.00211</v>
      </c>
      <c r="J1659" t="inlineStr">
        <is>
          <t>Felder (2007)</t>
        </is>
      </c>
      <c r="K1659" t="inlineStr">
        <is>
          <t>electricity production, medium voltage, production UCTE, at grid/UCTE U</t>
        </is>
      </c>
      <c r="M1659" t="inlineStr">
        <is>
          <t>electricity, medium voltage</t>
        </is>
      </c>
    </row>
    <row r="1660" ht="16" customHeight="1">
      <c r="A1660" t="inlineStr">
        <is>
          <t>market group for natural gas, high pressure</t>
        </is>
      </c>
      <c r="B1660">
        <f>((3.6/46.05)/0.57)/0.7</f>
        <v>0.195929563321986</v>
      </c>
      <c r="C1660" t="inlineStr">
        <is>
          <t>Europe without Switzerland</t>
        </is>
      </c>
      <c r="D1660" t="inlineStr">
        <is>
          <t>cubic meter</t>
        </is>
      </c>
      <c r="E1660" t="inlineStr">
        <is>
          <t>Materials/fuels</t>
        </is>
      </c>
      <c r="F1660" t="inlineStr">
        <is>
          <t>technosphere</t>
        </is>
      </c>
      <c r="G1660" t="n">
        <v>0</v>
      </c>
      <c r="H1660" t="n">
        <v>0.02564102564102564</v>
      </c>
      <c r="K1660" t="inlineStr">
        <is>
          <t>Natural gas, high pressure, at consumer U</t>
        </is>
      </c>
      <c r="M1660" t="inlineStr">
        <is>
          <t>natural gas, high pressure</t>
        </is>
      </c>
    </row>
    <row r="1661"/>
    <row r="1662">
      <c r="A1662" s="1" t="inlineStr">
        <is>
          <t>Activity</t>
        </is>
      </c>
      <c r="B1662" s="1" t="inlineStr">
        <is>
          <t>electricity production, at natural gas-fired combined cycle power plant</t>
        </is>
      </c>
    </row>
    <row r="1663">
      <c r="A1663" t="inlineStr">
        <is>
          <t>location</t>
        </is>
      </c>
      <c r="B1663" t="inlineStr">
        <is>
          <t>RER</t>
        </is>
      </c>
    </row>
    <row r="1664">
      <c r="A1664" t="inlineStr">
        <is>
          <t>production amount</t>
        </is>
      </c>
      <c r="B1664" t="n">
        <v>1</v>
      </c>
    </row>
    <row r="1665">
      <c r="A1665" t="inlineStr">
        <is>
          <t>comment</t>
        </is>
      </c>
      <c r="B1665" t="inlineStr">
        <is>
          <t>Natural gas-fired, Combined Cycle. 420 MWel. 7500 full load hours per year. 25 years lifetime. 62% net electrical efficiency.</t>
        </is>
      </c>
    </row>
    <row r="1666">
      <c r="A1666" t="inlineStr">
        <is>
          <t>source</t>
        </is>
      </c>
      <c r="B1666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667">
      <c r="A1667" t="inlineStr">
        <is>
          <t>reference product</t>
        </is>
      </c>
      <c r="B1667" t="inlineStr">
        <is>
          <t>electricity, high voltage</t>
        </is>
      </c>
    </row>
    <row r="1668">
      <c r="A1668" t="inlineStr">
        <is>
          <t>type</t>
        </is>
      </c>
      <c r="B1668" t="inlineStr">
        <is>
          <t>process</t>
        </is>
      </c>
    </row>
    <row r="1669">
      <c r="A1669" t="inlineStr">
        <is>
          <t>unit</t>
        </is>
      </c>
      <c r="B1669" t="inlineStr">
        <is>
          <t>kilowatt hour</t>
        </is>
      </c>
    </row>
    <row r="1670">
      <c r="A1670" s="1" t="inlineStr">
        <is>
          <t>Exchanges</t>
        </is>
      </c>
    </row>
    <row r="1671">
      <c r="A1671" t="inlineStr">
        <is>
          <t>name</t>
        </is>
      </c>
      <c r="B1671" t="inlineStr">
        <is>
          <t>amount</t>
        </is>
      </c>
      <c r="C1671" t="inlineStr">
        <is>
          <t>location</t>
        </is>
      </c>
      <c r="D1671" t="inlineStr">
        <is>
          <t>unit</t>
        </is>
      </c>
      <c r="E1671" t="inlineStr">
        <is>
          <t>categories</t>
        </is>
      </c>
      <c r="F1671" t="inlineStr">
        <is>
          <t>type</t>
        </is>
      </c>
      <c r="G1671" t="inlineStr">
        <is>
          <t>uncertainty type</t>
        </is>
      </c>
      <c r="H1671" t="inlineStr">
        <is>
          <t>loc</t>
        </is>
      </c>
      <c r="I1671" t="inlineStr">
        <is>
          <t>allocation</t>
        </is>
      </c>
      <c r="J1671" t="inlineStr">
        <is>
          <t>comment</t>
        </is>
      </c>
      <c r="K1671" t="inlineStr">
        <is>
          <t>simapro name</t>
        </is>
      </c>
      <c r="L1671" t="inlineStr">
        <is>
          <t>negative</t>
        </is>
      </c>
      <c r="M1671" t="inlineStr">
        <is>
          <t>reference product</t>
        </is>
      </c>
    </row>
    <row r="1672">
      <c r="A1672" t="inlineStr">
        <is>
          <t>electricity production, at natural gas-fired combined cycle power plant</t>
        </is>
      </c>
      <c r="B1672" t="n">
        <v>1</v>
      </c>
      <c r="C1672" t="inlineStr">
        <is>
          <t>RER</t>
        </is>
      </c>
      <c r="D1672" t="inlineStr">
        <is>
          <t>kilowatt hour</t>
        </is>
      </c>
      <c r="E1672" t="inlineStr">
        <is>
          <t>CCS Europe 2025::Natural gas</t>
        </is>
      </c>
      <c r="F1672" t="inlineStr">
        <is>
          <t>production</t>
        </is>
      </c>
      <c r="I1672" t="n">
        <v>100</v>
      </c>
      <c r="K1672" t="inlineStr">
        <is>
          <t>electricity production, at natural gas-fired power plant, NGCC U</t>
        </is>
      </c>
    </row>
    <row r="1673">
      <c r="A1673" t="inlineStr">
        <is>
          <t>Acenaphthene</t>
        </is>
      </c>
      <c r="B1673" t="n">
        <v>4.607329999999999e-12</v>
      </c>
      <c r="D1673" t="inlineStr">
        <is>
          <t>kilogram</t>
        </is>
      </c>
      <c r="E1673" t="inlineStr">
        <is>
          <t>air::urban air close to ground</t>
        </is>
      </c>
      <c r="F1673" t="inlineStr">
        <is>
          <t>biosphere</t>
        </is>
      </c>
      <c r="G1673" t="n">
        <v>0</v>
      </c>
      <c r="H1673" t="n">
        <v>-27.86295317327584</v>
      </c>
      <c r="I1673" t="n">
        <v>0.8047189562170503</v>
      </c>
      <c r="K1673" t="inlineStr">
        <is>
          <t>US EPA 1998, high uncertainty reported qulitatively therein</t>
        </is>
      </c>
      <c r="L1673" t="n">
        <v>0</v>
      </c>
    </row>
    <row r="1674">
      <c r="A1674" t="inlineStr">
        <is>
          <t>Acetaldehyde</t>
        </is>
      </c>
      <c r="B1674" t="n">
        <v>4.648e-09</v>
      </c>
      <c r="D1674" t="inlineStr">
        <is>
          <t>kilogram</t>
        </is>
      </c>
      <c r="E1674" t="inlineStr">
        <is>
          <t>air::urban air close to ground</t>
        </is>
      </c>
      <c r="F1674" t="inlineStr">
        <is>
          <t>biosphere</t>
        </is>
      </c>
      <c r="G1674" t="n">
        <v>0</v>
      </c>
      <c r="H1674" t="n">
        <v>-20.94640938826062</v>
      </c>
      <c r="I1674" t="n">
        <v>1.039720770839918</v>
      </c>
      <c r="K1674" t="inlineStr">
        <is>
          <t>rough estimate, high uncertainty</t>
        </is>
      </c>
      <c r="L1674" t="n">
        <v>0</v>
      </c>
    </row>
    <row r="1675">
      <c r="A1675" t="inlineStr">
        <is>
          <t>Acetic acid</t>
        </is>
      </c>
      <c r="B1675" t="n">
        <v>7.0301e-07</v>
      </c>
      <c r="D1675" t="inlineStr">
        <is>
          <t>kilogram</t>
        </is>
      </c>
      <c r="E1675" t="inlineStr">
        <is>
          <t>air::urban air close to ground</t>
        </is>
      </c>
      <c r="F1675" t="inlineStr">
        <is>
          <t>biosphere</t>
        </is>
      </c>
      <c r="G1675" t="n">
        <v>0</v>
      </c>
      <c r="H1675" t="n">
        <v>-15.92747529134967</v>
      </c>
      <c r="I1675" t="n">
        <v>1.039720770839918</v>
      </c>
      <c r="K1675" t="inlineStr">
        <is>
          <t>rough estimate, high uncertainty</t>
        </is>
      </c>
      <c r="L1675" t="n">
        <v>0</v>
      </c>
    </row>
    <row r="1676">
      <c r="A1676" t="inlineStr">
        <is>
          <t>Benzene</t>
        </is>
      </c>
      <c r="B1676" t="n">
        <v>5.380059999999999e-09</v>
      </c>
      <c r="D1676" t="inlineStr">
        <is>
          <t>kilogram</t>
        </is>
      </c>
      <c r="E1676" t="inlineStr">
        <is>
          <t>air::urban air close to ground</t>
        </is>
      </c>
      <c r="F1676" t="inlineStr">
        <is>
          <t>biosphere</t>
        </is>
      </c>
      <c r="G1676" t="n">
        <v>0</v>
      </c>
      <c r="H1676" t="n">
        <v>-20.80014688128237</v>
      </c>
      <c r="I1676" t="n">
        <v>0.8047189562170503</v>
      </c>
      <c r="K1676" t="inlineStr">
        <is>
          <t>US EPA 1998, high uncertainty reported qulitatively therein</t>
        </is>
      </c>
      <c r="L1676" t="n">
        <v>0</v>
      </c>
    </row>
    <row r="1677">
      <c r="A1677" t="inlineStr">
        <is>
          <t>Benzo(a)pyrene</t>
        </is>
      </c>
      <c r="B1677" t="n">
        <v>3.07349e-12</v>
      </c>
      <c r="D1677" t="inlineStr">
        <is>
          <t>kilogram</t>
        </is>
      </c>
      <c r="E1677" t="inlineStr">
        <is>
          <t>air::urban air close to ground</t>
        </is>
      </c>
      <c r="F1677" t="inlineStr">
        <is>
          <t>biosphere</t>
        </is>
      </c>
      <c r="G1677" t="n">
        <v>0</v>
      </c>
      <c r="H1677" t="n">
        <v>-28.26778796305238</v>
      </c>
      <c r="I1677" t="n">
        <v>0.8047189562170503</v>
      </c>
      <c r="K1677" t="inlineStr">
        <is>
          <t>US EPA 1998, high uncertainty reported qulitatively therein</t>
        </is>
      </c>
      <c r="L1677" t="n">
        <v>0</v>
      </c>
    </row>
    <row r="1678">
      <c r="A1678" t="inlineStr">
        <is>
          <t>Butane</t>
        </is>
      </c>
      <c r="B1678" t="n">
        <v>5.380059999999999e-06</v>
      </c>
      <c r="D1678" t="inlineStr">
        <is>
          <t>kilogram</t>
        </is>
      </c>
      <c r="E1678" t="inlineStr">
        <is>
          <t>air::urban air close to ground</t>
        </is>
      </c>
      <c r="F1678" t="inlineStr">
        <is>
          <t>biosphere</t>
        </is>
      </c>
      <c r="G1678" t="n">
        <v>0</v>
      </c>
      <c r="H1678" t="n">
        <v>-13.89239160230023</v>
      </c>
      <c r="I1678" t="n">
        <v>0.8047189562170503</v>
      </c>
      <c r="K1678" t="inlineStr">
        <is>
          <t>US EPA 1998, high uncertainty reported qulitatively therein</t>
        </is>
      </c>
      <c r="L1678" t="n">
        <v>0</v>
      </c>
    </row>
    <row r="1679">
      <c r="A1679" t="inlineStr">
        <is>
          <t>Carbon dioxide, fossil</t>
        </is>
      </c>
      <c r="B1679">
        <f>B1701*36*0.06</f>
        <v>0.368544971088699</v>
      </c>
      <c r="D1679" t="inlineStr">
        <is>
          <t>kilogram</t>
        </is>
      </c>
      <c r="E1679" t="inlineStr">
        <is>
          <t>air::urban air close to ground</t>
        </is>
      </c>
      <c r="F1679" t="inlineStr">
        <is>
          <t>biosphere</t>
        </is>
      </c>
      <c r="G1679" t="n">
        <v>0</v>
      </c>
      <c r="H1679" t="n">
        <v>-2.882403588246988</v>
      </c>
      <c r="I1679" t="n">
        <v>0.02439508208471609</v>
      </c>
      <c r="K1679" t="inlineStr">
        <is>
          <t>composition of natural gas</t>
        </is>
      </c>
      <c r="L1679" t="n">
        <v>0</v>
      </c>
    </row>
    <row r="1680">
      <c r="A1680" t="inlineStr">
        <is>
          <t>Carbon monoxide, fossil</t>
        </is>
      </c>
      <c r="B1680" t="n">
        <v>1.2782e-05</v>
      </c>
      <c r="D1680" t="inlineStr">
        <is>
          <t>kilogram</t>
        </is>
      </c>
      <c r="E1680" t="inlineStr">
        <is>
          <t>air::urban air close to ground</t>
        </is>
      </c>
      <c r="F1680" t="inlineStr">
        <is>
          <t>biosphere</t>
        </is>
      </c>
      <c r="G1680" t="n">
        <v>0</v>
      </c>
      <c r="H1680" t="n">
        <v>-13.0270531976</v>
      </c>
      <c r="I1680" t="n">
        <v>0.2027325540540821</v>
      </c>
      <c r="K1680" t="inlineStr">
        <is>
          <t>measurement, single combined cycle power plant</t>
        </is>
      </c>
      <c r="L1680" t="n">
        <v>0</v>
      </c>
    </row>
    <row r="1681">
      <c r="A1681" t="inlineStr">
        <is>
          <t>Dinitrogen monoxide</t>
        </is>
      </c>
      <c r="B1681" t="n">
        <v>5.809999999999999e-06</v>
      </c>
      <c r="D1681" t="inlineStr">
        <is>
          <t>kilogram</t>
        </is>
      </c>
      <c r="E1681" t="inlineStr">
        <is>
          <t>air::urban air close to ground</t>
        </is>
      </c>
      <c r="F1681" t="inlineStr">
        <is>
          <t>biosphere</t>
        </is>
      </c>
      <c r="G1681" t="n">
        <v>0</v>
      </c>
      <c r="H1681" t="n">
        <v>-13.81551055796427</v>
      </c>
      <c r="I1681" t="n">
        <v>0.5493061443340548</v>
      </c>
      <c r="K1681" t="inlineStr">
        <is>
          <t>estimate from range of values from different references</t>
        </is>
      </c>
      <c r="L1681" t="n">
        <v>0</v>
      </c>
    </row>
    <row r="1682">
      <c r="A1682" t="inlineStr">
        <is>
          <t>Dioxins, measured as 2,3,7,8-tetrachlorodibenzo-p-dioxin</t>
        </is>
      </c>
      <c r="B1682" t="n">
        <v>1.6849e-16</v>
      </c>
      <c r="D1682" t="inlineStr">
        <is>
          <t>kilogram</t>
        </is>
      </c>
      <c r="E1682" t="inlineStr">
        <is>
          <t>air::urban air close to ground</t>
        </is>
      </c>
      <c r="F1682" t="inlineStr">
        <is>
          <t>biosphere</t>
        </is>
      </c>
      <c r="G1682" t="n">
        <v>0</v>
      </c>
      <c r="H1682" t="n">
        <v>-38.07923584390635</v>
      </c>
      <c r="I1682" t="n">
        <v>1.039720770839918</v>
      </c>
      <c r="K1682" t="inlineStr">
        <is>
          <t>rough estimate, high uncertainty</t>
        </is>
      </c>
      <c r="L1682" t="n">
        <v>0</v>
      </c>
    </row>
    <row r="1683">
      <c r="A1683" t="inlineStr">
        <is>
          <t>Ethane</t>
        </is>
      </c>
      <c r="B1683" t="n">
        <v>7.959699999999999e-06</v>
      </c>
      <c r="D1683" t="inlineStr">
        <is>
          <t>kilogram</t>
        </is>
      </c>
      <c r="E1683" t="inlineStr">
        <is>
          <t>air::urban air close to ground</t>
        </is>
      </c>
      <c r="F1683" t="inlineStr">
        <is>
          <t>biosphere</t>
        </is>
      </c>
      <c r="G1683" t="n">
        <v>0</v>
      </c>
      <c r="H1683" t="n">
        <v>-13.50069981812424</v>
      </c>
      <c r="I1683" t="n">
        <v>0.8047189562170503</v>
      </c>
      <c r="K1683" t="inlineStr">
        <is>
          <t>US EPA 1998, high uncertainty reported qulitatively therein</t>
        </is>
      </c>
      <c r="L1683" t="n">
        <v>0</v>
      </c>
    </row>
    <row r="1684">
      <c r="A1684" t="inlineStr">
        <is>
          <t>Formaldehyde</t>
        </is>
      </c>
      <c r="B1684" t="n">
        <v>1.92311e-07</v>
      </c>
      <c r="D1684" t="inlineStr">
        <is>
          <t>kilogram</t>
        </is>
      </c>
      <c r="E1684" t="inlineStr">
        <is>
          <t>air::urban air close to ground</t>
        </is>
      </c>
      <c r="F1684" t="inlineStr">
        <is>
          <t>biosphere</t>
        </is>
      </c>
      <c r="G1684" t="n">
        <v>0</v>
      </c>
      <c r="H1684" t="n">
        <v>-17.22373255456339</v>
      </c>
      <c r="I1684" t="n">
        <v>0.8047189562170503</v>
      </c>
      <c r="K1684" t="inlineStr">
        <is>
          <t>US EPA 1998, high uncertainty reported qulitatively therein</t>
        </is>
      </c>
      <c r="L1684" t="n">
        <v>0</v>
      </c>
    </row>
    <row r="1685">
      <c r="A1685" t="inlineStr">
        <is>
          <t>Heat, waste</t>
        </is>
      </c>
      <c r="B1685" t="n">
        <v>3.05025</v>
      </c>
      <c r="D1685" t="inlineStr">
        <is>
          <t>megajoule</t>
        </is>
      </c>
      <c r="E1685" t="inlineStr">
        <is>
          <t>air::urban air close to ground</t>
        </is>
      </c>
      <c r="F1685" t="inlineStr">
        <is>
          <t>biosphere</t>
        </is>
      </c>
      <c r="G1685" t="n">
        <v>0</v>
      </c>
      <c r="H1685" t="n">
        <v>-0.6443570163905132</v>
      </c>
      <c r="I1685" t="n">
        <v>0.02439508208471609</v>
      </c>
      <c r="K1685" t="inlineStr">
        <is>
          <t>heating value and efficiency</t>
        </is>
      </c>
      <c r="L1685" t="n">
        <v>0</v>
      </c>
    </row>
    <row r="1686">
      <c r="A1686" t="inlineStr">
        <is>
          <t>Hexane</t>
        </is>
      </c>
      <c r="B1686" t="n">
        <v>4.607329999999999e-06</v>
      </c>
      <c r="D1686" t="inlineStr">
        <is>
          <t>kilogram</t>
        </is>
      </c>
      <c r="E1686" t="inlineStr">
        <is>
          <t>air::urban air close to ground</t>
        </is>
      </c>
      <c r="F1686" t="inlineStr">
        <is>
          <t>biosphere</t>
        </is>
      </c>
      <c r="G1686" t="n">
        <v>0</v>
      </c>
      <c r="H1686" t="n">
        <v>-14.04744261531156</v>
      </c>
      <c r="I1686" t="n">
        <v>0.8047189562170503</v>
      </c>
      <c r="K1686" t="inlineStr">
        <is>
          <t>US EPA 1998, high uncertainty reported qulitatively therein</t>
        </is>
      </c>
      <c r="L1686" t="n">
        <v>0</v>
      </c>
    </row>
    <row r="1687">
      <c r="A1687" t="inlineStr">
        <is>
          <t>Mercury</t>
        </is>
      </c>
      <c r="B1687" t="n">
        <v>1.743e-10</v>
      </c>
      <c r="D1687" t="inlineStr">
        <is>
          <t>kilogram</t>
        </is>
      </c>
      <c r="E1687" t="inlineStr">
        <is>
          <t>air::urban air close to ground</t>
        </is>
      </c>
      <c r="F1687" t="inlineStr">
        <is>
          <t>biosphere</t>
        </is>
      </c>
      <c r="G1687" t="n">
        <v>0</v>
      </c>
      <c r="H1687" t="n">
        <v>-24.22982373426639</v>
      </c>
      <c r="I1687" t="n">
        <v>0.8047189562170503</v>
      </c>
      <c r="K1687" t="inlineStr">
        <is>
          <t>basic uncertainty for heavy metal; trace element in natural gas</t>
        </is>
      </c>
      <c r="L1687" t="n">
        <v>0</v>
      </c>
    </row>
    <row r="1688">
      <c r="A1688" t="inlineStr">
        <is>
          <t>Methane, fossil</t>
        </is>
      </c>
      <c r="B1688" t="n">
        <v>5.809999999999999e-06</v>
      </c>
      <c r="D1688" t="inlineStr">
        <is>
          <t>kilogram</t>
        </is>
      </c>
      <c r="E1688" t="inlineStr">
        <is>
          <t>air::urban air close to ground</t>
        </is>
      </c>
      <c r="F1688" t="inlineStr">
        <is>
          <t>biosphere</t>
        </is>
      </c>
      <c r="G1688" t="n">
        <v>0</v>
      </c>
      <c r="H1688" t="n">
        <v>-13.81551055796427</v>
      </c>
      <c r="I1688" t="n">
        <v>0.8047189562170503</v>
      </c>
      <c r="K1688" t="inlineStr">
        <is>
          <t>range of values from different references</t>
        </is>
      </c>
      <c r="L1688" t="n">
        <v>0</v>
      </c>
    </row>
    <row r="1689">
      <c r="A1689" t="inlineStr">
        <is>
          <t>Nitrogen oxides</t>
        </is>
      </c>
      <c r="B1689" t="n">
        <v>0.000158032</v>
      </c>
      <c r="D1689" t="inlineStr">
        <is>
          <t>kilogram</t>
        </is>
      </c>
      <c r="E1689" t="inlineStr">
        <is>
          <t>air::urban air close to ground</t>
        </is>
      </c>
      <c r="F1689" t="inlineStr">
        <is>
          <t>biosphere</t>
        </is>
      </c>
      <c r="G1689" t="n">
        <v>0</v>
      </c>
      <c r="H1689" t="n">
        <v>-10.51229358466232</v>
      </c>
      <c r="I1689" t="n">
        <v>0.2027325540540821</v>
      </c>
      <c r="K1689" t="inlineStr">
        <is>
          <t>P. Jansohn: 15 ppm (industrial value)</t>
        </is>
      </c>
      <c r="L1689" t="n">
        <v>0</v>
      </c>
    </row>
    <row r="1690">
      <c r="A1690" t="inlineStr">
        <is>
          <t>PAH, polycyclic aromatic hydrocarbons</t>
        </is>
      </c>
      <c r="B1690" t="n">
        <v>4.648e-08</v>
      </c>
      <c r="D1690" t="inlineStr">
        <is>
          <t>kilogram</t>
        </is>
      </c>
      <c r="E1690" t="inlineStr">
        <is>
          <t>air::urban air close to ground</t>
        </is>
      </c>
      <c r="F1690" t="inlineStr">
        <is>
          <t>biosphere</t>
        </is>
      </c>
      <c r="G1690" t="n">
        <v>0</v>
      </c>
      <c r="H1690" t="n">
        <v>-18.64382429526658</v>
      </c>
      <c r="I1690" t="n">
        <v>1.039720770839918</v>
      </c>
      <c r="K1690" t="inlineStr">
        <is>
          <t>rough estimate, high uncertainty</t>
        </is>
      </c>
      <c r="L1690" t="n">
        <v>0</v>
      </c>
    </row>
    <row r="1691">
      <c r="A1691" t="inlineStr">
        <is>
          <t>Particulates, &lt; 2.5 um</t>
        </is>
      </c>
      <c r="B1691" t="n">
        <v>2.905e-06</v>
      </c>
      <c r="D1691" t="inlineStr">
        <is>
          <t>kilogram</t>
        </is>
      </c>
      <c r="E1691" t="inlineStr">
        <is>
          <t>air::urban air close to ground</t>
        </is>
      </c>
      <c r="F1691" t="inlineStr">
        <is>
          <t>biosphere</t>
        </is>
      </c>
      <c r="G1691" t="n">
        <v>0</v>
      </c>
      <c r="H1691" t="n">
        <v>-14.50865773852422</v>
      </c>
      <c r="I1691" t="n">
        <v>0.5493061443340548</v>
      </c>
      <c r="K1691" t="inlineStr">
        <is>
          <t>estimate from range of values from different references</t>
        </is>
      </c>
      <c r="L1691" t="n">
        <v>0</v>
      </c>
    </row>
    <row r="1692">
      <c r="A1692" t="inlineStr">
        <is>
          <t>Pentane</t>
        </is>
      </c>
      <c r="B1692" t="n">
        <v>6.681499999999999e-06</v>
      </c>
      <c r="D1692" t="inlineStr">
        <is>
          <t>kilogram</t>
        </is>
      </c>
      <c r="E1692" t="inlineStr">
        <is>
          <t>air::urban air close to ground</t>
        </is>
      </c>
      <c r="F1692" t="inlineStr">
        <is>
          <t>biosphere</t>
        </is>
      </c>
      <c r="G1692" t="n">
        <v>0</v>
      </c>
      <c r="H1692" t="n">
        <v>-13.67574861558912</v>
      </c>
      <c r="I1692" t="n">
        <v>0.8047189562170503</v>
      </c>
      <c r="K1692" t="inlineStr">
        <is>
          <t>US EPA 1998, high uncertainty reported qulitatively therein</t>
        </is>
      </c>
      <c r="L1692" t="n">
        <v>0</v>
      </c>
    </row>
    <row r="1693">
      <c r="A1693" t="inlineStr">
        <is>
          <t>Propane</t>
        </is>
      </c>
      <c r="B1693" t="n">
        <v>4.09605e-06</v>
      </c>
      <c r="D1693" t="inlineStr">
        <is>
          <t>kilogram</t>
        </is>
      </c>
      <c r="E1693" t="inlineStr">
        <is>
          <t>air::urban air close to ground</t>
        </is>
      </c>
      <c r="F1693" t="inlineStr">
        <is>
          <t>biosphere</t>
        </is>
      </c>
      <c r="G1693" t="n">
        <v>0</v>
      </c>
      <c r="H1693" t="n">
        <v>-14.16506803413414</v>
      </c>
      <c r="I1693" t="n">
        <v>0.8047189562170503</v>
      </c>
      <c r="K1693" t="inlineStr">
        <is>
          <t>US EPA 1998, high uncertainty reported qulitatively therein</t>
        </is>
      </c>
      <c r="L1693" t="n">
        <v>0</v>
      </c>
    </row>
    <row r="1694" ht="16" customHeight="1">
      <c r="A1694" t="inlineStr">
        <is>
          <t>Propionic acid</t>
        </is>
      </c>
      <c r="B1694" t="n">
        <v>9.295999999999999e-08</v>
      </c>
      <c r="D1694" t="inlineStr">
        <is>
          <t>kilogram</t>
        </is>
      </c>
      <c r="E1694" t="inlineStr">
        <is>
          <t>air::urban air close to ground</t>
        </is>
      </c>
      <c r="F1694" t="inlineStr">
        <is>
          <t>biosphere</t>
        </is>
      </c>
      <c r="G1694" t="n">
        <v>0</v>
      </c>
      <c r="H1694" t="n">
        <v>-17.95067711470663</v>
      </c>
      <c r="I1694" t="n">
        <v>1.039720770839918</v>
      </c>
      <c r="K1694" t="inlineStr">
        <is>
          <t>rough estimate, high uncertainty</t>
        </is>
      </c>
      <c r="L1694" t="n">
        <v>0</v>
      </c>
    </row>
    <row r="1695">
      <c r="A1695" t="inlineStr">
        <is>
          <t>Sulfur dioxide</t>
        </is>
      </c>
      <c r="B1695" t="n">
        <v>2.905e-06</v>
      </c>
      <c r="D1695" t="inlineStr">
        <is>
          <t>kilogram</t>
        </is>
      </c>
      <c r="E1695" t="inlineStr">
        <is>
          <t>air::urban air close to ground</t>
        </is>
      </c>
      <c r="F1695" t="inlineStr">
        <is>
          <t>biosphere</t>
        </is>
      </c>
      <c r="G1695" t="n">
        <v>0</v>
      </c>
      <c r="H1695" t="n">
        <v>-14.50865773852422</v>
      </c>
      <c r="I1695" t="n">
        <v>0.04765508990216251</v>
      </c>
      <c r="K1695" t="inlineStr">
        <is>
          <t>composition of natural gas</t>
        </is>
      </c>
      <c r="L1695" t="n">
        <v>0</v>
      </c>
    </row>
    <row r="1696">
      <c r="A1696" t="inlineStr">
        <is>
          <t>Toluene</t>
        </is>
      </c>
      <c r="B1696" t="n">
        <v>8.714999999999999e-09</v>
      </c>
      <c r="D1696" t="inlineStr">
        <is>
          <t>kilogram</t>
        </is>
      </c>
      <c r="E1696" t="inlineStr">
        <is>
          <t>air::urban air close to ground</t>
        </is>
      </c>
      <c r="F1696" t="inlineStr">
        <is>
          <t>biosphere</t>
        </is>
      </c>
      <c r="G1696" t="n">
        <v>0</v>
      </c>
      <c r="H1696" t="n">
        <v>-20.31780072883825</v>
      </c>
      <c r="I1696" t="n">
        <v>0.8047189562170503</v>
      </c>
      <c r="K1696" t="inlineStr">
        <is>
          <t>US EPA 1998, high uncertainty reported qulitatively therein</t>
        </is>
      </c>
      <c r="L1696" t="n">
        <v>0</v>
      </c>
    </row>
    <row r="1697">
      <c r="A1697" t="inlineStr">
        <is>
          <t>market for gas power plant, combined cycle, 400MW electrical</t>
        </is>
      </c>
      <c r="B1697" t="n">
        <v>1.27239e-11</v>
      </c>
      <c r="C1697" t="inlineStr">
        <is>
          <t>GLO</t>
        </is>
      </c>
      <c r="D1697" t="inlineStr">
        <is>
          <t>unit</t>
        </is>
      </c>
      <c r="E1697" t="inlineStr">
        <is>
          <t>Materials/fuels</t>
        </is>
      </c>
      <c r="F1697" t="inlineStr">
        <is>
          <t>technosphere</t>
        </is>
      </c>
      <c r="G1697" t="n">
        <v>0</v>
      </c>
      <c r="H1697" t="n">
        <v>-26.84711957210014</v>
      </c>
      <c r="I1697" t="n">
        <v>0.3465735902799727</v>
      </c>
      <c r="K1697" t="inlineStr">
        <is>
          <t>n_plant = 1/(lifetime*annual fuel input)</t>
        </is>
      </c>
      <c r="L1697" t="n">
        <v>0</v>
      </c>
      <c r="M1697" t="inlineStr">
        <is>
          <t>gas power plant, combined cycle, 400MW electrical</t>
        </is>
      </c>
    </row>
    <row r="1698">
      <c r="A1698" t="inlineStr">
        <is>
          <t>market for hydrochloric acid, without water, in 30% solution state</t>
        </is>
      </c>
      <c r="B1698" t="n">
        <v>1.4525e-05</v>
      </c>
      <c r="C1698" t="inlineStr">
        <is>
          <t>RER</t>
        </is>
      </c>
      <c r="D1698" t="inlineStr">
        <is>
          <t>kilogram</t>
        </is>
      </c>
      <c r="E1698" t="inlineStr">
        <is>
          <t>Materials/fuels</t>
        </is>
      </c>
      <c r="F1698" t="inlineStr">
        <is>
          <t>technosphere</t>
        </is>
      </c>
      <c r="G1698" t="n">
        <v>0</v>
      </c>
      <c r="H1698" t="n">
        <v>-12.89921982609012</v>
      </c>
      <c r="I1698" t="n">
        <v>0.1075556898084728</v>
      </c>
      <c r="K1698" t="inlineStr">
        <is>
          <t>basic uncertainty:1.05;(4,na,3,1,1,na)</t>
        </is>
      </c>
      <c r="L1698" t="n">
        <v>0</v>
      </c>
      <c r="M1698" t="inlineStr">
        <is>
          <t>hydrochloric acid, without water, in 30% solution state</t>
        </is>
      </c>
    </row>
    <row r="1699">
      <c r="A1699" t="inlineStr">
        <is>
          <t>market for sodium hydroxide, without water, in 50% solution state</t>
        </is>
      </c>
      <c r="B1699" t="n">
        <v>1.162e-05</v>
      </c>
      <c r="C1699" t="inlineStr">
        <is>
          <t>GLO</t>
        </is>
      </c>
      <c r="D1699" t="inlineStr">
        <is>
          <t>kilogram</t>
        </is>
      </c>
      <c r="E1699" t="inlineStr">
        <is>
          <t>Materials/fuels</t>
        </is>
      </c>
      <c r="F1699" t="inlineStr">
        <is>
          <t>technosphere</t>
        </is>
      </c>
      <c r="G1699" t="n">
        <v>0</v>
      </c>
      <c r="H1699" t="n">
        <v>-13.12236337740433</v>
      </c>
      <c r="I1699" t="n">
        <v>0.1075556898084728</v>
      </c>
      <c r="K1699" t="inlineStr">
        <is>
          <t>basic uncertainty:1.05;(4,na,3,1,1,na)</t>
        </is>
      </c>
      <c r="L1699" t="n">
        <v>0</v>
      </c>
      <c r="M1699" t="inlineStr">
        <is>
          <t>sodium hydroxide, without water, in 50% solution state</t>
        </is>
      </c>
    </row>
    <row r="1700">
      <c r="A1700" t="inlineStr">
        <is>
          <t>market for water, decarbonised</t>
        </is>
      </c>
      <c r="B1700" t="n">
        <v>2.905</v>
      </c>
      <c r="C1700" t="inlineStr">
        <is>
          <t>RoW</t>
        </is>
      </c>
      <c r="D1700" t="inlineStr">
        <is>
          <t>kilogram</t>
        </is>
      </c>
      <c r="E1700" t="inlineStr">
        <is>
          <t>Materials/fuels</t>
        </is>
      </c>
      <c r="F1700" t="inlineStr">
        <is>
          <t>technosphere</t>
        </is>
      </c>
      <c r="G1700" t="n">
        <v>0</v>
      </c>
      <c r="H1700" t="n">
        <v>-0.6931471805599453</v>
      </c>
      <c r="I1700" t="n">
        <v>0.4581453659370776</v>
      </c>
      <c r="K1700" t="inlineStr">
        <is>
          <t>range of values from different references</t>
        </is>
      </c>
      <c r="L1700" t="n">
        <v>0</v>
      </c>
      <c r="M1700" t="inlineStr">
        <is>
          <t>water, decarbonised</t>
        </is>
      </c>
    </row>
    <row r="1701">
      <c r="A1701" t="inlineStr">
        <is>
          <t>market group for natural gas, high pressure</t>
        </is>
      </c>
      <c r="B1701">
        <f>((3.6/46.05)/0.62)/0.739</f>
        <v>0.170622671800324</v>
      </c>
      <c r="C1701" t="inlineStr">
        <is>
          <t>Europe without Switzerland</t>
        </is>
      </c>
      <c r="D1701" t="inlineStr">
        <is>
          <t>cubic meter</t>
        </is>
      </c>
      <c r="E1701" t="inlineStr">
        <is>
          <t>Materials/fuels</t>
        </is>
      </c>
      <c r="F1701" t="inlineStr">
        <is>
          <t>technosphere</t>
        </is>
      </c>
      <c r="G1701" t="n">
        <v>0</v>
      </c>
      <c r="H1701" t="n">
        <v>0.02564102564102564</v>
      </c>
      <c r="I1701" t="n">
        <v>0</v>
      </c>
      <c r="L1701" t="n">
        <v>0</v>
      </c>
      <c r="M1701" t="inlineStr">
        <is>
          <t>natural gas, high pressure</t>
        </is>
      </c>
    </row>
    <row r="1702" ht="16" customHeight="1">
      <c r="A1702" t="inlineStr">
        <is>
          <t>treatment of residue from cooling tower, sanitary landfill</t>
        </is>
      </c>
      <c r="B1702" t="n">
        <v>-5.809999999999999e-06</v>
      </c>
      <c r="C1702" t="inlineStr">
        <is>
          <t>CH</t>
        </is>
      </c>
      <c r="D1702" t="inlineStr">
        <is>
          <t>kilogram</t>
        </is>
      </c>
      <c r="E1702" t="inlineStr">
        <is>
          <t>Waste to treatment</t>
        </is>
      </c>
      <c r="F1702" t="inlineStr">
        <is>
          <t>technosphere</t>
        </is>
      </c>
      <c r="G1702" t="n">
        <v>0</v>
      </c>
      <c r="H1702" t="n">
        <v>-13.81551055796427</v>
      </c>
      <c r="I1702" t="n">
        <v>1.039720770839918</v>
      </c>
      <c r="K1702" t="inlineStr">
        <is>
          <t>rough estimate, high uncertainty</t>
        </is>
      </c>
      <c r="L1702" t="n">
        <v>0</v>
      </c>
      <c r="M1702" t="inlineStr">
        <is>
          <t>residue from cooling tower</t>
        </is>
      </c>
    </row>
    <row r="1703"/>
    <row r="1704">
      <c r="A1704" s="1" t="inlineStr">
        <is>
          <t>Activity</t>
        </is>
      </c>
      <c r="B1704" s="1" t="inlineStr">
        <is>
          <t>electricity production, at natural gas-fired combined cycle power plant, post, pipeline 200km, storage 1000m</t>
        </is>
      </c>
    </row>
    <row r="1705">
      <c r="A1705" t="inlineStr">
        <is>
          <t>location</t>
        </is>
      </c>
      <c r="B1705" t="inlineStr">
        <is>
          <t>RER</t>
        </is>
      </c>
    </row>
    <row r="1706">
      <c r="A1706" t="inlineStr">
        <is>
          <t>production amount</t>
        </is>
      </c>
      <c r="B1706" t="n">
        <v>1</v>
      </c>
    </row>
    <row r="1707">
      <c r="A1707" t="inlineStr">
        <is>
          <t>comment</t>
        </is>
      </c>
      <c r="B1707" t="inlineStr">
        <is>
          <t>Natural gas-fired, Combined Cycle, CCS, post, MEA, 90% CO2 capture efficiency. 366 MWel. 7500 full load hours per year. 25 years lifetime. 54% net electrical efficiency.</t>
        </is>
      </c>
    </row>
    <row r="1708">
      <c r="A1708" t="inlineStr">
        <is>
          <t>source</t>
        </is>
      </c>
      <c r="B1708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709">
      <c r="A1709" t="inlineStr">
        <is>
          <t>reference product</t>
        </is>
      </c>
      <c r="B1709" t="inlineStr">
        <is>
          <t>electricity, high voltage</t>
        </is>
      </c>
    </row>
    <row r="1710">
      <c r="A1710" t="inlineStr">
        <is>
          <t>type</t>
        </is>
      </c>
      <c r="B1710" t="inlineStr">
        <is>
          <t>process</t>
        </is>
      </c>
    </row>
    <row r="1711">
      <c r="A1711" t="inlineStr">
        <is>
          <t>unit</t>
        </is>
      </c>
      <c r="B1711" t="inlineStr">
        <is>
          <t>kilowatt hour</t>
        </is>
      </c>
    </row>
    <row r="1712">
      <c r="A1712" s="1" t="inlineStr">
        <is>
          <t>Exchanges</t>
        </is>
      </c>
    </row>
    <row r="1713">
      <c r="A1713" t="inlineStr">
        <is>
          <t>name</t>
        </is>
      </c>
      <c r="B1713" t="inlineStr">
        <is>
          <t>amount</t>
        </is>
      </c>
      <c r="C1713" t="inlineStr">
        <is>
          <t>location</t>
        </is>
      </c>
      <c r="D1713" t="inlineStr">
        <is>
          <t>unit</t>
        </is>
      </c>
      <c r="E1713" t="inlineStr">
        <is>
          <t>categories</t>
        </is>
      </c>
      <c r="F1713" t="inlineStr">
        <is>
          <t>type</t>
        </is>
      </c>
      <c r="G1713" t="inlineStr">
        <is>
          <t>uncertainty type</t>
        </is>
      </c>
      <c r="H1713" t="inlineStr">
        <is>
          <t>loc</t>
        </is>
      </c>
      <c r="I1713" t="inlineStr">
        <is>
          <t>allocation</t>
        </is>
      </c>
      <c r="J1713" t="inlineStr">
        <is>
          <t>comment</t>
        </is>
      </c>
      <c r="K1713" t="inlineStr">
        <is>
          <t>simapro name</t>
        </is>
      </c>
      <c r="L1713" t="inlineStr">
        <is>
          <t>negative</t>
        </is>
      </c>
      <c r="M1713" t="inlineStr">
        <is>
          <t>reference product</t>
        </is>
      </c>
    </row>
    <row r="1714">
      <c r="A1714" t="inlineStr">
        <is>
          <t>electricity production, at natural gas-fired combined cycle power plant, post, pipeline 200km, storage 1000m</t>
        </is>
      </c>
      <c r="B1714" t="n">
        <v>1</v>
      </c>
      <c r="C1714" t="inlineStr">
        <is>
          <t>RER</t>
        </is>
      </c>
      <c r="D1714" t="inlineStr">
        <is>
          <t>kilowatt hour</t>
        </is>
      </c>
      <c r="E1714" t="inlineStr">
        <is>
          <t>CCS Europe 2025::Natural gas</t>
        </is>
      </c>
      <c r="F1714" t="inlineStr">
        <is>
          <t>production</t>
        </is>
      </c>
      <c r="I1714" t="n">
        <v>100</v>
      </c>
      <c r="K1714" t="inlineStr">
        <is>
          <t>electricity production, at natural gas-fired power plant, post, pipeline 200km, storage 1000m U</t>
        </is>
      </c>
    </row>
    <row r="1715">
      <c r="A1715" t="inlineStr">
        <is>
          <t>Acenaphthene</t>
        </is>
      </c>
      <c r="B1715" t="n">
        <v>4.607329999999999e-12</v>
      </c>
      <c r="D1715" t="inlineStr">
        <is>
          <t>kilogram</t>
        </is>
      </c>
      <c r="E1715" t="inlineStr">
        <is>
          <t>air::urban air close to ground</t>
        </is>
      </c>
      <c r="F1715" t="inlineStr">
        <is>
          <t>biosphere</t>
        </is>
      </c>
      <c r="G1715" t="n">
        <v>0</v>
      </c>
      <c r="H1715" t="n">
        <v>-27.86295317327584</v>
      </c>
      <c r="I1715" t="n">
        <v>0.8047189562170503</v>
      </c>
      <c r="K1715" t="inlineStr">
        <is>
          <t>US EPA 1998, high uncertainty reported qulitatively therein</t>
        </is>
      </c>
      <c r="L1715" t="n">
        <v>0</v>
      </c>
    </row>
    <row r="1716">
      <c r="A1716" t="inlineStr">
        <is>
          <t>Acetaldehyde</t>
        </is>
      </c>
      <c r="B1716" t="n">
        <v>4.648e-09</v>
      </c>
      <c r="D1716" t="inlineStr">
        <is>
          <t>kilogram</t>
        </is>
      </c>
      <c r="E1716" t="inlineStr">
        <is>
          <t>air::urban air close to ground</t>
        </is>
      </c>
      <c r="F1716" t="inlineStr">
        <is>
          <t>biosphere</t>
        </is>
      </c>
      <c r="G1716" t="n">
        <v>0</v>
      </c>
      <c r="H1716" t="n">
        <v>-20.94640938826062</v>
      </c>
      <c r="I1716" t="n">
        <v>1.039720770839918</v>
      </c>
      <c r="K1716" t="inlineStr">
        <is>
          <t>rough estimate, high uncertainty</t>
        </is>
      </c>
      <c r="L1716" t="n">
        <v>0</v>
      </c>
    </row>
    <row r="1717">
      <c r="A1717" t="inlineStr">
        <is>
          <t>Acetic acid</t>
        </is>
      </c>
      <c r="B1717" t="n">
        <v>7.0301e-07</v>
      </c>
      <c r="D1717" t="inlineStr">
        <is>
          <t>kilogram</t>
        </is>
      </c>
      <c r="E1717" t="inlineStr">
        <is>
          <t>air::urban air close to ground</t>
        </is>
      </c>
      <c r="F1717" t="inlineStr">
        <is>
          <t>biosphere</t>
        </is>
      </c>
      <c r="G1717" t="n">
        <v>0</v>
      </c>
      <c r="H1717" t="n">
        <v>-15.92747529134967</v>
      </c>
      <c r="I1717" t="n">
        <v>1.039720770839918</v>
      </c>
      <c r="K1717" t="inlineStr">
        <is>
          <t>rough estimate, high uncertainty</t>
        </is>
      </c>
      <c r="L1717" t="n">
        <v>0</v>
      </c>
    </row>
    <row r="1718">
      <c r="A1718" t="inlineStr">
        <is>
          <t>Benzene</t>
        </is>
      </c>
      <c r="B1718" t="n">
        <v>5.380059999999999e-09</v>
      </c>
      <c r="D1718" t="inlineStr">
        <is>
          <t>kilogram</t>
        </is>
      </c>
      <c r="E1718" t="inlineStr">
        <is>
          <t>air::urban air close to ground</t>
        </is>
      </c>
      <c r="F1718" t="inlineStr">
        <is>
          <t>biosphere</t>
        </is>
      </c>
      <c r="G1718" t="n">
        <v>0</v>
      </c>
      <c r="H1718" t="n">
        <v>-20.80014688128237</v>
      </c>
      <c r="I1718" t="n">
        <v>0.8047189562170503</v>
      </c>
      <c r="K1718" t="inlineStr">
        <is>
          <t>US EPA 1998, high uncertainty reported qulitatively therein</t>
        </is>
      </c>
      <c r="L1718" t="n">
        <v>0</v>
      </c>
    </row>
    <row r="1719">
      <c r="A1719" t="inlineStr">
        <is>
          <t>Benzo(a)pyrene</t>
        </is>
      </c>
      <c r="B1719" t="n">
        <v>3.07349e-12</v>
      </c>
      <c r="D1719" t="inlineStr">
        <is>
          <t>kilogram</t>
        </is>
      </c>
      <c r="E1719" t="inlineStr">
        <is>
          <t>air::urban air close to ground</t>
        </is>
      </c>
      <c r="F1719" t="inlineStr">
        <is>
          <t>biosphere</t>
        </is>
      </c>
      <c r="G1719" t="n">
        <v>0</v>
      </c>
      <c r="H1719" t="n">
        <v>-28.26778796305238</v>
      </c>
      <c r="I1719" t="n">
        <v>0.8047189562170503</v>
      </c>
      <c r="K1719" t="inlineStr">
        <is>
          <t>US EPA 1998, high uncertainty reported qulitatively therein</t>
        </is>
      </c>
      <c r="L1719" t="n">
        <v>0</v>
      </c>
    </row>
    <row r="1720">
      <c r="A1720" t="inlineStr">
        <is>
          <t>Butane</t>
        </is>
      </c>
      <c r="B1720" t="n">
        <v>5.380059999999999e-06</v>
      </c>
      <c r="D1720" t="inlineStr">
        <is>
          <t>kilogram</t>
        </is>
      </c>
      <c r="E1720" t="inlineStr">
        <is>
          <t>air::urban air close to ground</t>
        </is>
      </c>
      <c r="F1720" t="inlineStr">
        <is>
          <t>biosphere</t>
        </is>
      </c>
      <c r="G1720" t="n">
        <v>0</v>
      </c>
      <c r="H1720" t="n">
        <v>-13.89239160230023</v>
      </c>
      <c r="I1720" t="n">
        <v>0.8047189562170503</v>
      </c>
      <c r="K1720" t="inlineStr">
        <is>
          <t>US EPA 1998, high uncertainty reported qulitatively therein</t>
        </is>
      </c>
      <c r="L1720" t="n">
        <v>0</v>
      </c>
    </row>
    <row r="1721">
      <c r="A1721" t="inlineStr">
        <is>
          <t>Carbon dioxide, fossil</t>
        </is>
      </c>
      <c r="B1721">
        <f>B1745*36*0.054*0.1</f>
        <v>0.0402047463936715</v>
      </c>
      <c r="D1721" t="inlineStr">
        <is>
          <t>kilogram</t>
        </is>
      </c>
      <c r="E1721" t="inlineStr">
        <is>
          <t>air::urban air close to ground</t>
        </is>
      </c>
      <c r="F1721" t="inlineStr">
        <is>
          <t>biosphere</t>
        </is>
      </c>
      <c r="G1721" t="n">
        <v>0</v>
      </c>
      <c r="H1721" t="n">
        <v>-5.184988681241033</v>
      </c>
      <c r="I1721" t="n">
        <v>0.02439508208471609</v>
      </c>
      <c r="K1721" t="inlineStr">
        <is>
          <t>90% capture rate</t>
        </is>
      </c>
      <c r="L1721" t="n">
        <v>0</v>
      </c>
    </row>
    <row r="1722">
      <c r="A1722" t="inlineStr">
        <is>
          <t>Carbon monoxide, fossil</t>
        </is>
      </c>
      <c r="B1722" t="n">
        <v>1.2782e-05</v>
      </c>
      <c r="D1722" t="inlineStr">
        <is>
          <t>kilogram</t>
        </is>
      </c>
      <c r="E1722" t="inlineStr">
        <is>
          <t>air::urban air close to ground</t>
        </is>
      </c>
      <c r="F1722" t="inlineStr">
        <is>
          <t>biosphere</t>
        </is>
      </c>
      <c r="G1722" t="n">
        <v>0</v>
      </c>
      <c r="H1722" t="n">
        <v>-13.0270531976</v>
      </c>
      <c r="I1722" t="n">
        <v>0.2027325540540821</v>
      </c>
      <c r="K1722" t="inlineStr">
        <is>
          <t>measurement, single combined cycle power plant</t>
        </is>
      </c>
      <c r="L1722" t="n">
        <v>0</v>
      </c>
    </row>
    <row r="1723">
      <c r="A1723" t="inlineStr">
        <is>
          <t>Dinitrogen monoxide</t>
        </is>
      </c>
      <c r="B1723" t="n">
        <v>5.809999999999999e-06</v>
      </c>
      <c r="D1723" t="inlineStr">
        <is>
          <t>kilogram</t>
        </is>
      </c>
      <c r="E1723" t="inlineStr">
        <is>
          <t>air::urban air close to ground</t>
        </is>
      </c>
      <c r="F1723" t="inlineStr">
        <is>
          <t>biosphere</t>
        </is>
      </c>
      <c r="G1723" t="n">
        <v>0</v>
      </c>
      <c r="H1723" t="n">
        <v>-13.81551055796427</v>
      </c>
      <c r="I1723" t="n">
        <v>0.5493061443340548</v>
      </c>
      <c r="K1723" t="inlineStr">
        <is>
          <t>estimate from range of values from different references</t>
        </is>
      </c>
      <c r="L1723" t="n">
        <v>0</v>
      </c>
    </row>
    <row r="1724">
      <c r="A1724" t="inlineStr">
        <is>
          <t>Dioxins, measured as 2,3,7,8-tetrachlorodibenzo-p-dioxin</t>
        </is>
      </c>
      <c r="B1724" t="n">
        <v>1.6849e-16</v>
      </c>
      <c r="D1724" t="inlineStr">
        <is>
          <t>kilogram</t>
        </is>
      </c>
      <c r="E1724" t="inlineStr">
        <is>
          <t>air::urban air close to ground</t>
        </is>
      </c>
      <c r="F1724" t="inlineStr">
        <is>
          <t>biosphere</t>
        </is>
      </c>
      <c r="G1724" t="n">
        <v>0</v>
      </c>
      <c r="H1724" t="n">
        <v>-38.07923584390635</v>
      </c>
      <c r="I1724" t="n">
        <v>1.039720770839918</v>
      </c>
      <c r="K1724" t="inlineStr">
        <is>
          <t>rough estimate, high uncertainty</t>
        </is>
      </c>
      <c r="L1724" t="n">
        <v>0</v>
      </c>
    </row>
    <row r="1725">
      <c r="A1725" t="inlineStr">
        <is>
          <t>Ethane</t>
        </is>
      </c>
      <c r="B1725" t="n">
        <v>7.959699999999999e-06</v>
      </c>
      <c r="D1725" t="inlineStr">
        <is>
          <t>kilogram</t>
        </is>
      </c>
      <c r="E1725" t="inlineStr">
        <is>
          <t>air::urban air close to ground</t>
        </is>
      </c>
      <c r="F1725" t="inlineStr">
        <is>
          <t>biosphere</t>
        </is>
      </c>
      <c r="G1725" t="n">
        <v>0</v>
      </c>
      <c r="H1725" t="n">
        <v>-13.50069981812424</v>
      </c>
      <c r="I1725" t="n">
        <v>0.8047189562170503</v>
      </c>
      <c r="K1725" t="inlineStr">
        <is>
          <t>US EPA 1998, high uncertainty reported qulitatively therein</t>
        </is>
      </c>
      <c r="L1725" t="n">
        <v>0</v>
      </c>
    </row>
    <row r="1726">
      <c r="A1726" t="inlineStr">
        <is>
          <t>Formaldehyde</t>
        </is>
      </c>
      <c r="B1726" t="n">
        <v>1.92311e-07</v>
      </c>
      <c r="D1726" t="inlineStr">
        <is>
          <t>kilogram</t>
        </is>
      </c>
      <c r="E1726" t="inlineStr">
        <is>
          <t>air::urban air close to ground</t>
        </is>
      </c>
      <c r="F1726" t="inlineStr">
        <is>
          <t>biosphere</t>
        </is>
      </c>
      <c r="G1726" t="n">
        <v>0</v>
      </c>
      <c r="H1726" t="n">
        <v>-17.22373255456339</v>
      </c>
      <c r="I1726" t="n">
        <v>0.8047189562170503</v>
      </c>
      <c r="K1726" t="inlineStr">
        <is>
          <t>US EPA 1998, high uncertainty reported qulitatively therein</t>
        </is>
      </c>
      <c r="L1726" t="n">
        <v>0</v>
      </c>
    </row>
    <row r="1727">
      <c r="A1727" t="inlineStr">
        <is>
          <t>Heat, waste</t>
        </is>
      </c>
      <c r="B1727" t="n">
        <v>3.05025</v>
      </c>
      <c r="D1727" t="inlineStr">
        <is>
          <t>megajoule</t>
        </is>
      </c>
      <c r="E1727" t="inlineStr">
        <is>
          <t>air::urban air close to ground</t>
        </is>
      </c>
      <c r="F1727" t="inlineStr">
        <is>
          <t>biosphere</t>
        </is>
      </c>
      <c r="G1727" t="n">
        <v>0</v>
      </c>
      <c r="H1727" t="n">
        <v>-0.6443570163905132</v>
      </c>
      <c r="I1727" t="n">
        <v>0.02439508208471609</v>
      </c>
      <c r="K1727" t="inlineStr">
        <is>
          <t>heating value and efficiency</t>
        </is>
      </c>
      <c r="L1727" t="n">
        <v>0</v>
      </c>
    </row>
    <row r="1728">
      <c r="A1728" t="inlineStr">
        <is>
          <t>Hexane</t>
        </is>
      </c>
      <c r="B1728" t="n">
        <v>4.607329999999999e-06</v>
      </c>
      <c r="D1728" t="inlineStr">
        <is>
          <t>kilogram</t>
        </is>
      </c>
      <c r="E1728" t="inlineStr">
        <is>
          <t>air::urban air close to ground</t>
        </is>
      </c>
      <c r="F1728" t="inlineStr">
        <is>
          <t>biosphere</t>
        </is>
      </c>
      <c r="G1728" t="n">
        <v>0</v>
      </c>
      <c r="H1728" t="n">
        <v>-14.04744261531156</v>
      </c>
      <c r="I1728" t="n">
        <v>0.8047189562170503</v>
      </c>
      <c r="K1728" t="inlineStr">
        <is>
          <t>US EPA 1998, high uncertainty reported qulitatively therein</t>
        </is>
      </c>
      <c r="L1728" t="n">
        <v>0</v>
      </c>
    </row>
    <row r="1729">
      <c r="A1729" t="inlineStr">
        <is>
          <t>Mercury</t>
        </is>
      </c>
      <c r="B1729" t="n">
        <v>1.743e-10</v>
      </c>
      <c r="D1729" t="inlineStr">
        <is>
          <t>kilogram</t>
        </is>
      </c>
      <c r="E1729" t="inlineStr">
        <is>
          <t>air::urban air close to ground</t>
        </is>
      </c>
      <c r="F1729" t="inlineStr">
        <is>
          <t>biosphere</t>
        </is>
      </c>
      <c r="G1729" t="n">
        <v>0</v>
      </c>
      <c r="H1729" t="n">
        <v>-24.22982373426639</v>
      </c>
      <c r="I1729" t="n">
        <v>0.8047189562170503</v>
      </c>
      <c r="K1729" t="inlineStr">
        <is>
          <t>basic uncertainty for heavy metal; trace element in natural gas</t>
        </is>
      </c>
      <c r="L1729" t="n">
        <v>0</v>
      </c>
    </row>
    <row r="1730">
      <c r="A1730" t="inlineStr">
        <is>
          <t>Methane, fossil</t>
        </is>
      </c>
      <c r="B1730" t="n">
        <v>5.809999999999999e-06</v>
      </c>
      <c r="D1730" t="inlineStr">
        <is>
          <t>kilogram</t>
        </is>
      </c>
      <c r="E1730" t="inlineStr">
        <is>
          <t>air::urban air close to ground</t>
        </is>
      </c>
      <c r="F1730" t="inlineStr">
        <is>
          <t>biosphere</t>
        </is>
      </c>
      <c r="G1730" t="n">
        <v>0</v>
      </c>
      <c r="H1730" t="n">
        <v>-13.81551055796427</v>
      </c>
      <c r="I1730" t="n">
        <v>0.8047189562170503</v>
      </c>
      <c r="K1730" t="inlineStr">
        <is>
          <t>range of values from different references</t>
        </is>
      </c>
      <c r="L1730" t="n">
        <v>0</v>
      </c>
    </row>
    <row r="1731">
      <c r="A1731" t="inlineStr">
        <is>
          <t>Nitrogen oxides</t>
        </is>
      </c>
      <c r="B1731" t="n">
        <v>5.792569999999999e-05</v>
      </c>
      <c r="D1731" t="inlineStr">
        <is>
          <t>kilogram</t>
        </is>
      </c>
      <c r="E1731" t="inlineStr">
        <is>
          <t>air::urban air close to ground</t>
        </is>
      </c>
      <c r="F1731" t="inlineStr">
        <is>
          <t>biosphere</t>
        </is>
      </c>
      <c r="G1731" t="n">
        <v>0</v>
      </c>
      <c r="H1731" t="n">
        <v>-11.51592997399053</v>
      </c>
      <c r="I1731" t="n">
        <v>0.2027325540540821</v>
      </c>
      <c r="K1731" t="inlineStr">
        <is>
          <t>P. Jansohn (50 ppm in the flue gas; SCR -85% minus 1-3ppm due to capture)</t>
        </is>
      </c>
      <c r="L1731" t="n">
        <v>0</v>
      </c>
    </row>
    <row r="1732">
      <c r="A1732" t="inlineStr">
        <is>
          <t>PAH, polycyclic aromatic hydrocarbons</t>
        </is>
      </c>
      <c r="B1732" t="n">
        <v>4.648e-08</v>
      </c>
      <c r="D1732" t="inlineStr">
        <is>
          <t>kilogram</t>
        </is>
      </c>
      <c r="E1732" t="inlineStr">
        <is>
          <t>air::urban air close to ground</t>
        </is>
      </c>
      <c r="F1732" t="inlineStr">
        <is>
          <t>biosphere</t>
        </is>
      </c>
      <c r="G1732" t="n">
        <v>0</v>
      </c>
      <c r="H1732" t="n">
        <v>-18.64382429526658</v>
      </c>
      <c r="I1732" t="n">
        <v>1.039720770839918</v>
      </c>
      <c r="K1732" t="inlineStr">
        <is>
          <t>rough estimate, high uncertainty</t>
        </is>
      </c>
      <c r="L1732" t="n">
        <v>0</v>
      </c>
    </row>
    <row r="1733">
      <c r="A1733" t="inlineStr">
        <is>
          <t>Particulates, &lt; 2.5 um</t>
        </is>
      </c>
      <c r="B1733" t="n">
        <v>2.905e-06</v>
      </c>
      <c r="D1733" t="inlineStr">
        <is>
          <t>kilogram</t>
        </is>
      </c>
      <c r="E1733" t="inlineStr">
        <is>
          <t>air::urban air close to ground</t>
        </is>
      </c>
      <c r="F1733" t="inlineStr">
        <is>
          <t>biosphere</t>
        </is>
      </c>
      <c r="G1733" t="n">
        <v>0</v>
      </c>
      <c r="H1733" t="n">
        <v>-14.50865773852422</v>
      </c>
      <c r="I1733" t="n">
        <v>0.5493061443340548</v>
      </c>
      <c r="K1733" t="inlineStr">
        <is>
          <t>estimate from range of values from different references</t>
        </is>
      </c>
      <c r="L1733" t="n">
        <v>0</v>
      </c>
    </row>
    <row r="1734">
      <c r="A1734" t="inlineStr">
        <is>
          <t>Pentane</t>
        </is>
      </c>
      <c r="B1734" t="n">
        <v>6.681499999999999e-06</v>
      </c>
      <c r="D1734" t="inlineStr">
        <is>
          <t>kilogram</t>
        </is>
      </c>
      <c r="E1734" t="inlineStr">
        <is>
          <t>air::urban air close to ground</t>
        </is>
      </c>
      <c r="F1734" t="inlineStr">
        <is>
          <t>biosphere</t>
        </is>
      </c>
      <c r="G1734" t="n">
        <v>0</v>
      </c>
      <c r="H1734" t="n">
        <v>-13.67574861558912</v>
      </c>
      <c r="I1734" t="n">
        <v>0.8047189562170503</v>
      </c>
      <c r="K1734" t="inlineStr">
        <is>
          <t>US EPA 1998, high uncertainty reported qulitatively therein</t>
        </is>
      </c>
      <c r="L1734" t="n">
        <v>0</v>
      </c>
    </row>
    <row r="1735">
      <c r="A1735" t="inlineStr">
        <is>
          <t>Propane</t>
        </is>
      </c>
      <c r="B1735" t="n">
        <v>4.09605e-06</v>
      </c>
      <c r="D1735" t="inlineStr">
        <is>
          <t>kilogram</t>
        </is>
      </c>
      <c r="E1735" t="inlineStr">
        <is>
          <t>air::urban air close to ground</t>
        </is>
      </c>
      <c r="F1735" t="inlineStr">
        <is>
          <t>biosphere</t>
        </is>
      </c>
      <c r="G1735" t="n">
        <v>0</v>
      </c>
      <c r="H1735" t="n">
        <v>-14.16506803413414</v>
      </c>
      <c r="I1735" t="n">
        <v>0.8047189562170503</v>
      </c>
      <c r="K1735" t="inlineStr">
        <is>
          <t>US EPA 1998, high uncertainty reported qulitatively therein</t>
        </is>
      </c>
      <c r="L1735" t="n">
        <v>0</v>
      </c>
    </row>
    <row r="1736">
      <c r="A1736" t="inlineStr">
        <is>
          <t>Propionic acid</t>
        </is>
      </c>
      <c r="B1736" t="n">
        <v>9.295999999999999e-08</v>
      </c>
      <c r="D1736" t="inlineStr">
        <is>
          <t>kilogram</t>
        </is>
      </c>
      <c r="E1736" t="inlineStr">
        <is>
          <t>air::urban air close to ground</t>
        </is>
      </c>
      <c r="F1736" t="inlineStr">
        <is>
          <t>biosphere</t>
        </is>
      </c>
      <c r="G1736" t="n">
        <v>0</v>
      </c>
      <c r="H1736" t="n">
        <v>-17.95067711470663</v>
      </c>
      <c r="I1736" t="n">
        <v>1.039720770839918</v>
      </c>
      <c r="K1736" t="inlineStr">
        <is>
          <t>rough estimate, high uncertainty</t>
        </is>
      </c>
      <c r="L1736" t="n">
        <v>0</v>
      </c>
    </row>
    <row r="1737">
      <c r="A1737" t="inlineStr">
        <is>
          <t>Sulfur dioxide</t>
        </is>
      </c>
      <c r="B1737" t="n">
        <v>2.905e-06</v>
      </c>
      <c r="D1737" t="inlineStr">
        <is>
          <t>kilogram</t>
        </is>
      </c>
      <c r="E1737" t="inlineStr">
        <is>
          <t>air::urban air close to ground</t>
        </is>
      </c>
      <c r="F1737" t="inlineStr">
        <is>
          <t>biosphere</t>
        </is>
      </c>
      <c r="G1737" t="n">
        <v>0</v>
      </c>
      <c r="H1737" t="n">
        <v>-14.50865773852422</v>
      </c>
      <c r="I1737" t="n">
        <v>0.04765508990216251</v>
      </c>
      <c r="K1737" t="inlineStr">
        <is>
          <t>composition of natural gas</t>
        </is>
      </c>
      <c r="L1737" t="n">
        <v>0</v>
      </c>
    </row>
    <row r="1738">
      <c r="A1738" t="inlineStr">
        <is>
          <t>Toluene</t>
        </is>
      </c>
      <c r="B1738" t="n">
        <v>8.714999999999999e-09</v>
      </c>
      <c r="D1738" t="inlineStr">
        <is>
          <t>kilogram</t>
        </is>
      </c>
      <c r="E1738" t="inlineStr">
        <is>
          <t>air::urban air close to ground</t>
        </is>
      </c>
      <c r="F1738" t="inlineStr">
        <is>
          <t>biosphere</t>
        </is>
      </c>
      <c r="G1738" t="n">
        <v>0</v>
      </c>
      <c r="H1738" t="n">
        <v>-20.31780072883825</v>
      </c>
      <c r="I1738" t="n">
        <v>0.8047189562170503</v>
      </c>
      <c r="K1738" t="inlineStr">
        <is>
          <t>US EPA 1998, high uncertainty reported qulitatively therein</t>
        </is>
      </c>
      <c r="L1738" t="n">
        <v>0</v>
      </c>
    </row>
    <row r="1739" ht="16" customHeight="1">
      <c r="A1739" t="inlineStr">
        <is>
          <t>carbon dioxide, captured from natural gas, post, 200km pipeline, storage 1000m</t>
        </is>
      </c>
      <c r="B1739">
        <f>B1745*36*0.054*0.9</f>
        <v>0.361842717543043</v>
      </c>
      <c r="C1739" t="inlineStr">
        <is>
          <t>RER</t>
        </is>
      </c>
      <c r="D1739" t="inlineStr">
        <is>
          <t>kilogram</t>
        </is>
      </c>
      <c r="E1739" t="inlineStr">
        <is>
          <t>Materials/fuels</t>
        </is>
      </c>
      <c r="F1739" t="inlineStr">
        <is>
          <t>technosphere</t>
        </is>
      </c>
      <c r="G1739" t="n">
        <v>0</v>
      </c>
      <c r="H1739" t="n">
        <v>0.0504</v>
      </c>
      <c r="K1739" t="inlineStr">
        <is>
          <t>90% capture rate</t>
        </is>
      </c>
    </row>
    <row r="1740">
      <c r="A1740" t="inlineStr">
        <is>
          <t>market for NOx retained, by selective catalytic reduction</t>
        </is>
      </c>
      <c r="B1740" t="n">
        <v>0.00044737</v>
      </c>
      <c r="C1740" t="inlineStr">
        <is>
          <t>GLO</t>
        </is>
      </c>
      <c r="D1740" t="inlineStr">
        <is>
          <t>kilogram</t>
        </is>
      </c>
      <c r="E1740" t="inlineStr">
        <is>
          <t>Materials/fuels</t>
        </is>
      </c>
      <c r="F1740" t="inlineStr">
        <is>
          <t>technosphere</t>
        </is>
      </c>
      <c r="G1740" t="n">
        <v>0</v>
      </c>
      <c r="H1740" t="n">
        <v>7.7e-05</v>
      </c>
      <c r="K1740" t="inlineStr">
        <is>
          <t>P. Jansohn (50 ppm in the flue gas; SCR -85)</t>
        </is>
      </c>
      <c r="M1740" t="inlineStr">
        <is>
          <t>NOx retained, by selective catalytic reduction</t>
        </is>
      </c>
    </row>
    <row r="1741">
      <c r="A1741" t="inlineStr">
        <is>
          <t>market for gas power plant, combined cycle, 400MW electrical</t>
        </is>
      </c>
      <c r="B1741" t="n">
        <v>1.27239e-11</v>
      </c>
      <c r="C1741" t="inlineStr">
        <is>
          <t>GLO</t>
        </is>
      </c>
      <c r="D1741" t="inlineStr">
        <is>
          <t>unit</t>
        </is>
      </c>
      <c r="E1741" t="inlineStr">
        <is>
          <t>Materials/fuels</t>
        </is>
      </c>
      <c r="F1741" t="inlineStr">
        <is>
          <t>technosphere</t>
        </is>
      </c>
      <c r="G1741" t="n">
        <v>0</v>
      </c>
      <c r="H1741" t="n">
        <v>-26.84711957210014</v>
      </c>
      <c r="I1741" t="n">
        <v>0.3465735902799727</v>
      </c>
      <c r="K1741" t="inlineStr">
        <is>
          <t>n_plant = 1/(lifetime*annual fuel input)</t>
        </is>
      </c>
      <c r="L1741" t="n">
        <v>0</v>
      </c>
      <c r="M1741" t="inlineStr">
        <is>
          <t>gas power plant, combined cycle, 400MW electrical</t>
        </is>
      </c>
    </row>
    <row r="1742">
      <c r="A1742" t="inlineStr">
        <is>
          <t>market for hydrochloric acid, without water, in 30% solution state</t>
        </is>
      </c>
      <c r="B1742" t="n">
        <v>1.4525e-05</v>
      </c>
      <c r="C1742" t="inlineStr">
        <is>
          <t>RER</t>
        </is>
      </c>
      <c r="D1742" t="inlineStr">
        <is>
          <t>kilogram</t>
        </is>
      </c>
      <c r="E1742" t="inlineStr">
        <is>
          <t>Materials/fuels</t>
        </is>
      </c>
      <c r="F1742" t="inlineStr">
        <is>
          <t>technosphere</t>
        </is>
      </c>
      <c r="G1742" t="n">
        <v>0</v>
      </c>
      <c r="H1742" t="n">
        <v>-12.89921982609012</v>
      </c>
      <c r="I1742" t="n">
        <v>0.1075556898084728</v>
      </c>
      <c r="K1742" t="inlineStr">
        <is>
          <t>basic uncertainty:1.05;(4,na,3,1,1,na)</t>
        </is>
      </c>
      <c r="L1742" t="n">
        <v>0</v>
      </c>
      <c r="M1742" t="inlineStr">
        <is>
          <t>hydrochloric acid, without water, in 30% solution state</t>
        </is>
      </c>
    </row>
    <row r="1743">
      <c r="A1743" t="inlineStr">
        <is>
          <t>market for sodium hydroxide, without water, in 50% solution state</t>
        </is>
      </c>
      <c r="B1743" t="n">
        <v>1.162e-05</v>
      </c>
      <c r="C1743" t="inlineStr">
        <is>
          <t>GLO</t>
        </is>
      </c>
      <c r="D1743" t="inlineStr">
        <is>
          <t>kilogram</t>
        </is>
      </c>
      <c r="E1743" t="inlineStr">
        <is>
          <t>Materials/fuels</t>
        </is>
      </c>
      <c r="F1743" t="inlineStr">
        <is>
          <t>technosphere</t>
        </is>
      </c>
      <c r="G1743" t="n">
        <v>0</v>
      </c>
      <c r="H1743" t="n">
        <v>-13.12236337740433</v>
      </c>
      <c r="I1743" t="n">
        <v>0.1075556898084728</v>
      </c>
      <c r="K1743" t="inlineStr">
        <is>
          <t>basic uncertainty:1.05;(4,na,3,1,1,na)</t>
        </is>
      </c>
      <c r="L1743" t="n">
        <v>0</v>
      </c>
      <c r="M1743" t="inlineStr">
        <is>
          <t>sodium hydroxide, without water, in 50% solution state</t>
        </is>
      </c>
    </row>
    <row r="1744">
      <c r="A1744" t="inlineStr">
        <is>
          <t>market for water, decarbonised</t>
        </is>
      </c>
      <c r="B1744" t="n">
        <v>2.905</v>
      </c>
      <c r="C1744" t="inlineStr">
        <is>
          <t>RoW</t>
        </is>
      </c>
      <c r="D1744" t="inlineStr">
        <is>
          <t>kilogram</t>
        </is>
      </c>
      <c r="E1744" t="inlineStr">
        <is>
          <t>Materials/fuels</t>
        </is>
      </c>
      <c r="F1744" t="inlineStr">
        <is>
          <t>technosphere</t>
        </is>
      </c>
      <c r="G1744" t="n">
        <v>0</v>
      </c>
      <c r="H1744" t="n">
        <v>-0.6931471805599453</v>
      </c>
      <c r="I1744" t="n">
        <v>0.4581453659370776</v>
      </c>
      <c r="K1744" t="inlineStr">
        <is>
          <t>range of values from different references</t>
        </is>
      </c>
      <c r="L1744" t="n">
        <v>0</v>
      </c>
      <c r="M1744" t="inlineStr">
        <is>
          <t>water, decarbonised</t>
        </is>
      </c>
    </row>
    <row r="1745">
      <c r="A1745" t="inlineStr">
        <is>
          <t>market group for natural gas, high pressure</t>
        </is>
      </c>
      <c r="B1745">
        <f>((3.6/46.05)/0.54)/0.7</f>
        <v>0.206814539062096</v>
      </c>
      <c r="C1745" t="inlineStr">
        <is>
          <t>Europe without Switzerland</t>
        </is>
      </c>
      <c r="D1745" t="inlineStr">
        <is>
          <t>cubic meter</t>
        </is>
      </c>
      <c r="E1745" t="inlineStr">
        <is>
          <t>Materials/fuels</t>
        </is>
      </c>
      <c r="F1745" t="inlineStr">
        <is>
          <t>technosphere</t>
        </is>
      </c>
      <c r="G1745" t="n">
        <v>0</v>
      </c>
      <c r="H1745" t="n">
        <v>0.02564102564102564</v>
      </c>
      <c r="I1745" t="n">
        <v>0</v>
      </c>
      <c r="L1745" t="n">
        <v>0</v>
      </c>
      <c r="M1745" t="inlineStr">
        <is>
          <t>natural gas, high pressure</t>
        </is>
      </c>
    </row>
    <row r="1746">
      <c r="A1746" t="inlineStr">
        <is>
          <t>treatment of residue from cooling tower, sanitary landfill</t>
        </is>
      </c>
      <c r="B1746" t="n">
        <v>-5.809999999999999e-06</v>
      </c>
      <c r="C1746" t="inlineStr">
        <is>
          <t>CH</t>
        </is>
      </c>
      <c r="D1746" t="inlineStr">
        <is>
          <t>kilogram</t>
        </is>
      </c>
      <c r="E1746" t="inlineStr">
        <is>
          <t>Waste to treatment</t>
        </is>
      </c>
      <c r="F1746" t="inlineStr">
        <is>
          <t>technosphere</t>
        </is>
      </c>
      <c r="G1746" t="n">
        <v>0</v>
      </c>
      <c r="H1746" t="n">
        <v>-13.81551055796427</v>
      </c>
      <c r="I1746" t="n">
        <v>1.039720770839918</v>
      </c>
      <c r="K1746" t="inlineStr">
        <is>
          <t>rough estimate, high uncertainty</t>
        </is>
      </c>
      <c r="L1746" t="n">
        <v>0</v>
      </c>
      <c r="M1746" t="inlineStr">
        <is>
          <t>residue from cooling tower</t>
        </is>
      </c>
    </row>
    <row r="1747" ht="16" customHeight="1"/>
    <row r="1748"/>
    <row r="1749">
      <c r="A1749" s="1" t="inlineStr">
        <is>
          <t>Activity</t>
        </is>
      </c>
      <c r="B1749" s="1" t="inlineStr">
        <is>
          <t>electricity production, at hydrogen-fired combined cycle power plant, by auto-thermal reforming of natural gas, pre, pipeline 200km, storage 1000m</t>
        </is>
      </c>
    </row>
    <row r="1750">
      <c r="A1750" t="inlineStr">
        <is>
          <t>location</t>
        </is>
      </c>
      <c r="B1750" t="inlineStr">
        <is>
          <t>RER</t>
        </is>
      </c>
    </row>
    <row r="1751">
      <c r="A1751" t="inlineStr">
        <is>
          <t>production amount</t>
        </is>
      </c>
      <c r="B1751" t="n">
        <v>1</v>
      </c>
    </row>
    <row r="1752">
      <c r="A1752" t="inlineStr">
        <is>
          <t>comment</t>
        </is>
      </c>
      <c r="B1752" t="inlineStr">
        <is>
          <t>Hydrogen-fired, Auto-thermal reforming of natural gas, CCS, pre, Selexol, 90% CO2 capture efficiency. 387 MWel. 7500 full load hours per year. 25 years lifetime. 52.5% net electrical efficiency.</t>
        </is>
      </c>
    </row>
    <row r="1753">
      <c r="A1753" t="inlineStr">
        <is>
          <t>source</t>
        </is>
      </c>
      <c r="B1753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754">
      <c r="A1754" t="inlineStr">
        <is>
          <t>reference product</t>
        </is>
      </c>
      <c r="B1754" t="inlineStr">
        <is>
          <t>electricity, high voltage</t>
        </is>
      </c>
    </row>
    <row r="1755">
      <c r="A1755" t="inlineStr">
        <is>
          <t>type</t>
        </is>
      </c>
      <c r="B1755" t="inlineStr">
        <is>
          <t>process</t>
        </is>
      </c>
    </row>
    <row r="1756">
      <c r="A1756" t="inlineStr">
        <is>
          <t>unit</t>
        </is>
      </c>
      <c r="B1756" t="inlineStr">
        <is>
          <t>kilowatt hour</t>
        </is>
      </c>
    </row>
    <row r="1757">
      <c r="A1757" s="1" t="inlineStr">
        <is>
          <t>Exchanges</t>
        </is>
      </c>
    </row>
    <row r="1758">
      <c r="A1758" t="inlineStr">
        <is>
          <t>name</t>
        </is>
      </c>
      <c r="B1758" t="inlineStr">
        <is>
          <t>amount</t>
        </is>
      </c>
      <c r="C1758" t="inlineStr">
        <is>
          <t>location</t>
        </is>
      </c>
      <c r="D1758" t="inlineStr">
        <is>
          <t>unit</t>
        </is>
      </c>
      <c r="E1758" t="inlineStr">
        <is>
          <t>categories</t>
        </is>
      </c>
      <c r="F1758" t="inlineStr">
        <is>
          <t>type</t>
        </is>
      </c>
      <c r="G1758" t="inlineStr">
        <is>
          <t>uncertainty type</t>
        </is>
      </c>
      <c r="H1758" t="inlineStr">
        <is>
          <t>loc</t>
        </is>
      </c>
      <c r="I1758" t="inlineStr">
        <is>
          <t>allocation</t>
        </is>
      </c>
      <c r="J1758" t="inlineStr">
        <is>
          <t>comment</t>
        </is>
      </c>
      <c r="K1758" t="inlineStr">
        <is>
          <t>simapro name</t>
        </is>
      </c>
      <c r="L1758" t="inlineStr">
        <is>
          <t>negative</t>
        </is>
      </c>
      <c r="M1758" t="inlineStr">
        <is>
          <t>reference product</t>
        </is>
      </c>
    </row>
    <row r="1759">
      <c r="A1759" t="inlineStr">
        <is>
          <t>electricity production, at hydrogen-fired combined cycle power plant, by auto-thermal reforming of natural gas, pre, pipeline 200km, storage 1000m</t>
        </is>
      </c>
      <c r="B1759" t="n">
        <v>1</v>
      </c>
      <c r="C1759" t="inlineStr">
        <is>
          <t>RER</t>
        </is>
      </c>
      <c r="D1759" t="inlineStr">
        <is>
          <t>kilowatt hour</t>
        </is>
      </c>
      <c r="E1759" t="inlineStr">
        <is>
          <t>CCS Europe 2025::Natural gas</t>
        </is>
      </c>
      <c r="F1759" t="inlineStr">
        <is>
          <t>production</t>
        </is>
      </c>
      <c r="I1759" t="n">
        <v>100</v>
      </c>
      <c r="K1759" t="inlineStr">
        <is>
          <t>electricity production, at natural gas-fired power plant, pre, pipeline 200km, storage 1000m U</t>
        </is>
      </c>
    </row>
    <row r="1760">
      <c r="A1760" t="inlineStr">
        <is>
          <t>Carbon dioxide, fossil</t>
        </is>
      </c>
      <c r="B1760" t="n">
        <v>0.0403</v>
      </c>
      <c r="D1760" t="inlineStr">
        <is>
          <t>kilogram</t>
        </is>
      </c>
      <c r="E1760" t="inlineStr">
        <is>
          <t>air</t>
        </is>
      </c>
      <c r="F1760" t="inlineStr">
        <is>
          <t>biosphere</t>
        </is>
      </c>
      <c r="G1760" t="n">
        <v>0</v>
      </c>
      <c r="H1760" t="n">
        <v>0.00588</v>
      </c>
      <c r="J1760" t="inlineStr">
        <is>
          <t>90% capture rate</t>
        </is>
      </c>
    </row>
    <row r="1761" ht="16" customHeight="1">
      <c r="A1761" t="inlineStr">
        <is>
          <t>Carbon monoxide, fossil</t>
        </is>
      </c>
      <c r="B1761" t="n">
        <v>3.33064e-06</v>
      </c>
      <c r="D1761" t="inlineStr">
        <is>
          <t>kilogram</t>
        </is>
      </c>
      <c r="E1761" t="inlineStr">
        <is>
          <t>air</t>
        </is>
      </c>
      <c r="F1761" t="inlineStr">
        <is>
          <t>biosphere</t>
        </is>
      </c>
      <c r="G1761" t="n">
        <v>0</v>
      </c>
      <c r="H1761" t="n">
        <v>5.27e-07</v>
      </c>
      <c r="J1761" t="inlineStr">
        <is>
          <t>Felder (2007)</t>
        </is>
      </c>
    </row>
    <row r="1762">
      <c r="A1762" t="inlineStr">
        <is>
          <t>Nitrogen oxides</t>
        </is>
      </c>
      <c r="B1762" t="n">
        <v>8.595200000000001e-05</v>
      </c>
      <c r="D1762" t="inlineStr">
        <is>
          <t>kilogram</t>
        </is>
      </c>
      <c r="E1762" t="inlineStr">
        <is>
          <t>air</t>
        </is>
      </c>
      <c r="F1762" t="inlineStr">
        <is>
          <t>biosphere</t>
        </is>
      </c>
      <c r="G1762" t="n">
        <v>0</v>
      </c>
      <c r="H1762" t="n">
        <v>1.36e-05</v>
      </c>
      <c r="J1762" t="inlineStr">
        <is>
          <t>P. Jansohn (50 ppm in the flue gas; SCR -85%)</t>
        </is>
      </c>
    </row>
    <row r="1763">
      <c r="A1763" t="inlineStr">
        <is>
          <t>Particulates, &lt; 2.5 um</t>
        </is>
      </c>
      <c r="B1763" t="n">
        <v>9.163999999999999e-07</v>
      </c>
      <c r="D1763" t="inlineStr">
        <is>
          <t>kilogram</t>
        </is>
      </c>
      <c r="E1763" t="inlineStr">
        <is>
          <t>air</t>
        </is>
      </c>
      <c r="F1763" t="inlineStr">
        <is>
          <t>biosphere</t>
        </is>
      </c>
      <c r="G1763" t="n">
        <v>0</v>
      </c>
      <c r="H1763" t="n">
        <v>1.45e-07</v>
      </c>
      <c r="J1763" t="inlineStr">
        <is>
          <t>additional reduction: 0%</t>
        </is>
      </c>
    </row>
    <row r="1764">
      <c r="A1764" t="inlineStr">
        <is>
          <t>auto-thermal reforming-hydrogen GT power plant, 400MWe</t>
        </is>
      </c>
      <c r="B1764" t="n">
        <v>1.27032e-11</v>
      </c>
      <c r="C1764" t="inlineStr">
        <is>
          <t>RER</t>
        </is>
      </c>
      <c r="D1764" t="inlineStr">
        <is>
          <t>unit</t>
        </is>
      </c>
      <c r="E1764" t="inlineStr">
        <is>
          <t>Materials/fuels</t>
        </is>
      </c>
      <c r="F1764" t="inlineStr">
        <is>
          <t>technosphere</t>
        </is>
      </c>
      <c r="G1764" t="n">
        <v>0</v>
      </c>
      <c r="H1764" t="n">
        <v>2.01e-12</v>
      </c>
      <c r="J1764" t="inlineStr">
        <is>
          <t>n_plant = 1/(lifetime*annual fuel input)</t>
        </is>
      </c>
      <c r="K1764" t="inlineStr">
        <is>
          <t>auto-thermal reforming-hydrogen GT power plant, 400MWe/I U</t>
        </is>
      </c>
    </row>
    <row r="1765">
      <c r="A1765" t="inlineStr">
        <is>
          <t>carbon dioxide, captured from natural gas, pre, 200km pipeline, storage 1000m</t>
        </is>
      </c>
      <c r="B1765">
        <f>(B1760*0.9)/0.1</f>
        <v>0.3627</v>
      </c>
      <c r="C1765" t="inlineStr">
        <is>
          <t>RER</t>
        </is>
      </c>
      <c r="D1765" t="inlineStr">
        <is>
          <t>kilogram</t>
        </is>
      </c>
      <c r="E1765" t="inlineStr">
        <is>
          <t>Materials/fuels</t>
        </is>
      </c>
      <c r="F1765" t="inlineStr">
        <is>
          <t>technosphere</t>
        </is>
      </c>
      <c r="G1765" t="n">
        <v>0</v>
      </c>
      <c r="H1765" t="n">
        <v>0.0529</v>
      </c>
      <c r="J1765" t="inlineStr">
        <is>
          <t>90% capture rate</t>
        </is>
      </c>
      <c r="K1765" t="inlineStr">
        <is>
          <t>carbon dioxide, captured from natural gas, pre, 200km pipeline, storage 1000m U</t>
        </is>
      </c>
    </row>
    <row r="1766">
      <c r="A1766" t="inlineStr">
        <is>
          <t>market for NOx retained, by selective catalytic reduction</t>
        </is>
      </c>
      <c r="B1766" t="n">
        <v>0.00048664</v>
      </c>
      <c r="C1766" t="inlineStr">
        <is>
          <t>GLO</t>
        </is>
      </c>
      <c r="D1766" t="inlineStr">
        <is>
          <t>kilogram</t>
        </is>
      </c>
      <c r="E1766" t="inlineStr">
        <is>
          <t>Materials/fuels</t>
        </is>
      </c>
      <c r="F1766" t="inlineStr">
        <is>
          <t>technosphere</t>
        </is>
      </c>
      <c r="G1766" t="n">
        <v>0</v>
      </c>
      <c r="H1766" t="n">
        <v>7.7e-05</v>
      </c>
      <c r="J1766" t="inlineStr">
        <is>
          <t>P. Jansohn (50 ppm in the flue gas; SCR -85%)</t>
        </is>
      </c>
      <c r="K1766" t="inlineStr">
        <is>
          <t>NOx retained, in SCR/GLO U</t>
        </is>
      </c>
      <c r="M1766" t="inlineStr">
        <is>
          <t>NOx retained, by selective catalytic reduction</t>
        </is>
      </c>
    </row>
    <row r="1767">
      <c r="A1767" t="inlineStr">
        <is>
          <t>market for steam, in chemical industry</t>
        </is>
      </c>
      <c r="B1767" t="n">
        <v>0.000403848</v>
      </c>
      <c r="C1767" t="inlineStr">
        <is>
          <t>RoW</t>
        </is>
      </c>
      <c r="D1767" t="inlineStr">
        <is>
          <t>kilogram</t>
        </is>
      </c>
      <c r="E1767" t="inlineStr">
        <is>
          <t>Materials/fuels</t>
        </is>
      </c>
      <c r="F1767" t="inlineStr">
        <is>
          <t>technosphere</t>
        </is>
      </c>
      <c r="G1767" t="n">
        <v>0</v>
      </c>
      <c r="H1767" t="n">
        <v>6.389999999999999e-05</v>
      </c>
      <c r="J1767" t="inlineStr">
        <is>
          <t>Felder (2007)</t>
        </is>
      </c>
      <c r="K1767" t="inlineStr">
        <is>
          <t>Steam, for chemical processes, at plant U</t>
        </is>
      </c>
      <c r="L1767" t="inlineStr">
        <is>
          <t>steam, in chemical industry</t>
        </is>
      </c>
      <c r="M1767" t="inlineStr">
        <is>
          <t>steam, in chemical industry</t>
        </is>
      </c>
    </row>
    <row r="1768">
      <c r="A1768" t="inlineStr">
        <is>
          <t>market group for electricity, medium voltage</t>
        </is>
      </c>
      <c r="B1768" t="n">
        <v>0.0133352</v>
      </c>
      <c r="C1768" t="inlineStr">
        <is>
          <t>ENTSO-E</t>
        </is>
      </c>
      <c r="D1768" t="inlineStr">
        <is>
          <t>kilowatt hour</t>
        </is>
      </c>
      <c r="E1768" t="inlineStr">
        <is>
          <t>Electricity/heat</t>
        </is>
      </c>
      <c r="F1768" t="inlineStr">
        <is>
          <t>technosphere</t>
        </is>
      </c>
      <c r="G1768" t="n">
        <v>0</v>
      </c>
      <c r="H1768" t="n">
        <v>0.00211</v>
      </c>
      <c r="J1768" t="inlineStr">
        <is>
          <t>Felder (2007)</t>
        </is>
      </c>
      <c r="K1768" t="inlineStr">
        <is>
          <t>electricity production, medium voltage, production UCTE, at grid/UCTE U</t>
        </is>
      </c>
      <c r="M1768" t="inlineStr">
        <is>
          <t>electricity, medium voltage</t>
        </is>
      </c>
    </row>
    <row r="1769" ht="16" customHeight="1">
      <c r="A1769" t="inlineStr">
        <is>
          <t>market group for natural gas, high pressure</t>
        </is>
      </c>
      <c r="B1769">
        <f>((3.6/46.05)/0.525)/0.7</f>
        <v>0.212723525892442</v>
      </c>
      <c r="C1769" t="inlineStr">
        <is>
          <t>Europe without Switzerland</t>
        </is>
      </c>
      <c r="D1769" t="inlineStr">
        <is>
          <t>cubic meter</t>
        </is>
      </c>
      <c r="E1769" t="inlineStr">
        <is>
          <t>Materials/fuels</t>
        </is>
      </c>
      <c r="F1769" t="inlineStr">
        <is>
          <t>technosphere</t>
        </is>
      </c>
      <c r="G1769" t="n">
        <v>0</v>
      </c>
      <c r="H1769" t="n">
        <v>0.02564102564102564</v>
      </c>
      <c r="K1769" t="inlineStr">
        <is>
          <t>Natural gas, high pressure, at consumer U</t>
        </is>
      </c>
      <c r="M1769" t="inlineStr">
        <is>
          <t>natural gas, high pressure</t>
        </is>
      </c>
    </row>
    <row r="1770"/>
    <row r="1771">
      <c r="A1771" s="1" t="inlineStr">
        <is>
          <t>Activity</t>
        </is>
      </c>
      <c r="B1771" s="1" t="inlineStr">
        <is>
          <t>electricity production, at wood burning power plant</t>
        </is>
      </c>
    </row>
    <row r="1772">
      <c r="A1772" t="inlineStr">
        <is>
          <t>location</t>
        </is>
      </c>
      <c r="B1772" t="inlineStr">
        <is>
          <t>RER</t>
        </is>
      </c>
    </row>
    <row r="1773">
      <c r="A1773" t="inlineStr">
        <is>
          <t>production amount</t>
        </is>
      </c>
      <c r="B1773" t="n">
        <v>1</v>
      </c>
    </row>
    <row r="1774">
      <c r="A1774" t="inlineStr">
        <is>
          <t>comment</t>
        </is>
      </c>
      <c r="B1774" t="inlineStr">
        <is>
          <t>Wood-fired power plant. 25 MWel. 5500 full load hours per year. 25 years lifetime. 30% net electrical efficiency.</t>
        </is>
      </c>
    </row>
    <row r="1775">
      <c r="A1775" t="inlineStr">
        <is>
          <t>source</t>
        </is>
      </c>
      <c r="B1775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776">
      <c r="A1776" t="inlineStr">
        <is>
          <t>reference product</t>
        </is>
      </c>
      <c r="B1776" t="inlineStr">
        <is>
          <t>electricity, high voltage</t>
        </is>
      </c>
    </row>
    <row r="1777">
      <c r="A1777" t="inlineStr">
        <is>
          <t>type</t>
        </is>
      </c>
      <c r="B1777" t="inlineStr">
        <is>
          <t>process</t>
        </is>
      </c>
    </row>
    <row r="1778">
      <c r="A1778" t="inlineStr">
        <is>
          <t>unit</t>
        </is>
      </c>
      <c r="B1778" t="inlineStr">
        <is>
          <t>kilowatt hour</t>
        </is>
      </c>
    </row>
    <row r="1779">
      <c r="A1779" s="1" t="inlineStr">
        <is>
          <t>Exchanges</t>
        </is>
      </c>
    </row>
    <row r="1780">
      <c r="A1780" t="inlineStr">
        <is>
          <t>name</t>
        </is>
      </c>
      <c r="B1780" t="inlineStr">
        <is>
          <t>amount</t>
        </is>
      </c>
      <c r="C1780" t="inlineStr">
        <is>
          <t>location</t>
        </is>
      </c>
      <c r="D1780" t="inlineStr">
        <is>
          <t>unit</t>
        </is>
      </c>
      <c r="E1780" t="inlineStr">
        <is>
          <t>categories</t>
        </is>
      </c>
      <c r="F1780" t="inlineStr">
        <is>
          <t>type</t>
        </is>
      </c>
      <c r="G1780" t="inlineStr">
        <is>
          <t>uncertainty type</t>
        </is>
      </c>
      <c r="H1780" t="inlineStr">
        <is>
          <t>loc</t>
        </is>
      </c>
      <c r="I1780" t="inlineStr">
        <is>
          <t>allocation</t>
        </is>
      </c>
      <c r="J1780" t="inlineStr">
        <is>
          <t>comment</t>
        </is>
      </c>
      <c r="K1780" t="inlineStr">
        <is>
          <t>simapro name</t>
        </is>
      </c>
      <c r="L1780" t="inlineStr">
        <is>
          <t>negative</t>
        </is>
      </c>
      <c r="M1780" t="inlineStr">
        <is>
          <t>reference product</t>
        </is>
      </c>
    </row>
    <row r="1781">
      <c r="A1781" t="inlineStr">
        <is>
          <t>electricity production, at wood burning power plant</t>
        </is>
      </c>
      <c r="B1781" t="n">
        <v>1</v>
      </c>
      <c r="C1781" t="inlineStr">
        <is>
          <t>RER</t>
        </is>
      </c>
      <c r="D1781" t="inlineStr">
        <is>
          <t>kilowatt hour</t>
        </is>
      </c>
      <c r="E1781" t="inlineStr">
        <is>
          <t>CCS Europe 2025::Wood</t>
        </is>
      </c>
      <c r="F1781" t="inlineStr">
        <is>
          <t>production</t>
        </is>
      </c>
      <c r="I1781" t="n">
        <v>100</v>
      </c>
      <c r="K1781" t="inlineStr">
        <is>
          <t>electricity production, at wood burning power plant 20 MW U</t>
        </is>
      </c>
    </row>
    <row r="1782">
      <c r="A1782" t="inlineStr">
        <is>
          <t>Acetaldehyde</t>
        </is>
      </c>
      <c r="B1782" t="n">
        <v>7.32e-07</v>
      </c>
      <c r="D1782" t="inlineStr">
        <is>
          <t>kilogram</t>
        </is>
      </c>
      <c r="E1782" t="inlineStr">
        <is>
          <t>air::urban air close to ground</t>
        </is>
      </c>
      <c r="F1782" t="inlineStr">
        <is>
          <t>biosphere</t>
        </is>
      </c>
      <c r="G1782" t="n">
        <v>0</v>
      </c>
      <c r="H1782" t="n">
        <v>-16.6123919727731</v>
      </c>
      <c r="I1782" t="n">
        <v>0.6541664098250894</v>
      </c>
      <c r="K1782" t="inlineStr">
        <is>
          <t>extrapolation</t>
        </is>
      </c>
      <c r="L1782" t="n">
        <v>0</v>
      </c>
    </row>
    <row r="1783">
      <c r="A1783" t="inlineStr">
        <is>
          <t>Ammonia</t>
        </is>
      </c>
      <c r="B1783" t="n">
        <v>2.088e-05</v>
      </c>
      <c r="D1783" t="inlineStr">
        <is>
          <t>kilogram</t>
        </is>
      </c>
      <c r="E1783" t="inlineStr">
        <is>
          <t>air::urban air close to ground</t>
        </is>
      </c>
      <c r="F1783" t="inlineStr">
        <is>
          <t>biosphere</t>
        </is>
      </c>
      <c r="G1783" t="n">
        <v>0</v>
      </c>
      <c r="H1783" t="n">
        <v>-13.26162544473784</v>
      </c>
      <c r="I1783" t="n">
        <v>0.6541664098250894</v>
      </c>
      <c r="K1783" t="inlineStr">
        <is>
          <t>extrapolation</t>
        </is>
      </c>
      <c r="L1783" t="n">
        <v>0</v>
      </c>
    </row>
    <row r="1784">
      <c r="A1784" t="inlineStr">
        <is>
          <t>Arsenic</t>
        </is>
      </c>
      <c r="B1784" t="n">
        <v>1.2e-08</v>
      </c>
      <c r="D1784" t="inlineStr">
        <is>
          <t>kilogram</t>
        </is>
      </c>
      <c r="E1784" t="inlineStr">
        <is>
          <t>air::urban air close to ground</t>
        </is>
      </c>
      <c r="F1784" t="inlineStr">
        <is>
          <t>biosphere</t>
        </is>
      </c>
      <c r="G1784" t="n">
        <v>0</v>
      </c>
      <c r="H1784" t="n">
        <v>-20.72326583694641</v>
      </c>
      <c r="I1784" t="n">
        <v>0.6541664098250894</v>
      </c>
      <c r="K1784" t="inlineStr">
        <is>
          <t>extrapolation</t>
        </is>
      </c>
      <c r="L1784" t="n">
        <v>0</v>
      </c>
    </row>
    <row r="1785">
      <c r="A1785" t="inlineStr">
        <is>
          <t>Benzene</t>
        </is>
      </c>
      <c r="B1785" t="n">
        <v>1.092e-05</v>
      </c>
      <c r="D1785" t="inlineStr">
        <is>
          <t>kilogram</t>
        </is>
      </c>
      <c r="E1785" t="inlineStr">
        <is>
          <t>air::urban air close to ground</t>
        </is>
      </c>
      <c r="F1785" t="inlineStr">
        <is>
          <t>biosphere</t>
        </is>
      </c>
      <c r="G1785" t="n">
        <v>0</v>
      </c>
      <c r="H1785" t="n">
        <v>-13.90982123743552</v>
      </c>
      <c r="I1785" t="n">
        <v>0.6541664098250894</v>
      </c>
      <c r="K1785" t="inlineStr">
        <is>
          <t>extrapolation</t>
        </is>
      </c>
      <c r="L1785" t="n">
        <v>0</v>
      </c>
    </row>
    <row r="1786">
      <c r="A1786" t="inlineStr">
        <is>
          <t>Benzene, ethyl-</t>
        </is>
      </c>
      <c r="B1786" t="n">
        <v>3.599999999999999e-07</v>
      </c>
      <c r="D1786" t="inlineStr">
        <is>
          <t>kilogram</t>
        </is>
      </c>
      <c r="E1786" t="inlineStr">
        <is>
          <t>air::urban air close to ground</t>
        </is>
      </c>
      <c r="F1786" t="inlineStr">
        <is>
          <t>biosphere</t>
        </is>
      </c>
      <c r="G1786" t="n">
        <v>0</v>
      </c>
      <c r="H1786" t="n">
        <v>-17.32206845528426</v>
      </c>
      <c r="I1786" t="n">
        <v>0.6541664098250894</v>
      </c>
      <c r="K1786" t="inlineStr">
        <is>
          <t>extrapolation</t>
        </is>
      </c>
      <c r="L1786" t="n">
        <v>0</v>
      </c>
    </row>
    <row r="1787">
      <c r="A1787" t="inlineStr">
        <is>
          <t>Benzene, hexachloro-</t>
        </is>
      </c>
      <c r="B1787" t="n">
        <v>8.64e-14</v>
      </c>
      <c r="D1787" t="inlineStr">
        <is>
          <t>kilogram</t>
        </is>
      </c>
      <c r="E1787" t="inlineStr">
        <is>
          <t>air::urban air close to ground</t>
        </is>
      </c>
      <c r="F1787" t="inlineStr">
        <is>
          <t>biosphere</t>
        </is>
      </c>
      <c r="G1787" t="n">
        <v>0</v>
      </c>
      <c r="H1787" t="n">
        <v>-32.56469536888868</v>
      </c>
      <c r="I1787" t="n">
        <v>0.6541664098250894</v>
      </c>
      <c r="K1787" t="inlineStr">
        <is>
          <t>extrapolation</t>
        </is>
      </c>
      <c r="L1787" t="n">
        <v>0</v>
      </c>
    </row>
    <row r="1788">
      <c r="A1788" t="inlineStr">
        <is>
          <t>Benzo(a)pyrene</t>
        </is>
      </c>
      <c r="B1788" t="n">
        <v>6.000000000000001e-09</v>
      </c>
      <c r="D1788" t="inlineStr">
        <is>
          <t>kilogram</t>
        </is>
      </c>
      <c r="E1788" t="inlineStr">
        <is>
          <t>air::urban air close to ground</t>
        </is>
      </c>
      <c r="F1788" t="inlineStr">
        <is>
          <t>biosphere</t>
        </is>
      </c>
      <c r="G1788" t="n">
        <v>0</v>
      </c>
      <c r="H1788" t="n">
        <v>-21.41641301750636</v>
      </c>
      <c r="I1788" t="n">
        <v>0.6541664098250894</v>
      </c>
      <c r="K1788" t="inlineStr">
        <is>
          <t>extrapolation</t>
        </is>
      </c>
      <c r="L1788" t="n">
        <v>0</v>
      </c>
    </row>
    <row r="1789">
      <c r="A1789" t="inlineStr">
        <is>
          <t>Bromine</t>
        </is>
      </c>
      <c r="B1789" t="n">
        <v>7.199999999999999e-07</v>
      </c>
      <c r="D1789" t="inlineStr">
        <is>
          <t>kilogram</t>
        </is>
      </c>
      <c r="E1789" t="inlineStr">
        <is>
          <t>air::urban air close to ground</t>
        </is>
      </c>
      <c r="F1789" t="inlineStr">
        <is>
          <t>biosphere</t>
        </is>
      </c>
      <c r="G1789" t="n">
        <v>0</v>
      </c>
      <c r="H1789" t="n">
        <v>-16.62892127472431</v>
      </c>
      <c r="I1789" t="n">
        <v>0.6541664098250894</v>
      </c>
      <c r="K1789" t="inlineStr">
        <is>
          <t>extrapolation</t>
        </is>
      </c>
      <c r="L1789" t="n">
        <v>0</v>
      </c>
    </row>
    <row r="1790">
      <c r="A1790" t="inlineStr">
        <is>
          <t>Cadmium</t>
        </is>
      </c>
      <c r="B1790" t="n">
        <v>8.399999999999999e-09</v>
      </c>
      <c r="D1790" t="inlineStr">
        <is>
          <t>kilogram</t>
        </is>
      </c>
      <c r="E1790" t="inlineStr">
        <is>
          <t>air::urban air close to ground</t>
        </is>
      </c>
      <c r="F1790" t="inlineStr">
        <is>
          <t>biosphere</t>
        </is>
      </c>
      <c r="G1790" t="n">
        <v>0</v>
      </c>
      <c r="H1790" t="n">
        <v>-21.07994078088514</v>
      </c>
      <c r="I1790" t="n">
        <v>0.6541664098250894</v>
      </c>
      <c r="K1790" t="inlineStr">
        <is>
          <t>extrapolation</t>
        </is>
      </c>
      <c r="L1790" t="n">
        <v>0</v>
      </c>
    </row>
    <row r="1791">
      <c r="A1791" t="inlineStr">
        <is>
          <t>Calcium</t>
        </is>
      </c>
      <c r="B1791" t="n">
        <v>7.02e-05</v>
      </c>
      <c r="D1791" t="inlineStr">
        <is>
          <t>kilogram</t>
        </is>
      </c>
      <c r="E1791" t="inlineStr">
        <is>
          <t>air::urban air close to ground</t>
        </is>
      </c>
      <c r="F1791" t="inlineStr">
        <is>
          <t>biosphere</t>
        </is>
      </c>
      <c r="G1791" t="n">
        <v>0</v>
      </c>
      <c r="H1791" t="n">
        <v>-12.04906889672051</v>
      </c>
      <c r="I1791" t="n">
        <v>0.6541664098250894</v>
      </c>
      <c r="K1791" t="inlineStr">
        <is>
          <t>extrapolation</t>
        </is>
      </c>
      <c r="L1791" t="n">
        <v>0</v>
      </c>
    </row>
    <row r="1792">
      <c r="A1792" t="inlineStr">
        <is>
          <t>Carbon dioxide, non-fossil</t>
        </is>
      </c>
      <c r="B1792" t="n">
        <v>1.25</v>
      </c>
      <c r="D1792" t="inlineStr">
        <is>
          <t>kilogram</t>
        </is>
      </c>
      <c r="E1792" t="inlineStr">
        <is>
          <t>air</t>
        </is>
      </c>
      <c r="F1792" t="inlineStr">
        <is>
          <t>biosphere</t>
        </is>
      </c>
      <c r="G1792" t="n">
        <v>0</v>
      </c>
      <c r="H1792" t="n">
        <v>-2.263364379840764</v>
      </c>
      <c r="I1792" t="n">
        <v>0.02439508208471609</v>
      </c>
      <c r="K1792" t="inlineStr">
        <is>
          <t>CARMA - carbon dioxide from wood</t>
        </is>
      </c>
      <c r="L1792" t="n">
        <v>0</v>
      </c>
    </row>
    <row r="1793">
      <c r="A1793" t="inlineStr">
        <is>
          <t>Carbon monoxide, non-fossil</t>
        </is>
      </c>
      <c r="B1793" t="n">
        <v>8.4e-05</v>
      </c>
      <c r="D1793" t="inlineStr">
        <is>
          <t>kilogram</t>
        </is>
      </c>
      <c r="E1793" t="inlineStr">
        <is>
          <t>air::urban air close to ground</t>
        </is>
      </c>
      <c r="F1793" t="inlineStr">
        <is>
          <t>biosphere</t>
        </is>
      </c>
      <c r="G1793" t="n">
        <v>0</v>
      </c>
      <c r="H1793" t="n">
        <v>-11.86960040890896</v>
      </c>
      <c r="I1793" t="n">
        <v>0.3942286801821351</v>
      </c>
      <c r="K1793" t="inlineStr">
        <is>
          <t>measurements</t>
        </is>
      </c>
      <c r="L1793" t="n">
        <v>0</v>
      </c>
    </row>
    <row r="1794">
      <c r="A1794" t="inlineStr">
        <is>
          <t>Chlorine</t>
        </is>
      </c>
      <c r="B1794" t="n">
        <v>2.16e-06</v>
      </c>
      <c r="D1794" t="inlineStr">
        <is>
          <t>kilogram</t>
        </is>
      </c>
      <c r="E1794" t="inlineStr">
        <is>
          <t>air::urban air close to ground</t>
        </is>
      </c>
      <c r="F1794" t="inlineStr">
        <is>
          <t>biosphere</t>
        </is>
      </c>
      <c r="G1794" t="n">
        <v>0</v>
      </c>
      <c r="H1794" t="n">
        <v>-15.5303089860562</v>
      </c>
      <c r="I1794" t="n">
        <v>0.6541664098250894</v>
      </c>
      <c r="K1794" t="inlineStr">
        <is>
          <t>extrapolation</t>
        </is>
      </c>
      <c r="L1794" t="n">
        <v>0</v>
      </c>
    </row>
    <row r="1795">
      <c r="A1795" t="inlineStr">
        <is>
          <t>Chromium</t>
        </is>
      </c>
      <c r="B1795" t="n">
        <v>4.752e-08</v>
      </c>
      <c r="D1795" t="inlineStr">
        <is>
          <t>kilogram</t>
        </is>
      </c>
      <c r="E1795" t="inlineStr">
        <is>
          <t>air::urban air close to ground</t>
        </is>
      </c>
      <c r="F1795" t="inlineStr">
        <is>
          <t>biosphere</t>
        </is>
      </c>
      <c r="G1795" t="n">
        <v>0</v>
      </c>
      <c r="H1795" t="n">
        <v>-19.34702181168002</v>
      </c>
      <c r="I1795" t="n">
        <v>0.6541664098250894</v>
      </c>
      <c r="K1795" t="inlineStr">
        <is>
          <t>extrapolation</t>
        </is>
      </c>
      <c r="L1795" t="n">
        <v>0</v>
      </c>
    </row>
    <row r="1796">
      <c r="A1796" t="inlineStr">
        <is>
          <t>Chromium VI</t>
        </is>
      </c>
      <c r="B1796" t="n">
        <v>4.8e-10</v>
      </c>
      <c r="D1796" t="inlineStr">
        <is>
          <t>kilogram</t>
        </is>
      </c>
      <c r="E1796" t="inlineStr">
        <is>
          <t>air::urban air close to ground</t>
        </is>
      </c>
      <c r="F1796" t="inlineStr">
        <is>
          <t>biosphere</t>
        </is>
      </c>
      <c r="G1796" t="n">
        <v>0</v>
      </c>
      <c r="H1796" t="n">
        <v>-23.94214166181461</v>
      </c>
      <c r="I1796" t="n">
        <v>0.6931471805599453</v>
      </c>
      <c r="K1796" t="inlineStr">
        <is>
          <t>range of data</t>
        </is>
      </c>
      <c r="L1796" t="n">
        <v>0</v>
      </c>
    </row>
    <row r="1797">
      <c r="A1797" t="inlineStr">
        <is>
          <t>Copper</t>
        </is>
      </c>
      <c r="B1797" t="n">
        <v>2.64e-07</v>
      </c>
      <c r="D1797" t="inlineStr">
        <is>
          <t>kilogram</t>
        </is>
      </c>
      <c r="E1797" t="inlineStr">
        <is>
          <t>air::urban air close to ground</t>
        </is>
      </c>
      <c r="F1797" t="inlineStr">
        <is>
          <t>biosphere</t>
        </is>
      </c>
      <c r="G1797" t="n">
        <v>0</v>
      </c>
      <c r="H1797" t="n">
        <v>-17.63222338358809</v>
      </c>
      <c r="I1797" t="n">
        <v>0.6541664098250894</v>
      </c>
      <c r="K1797" t="inlineStr">
        <is>
          <t>extrapolation</t>
        </is>
      </c>
      <c r="L1797" t="n">
        <v>0</v>
      </c>
    </row>
    <row r="1798">
      <c r="A1798" t="inlineStr">
        <is>
          <t>Dinitrogen monoxide</t>
        </is>
      </c>
      <c r="B1798" t="n">
        <v>2.76e-05</v>
      </c>
      <c r="D1798" t="inlineStr">
        <is>
          <t>kilogram</t>
        </is>
      </c>
      <c r="E1798" t="inlineStr">
        <is>
          <t>air::urban air close to ground</t>
        </is>
      </c>
      <c r="F1798" t="inlineStr">
        <is>
          <t>biosphere</t>
        </is>
      </c>
      <c r="G1798" t="n">
        <v>0</v>
      </c>
      <c r="H1798" t="n">
        <v>-12.98260143502917</v>
      </c>
      <c r="I1798" t="n">
        <v>0.6541664098250894</v>
      </c>
      <c r="K1798" t="inlineStr">
        <is>
          <t>extrapolation</t>
        </is>
      </c>
      <c r="L1798" t="n">
        <v>0</v>
      </c>
    </row>
    <row r="1799">
      <c r="A1799" t="inlineStr">
        <is>
          <t>Dioxins, measured as 2,3,7,8-tetrachlorodibenzo-p-dioxin</t>
        </is>
      </c>
      <c r="B1799" t="n">
        <v>3.72e-13</v>
      </c>
      <c r="D1799" t="inlineStr">
        <is>
          <t>kilogram</t>
        </is>
      </c>
      <c r="E1799" t="inlineStr">
        <is>
          <t>air::urban air close to ground</t>
        </is>
      </c>
      <c r="F1799" t="inlineStr">
        <is>
          <t>biosphere</t>
        </is>
      </c>
      <c r="G1799" t="n">
        <v>0</v>
      </c>
      <c r="H1799" t="n">
        <v>-31.10478919042554</v>
      </c>
      <c r="I1799" t="n">
        <v>0.6541664098250894</v>
      </c>
      <c r="K1799" t="inlineStr">
        <is>
          <t>extrapolation</t>
        </is>
      </c>
      <c r="L1799" t="n">
        <v>0</v>
      </c>
    </row>
    <row r="1800">
      <c r="A1800" t="inlineStr">
        <is>
          <t>Fluorine</t>
        </is>
      </c>
      <c r="B1800" t="n">
        <v>6e-07</v>
      </c>
      <c r="D1800" t="inlineStr">
        <is>
          <t>kilogram</t>
        </is>
      </c>
      <c r="E1800" t="inlineStr">
        <is>
          <t>air::urban air close to ground</t>
        </is>
      </c>
      <c r="F1800" t="inlineStr">
        <is>
          <t>biosphere</t>
        </is>
      </c>
      <c r="G1800" t="n">
        <v>0</v>
      </c>
      <c r="H1800" t="n">
        <v>-16.81124283151826</v>
      </c>
      <c r="I1800" t="n">
        <v>0.6541664098250894</v>
      </c>
      <c r="K1800" t="inlineStr">
        <is>
          <t>extrapolation</t>
        </is>
      </c>
      <c r="L1800" t="n">
        <v>0</v>
      </c>
    </row>
    <row r="1801">
      <c r="A1801" t="inlineStr">
        <is>
          <t>Formaldehyde</t>
        </is>
      </c>
      <c r="B1801" t="n">
        <v>1.56e-06</v>
      </c>
      <c r="D1801" t="inlineStr">
        <is>
          <t>kilogram</t>
        </is>
      </c>
      <c r="E1801" t="inlineStr">
        <is>
          <t>air::urban air close to ground</t>
        </is>
      </c>
      <c r="F1801" t="inlineStr">
        <is>
          <t>biosphere</t>
        </is>
      </c>
      <c r="G1801" t="n">
        <v>0</v>
      </c>
      <c r="H1801" t="n">
        <v>-15.85573138649083</v>
      </c>
      <c r="I1801" t="n">
        <v>0.6541664098250894</v>
      </c>
      <c r="K1801" t="inlineStr">
        <is>
          <t>extrapolation</t>
        </is>
      </c>
      <c r="L1801" t="n">
        <v>0</v>
      </c>
    </row>
    <row r="1802">
      <c r="A1802" t="inlineStr">
        <is>
          <t>Heat, waste</t>
        </is>
      </c>
      <c r="B1802" t="n">
        <v>11.844</v>
      </c>
      <c r="D1802" t="inlineStr">
        <is>
          <t>megajoule</t>
        </is>
      </c>
      <c r="E1802" t="inlineStr">
        <is>
          <t>air::urban air close to ground</t>
        </is>
      </c>
      <c r="F1802" t="inlineStr">
        <is>
          <t>biosphere</t>
        </is>
      </c>
      <c r="G1802" t="n">
        <v>0</v>
      </c>
      <c r="H1802" t="n">
        <v>-0.01308523954865548</v>
      </c>
      <c r="I1802" t="n">
        <v>0.02439508208471609</v>
      </c>
      <c r="K1802" t="inlineStr">
        <is>
          <t>own estimation, based on uncertainty of upper heating value and electricity production</t>
        </is>
      </c>
      <c r="L1802" t="n">
        <v>0</v>
      </c>
    </row>
    <row r="1803">
      <c r="A1803" t="inlineStr">
        <is>
          <t>Hydrocarbons, aliphatic, alkanes, unspecified</t>
        </is>
      </c>
      <c r="B1803" t="n">
        <v>1.092e-05</v>
      </c>
      <c r="D1803" t="inlineStr">
        <is>
          <t>kilogram</t>
        </is>
      </c>
      <c r="E1803" t="inlineStr">
        <is>
          <t>air::urban air close to ground</t>
        </is>
      </c>
      <c r="F1803" t="inlineStr">
        <is>
          <t>biosphere</t>
        </is>
      </c>
      <c r="G1803" t="n">
        <v>0</v>
      </c>
      <c r="H1803" t="n">
        <v>-13.90982123743552</v>
      </c>
      <c r="I1803" t="n">
        <v>0.6541664098250894</v>
      </c>
      <c r="K1803" t="inlineStr">
        <is>
          <t>extrapolation</t>
        </is>
      </c>
      <c r="L1803" t="n">
        <v>0</v>
      </c>
    </row>
    <row r="1804">
      <c r="A1804" t="inlineStr">
        <is>
          <t>Hydrocarbons, aliphatic, unsaturated</t>
        </is>
      </c>
      <c r="B1804" t="n">
        <v>3.72e-05</v>
      </c>
      <c r="D1804" t="inlineStr">
        <is>
          <t>kilogram</t>
        </is>
      </c>
      <c r="E1804" t="inlineStr">
        <is>
          <t>air::urban air close to ground</t>
        </is>
      </c>
      <c r="F1804" t="inlineStr">
        <is>
          <t>biosphere</t>
        </is>
      </c>
      <c r="G1804" t="n">
        <v>0</v>
      </c>
      <c r="H1804" t="n">
        <v>-12.68410844647317</v>
      </c>
      <c r="I1804" t="n">
        <v>0.6541664098250894</v>
      </c>
      <c r="K1804" t="inlineStr">
        <is>
          <t>extrapolation</t>
        </is>
      </c>
      <c r="L1804" t="n">
        <v>0</v>
      </c>
    </row>
    <row r="1805">
      <c r="A1805" t="inlineStr">
        <is>
          <t>Lead</t>
        </is>
      </c>
      <c r="B1805" t="n">
        <v>2.988e-07</v>
      </c>
      <c r="D1805" t="inlineStr">
        <is>
          <t>kilogram</t>
        </is>
      </c>
      <c r="E1805" t="inlineStr">
        <is>
          <t>air::urban air close to ground</t>
        </is>
      </c>
      <c r="F1805" t="inlineStr">
        <is>
          <t>biosphere</t>
        </is>
      </c>
      <c r="G1805" t="n">
        <v>0</v>
      </c>
      <c r="H1805" t="n">
        <v>-17.50839803347575</v>
      </c>
      <c r="I1805" t="n">
        <v>0.6541664098250894</v>
      </c>
      <c r="K1805" t="inlineStr">
        <is>
          <t>extrapolation</t>
        </is>
      </c>
      <c r="L1805" t="n">
        <v>0</v>
      </c>
    </row>
    <row r="1806">
      <c r="A1806" t="inlineStr">
        <is>
          <t>Magnesium</t>
        </is>
      </c>
      <c r="B1806" t="n">
        <v>4.332e-06</v>
      </c>
      <c r="D1806" t="inlineStr">
        <is>
          <t>kilogram</t>
        </is>
      </c>
      <c r="E1806" t="inlineStr">
        <is>
          <t>air::urban air close to ground</t>
        </is>
      </c>
      <c r="F1806" t="inlineStr">
        <is>
          <t>biosphere</t>
        </is>
      </c>
      <c r="G1806" t="n">
        <v>0</v>
      </c>
      <c r="H1806" t="n">
        <v>-14.83438787861353</v>
      </c>
      <c r="I1806" t="n">
        <v>0.6541664098250894</v>
      </c>
      <c r="K1806" t="inlineStr">
        <is>
          <t>extrapolation</t>
        </is>
      </c>
      <c r="L1806" t="n">
        <v>0</v>
      </c>
    </row>
    <row r="1807">
      <c r="A1807" t="inlineStr">
        <is>
          <t>Manganese</t>
        </is>
      </c>
      <c r="B1807" t="n">
        <v>2.052e-06</v>
      </c>
      <c r="D1807" t="inlineStr">
        <is>
          <t>kilogram</t>
        </is>
      </c>
      <c r="E1807" t="inlineStr">
        <is>
          <t>air::urban air close to ground</t>
        </is>
      </c>
      <c r="F1807" t="inlineStr">
        <is>
          <t>biosphere</t>
        </is>
      </c>
      <c r="G1807" t="n">
        <v>0</v>
      </c>
      <c r="H1807" t="n">
        <v>-15.58160228044375</v>
      </c>
      <c r="I1807" t="n">
        <v>0.6541664098250894</v>
      </c>
      <c r="K1807" t="inlineStr">
        <is>
          <t>extrapolation</t>
        </is>
      </c>
      <c r="L1807" t="n">
        <v>0</v>
      </c>
    </row>
    <row r="1808">
      <c r="A1808" t="inlineStr">
        <is>
          <t>Mercury</t>
        </is>
      </c>
      <c r="B1808" t="n">
        <v>3.6e-09</v>
      </c>
      <c r="D1808" t="inlineStr">
        <is>
          <t>kilogram</t>
        </is>
      </c>
      <c r="E1808" t="inlineStr">
        <is>
          <t>air::urban air close to ground</t>
        </is>
      </c>
      <c r="F1808" t="inlineStr">
        <is>
          <t>biosphere</t>
        </is>
      </c>
      <c r="G1808" t="n">
        <v>0</v>
      </c>
      <c r="H1808" t="n">
        <v>-21.92723864127235</v>
      </c>
      <c r="I1808" t="n">
        <v>0.6541664098250894</v>
      </c>
      <c r="K1808" t="inlineStr">
        <is>
          <t>extrapolation</t>
        </is>
      </c>
      <c r="L1808" t="n">
        <v>0</v>
      </c>
    </row>
    <row r="1809">
      <c r="A1809" t="inlineStr">
        <is>
          <t>Methane, non-fossil</t>
        </is>
      </c>
      <c r="B1809" t="n">
        <v>5.208e-06</v>
      </c>
      <c r="D1809" t="inlineStr">
        <is>
          <t>kilogram</t>
        </is>
      </c>
      <c r="E1809" t="inlineStr">
        <is>
          <t>air::urban air close to ground</t>
        </is>
      </c>
      <c r="F1809" t="inlineStr">
        <is>
          <t>biosphere</t>
        </is>
      </c>
      <c r="G1809" t="n">
        <v>0</v>
      </c>
      <c r="H1809" t="n">
        <v>-14.65022130284601</v>
      </c>
      <c r="I1809" t="n">
        <v>0.6541664098250894</v>
      </c>
      <c r="K1809" t="inlineStr">
        <is>
          <t>extrapolation</t>
        </is>
      </c>
      <c r="L1809" t="n">
        <v>0</v>
      </c>
    </row>
    <row r="1810">
      <c r="A1810" t="inlineStr">
        <is>
          <t>NMVOC, non-methane volatile organic compounds, unspecified origin</t>
        </is>
      </c>
      <c r="B1810" t="n">
        <v>7.319999999999999e-06</v>
      </c>
      <c r="D1810" t="inlineStr">
        <is>
          <t>kilogram</t>
        </is>
      </c>
      <c r="E1810" t="inlineStr">
        <is>
          <t>air::urban air close to ground</t>
        </is>
      </c>
      <c r="F1810" t="inlineStr">
        <is>
          <t>biosphere</t>
        </is>
      </c>
      <c r="G1810" t="n">
        <v>0</v>
      </c>
      <c r="H1810" t="n">
        <v>-14.30980687977905</v>
      </c>
      <c r="I1810" t="n">
        <v>0.6541664098250894</v>
      </c>
      <c r="K1810" t="inlineStr">
        <is>
          <t>extrapolation</t>
        </is>
      </c>
      <c r="L1810" t="n">
        <v>0</v>
      </c>
    </row>
    <row r="1811">
      <c r="A1811" t="inlineStr">
        <is>
          <t>Nickel</t>
        </is>
      </c>
      <c r="B1811" t="n">
        <v>7.2e-08</v>
      </c>
      <c r="D1811" t="inlineStr">
        <is>
          <t>kilogram</t>
        </is>
      </c>
      <c r="E1811" t="inlineStr">
        <is>
          <t>air::urban air close to ground</t>
        </is>
      </c>
      <c r="F1811" t="inlineStr">
        <is>
          <t>biosphere</t>
        </is>
      </c>
      <c r="G1811" t="n">
        <v>0</v>
      </c>
      <c r="H1811" t="n">
        <v>-18.93150636771836</v>
      </c>
      <c r="I1811" t="n">
        <v>0.6541664098250894</v>
      </c>
      <c r="K1811" t="inlineStr">
        <is>
          <t>extrapolation</t>
        </is>
      </c>
      <c r="L1811" t="n">
        <v>0</v>
      </c>
    </row>
    <row r="1812">
      <c r="A1812" t="inlineStr">
        <is>
          <t>Nitrogen oxides</t>
        </is>
      </c>
      <c r="B1812" t="n">
        <v>0.0008496000000000001</v>
      </c>
      <c r="D1812" t="inlineStr">
        <is>
          <t>kilogram</t>
        </is>
      </c>
      <c r="E1812" t="inlineStr">
        <is>
          <t>air::urban air close to ground</t>
        </is>
      </c>
      <c r="F1812" t="inlineStr">
        <is>
          <t>biosphere</t>
        </is>
      </c>
      <c r="G1812" t="n">
        <v>0</v>
      </c>
      <c r="H1812" t="n">
        <v>-9.5556515572646</v>
      </c>
      <c r="I1812" t="n">
        <v>0.09116077839697724</v>
      </c>
      <c r="K1812" t="inlineStr">
        <is>
          <t>CARMA</t>
        </is>
      </c>
      <c r="L1812" t="n">
        <v>0</v>
      </c>
    </row>
    <row r="1813">
      <c r="A1813" t="inlineStr">
        <is>
          <t>PAH, polycyclic aromatic hydrocarbons</t>
        </is>
      </c>
      <c r="B1813" t="n">
        <v>1.32e-07</v>
      </c>
      <c r="D1813" t="inlineStr">
        <is>
          <t>kilogram</t>
        </is>
      </c>
      <c r="E1813" t="inlineStr">
        <is>
          <t>air::urban air close to ground</t>
        </is>
      </c>
      <c r="F1813" t="inlineStr">
        <is>
          <t>biosphere</t>
        </is>
      </c>
      <c r="G1813" t="n">
        <v>0</v>
      </c>
      <c r="H1813" t="n">
        <v>-18.32537056414804</v>
      </c>
      <c r="I1813" t="n">
        <v>0.6541664098250894</v>
      </c>
      <c r="K1813" t="inlineStr">
        <is>
          <t>extrapolation</t>
        </is>
      </c>
      <c r="L1813" t="n">
        <v>0</v>
      </c>
    </row>
    <row r="1814">
      <c r="A1814" t="inlineStr">
        <is>
          <t>Particulates, &lt; 2.5 um</t>
        </is>
      </c>
      <c r="B1814" t="n">
        <v>3.192e-05</v>
      </c>
      <c r="D1814" t="inlineStr">
        <is>
          <t>kilogram</t>
        </is>
      </c>
      <c r="E1814" t="inlineStr">
        <is>
          <t>air::urban air close to ground</t>
        </is>
      </c>
      <c r="F1814" t="inlineStr">
        <is>
          <t>biosphere</t>
        </is>
      </c>
      <c r="G1814" t="n">
        <v>0</v>
      </c>
      <c r="H1814" t="n">
        <v>-12.83718443517067</v>
      </c>
      <c r="I1814" t="n">
        <v>0.04765508990216251</v>
      </c>
      <c r="K1814" t="inlineStr">
        <is>
          <t>CARMA</t>
        </is>
      </c>
      <c r="L1814" t="n">
        <v>0</v>
      </c>
    </row>
    <row r="1815">
      <c r="A1815" t="inlineStr">
        <is>
          <t>Particulates, &gt; 10 um</t>
        </is>
      </c>
      <c r="B1815" t="n">
        <v>4.248000000000001e-06</v>
      </c>
      <c r="D1815" t="inlineStr">
        <is>
          <t>kilogram</t>
        </is>
      </c>
      <c r="E1815" t="inlineStr">
        <is>
          <t>air::urban air close to ground</t>
        </is>
      </c>
      <c r="F1815" t="inlineStr">
        <is>
          <t>biosphere</t>
        </is>
      </c>
      <c r="G1815" t="n">
        <v>0</v>
      </c>
      <c r="H1815" t="n">
        <v>3.54e-07</v>
      </c>
      <c r="K1815" t="inlineStr">
        <is>
          <t>CARMA</t>
        </is>
      </c>
    </row>
    <row r="1816">
      <c r="A1816" t="inlineStr">
        <is>
          <t>Particulates, &gt; 2.5 um, and &lt; 10um</t>
        </is>
      </c>
      <c r="B1816" t="n">
        <v>6.371999999999999e-06</v>
      </c>
      <c r="D1816" t="inlineStr">
        <is>
          <t>kilogram</t>
        </is>
      </c>
      <c r="E1816" t="inlineStr">
        <is>
          <t>air::urban air close to ground</t>
        </is>
      </c>
      <c r="F1816" t="inlineStr">
        <is>
          <t>biosphere</t>
        </is>
      </c>
      <c r="G1816" t="n">
        <v>0</v>
      </c>
      <c r="H1816" t="n">
        <v>5.31e-07</v>
      </c>
      <c r="K1816" t="inlineStr">
        <is>
          <t>CARMA</t>
        </is>
      </c>
    </row>
    <row r="1817">
      <c r="A1817" t="inlineStr">
        <is>
          <t>Phenol, pentachloro-</t>
        </is>
      </c>
      <c r="B1817" t="n">
        <v>9.72e-11</v>
      </c>
      <c r="D1817" t="inlineStr">
        <is>
          <t>kilogram</t>
        </is>
      </c>
      <c r="E1817" t="inlineStr">
        <is>
          <t>air::urban air close to ground</t>
        </is>
      </c>
      <c r="F1817" t="inlineStr">
        <is>
          <t>biosphere</t>
        </is>
      </c>
      <c r="G1817" t="n">
        <v>0</v>
      </c>
      <c r="H1817" t="n">
        <v>-25.53915705425015</v>
      </c>
      <c r="I1817" t="n">
        <v>0.6541664098250894</v>
      </c>
      <c r="K1817" t="inlineStr">
        <is>
          <t>extrapolation</t>
        </is>
      </c>
      <c r="L1817" t="n">
        <v>0</v>
      </c>
    </row>
    <row r="1818">
      <c r="A1818" t="inlineStr">
        <is>
          <t>Phosphorus</t>
        </is>
      </c>
      <c r="B1818" t="n">
        <v>3.6e-06</v>
      </c>
      <c r="D1818" t="inlineStr">
        <is>
          <t>kilogram</t>
        </is>
      </c>
      <c r="E1818" t="inlineStr">
        <is>
          <t>air::urban air close to ground</t>
        </is>
      </c>
      <c r="F1818" t="inlineStr">
        <is>
          <t>biosphere</t>
        </is>
      </c>
      <c r="G1818" t="n">
        <v>0</v>
      </c>
      <c r="H1818" t="n">
        <v>-15.01948336229021</v>
      </c>
      <c r="I1818" t="n">
        <v>0.6541664098250894</v>
      </c>
      <c r="K1818" t="inlineStr">
        <is>
          <t>extrapolation</t>
        </is>
      </c>
      <c r="L1818" t="n">
        <v>0</v>
      </c>
    </row>
    <row r="1819">
      <c r="A1819" t="inlineStr">
        <is>
          <t>Potassium</t>
        </is>
      </c>
      <c r="B1819" t="n">
        <v>0.0002808</v>
      </c>
      <c r="D1819" t="inlineStr">
        <is>
          <t>kilogram</t>
        </is>
      </c>
      <c r="E1819" t="inlineStr">
        <is>
          <t>air::urban air close to ground</t>
        </is>
      </c>
      <c r="F1819" t="inlineStr">
        <is>
          <t>biosphere</t>
        </is>
      </c>
      <c r="G1819" t="n">
        <v>0</v>
      </c>
      <c r="H1819" t="n">
        <v>-10.66277453560062</v>
      </c>
      <c r="I1819" t="n">
        <v>0.6541664098250894</v>
      </c>
      <c r="K1819" t="inlineStr">
        <is>
          <t>extrapolation</t>
        </is>
      </c>
      <c r="L1819" t="n">
        <v>0</v>
      </c>
    </row>
    <row r="1820">
      <c r="A1820" t="inlineStr">
        <is>
          <t>Sodium</t>
        </is>
      </c>
      <c r="B1820" t="n">
        <v>1.56e-05</v>
      </c>
      <c r="D1820" t="inlineStr">
        <is>
          <t>kilogram</t>
        </is>
      </c>
      <c r="E1820" t="inlineStr">
        <is>
          <t>air::urban air close to ground</t>
        </is>
      </c>
      <c r="F1820" t="inlineStr">
        <is>
          <t>biosphere</t>
        </is>
      </c>
      <c r="G1820" t="n">
        <v>0</v>
      </c>
      <c r="H1820" t="n">
        <v>-13.55314629349678</v>
      </c>
      <c r="I1820" t="n">
        <v>0.6541664098250894</v>
      </c>
      <c r="K1820" t="inlineStr">
        <is>
          <t>extrapolation</t>
        </is>
      </c>
      <c r="L1820" t="n">
        <v>0</v>
      </c>
    </row>
    <row r="1821">
      <c r="A1821" t="inlineStr">
        <is>
          <t>Sulfur dioxide</t>
        </is>
      </c>
      <c r="B1821" t="n">
        <v>0.00011988</v>
      </c>
      <c r="D1821" t="inlineStr">
        <is>
          <t>kilogram</t>
        </is>
      </c>
      <c r="E1821" t="inlineStr">
        <is>
          <t>air::urban air close to ground</t>
        </is>
      </c>
      <c r="F1821" t="inlineStr">
        <is>
          <t>biosphere</t>
        </is>
      </c>
      <c r="G1821" t="n">
        <v>0</v>
      </c>
      <c r="H1821" t="n">
        <v>-11.51392596530381</v>
      </c>
      <c r="I1821" t="n">
        <v>0.6541664098250894</v>
      </c>
      <c r="K1821" t="inlineStr">
        <is>
          <t>CARMA</t>
        </is>
      </c>
      <c r="L1821" t="n">
        <v>0</v>
      </c>
    </row>
    <row r="1822">
      <c r="A1822" t="inlineStr">
        <is>
          <t>Toluene</t>
        </is>
      </c>
      <c r="B1822" t="n">
        <v>3.6e-06</v>
      </c>
      <c r="D1822" t="inlineStr">
        <is>
          <t>kilogram</t>
        </is>
      </c>
      <c r="E1822" t="inlineStr">
        <is>
          <t>air::urban air close to ground</t>
        </is>
      </c>
      <c r="F1822" t="inlineStr">
        <is>
          <t>biosphere</t>
        </is>
      </c>
      <c r="G1822" t="n">
        <v>0</v>
      </c>
      <c r="H1822" t="n">
        <v>-15.01948336229021</v>
      </c>
      <c r="I1822" t="n">
        <v>0.6541664098250894</v>
      </c>
      <c r="K1822" t="inlineStr">
        <is>
          <t>extrapolation</t>
        </is>
      </c>
      <c r="L1822" t="n">
        <v>0</v>
      </c>
    </row>
    <row r="1823">
      <c r="A1823" t="inlineStr">
        <is>
          <t>Zinc</t>
        </is>
      </c>
      <c r="B1823" t="n">
        <v>3.6e-06</v>
      </c>
      <c r="D1823" t="inlineStr">
        <is>
          <t>kilogram</t>
        </is>
      </c>
      <c r="E1823" t="inlineStr">
        <is>
          <t>air::urban air close to ground</t>
        </is>
      </c>
      <c r="F1823" t="inlineStr">
        <is>
          <t>biosphere</t>
        </is>
      </c>
      <c r="G1823" t="n">
        <v>0</v>
      </c>
      <c r="H1823" t="n">
        <v>-15.01948336229021</v>
      </c>
      <c r="I1823" t="n">
        <v>0.6541664098250894</v>
      </c>
      <c r="K1823" t="inlineStr">
        <is>
          <t>extrapolation</t>
        </is>
      </c>
      <c r="L1823" t="n">
        <v>0</v>
      </c>
    </row>
    <row r="1824">
      <c r="A1824" t="inlineStr">
        <is>
          <t>m-Xylene</t>
        </is>
      </c>
      <c r="B1824" t="n">
        <v>1.44e-06</v>
      </c>
      <c r="D1824" t="inlineStr">
        <is>
          <t>kilogram</t>
        </is>
      </c>
      <c r="E1824" t="inlineStr">
        <is>
          <t>air::urban air close to ground</t>
        </is>
      </c>
      <c r="F1824" t="inlineStr">
        <is>
          <t>biosphere</t>
        </is>
      </c>
      <c r="G1824" t="n">
        <v>0</v>
      </c>
      <c r="H1824" t="n">
        <v>-15.93577409416437</v>
      </c>
      <c r="I1824" t="n">
        <v>0.6541664098250894</v>
      </c>
      <c r="K1824" t="inlineStr">
        <is>
          <t>extrapolation</t>
        </is>
      </c>
      <c r="L1824" t="n">
        <v>0</v>
      </c>
    </row>
    <row r="1825">
      <c r="A1825" t="inlineStr">
        <is>
          <t>Wood combustion power plant 20 MW</t>
        </is>
      </c>
      <c r="B1825" t="n">
        <v>2.904e-10</v>
      </c>
      <c r="C1825" t="inlineStr">
        <is>
          <t>RER</t>
        </is>
      </c>
      <c r="D1825" t="inlineStr">
        <is>
          <t>unit</t>
        </is>
      </c>
      <c r="E1825" t="inlineStr">
        <is>
          <t>Materials/fuels</t>
        </is>
      </c>
      <c r="F1825" t="inlineStr">
        <is>
          <t>technosphere</t>
        </is>
      </c>
      <c r="G1825" t="n">
        <v>0</v>
      </c>
      <c r="H1825" t="n">
        <v>2.42e-11</v>
      </c>
      <c r="K1825" t="inlineStr">
        <is>
          <t>CARMA</t>
        </is>
      </c>
    </row>
    <row r="1826">
      <c r="A1826" t="inlineStr">
        <is>
          <t>market for ammonia, liquid</t>
        </is>
      </c>
      <c r="B1826" t="n">
        <v>9.840000000000001e-08</v>
      </c>
      <c r="C1826" t="inlineStr">
        <is>
          <t>RER</t>
        </is>
      </c>
      <c r="D1826" t="inlineStr">
        <is>
          <t>kilogram</t>
        </is>
      </c>
      <c r="E1826" t="inlineStr">
        <is>
          <t>Materials/fuels</t>
        </is>
      </c>
      <c r="F1826" t="inlineStr">
        <is>
          <t>technosphere</t>
        </is>
      </c>
      <c r="G1826" t="n">
        <v>0</v>
      </c>
      <c r="H1826" t="n">
        <v>-18.6191316826762</v>
      </c>
      <c r="I1826" t="n">
        <v>0.09116077839697724</v>
      </c>
      <c r="K1826" t="inlineStr">
        <is>
          <t>general assumption</t>
        </is>
      </c>
      <c r="L1826" t="n">
        <v>0</v>
      </c>
      <c r="M1826" t="inlineStr">
        <is>
          <t>ammonia, liquid</t>
        </is>
      </c>
    </row>
    <row r="1827">
      <c r="A1827" t="inlineStr">
        <is>
          <t>market for chemical, organic</t>
        </is>
      </c>
      <c r="B1827" t="n">
        <v>6.888e-05</v>
      </c>
      <c r="C1827" t="inlineStr">
        <is>
          <t>GLO</t>
        </is>
      </c>
      <c r="D1827" t="inlineStr">
        <is>
          <t>kilogram</t>
        </is>
      </c>
      <c r="E1827" t="inlineStr">
        <is>
          <t>Materials/fuels</t>
        </is>
      </c>
      <c r="F1827" t="inlineStr">
        <is>
          <t>technosphere</t>
        </is>
      </c>
      <c r="G1827" t="n">
        <v>0</v>
      </c>
      <c r="H1827" t="n">
        <v>-12.0680513476328</v>
      </c>
      <c r="I1827" t="n">
        <v>0.09116077839697724</v>
      </c>
      <c r="K1827" t="inlineStr">
        <is>
          <t>general assumption</t>
        </is>
      </c>
      <c r="L1827" t="n">
        <v>0</v>
      </c>
      <c r="M1827" t="inlineStr">
        <is>
          <t>chemical, organic</t>
        </is>
      </c>
    </row>
    <row r="1828">
      <c r="A1828" t="inlineStr">
        <is>
          <t>market for chlorine, liquid</t>
        </is>
      </c>
      <c r="B1828" t="n">
        <v>3.936e-06</v>
      </c>
      <c r="C1828" t="inlineStr">
        <is>
          <t>RER</t>
        </is>
      </c>
      <c r="D1828" t="inlineStr">
        <is>
          <t>kilogram</t>
        </is>
      </c>
      <c r="E1828" t="inlineStr">
        <is>
          <t>Materials/fuels</t>
        </is>
      </c>
      <c r="F1828" t="inlineStr">
        <is>
          <t>technosphere</t>
        </is>
      </c>
      <c r="G1828" t="n">
        <v>0</v>
      </c>
      <c r="H1828" t="n">
        <v>-14.93025222856227</v>
      </c>
      <c r="I1828" t="n">
        <v>0.09116077839697724</v>
      </c>
      <c r="K1828" t="inlineStr">
        <is>
          <t>general assumption</t>
        </is>
      </c>
      <c r="L1828" t="n">
        <v>0</v>
      </c>
      <c r="M1828" t="inlineStr">
        <is>
          <t>chlorine, liquid</t>
        </is>
      </c>
    </row>
    <row r="1829">
      <c r="A1829" t="inlineStr">
        <is>
          <t>market for lubricating oil</t>
        </is>
      </c>
      <c r="B1829" t="n">
        <v>3.936e-05</v>
      </c>
      <c r="C1829" t="inlineStr">
        <is>
          <t>RER</t>
        </is>
      </c>
      <c r="D1829" t="inlineStr">
        <is>
          <t>kilogram</t>
        </is>
      </c>
      <c r="E1829" t="inlineStr">
        <is>
          <t>Materials/fuels</t>
        </is>
      </c>
      <c r="F1829" t="inlineStr">
        <is>
          <t>technosphere</t>
        </is>
      </c>
      <c r="G1829" t="n">
        <v>0</v>
      </c>
      <c r="H1829" t="n">
        <v>-12.62766713556822</v>
      </c>
      <c r="I1829" t="n">
        <v>0.04765508990216251</v>
      </c>
      <c r="K1829" t="inlineStr">
        <is>
          <t>general assumption</t>
        </is>
      </c>
      <c r="L1829" t="n">
        <v>0</v>
      </c>
      <c r="M1829" t="inlineStr">
        <is>
          <t>lubricating oil</t>
        </is>
      </c>
    </row>
    <row r="1830">
      <c r="A1830" t="inlineStr">
        <is>
          <t>market for transport, freight, lorry, unspecified</t>
        </is>
      </c>
      <c r="B1830" t="n">
        <v>0.0378</v>
      </c>
      <c r="C1830" t="inlineStr">
        <is>
          <t>RER</t>
        </is>
      </c>
      <c r="D1830" t="inlineStr">
        <is>
          <t>ton kilometer</t>
        </is>
      </c>
      <c r="E1830" t="inlineStr">
        <is>
          <t>Materials/fuels</t>
        </is>
      </c>
      <c r="F1830" t="inlineStr">
        <is>
          <t>technosphere</t>
        </is>
      </c>
      <c r="G1830" t="n">
        <v>0</v>
      </c>
      <c r="H1830" t="n">
        <v>-5.760352826144596</v>
      </c>
      <c r="I1830" t="n">
        <v>0.09116077839697724</v>
      </c>
      <c r="K1830" t="inlineStr">
        <is>
          <t>avg. transport distance: 25 km</t>
        </is>
      </c>
      <c r="L1830" t="n">
        <v>0</v>
      </c>
      <c r="M1830" t="inlineStr">
        <is>
          <t>transport, freight, lorry, unspecified</t>
        </is>
      </c>
    </row>
    <row r="1831" ht="16" customHeight="1">
      <c r="A1831" t="inlineStr">
        <is>
          <t>market for water, decarbonised</t>
        </is>
      </c>
      <c r="B1831" t="n">
        <v>0.009444000000000001</v>
      </c>
      <c r="C1831" t="inlineStr">
        <is>
          <t>RoW</t>
        </is>
      </c>
      <c r="D1831" t="inlineStr">
        <is>
          <t>kilogram</t>
        </is>
      </c>
      <c r="E1831" t="inlineStr">
        <is>
          <t>Materials/fuels</t>
        </is>
      </c>
      <c r="F1831" t="inlineStr">
        <is>
          <t>technosphere</t>
        </is>
      </c>
      <c r="G1831" t="n">
        <v>0</v>
      </c>
      <c r="H1831" t="n">
        <v>-7.14728230954687</v>
      </c>
      <c r="I1831" t="n">
        <v>0.09116077839697724</v>
      </c>
      <c r="K1831" t="inlineStr">
        <is>
          <t>general assumption</t>
        </is>
      </c>
      <c r="L1831" t="n">
        <v>0</v>
      </c>
      <c r="M1831" t="inlineStr">
        <is>
          <t>water, decarbonised</t>
        </is>
      </c>
    </row>
    <row r="1832">
      <c r="A1832" t="inlineStr">
        <is>
          <t>market for wood chips, wet, measured as dry mass</t>
        </is>
      </c>
      <c r="B1832">
        <f>(B1792/(44/12))/0.49</f>
        <v>0.695732838589981</v>
      </c>
      <c r="C1832" t="inlineStr">
        <is>
          <t>Europe without Switzerland</t>
        </is>
      </c>
      <c r="D1832" t="inlineStr">
        <is>
          <t>kilogram</t>
        </is>
      </c>
      <c r="E1832" t="inlineStr">
        <is>
          <t>Materials/fuels</t>
        </is>
      </c>
      <c r="F1832" t="inlineStr">
        <is>
          <t>technosphere</t>
        </is>
      </c>
      <c r="G1832" t="n">
        <v>0</v>
      </c>
      <c r="H1832" t="n">
        <v>0.0571458</v>
      </c>
      <c r="I1832" t="n">
        <v>0.02439508208471609</v>
      </c>
      <c r="K1832" t="inlineStr">
        <is>
          <t>conversion from cubic meter to kg based on ecoinvent 2.2 data</t>
        </is>
      </c>
      <c r="L1832" t="n">
        <v>0</v>
      </c>
      <c r="M1832" t="inlineStr">
        <is>
          <t>wood chips, wet, measured as dry mass</t>
        </is>
      </c>
    </row>
    <row r="1833">
      <c r="A1833" t="inlineStr">
        <is>
          <t>sodium chloride production, powder</t>
        </is>
      </c>
      <c r="B1833" t="n">
        <v>4.92e-05</v>
      </c>
      <c r="C1833" t="inlineStr">
        <is>
          <t>RER</t>
        </is>
      </c>
      <c r="D1833" t="inlineStr">
        <is>
          <t>kilogram</t>
        </is>
      </c>
      <c r="E1833" t="inlineStr">
        <is>
          <t>Materials/fuels</t>
        </is>
      </c>
      <c r="F1833" t="inlineStr">
        <is>
          <t>technosphere</t>
        </is>
      </c>
      <c r="G1833" t="n">
        <v>0</v>
      </c>
      <c r="H1833" t="n">
        <v>-12.40452358425401</v>
      </c>
      <c r="I1833" t="n">
        <v>0.09116077839697724</v>
      </c>
      <c r="K1833" t="inlineStr">
        <is>
          <t>general assumption</t>
        </is>
      </c>
      <c r="L1833" t="n">
        <v>0</v>
      </c>
      <c r="M1833" t="inlineStr">
        <is>
          <t>sodium chloride, powder</t>
        </is>
      </c>
    </row>
    <row r="1834">
      <c r="A1834" t="inlineStr">
        <is>
          <t>treatment of municipal solid waste, incineration</t>
        </is>
      </c>
      <c r="B1834" t="n">
        <v>-3.936e-05</v>
      </c>
      <c r="C1834" t="inlineStr">
        <is>
          <t>CH</t>
        </is>
      </c>
      <c r="D1834" t="inlineStr">
        <is>
          <t>kilogram</t>
        </is>
      </c>
      <c r="E1834" t="inlineStr">
        <is>
          <t>Waste to treatment</t>
        </is>
      </c>
      <c r="F1834" t="inlineStr">
        <is>
          <t>technosphere</t>
        </is>
      </c>
      <c r="G1834" t="n">
        <v>0</v>
      </c>
      <c r="H1834" t="n">
        <v>-12.62766713556822</v>
      </c>
      <c r="I1834" t="n">
        <v>0.09116077839697724</v>
      </c>
      <c r="K1834" t="inlineStr">
        <is>
          <t>general assumption</t>
        </is>
      </c>
      <c r="L1834" t="n">
        <v>0</v>
      </c>
      <c r="M1834" t="inlineStr">
        <is>
          <t>municipal solid waste</t>
        </is>
      </c>
    </row>
    <row r="1835">
      <c r="A1835" t="inlineStr">
        <is>
          <t>treatment of waste mineral oil, hazardous waste incineration</t>
        </is>
      </c>
      <c r="B1835" t="n">
        <v>-3.936e-05</v>
      </c>
      <c r="C1835" t="inlineStr">
        <is>
          <t>CH</t>
        </is>
      </c>
      <c r="D1835" t="inlineStr">
        <is>
          <t>kilogram</t>
        </is>
      </c>
      <c r="E1835" t="inlineStr">
        <is>
          <t>Waste to treatment</t>
        </is>
      </c>
      <c r="F1835" t="inlineStr">
        <is>
          <t>technosphere</t>
        </is>
      </c>
      <c r="G1835" t="n">
        <v>0</v>
      </c>
      <c r="H1835" t="n">
        <v>-12.62766713556822</v>
      </c>
      <c r="I1835" t="n">
        <v>0.09116077839697724</v>
      </c>
      <c r="K1835" t="inlineStr">
        <is>
          <t>general assumption</t>
        </is>
      </c>
      <c r="L1835" t="n">
        <v>0</v>
      </c>
      <c r="M1835" t="inlineStr">
        <is>
          <t>waste mineral oil</t>
        </is>
      </c>
    </row>
    <row r="1836">
      <c r="A1836" t="inlineStr">
        <is>
          <t>treatment of wastewater, average, capacity 1.1E10l/year</t>
        </is>
      </c>
      <c r="B1836" t="n">
        <v>-9.444e-06</v>
      </c>
      <c r="C1836" t="inlineStr">
        <is>
          <t>CH</t>
        </is>
      </c>
      <c r="D1836" t="inlineStr">
        <is>
          <t>cubic meter</t>
        </is>
      </c>
      <c r="E1836" t="inlineStr">
        <is>
          <t>Waste to treatment</t>
        </is>
      </c>
      <c r="F1836" t="inlineStr">
        <is>
          <t>technosphere</t>
        </is>
      </c>
      <c r="G1836" t="n">
        <v>0</v>
      </c>
      <c r="H1836" t="n">
        <v>-14.05503758852901</v>
      </c>
      <c r="I1836" t="n">
        <v>0.09116077839697724</v>
      </c>
      <c r="K1836" t="inlineStr">
        <is>
          <t>general assumption</t>
        </is>
      </c>
      <c r="L1836" t="n">
        <v>0</v>
      </c>
      <c r="M1836" t="inlineStr">
        <is>
          <t>wastewater, average</t>
        </is>
      </c>
    </row>
    <row r="1837">
      <c r="A1837" t="inlineStr">
        <is>
          <t>treatment of wood ash mixture, pure, landfarming</t>
        </is>
      </c>
      <c r="B1837" t="n">
        <v>-0.001632</v>
      </c>
      <c r="C1837" t="inlineStr">
        <is>
          <t>CH</t>
        </is>
      </c>
      <c r="D1837" t="inlineStr">
        <is>
          <t>kilogram</t>
        </is>
      </c>
      <c r="E1837" t="inlineStr">
        <is>
          <t>Waste to treatment</t>
        </is>
      </c>
      <c r="F1837" t="inlineStr">
        <is>
          <t>technosphere</t>
        </is>
      </c>
      <c r="G1837" t="n">
        <v>0</v>
      </c>
      <c r="H1837" t="n">
        <v>-8.902855672228222</v>
      </c>
      <c r="I1837" t="n">
        <v>0.02439508208471609</v>
      </c>
      <c r="K1837" t="inlineStr">
        <is>
          <t>1% Asche (trockene Holzmasse, =189 kgJ); 25% d. Asche dieser Entsorgungsweg</t>
        </is>
      </c>
      <c r="L1837" t="n">
        <v>0</v>
      </c>
      <c r="M1837" t="inlineStr">
        <is>
          <t>wood ash mixture, pure</t>
        </is>
      </c>
    </row>
    <row r="1838">
      <c r="A1838" t="inlineStr">
        <is>
          <t>treatment of wood ash mixture, pure, municipal incineration</t>
        </is>
      </c>
      <c r="B1838" t="n">
        <v>-0.001632</v>
      </c>
      <c r="C1838" t="inlineStr">
        <is>
          <t>CH</t>
        </is>
      </c>
      <c r="D1838" t="inlineStr">
        <is>
          <t>kilogram</t>
        </is>
      </c>
      <c r="E1838" t="inlineStr">
        <is>
          <t>Waste to treatment</t>
        </is>
      </c>
      <c r="F1838" t="inlineStr">
        <is>
          <t>technosphere</t>
        </is>
      </c>
      <c r="G1838" t="n">
        <v>0</v>
      </c>
      <c r="H1838" t="n">
        <v>-8.902855672228222</v>
      </c>
      <c r="I1838" t="n">
        <v>0.02439508208471609</v>
      </c>
      <c r="K1838" t="inlineStr">
        <is>
          <t>1% Asche (trockene Holzmasse, =189 kgJ); 25% d. Asche dieser Entsorgungsweg</t>
        </is>
      </c>
      <c r="L1838" t="n">
        <v>0</v>
      </c>
      <c r="M1838" t="inlineStr">
        <is>
          <t>wood ash mixture, pure</t>
        </is>
      </c>
    </row>
    <row r="1839" ht="16" customHeight="1">
      <c r="A1839" t="inlineStr">
        <is>
          <t>treatment of wood ash mixture, pure, sanitary landfill</t>
        </is>
      </c>
      <c r="B1839" t="n">
        <v>-0.003264</v>
      </c>
      <c r="C1839" t="inlineStr">
        <is>
          <t>CH</t>
        </is>
      </c>
      <c r="D1839" t="inlineStr">
        <is>
          <t>kilogram</t>
        </is>
      </c>
      <c r="E1839" t="inlineStr">
        <is>
          <t>Waste to treatment</t>
        </is>
      </c>
      <c r="F1839" t="inlineStr">
        <is>
          <t>technosphere</t>
        </is>
      </c>
      <c r="G1839" t="n">
        <v>0</v>
      </c>
      <c r="H1839" t="n">
        <v>-8.209708491668277</v>
      </c>
      <c r="I1839" t="n">
        <v>0.02439508208471609</v>
      </c>
      <c r="K1839" t="inlineStr">
        <is>
          <t>1% Asche (trockene Holzmasse, =189 kgJ); 50% d. Asche dieser Entsorgungsweg</t>
        </is>
      </c>
      <c r="L1839" t="n">
        <v>0</v>
      </c>
      <c r="M1839" t="inlineStr">
        <is>
          <t>wood ash mixture, pure</t>
        </is>
      </c>
    </row>
    <row r="1840"/>
    <row r="1841">
      <c r="A1841" s="1" t="inlineStr">
        <is>
          <t>Activity</t>
        </is>
      </c>
      <c r="B1841" s="1" t="inlineStr">
        <is>
          <t>electricity production, at wood burning power plant, post, pipeline 200km, storage 1000m</t>
        </is>
      </c>
    </row>
    <row r="1842">
      <c r="A1842" t="inlineStr">
        <is>
          <t>location</t>
        </is>
      </c>
      <c r="B1842" t="inlineStr">
        <is>
          <t>RER</t>
        </is>
      </c>
    </row>
    <row r="1843">
      <c r="A1843" t="inlineStr">
        <is>
          <t>production amount</t>
        </is>
      </c>
      <c r="B1843" t="n">
        <v>1</v>
      </c>
    </row>
    <row r="1844">
      <c r="A1844" t="inlineStr">
        <is>
          <t>comment</t>
        </is>
      </c>
      <c r="B1844" t="inlineStr">
        <is>
          <t>Wood-fired power plant, CCS, post, MEA, 90% CO2 capture efficiency. 18 MWel. 5500 full load hours per year. 25 years lifetime. 20% net electrical efficiency.</t>
        </is>
      </c>
    </row>
    <row r="1845">
      <c r="A1845" t="inlineStr">
        <is>
          <t>source</t>
        </is>
      </c>
      <c r="B1845" t="inlineStr">
        <is>
          <t>Kathrin Volkart, Christian Bauer, Céline Boulet, Life cycle assessment of carbon capture and storage in power generation and industry in Europe, International Journal of Greenhouse Gas Control, 2013, https://doi.org/10.1016/j.ijggc.2013.03.003.</t>
        </is>
      </c>
    </row>
    <row r="1846">
      <c r="A1846" t="inlineStr">
        <is>
          <t>reference product</t>
        </is>
      </c>
      <c r="B1846" t="inlineStr">
        <is>
          <t>electricity, high voltage</t>
        </is>
      </c>
    </row>
    <row r="1847">
      <c r="A1847" t="inlineStr">
        <is>
          <t>type</t>
        </is>
      </c>
      <c r="B1847" t="inlineStr">
        <is>
          <t>process</t>
        </is>
      </c>
    </row>
    <row r="1848">
      <c r="A1848" t="inlineStr">
        <is>
          <t>unit</t>
        </is>
      </c>
      <c r="B1848" t="inlineStr">
        <is>
          <t>kilowatt hour</t>
        </is>
      </c>
    </row>
    <row r="1849">
      <c r="A1849" s="1" t="inlineStr">
        <is>
          <t>Exchanges</t>
        </is>
      </c>
    </row>
    <row r="1850">
      <c r="A1850" t="inlineStr">
        <is>
          <t>name</t>
        </is>
      </c>
      <c r="B1850" t="inlineStr">
        <is>
          <t>amount</t>
        </is>
      </c>
      <c r="C1850" t="inlineStr">
        <is>
          <t>location</t>
        </is>
      </c>
      <c r="D1850" t="inlineStr">
        <is>
          <t>unit</t>
        </is>
      </c>
      <c r="E1850" t="inlineStr">
        <is>
          <t>categories</t>
        </is>
      </c>
      <c r="F1850" t="inlineStr">
        <is>
          <t>type</t>
        </is>
      </c>
      <c r="G1850" t="inlineStr">
        <is>
          <t>uncertainty type</t>
        </is>
      </c>
      <c r="H1850" t="inlineStr">
        <is>
          <t>loc</t>
        </is>
      </c>
      <c r="I1850" t="inlineStr">
        <is>
          <t>allocation</t>
        </is>
      </c>
      <c r="J1850" t="inlineStr">
        <is>
          <t>comment</t>
        </is>
      </c>
      <c r="K1850" t="inlineStr">
        <is>
          <t>simapro name</t>
        </is>
      </c>
      <c r="L1850" t="inlineStr">
        <is>
          <t>negative</t>
        </is>
      </c>
      <c r="M1850" t="inlineStr">
        <is>
          <t>reference product</t>
        </is>
      </c>
    </row>
    <row r="1851">
      <c r="A1851" t="inlineStr">
        <is>
          <t>electricity production, at wood burning power plant, post, pipeline 200km, storage 1000m</t>
        </is>
      </c>
      <c r="B1851" t="n">
        <v>1</v>
      </c>
      <c r="C1851" t="inlineStr">
        <is>
          <t>RER</t>
        </is>
      </c>
      <c r="D1851" t="inlineStr">
        <is>
          <t>kilowatt hour</t>
        </is>
      </c>
      <c r="E1851" t="inlineStr">
        <is>
          <t>CCS Europe 2025::Wood</t>
        </is>
      </c>
      <c r="F1851" t="inlineStr">
        <is>
          <t>production</t>
        </is>
      </c>
      <c r="I1851" t="n">
        <v>100</v>
      </c>
      <c r="K1851" t="inlineStr">
        <is>
          <t>electricity production, at wood burning power plant 20 MW post, pipeline 200km, storage 1000m U</t>
        </is>
      </c>
    </row>
    <row r="1852">
      <c r="A1852" t="inlineStr">
        <is>
          <t>Acetaldehyde</t>
        </is>
      </c>
      <c r="B1852" t="n">
        <v>7.32e-07</v>
      </c>
      <c r="D1852" t="inlineStr">
        <is>
          <t>kilogram</t>
        </is>
      </c>
      <c r="E1852" t="inlineStr">
        <is>
          <t>air::urban air close to ground</t>
        </is>
      </c>
      <c r="F1852" t="inlineStr">
        <is>
          <t>biosphere</t>
        </is>
      </c>
      <c r="G1852" t="n">
        <v>0</v>
      </c>
      <c r="H1852" t="n">
        <v>-16.6123919727731</v>
      </c>
      <c r="I1852" t="n">
        <v>0.6541664098250894</v>
      </c>
      <c r="K1852" t="inlineStr">
        <is>
          <t>extrapolation</t>
        </is>
      </c>
      <c r="L1852" t="n">
        <v>0</v>
      </c>
    </row>
    <row r="1853">
      <c r="A1853" t="inlineStr">
        <is>
          <t>Ammonia</t>
        </is>
      </c>
      <c r="B1853" t="n">
        <v>2.088e-05</v>
      </c>
      <c r="D1853" t="inlineStr">
        <is>
          <t>kilogram</t>
        </is>
      </c>
      <c r="E1853" t="inlineStr">
        <is>
          <t>air::urban air close to ground</t>
        </is>
      </c>
      <c r="F1853" t="inlineStr">
        <is>
          <t>biosphere</t>
        </is>
      </c>
      <c r="G1853" t="n">
        <v>0</v>
      </c>
      <c r="H1853" t="n">
        <v>-13.26162544473784</v>
      </c>
      <c r="I1853" t="n">
        <v>0.6541664098250894</v>
      </c>
      <c r="K1853" t="inlineStr">
        <is>
          <t>extrapolation</t>
        </is>
      </c>
      <c r="L1853" t="n">
        <v>0</v>
      </c>
    </row>
    <row r="1854">
      <c r="A1854" t="inlineStr">
        <is>
          <t>Arsenic</t>
        </is>
      </c>
      <c r="B1854" t="n">
        <v>1.2e-08</v>
      </c>
      <c r="D1854" t="inlineStr">
        <is>
          <t>kilogram</t>
        </is>
      </c>
      <c r="E1854" t="inlineStr">
        <is>
          <t>air::urban air close to ground</t>
        </is>
      </c>
      <c r="F1854" t="inlineStr">
        <is>
          <t>biosphere</t>
        </is>
      </c>
      <c r="G1854" t="n">
        <v>0</v>
      </c>
      <c r="H1854" t="n">
        <v>-20.72326583694641</v>
      </c>
      <c r="I1854" t="n">
        <v>0.6541664098250894</v>
      </c>
      <c r="K1854" t="inlineStr">
        <is>
          <t>extrapolation</t>
        </is>
      </c>
      <c r="L1854" t="n">
        <v>0</v>
      </c>
    </row>
    <row r="1855">
      <c r="A1855" t="inlineStr">
        <is>
          <t>Benzene</t>
        </is>
      </c>
      <c r="B1855" t="n">
        <v>1.092e-05</v>
      </c>
      <c r="D1855" t="inlineStr">
        <is>
          <t>kilogram</t>
        </is>
      </c>
      <c r="E1855" t="inlineStr">
        <is>
          <t>air::urban air close to ground</t>
        </is>
      </c>
      <c r="F1855" t="inlineStr">
        <is>
          <t>biosphere</t>
        </is>
      </c>
      <c r="G1855" t="n">
        <v>0</v>
      </c>
      <c r="H1855" t="n">
        <v>-13.90982123743552</v>
      </c>
      <c r="I1855" t="n">
        <v>0.6541664098250894</v>
      </c>
      <c r="K1855" t="inlineStr">
        <is>
          <t>extrapolation</t>
        </is>
      </c>
      <c r="L1855" t="n">
        <v>0</v>
      </c>
    </row>
    <row r="1856">
      <c r="A1856" t="inlineStr">
        <is>
          <t>Benzene, ethyl-</t>
        </is>
      </c>
      <c r="B1856" t="n">
        <v>3.599999999999999e-07</v>
      </c>
      <c r="D1856" t="inlineStr">
        <is>
          <t>kilogram</t>
        </is>
      </c>
      <c r="E1856" t="inlineStr">
        <is>
          <t>air::urban air close to ground</t>
        </is>
      </c>
      <c r="F1856" t="inlineStr">
        <is>
          <t>biosphere</t>
        </is>
      </c>
      <c r="G1856" t="n">
        <v>0</v>
      </c>
      <c r="H1856" t="n">
        <v>-17.32206845528426</v>
      </c>
      <c r="I1856" t="n">
        <v>0.6541664098250894</v>
      </c>
      <c r="K1856" t="inlineStr">
        <is>
          <t>extrapolation</t>
        </is>
      </c>
      <c r="L1856" t="n">
        <v>0</v>
      </c>
    </row>
    <row r="1857">
      <c r="A1857" t="inlineStr">
        <is>
          <t>Benzene, hexachloro-</t>
        </is>
      </c>
      <c r="B1857" t="n">
        <v>8.64e-14</v>
      </c>
      <c r="D1857" t="inlineStr">
        <is>
          <t>kilogram</t>
        </is>
      </c>
      <c r="E1857" t="inlineStr">
        <is>
          <t>air::urban air close to ground</t>
        </is>
      </c>
      <c r="F1857" t="inlineStr">
        <is>
          <t>biosphere</t>
        </is>
      </c>
      <c r="G1857" t="n">
        <v>0</v>
      </c>
      <c r="H1857" t="n">
        <v>-32.56469536888868</v>
      </c>
      <c r="I1857" t="n">
        <v>0.6541664098250894</v>
      </c>
      <c r="K1857" t="inlineStr">
        <is>
          <t>extrapolation</t>
        </is>
      </c>
      <c r="L1857" t="n">
        <v>0</v>
      </c>
    </row>
    <row r="1858">
      <c r="A1858" t="inlineStr">
        <is>
          <t>Benzo(a)pyrene</t>
        </is>
      </c>
      <c r="B1858" t="n">
        <v>6.000000000000001e-09</v>
      </c>
      <c r="D1858" t="inlineStr">
        <is>
          <t>kilogram</t>
        </is>
      </c>
      <c r="E1858" t="inlineStr">
        <is>
          <t>air::urban air close to ground</t>
        </is>
      </c>
      <c r="F1858" t="inlineStr">
        <is>
          <t>biosphere</t>
        </is>
      </c>
      <c r="G1858" t="n">
        <v>0</v>
      </c>
      <c r="H1858" t="n">
        <v>-21.41641301750636</v>
      </c>
      <c r="I1858" t="n">
        <v>0.6541664098250894</v>
      </c>
      <c r="K1858" t="inlineStr">
        <is>
          <t>extrapolation</t>
        </is>
      </c>
      <c r="L1858" t="n">
        <v>0</v>
      </c>
    </row>
    <row r="1859">
      <c r="A1859" t="inlineStr">
        <is>
          <t>Bromine</t>
        </is>
      </c>
      <c r="B1859" t="n">
        <v>7.199999999999999e-07</v>
      </c>
      <c r="D1859" t="inlineStr">
        <is>
          <t>kilogram</t>
        </is>
      </c>
      <c r="E1859" t="inlineStr">
        <is>
          <t>air::urban air close to ground</t>
        </is>
      </c>
      <c r="F1859" t="inlineStr">
        <is>
          <t>biosphere</t>
        </is>
      </c>
      <c r="G1859" t="n">
        <v>0</v>
      </c>
      <c r="H1859" t="n">
        <v>-16.62892127472431</v>
      </c>
      <c r="I1859" t="n">
        <v>0.6541664098250894</v>
      </c>
      <c r="K1859" t="inlineStr">
        <is>
          <t>extrapolation</t>
        </is>
      </c>
      <c r="L1859" t="n">
        <v>0</v>
      </c>
    </row>
    <row r="1860">
      <c r="A1860" t="inlineStr">
        <is>
          <t>Cadmium</t>
        </is>
      </c>
      <c r="B1860" t="n">
        <v>8.399999999999999e-09</v>
      </c>
      <c r="D1860" t="inlineStr">
        <is>
          <t>kilogram</t>
        </is>
      </c>
      <c r="E1860" t="inlineStr">
        <is>
          <t>air::urban air close to ground</t>
        </is>
      </c>
      <c r="F1860" t="inlineStr">
        <is>
          <t>biosphere</t>
        </is>
      </c>
      <c r="G1860" t="n">
        <v>0</v>
      </c>
      <c r="H1860" t="n">
        <v>-21.07994078088514</v>
      </c>
      <c r="I1860" t="n">
        <v>0.6541664098250894</v>
      </c>
      <c r="K1860" t="inlineStr">
        <is>
          <t>extrapolation</t>
        </is>
      </c>
      <c r="L1860" t="n">
        <v>0</v>
      </c>
    </row>
    <row r="1861">
      <c r="A1861" t="inlineStr">
        <is>
          <t>Calcium</t>
        </is>
      </c>
      <c r="B1861" t="n">
        <v>7.02e-05</v>
      </c>
      <c r="D1861" t="inlineStr">
        <is>
          <t>kilogram</t>
        </is>
      </c>
      <c r="E1861" t="inlineStr">
        <is>
          <t>air::urban air close to ground</t>
        </is>
      </c>
      <c r="F1861" t="inlineStr">
        <is>
          <t>biosphere</t>
        </is>
      </c>
      <c r="G1861" t="n">
        <v>0</v>
      </c>
      <c r="H1861" t="n">
        <v>-12.04906889672051</v>
      </c>
      <c r="I1861" t="n">
        <v>0.6541664098250894</v>
      </c>
      <c r="K1861" t="inlineStr">
        <is>
          <t>extrapolation</t>
        </is>
      </c>
      <c r="L1861" t="n">
        <v>0</v>
      </c>
    </row>
    <row r="1862">
      <c r="A1862" t="inlineStr">
        <is>
          <t>Carbon dioxide, non-fossil</t>
        </is>
      </c>
      <c r="B1862" t="n">
        <v>0.187</v>
      </c>
      <c r="D1862" t="inlineStr">
        <is>
          <t>kilogram</t>
        </is>
      </c>
      <c r="E1862" t="inlineStr">
        <is>
          <t>air</t>
        </is>
      </c>
      <c r="F1862" t="inlineStr">
        <is>
          <t>biosphere</t>
        </is>
      </c>
      <c r="G1862" t="n">
        <v>0</v>
      </c>
      <c r="H1862" t="n">
        <v>-4.56594947283481</v>
      </c>
      <c r="I1862" t="n">
        <v>0.02439508208471609</v>
      </c>
      <c r="K1862" t="inlineStr">
        <is>
          <t>CARMA; 90% capture rate</t>
        </is>
      </c>
      <c r="L1862" t="n">
        <v>0</v>
      </c>
    </row>
    <row r="1863">
      <c r="A1863" t="inlineStr">
        <is>
          <t>Carbon monoxide, non-fossil</t>
        </is>
      </c>
      <c r="B1863" t="n">
        <v>8.4e-05</v>
      </c>
      <c r="D1863" t="inlineStr">
        <is>
          <t>kilogram</t>
        </is>
      </c>
      <c r="E1863" t="inlineStr">
        <is>
          <t>air::urban air close to ground</t>
        </is>
      </c>
      <c r="F1863" t="inlineStr">
        <is>
          <t>biosphere</t>
        </is>
      </c>
      <c r="G1863" t="n">
        <v>0</v>
      </c>
      <c r="H1863" t="n">
        <v>-11.86960040890896</v>
      </c>
      <c r="I1863" t="n">
        <v>0.3942286801821351</v>
      </c>
      <c r="K1863" t="inlineStr">
        <is>
          <t>measurements</t>
        </is>
      </c>
      <c r="L1863" t="n">
        <v>0</v>
      </c>
    </row>
    <row r="1864">
      <c r="A1864" t="inlineStr">
        <is>
          <t>Chlorine</t>
        </is>
      </c>
      <c r="B1864" t="n">
        <v>2.16e-06</v>
      </c>
      <c r="D1864" t="inlineStr">
        <is>
          <t>kilogram</t>
        </is>
      </c>
      <c r="E1864" t="inlineStr">
        <is>
          <t>air::urban air close to ground</t>
        </is>
      </c>
      <c r="F1864" t="inlineStr">
        <is>
          <t>biosphere</t>
        </is>
      </c>
      <c r="G1864" t="n">
        <v>0</v>
      </c>
      <c r="H1864" t="n">
        <v>-15.5303089860562</v>
      </c>
      <c r="I1864" t="n">
        <v>0.6541664098250894</v>
      </c>
      <c r="K1864" t="inlineStr">
        <is>
          <t>extrapolation</t>
        </is>
      </c>
      <c r="L1864" t="n">
        <v>0</v>
      </c>
    </row>
    <row r="1865">
      <c r="A1865" t="inlineStr">
        <is>
          <t>Chromium</t>
        </is>
      </c>
      <c r="B1865" t="n">
        <v>4.752e-08</v>
      </c>
      <c r="D1865" t="inlineStr">
        <is>
          <t>kilogram</t>
        </is>
      </c>
      <c r="E1865" t="inlineStr">
        <is>
          <t>air::urban air close to ground</t>
        </is>
      </c>
      <c r="F1865" t="inlineStr">
        <is>
          <t>biosphere</t>
        </is>
      </c>
      <c r="G1865" t="n">
        <v>0</v>
      </c>
      <c r="H1865" t="n">
        <v>-19.34702181168002</v>
      </c>
      <c r="I1865" t="n">
        <v>0.6541664098250894</v>
      </c>
      <c r="K1865" t="inlineStr">
        <is>
          <t>extrapolation</t>
        </is>
      </c>
      <c r="L1865" t="n">
        <v>0</v>
      </c>
    </row>
    <row r="1866">
      <c r="A1866" t="inlineStr">
        <is>
          <t>Chromium VI</t>
        </is>
      </c>
      <c r="B1866" t="n">
        <v>4.8e-10</v>
      </c>
      <c r="D1866" t="inlineStr">
        <is>
          <t>kilogram</t>
        </is>
      </c>
      <c r="E1866" t="inlineStr">
        <is>
          <t>air::urban air close to ground</t>
        </is>
      </c>
      <c r="F1866" t="inlineStr">
        <is>
          <t>biosphere</t>
        </is>
      </c>
      <c r="G1866" t="n">
        <v>0</v>
      </c>
      <c r="H1866" t="n">
        <v>-23.94214166181461</v>
      </c>
      <c r="I1866" t="n">
        <v>0.6931471805599453</v>
      </c>
      <c r="K1866" t="inlineStr">
        <is>
          <t>range of data</t>
        </is>
      </c>
      <c r="L1866" t="n">
        <v>0</v>
      </c>
    </row>
    <row r="1867">
      <c r="A1867" t="inlineStr">
        <is>
          <t>Copper</t>
        </is>
      </c>
      <c r="B1867" t="n">
        <v>2.64e-07</v>
      </c>
      <c r="D1867" t="inlineStr">
        <is>
          <t>kilogram</t>
        </is>
      </c>
      <c r="E1867" t="inlineStr">
        <is>
          <t>air::urban air close to ground</t>
        </is>
      </c>
      <c r="F1867" t="inlineStr">
        <is>
          <t>biosphere</t>
        </is>
      </c>
      <c r="G1867" t="n">
        <v>0</v>
      </c>
      <c r="H1867" t="n">
        <v>-17.63222338358809</v>
      </c>
      <c r="I1867" t="n">
        <v>0.6541664098250894</v>
      </c>
      <c r="K1867" t="inlineStr">
        <is>
          <t>extrapolation</t>
        </is>
      </c>
      <c r="L1867" t="n">
        <v>0</v>
      </c>
    </row>
    <row r="1868">
      <c r="A1868" t="inlineStr">
        <is>
          <t>Dinitrogen monoxide</t>
        </is>
      </c>
      <c r="B1868" t="n">
        <v>2.76e-05</v>
      </c>
      <c r="D1868" t="inlineStr">
        <is>
          <t>kilogram</t>
        </is>
      </c>
      <c r="E1868" t="inlineStr">
        <is>
          <t>air::urban air close to ground</t>
        </is>
      </c>
      <c r="F1868" t="inlineStr">
        <is>
          <t>biosphere</t>
        </is>
      </c>
      <c r="G1868" t="n">
        <v>0</v>
      </c>
      <c r="H1868" t="n">
        <v>-12.98260143502917</v>
      </c>
      <c r="I1868" t="n">
        <v>0.6541664098250894</v>
      </c>
      <c r="K1868" t="inlineStr">
        <is>
          <t>extrapolation</t>
        </is>
      </c>
      <c r="L1868" t="n">
        <v>0</v>
      </c>
    </row>
    <row r="1869">
      <c r="A1869" t="inlineStr">
        <is>
          <t>Dioxins, measured as 2,3,7,8-tetrachlorodibenzo-p-dioxin</t>
        </is>
      </c>
      <c r="B1869" t="n">
        <v>3.72e-13</v>
      </c>
      <c r="D1869" t="inlineStr">
        <is>
          <t>kilogram</t>
        </is>
      </c>
      <c r="E1869" t="inlineStr">
        <is>
          <t>air::urban air close to ground</t>
        </is>
      </c>
      <c r="F1869" t="inlineStr">
        <is>
          <t>biosphere</t>
        </is>
      </c>
      <c r="G1869" t="n">
        <v>0</v>
      </c>
      <c r="H1869" t="n">
        <v>-31.10478919042554</v>
      </c>
      <c r="I1869" t="n">
        <v>0.6541664098250894</v>
      </c>
      <c r="K1869" t="inlineStr">
        <is>
          <t>extrapolation</t>
        </is>
      </c>
      <c r="L1869" t="n">
        <v>0</v>
      </c>
    </row>
    <row r="1870">
      <c r="A1870" t="inlineStr">
        <is>
          <t>Fluorine</t>
        </is>
      </c>
      <c r="B1870" t="n">
        <v>6e-07</v>
      </c>
      <c r="D1870" t="inlineStr">
        <is>
          <t>kilogram</t>
        </is>
      </c>
      <c r="E1870" t="inlineStr">
        <is>
          <t>air::urban air close to ground</t>
        </is>
      </c>
      <c r="F1870" t="inlineStr">
        <is>
          <t>biosphere</t>
        </is>
      </c>
      <c r="G1870" t="n">
        <v>0</v>
      </c>
      <c r="H1870" t="n">
        <v>-16.81124283151826</v>
      </c>
      <c r="I1870" t="n">
        <v>0.6541664098250894</v>
      </c>
      <c r="K1870" t="inlineStr">
        <is>
          <t>extrapolation</t>
        </is>
      </c>
      <c r="L1870" t="n">
        <v>0</v>
      </c>
    </row>
    <row r="1871">
      <c r="A1871" t="inlineStr">
        <is>
          <t>Formaldehyde</t>
        </is>
      </c>
      <c r="B1871" t="n">
        <v>1.56e-06</v>
      </c>
      <c r="D1871" t="inlineStr">
        <is>
          <t>kilogram</t>
        </is>
      </c>
      <c r="E1871" t="inlineStr">
        <is>
          <t>air::urban air close to ground</t>
        </is>
      </c>
      <c r="F1871" t="inlineStr">
        <is>
          <t>biosphere</t>
        </is>
      </c>
      <c r="G1871" t="n">
        <v>0</v>
      </c>
      <c r="H1871" t="n">
        <v>-15.85573138649083</v>
      </c>
      <c r="I1871" t="n">
        <v>0.6541664098250894</v>
      </c>
      <c r="K1871" t="inlineStr">
        <is>
          <t>extrapolation</t>
        </is>
      </c>
      <c r="L1871" t="n">
        <v>0</v>
      </c>
    </row>
    <row r="1872">
      <c r="A1872" t="inlineStr">
        <is>
          <t>Heat, waste</t>
        </is>
      </c>
      <c r="B1872" t="n">
        <v>11.844</v>
      </c>
      <c r="D1872" t="inlineStr">
        <is>
          <t>megajoule</t>
        </is>
      </c>
      <c r="E1872" t="inlineStr">
        <is>
          <t>air::urban air close to ground</t>
        </is>
      </c>
      <c r="F1872" t="inlineStr">
        <is>
          <t>biosphere</t>
        </is>
      </c>
      <c r="G1872" t="n">
        <v>0</v>
      </c>
      <c r="H1872" t="n">
        <v>-0.01308523954865548</v>
      </c>
      <c r="I1872" t="n">
        <v>0.02439508208471609</v>
      </c>
      <c r="K1872" t="inlineStr">
        <is>
          <t>own estimation, based on uncertainty of upper heating value and electricity production</t>
        </is>
      </c>
      <c r="L1872" t="n">
        <v>0</v>
      </c>
    </row>
    <row r="1873">
      <c r="A1873" t="inlineStr">
        <is>
          <t>Hydrocarbons, aliphatic, alkanes, unspecified</t>
        </is>
      </c>
      <c r="B1873" t="n">
        <v>1.092e-05</v>
      </c>
      <c r="D1873" t="inlineStr">
        <is>
          <t>kilogram</t>
        </is>
      </c>
      <c r="E1873" t="inlineStr">
        <is>
          <t>air::urban air close to ground</t>
        </is>
      </c>
      <c r="F1873" t="inlineStr">
        <is>
          <t>biosphere</t>
        </is>
      </c>
      <c r="G1873" t="n">
        <v>0</v>
      </c>
      <c r="H1873" t="n">
        <v>-13.90982123743552</v>
      </c>
      <c r="I1873" t="n">
        <v>0.6541664098250894</v>
      </c>
      <c r="K1873" t="inlineStr">
        <is>
          <t>extrapolation</t>
        </is>
      </c>
      <c r="L1873" t="n">
        <v>0</v>
      </c>
    </row>
    <row r="1874">
      <c r="A1874" t="inlineStr">
        <is>
          <t>Hydrocarbons, aliphatic, unsaturated</t>
        </is>
      </c>
      <c r="B1874" t="n">
        <v>3.72e-05</v>
      </c>
      <c r="D1874" t="inlineStr">
        <is>
          <t>kilogram</t>
        </is>
      </c>
      <c r="E1874" t="inlineStr">
        <is>
          <t>air::urban air close to ground</t>
        </is>
      </c>
      <c r="F1874" t="inlineStr">
        <is>
          <t>biosphere</t>
        </is>
      </c>
      <c r="G1874" t="n">
        <v>0</v>
      </c>
      <c r="H1874" t="n">
        <v>-12.68410844647317</v>
      </c>
      <c r="I1874" t="n">
        <v>0.6541664098250894</v>
      </c>
      <c r="K1874" t="inlineStr">
        <is>
          <t>extrapolation</t>
        </is>
      </c>
      <c r="L1874" t="n">
        <v>0</v>
      </c>
    </row>
    <row r="1875">
      <c r="A1875" t="inlineStr">
        <is>
          <t>Lead</t>
        </is>
      </c>
      <c r="B1875" t="n">
        <v>2.988e-07</v>
      </c>
      <c r="D1875" t="inlineStr">
        <is>
          <t>kilogram</t>
        </is>
      </c>
      <c r="E1875" t="inlineStr">
        <is>
          <t>air::urban air close to ground</t>
        </is>
      </c>
      <c r="F1875" t="inlineStr">
        <is>
          <t>biosphere</t>
        </is>
      </c>
      <c r="G1875" t="n">
        <v>0</v>
      </c>
      <c r="H1875" t="n">
        <v>-17.50839803347575</v>
      </c>
      <c r="I1875" t="n">
        <v>0.6541664098250894</v>
      </c>
      <c r="K1875" t="inlineStr">
        <is>
          <t>extrapolation</t>
        </is>
      </c>
      <c r="L1875" t="n">
        <v>0</v>
      </c>
    </row>
    <row r="1876">
      <c r="A1876" t="inlineStr">
        <is>
          <t>Magnesium</t>
        </is>
      </c>
      <c r="B1876" t="n">
        <v>4.332e-06</v>
      </c>
      <c r="D1876" t="inlineStr">
        <is>
          <t>kilogram</t>
        </is>
      </c>
      <c r="E1876" t="inlineStr">
        <is>
          <t>air::urban air close to ground</t>
        </is>
      </c>
      <c r="F1876" t="inlineStr">
        <is>
          <t>biosphere</t>
        </is>
      </c>
      <c r="G1876" t="n">
        <v>0</v>
      </c>
      <c r="H1876" t="n">
        <v>-14.83438787861353</v>
      </c>
      <c r="I1876" t="n">
        <v>0.6541664098250894</v>
      </c>
      <c r="K1876" t="inlineStr">
        <is>
          <t>extrapolation</t>
        </is>
      </c>
      <c r="L1876" t="n">
        <v>0</v>
      </c>
    </row>
    <row r="1877">
      <c r="A1877" t="inlineStr">
        <is>
          <t>Manganese</t>
        </is>
      </c>
      <c r="B1877" t="n">
        <v>2.052e-06</v>
      </c>
      <c r="D1877" t="inlineStr">
        <is>
          <t>kilogram</t>
        </is>
      </c>
      <c r="E1877" t="inlineStr">
        <is>
          <t>air::urban air close to ground</t>
        </is>
      </c>
      <c r="F1877" t="inlineStr">
        <is>
          <t>biosphere</t>
        </is>
      </c>
      <c r="G1877" t="n">
        <v>0</v>
      </c>
      <c r="H1877" t="n">
        <v>-15.58160228044375</v>
      </c>
      <c r="I1877" t="n">
        <v>0.6541664098250894</v>
      </c>
      <c r="K1877" t="inlineStr">
        <is>
          <t>extrapolation</t>
        </is>
      </c>
      <c r="L1877" t="n">
        <v>0</v>
      </c>
    </row>
    <row r="1878">
      <c r="A1878" t="inlineStr">
        <is>
          <t>Mercury</t>
        </is>
      </c>
      <c r="B1878" t="n">
        <v>3.6e-09</v>
      </c>
      <c r="D1878" t="inlineStr">
        <is>
          <t>kilogram</t>
        </is>
      </c>
      <c r="E1878" t="inlineStr">
        <is>
          <t>air::urban air close to ground</t>
        </is>
      </c>
      <c r="F1878" t="inlineStr">
        <is>
          <t>biosphere</t>
        </is>
      </c>
      <c r="G1878" t="n">
        <v>0</v>
      </c>
      <c r="H1878" t="n">
        <v>-21.92723864127235</v>
      </c>
      <c r="I1878" t="n">
        <v>0.6541664098250894</v>
      </c>
      <c r="K1878" t="inlineStr">
        <is>
          <t>extrapolation</t>
        </is>
      </c>
      <c r="L1878" t="n">
        <v>0</v>
      </c>
    </row>
    <row r="1879">
      <c r="A1879" t="inlineStr">
        <is>
          <t>Methane, non-fossil</t>
        </is>
      </c>
      <c r="B1879" t="n">
        <v>5.208e-06</v>
      </c>
      <c r="D1879" t="inlineStr">
        <is>
          <t>kilogram</t>
        </is>
      </c>
      <c r="E1879" t="inlineStr">
        <is>
          <t>air::urban air close to ground</t>
        </is>
      </c>
      <c r="F1879" t="inlineStr">
        <is>
          <t>biosphere</t>
        </is>
      </c>
      <c r="G1879" t="n">
        <v>0</v>
      </c>
      <c r="H1879" t="n">
        <v>-14.65022130284601</v>
      </c>
      <c r="I1879" t="n">
        <v>0.6541664098250894</v>
      </c>
      <c r="K1879" t="inlineStr">
        <is>
          <t>extrapolation</t>
        </is>
      </c>
      <c r="L1879" t="n">
        <v>0</v>
      </c>
    </row>
    <row r="1880">
      <c r="A1880" t="inlineStr">
        <is>
          <t>NMVOC, non-methane volatile organic compounds, unspecified origin</t>
        </is>
      </c>
      <c r="B1880" t="n">
        <v>7.319999999999999e-06</v>
      </c>
      <c r="D1880" t="inlineStr">
        <is>
          <t>kilogram</t>
        </is>
      </c>
      <c r="E1880" t="inlineStr">
        <is>
          <t>air::urban air close to ground</t>
        </is>
      </c>
      <c r="F1880" t="inlineStr">
        <is>
          <t>biosphere</t>
        </is>
      </c>
      <c r="G1880" t="n">
        <v>0</v>
      </c>
      <c r="H1880" t="n">
        <v>-14.30980687977905</v>
      </c>
      <c r="I1880" t="n">
        <v>0.6541664098250894</v>
      </c>
      <c r="K1880" t="inlineStr">
        <is>
          <t>extrapolation</t>
        </is>
      </c>
      <c r="L1880" t="n">
        <v>0</v>
      </c>
    </row>
    <row r="1881">
      <c r="A1881" t="inlineStr">
        <is>
          <t>Nickel</t>
        </is>
      </c>
      <c r="B1881" t="n">
        <v>7.2e-08</v>
      </c>
      <c r="D1881" t="inlineStr">
        <is>
          <t>kilogram</t>
        </is>
      </c>
      <c r="E1881" t="inlineStr">
        <is>
          <t>air::urban air close to ground</t>
        </is>
      </c>
      <c r="F1881" t="inlineStr">
        <is>
          <t>biosphere</t>
        </is>
      </c>
      <c r="G1881" t="n">
        <v>0</v>
      </c>
      <c r="H1881" t="n">
        <v>-18.93150636771836</v>
      </c>
      <c r="I1881" t="n">
        <v>0.6541664098250894</v>
      </c>
      <c r="K1881" t="inlineStr">
        <is>
          <t>extrapolation</t>
        </is>
      </c>
      <c r="L1881" t="n">
        <v>0</v>
      </c>
    </row>
    <row r="1882">
      <c r="A1882" t="inlineStr">
        <is>
          <t>Nitrogen oxides</t>
        </is>
      </c>
      <c r="B1882" t="n">
        <v>0.0008292</v>
      </c>
      <c r="D1882" t="inlineStr">
        <is>
          <t>kilogram</t>
        </is>
      </c>
      <c r="E1882" t="inlineStr">
        <is>
          <t>air::urban air close to ground</t>
        </is>
      </c>
      <c r="F1882" t="inlineStr">
        <is>
          <t>biosphere</t>
        </is>
      </c>
      <c r="G1882" t="n">
        <v>0</v>
      </c>
      <c r="H1882" t="n">
        <v>-9.57995582719065</v>
      </c>
      <c r="I1882" t="n">
        <v>0.09116077839697724</v>
      </c>
      <c r="K1882" t="inlineStr">
        <is>
          <t>CARMA; additional reduction 2.5%</t>
        </is>
      </c>
      <c r="L1882" t="n">
        <v>0</v>
      </c>
    </row>
    <row r="1883">
      <c r="A1883" t="inlineStr">
        <is>
          <t>PAH, polycyclic aromatic hydrocarbons</t>
        </is>
      </c>
      <c r="B1883" t="n">
        <v>1.32e-07</v>
      </c>
      <c r="D1883" t="inlineStr">
        <is>
          <t>kilogram</t>
        </is>
      </c>
      <c r="E1883" t="inlineStr">
        <is>
          <t>air::urban air close to ground</t>
        </is>
      </c>
      <c r="F1883" t="inlineStr">
        <is>
          <t>biosphere</t>
        </is>
      </c>
      <c r="G1883" t="n">
        <v>0</v>
      </c>
      <c r="H1883" t="n">
        <v>-18.32537056414804</v>
      </c>
      <c r="I1883" t="n">
        <v>0.6541664098250894</v>
      </c>
      <c r="K1883" t="inlineStr">
        <is>
          <t>extrapolation</t>
        </is>
      </c>
      <c r="L1883" t="n">
        <v>0</v>
      </c>
    </row>
    <row r="1884">
      <c r="A1884" t="inlineStr">
        <is>
          <t>Particulates, &lt; 2.5 um</t>
        </is>
      </c>
      <c r="B1884" t="n">
        <v>1.596e-05</v>
      </c>
      <c r="D1884" t="inlineStr">
        <is>
          <t>kilogram</t>
        </is>
      </c>
      <c r="E1884" t="inlineStr">
        <is>
          <t>air::urban air close to ground</t>
        </is>
      </c>
      <c r="F1884" t="inlineStr">
        <is>
          <t>biosphere</t>
        </is>
      </c>
      <c r="G1884" t="n">
        <v>0</v>
      </c>
      <c r="H1884" t="n">
        <v>-13.53033161573061</v>
      </c>
      <c r="I1884" t="n">
        <v>0.04765508990216251</v>
      </c>
      <c r="K1884" t="inlineStr">
        <is>
          <t>CARMA; additional reduction 50%</t>
        </is>
      </c>
      <c r="L1884" t="n">
        <v>0</v>
      </c>
    </row>
    <row r="1885">
      <c r="A1885" t="inlineStr">
        <is>
          <t>Particulates, &gt; 10 um</t>
        </is>
      </c>
      <c r="B1885" t="n">
        <v>2.124e-06</v>
      </c>
      <c r="D1885" t="inlineStr">
        <is>
          <t>kilogram</t>
        </is>
      </c>
      <c r="E1885" t="inlineStr">
        <is>
          <t>air::urban air close to ground</t>
        </is>
      </c>
      <c r="F1885" t="inlineStr">
        <is>
          <t>biosphere</t>
        </is>
      </c>
      <c r="G1885" t="n">
        <v>0</v>
      </c>
      <c r="H1885" t="n">
        <v>1.77e-07</v>
      </c>
      <c r="K1885" t="inlineStr">
        <is>
          <t>CARMA; additional reduction 50%</t>
        </is>
      </c>
    </row>
    <row r="1886">
      <c r="A1886" t="inlineStr">
        <is>
          <t>Particulates, &gt; 2.5 um, and &lt; 10um</t>
        </is>
      </c>
      <c r="B1886" t="n">
        <v>3.192e-06</v>
      </c>
      <c r="D1886" t="inlineStr">
        <is>
          <t>kilogram</t>
        </is>
      </c>
      <c r="E1886" t="inlineStr">
        <is>
          <t>air::urban air close to ground</t>
        </is>
      </c>
      <c r="F1886" t="inlineStr">
        <is>
          <t>biosphere</t>
        </is>
      </c>
      <c r="G1886" t="n">
        <v>0</v>
      </c>
      <c r="H1886" t="n">
        <v>2.66e-07</v>
      </c>
      <c r="K1886" t="inlineStr">
        <is>
          <t>CARMA; additional reduction 50%</t>
        </is>
      </c>
    </row>
    <row r="1887">
      <c r="A1887" t="inlineStr">
        <is>
          <t>Phenol, pentachloro-</t>
        </is>
      </c>
      <c r="B1887" t="n">
        <v>9.72e-11</v>
      </c>
      <c r="D1887" t="inlineStr">
        <is>
          <t>kilogram</t>
        </is>
      </c>
      <c r="E1887" t="inlineStr">
        <is>
          <t>air::urban air close to ground</t>
        </is>
      </c>
      <c r="F1887" t="inlineStr">
        <is>
          <t>biosphere</t>
        </is>
      </c>
      <c r="G1887" t="n">
        <v>0</v>
      </c>
      <c r="H1887" t="n">
        <v>-25.53915705425015</v>
      </c>
      <c r="I1887" t="n">
        <v>0.6541664098250894</v>
      </c>
      <c r="K1887" t="inlineStr">
        <is>
          <t>extrapolation</t>
        </is>
      </c>
      <c r="L1887" t="n">
        <v>0</v>
      </c>
    </row>
    <row r="1888">
      <c r="A1888" t="inlineStr">
        <is>
          <t>Phosphorus</t>
        </is>
      </c>
      <c r="B1888" t="n">
        <v>3.6e-06</v>
      </c>
      <c r="D1888" t="inlineStr">
        <is>
          <t>kilogram</t>
        </is>
      </c>
      <c r="E1888" t="inlineStr">
        <is>
          <t>air::urban air close to ground</t>
        </is>
      </c>
      <c r="F1888" t="inlineStr">
        <is>
          <t>biosphere</t>
        </is>
      </c>
      <c r="G1888" t="n">
        <v>0</v>
      </c>
      <c r="H1888" t="n">
        <v>-15.01948336229021</v>
      </c>
      <c r="I1888" t="n">
        <v>0.6541664098250894</v>
      </c>
      <c r="K1888" t="inlineStr">
        <is>
          <t>extrapolation</t>
        </is>
      </c>
      <c r="L1888" t="n">
        <v>0</v>
      </c>
    </row>
    <row r="1889">
      <c r="A1889" t="inlineStr">
        <is>
          <t>Potassium</t>
        </is>
      </c>
      <c r="B1889" t="n">
        <v>0.0002808</v>
      </c>
      <c r="D1889" t="inlineStr">
        <is>
          <t>kilogram</t>
        </is>
      </c>
      <c r="E1889" t="inlineStr">
        <is>
          <t>air::urban air close to ground</t>
        </is>
      </c>
      <c r="F1889" t="inlineStr">
        <is>
          <t>biosphere</t>
        </is>
      </c>
      <c r="G1889" t="n">
        <v>0</v>
      </c>
      <c r="H1889" t="n">
        <v>-10.66277453560062</v>
      </c>
      <c r="I1889" t="n">
        <v>0.6541664098250894</v>
      </c>
      <c r="K1889" t="inlineStr">
        <is>
          <t>extrapolation</t>
        </is>
      </c>
      <c r="L1889" t="n">
        <v>0</v>
      </c>
    </row>
    <row r="1890">
      <c r="A1890" t="inlineStr">
        <is>
          <t>Sodium</t>
        </is>
      </c>
      <c r="B1890" t="n">
        <v>1.56e-05</v>
      </c>
      <c r="D1890" t="inlineStr">
        <is>
          <t>kilogram</t>
        </is>
      </c>
      <c r="E1890" t="inlineStr">
        <is>
          <t>air::urban air close to ground</t>
        </is>
      </c>
      <c r="F1890" t="inlineStr">
        <is>
          <t>biosphere</t>
        </is>
      </c>
      <c r="G1890" t="n">
        <v>0</v>
      </c>
      <c r="H1890" t="n">
        <v>-13.55314629349678</v>
      </c>
      <c r="I1890" t="n">
        <v>0.6541664098250894</v>
      </c>
      <c r="K1890" t="inlineStr">
        <is>
          <t>extrapolation</t>
        </is>
      </c>
      <c r="L1890" t="n">
        <v>0</v>
      </c>
    </row>
    <row r="1891">
      <c r="A1891" t="inlineStr">
        <is>
          <t>Sulfur dioxide</t>
        </is>
      </c>
      <c r="B1891" t="n">
        <v>6e-06</v>
      </c>
      <c r="D1891" t="inlineStr">
        <is>
          <t>kilogram</t>
        </is>
      </c>
      <c r="E1891" t="inlineStr">
        <is>
          <t>air::urban air close to ground</t>
        </is>
      </c>
      <c r="F1891" t="inlineStr">
        <is>
          <t>biosphere</t>
        </is>
      </c>
      <c r="G1891" t="n">
        <v>0</v>
      </c>
      <c r="H1891" t="n">
        <v>-14.50865773852422</v>
      </c>
      <c r="I1891" t="n">
        <v>0.6541664098250894</v>
      </c>
      <c r="K1891" t="inlineStr">
        <is>
          <t>CARMA; additional reduction 95%</t>
        </is>
      </c>
      <c r="L1891" t="n">
        <v>0</v>
      </c>
    </row>
    <row r="1892">
      <c r="A1892" t="inlineStr">
        <is>
          <t>Toluene</t>
        </is>
      </c>
      <c r="B1892" t="n">
        <v>3.6e-06</v>
      </c>
      <c r="D1892" t="inlineStr">
        <is>
          <t>kilogram</t>
        </is>
      </c>
      <c r="E1892" t="inlineStr">
        <is>
          <t>air::urban air close to ground</t>
        </is>
      </c>
      <c r="F1892" t="inlineStr">
        <is>
          <t>biosphere</t>
        </is>
      </c>
      <c r="G1892" t="n">
        <v>0</v>
      </c>
      <c r="H1892" t="n">
        <v>-15.01948336229021</v>
      </c>
      <c r="I1892" t="n">
        <v>0.6541664098250894</v>
      </c>
      <c r="K1892" t="inlineStr">
        <is>
          <t>extrapolation</t>
        </is>
      </c>
      <c r="L1892" t="n">
        <v>0</v>
      </c>
    </row>
    <row r="1893">
      <c r="A1893" t="inlineStr">
        <is>
          <t>Zinc</t>
        </is>
      </c>
      <c r="B1893" t="n">
        <v>3.6e-06</v>
      </c>
      <c r="D1893" t="inlineStr">
        <is>
          <t>kilogram</t>
        </is>
      </c>
      <c r="E1893" t="inlineStr">
        <is>
          <t>air::urban air close to ground</t>
        </is>
      </c>
      <c r="F1893" t="inlineStr">
        <is>
          <t>biosphere</t>
        </is>
      </c>
      <c r="G1893" t="n">
        <v>0</v>
      </c>
      <c r="H1893" t="n">
        <v>-15.01948336229021</v>
      </c>
      <c r="I1893" t="n">
        <v>0.6541664098250894</v>
      </c>
      <c r="K1893" t="inlineStr">
        <is>
          <t>extrapolation</t>
        </is>
      </c>
      <c r="L1893" t="n">
        <v>0</v>
      </c>
    </row>
    <row r="1894">
      <c r="A1894" t="inlineStr">
        <is>
          <t>m-Xylene</t>
        </is>
      </c>
      <c r="B1894" t="n">
        <v>1.44e-06</v>
      </c>
      <c r="D1894" t="inlineStr">
        <is>
          <t>kilogram</t>
        </is>
      </c>
      <c r="E1894" t="inlineStr">
        <is>
          <t>air::urban air close to ground</t>
        </is>
      </c>
      <c r="F1894" t="inlineStr">
        <is>
          <t>biosphere</t>
        </is>
      </c>
      <c r="G1894" t="n">
        <v>0</v>
      </c>
      <c r="H1894" t="n">
        <v>-15.93577409416437</v>
      </c>
      <c r="I1894" t="n">
        <v>0.6541664098250894</v>
      </c>
      <c r="K1894" t="inlineStr">
        <is>
          <t>extrapolation</t>
        </is>
      </c>
      <c r="L1894" t="n">
        <v>0</v>
      </c>
    </row>
    <row r="1895">
      <c r="A1895" t="inlineStr">
        <is>
          <t>carbon dioxide, captured at wood burning power plant 20 MW post, pipeline 200km, storage 1000m</t>
        </is>
      </c>
      <c r="B1895">
        <f>(B1862*0.9)/0.1</f>
        <v>1.683</v>
      </c>
      <c r="C1895" t="inlineStr">
        <is>
          <t>RER</t>
        </is>
      </c>
      <c r="D1895" t="inlineStr">
        <is>
          <t>kilogram</t>
        </is>
      </c>
      <c r="E1895" t="inlineStr">
        <is>
          <t>Materials/fuels</t>
        </is>
      </c>
      <c r="F1895" t="inlineStr">
        <is>
          <t>technosphere</t>
        </is>
      </c>
      <c r="G1895" t="n">
        <v>0</v>
      </c>
      <c r="H1895" t="n">
        <v>0.0936</v>
      </c>
      <c r="K1895" t="inlineStr">
        <is>
          <t>CARMA; 90% capture rate</t>
        </is>
      </c>
    </row>
    <row r="1896">
      <c r="A1896" t="inlineStr">
        <is>
          <t>Wood combustion power plant 20 MW</t>
        </is>
      </c>
      <c r="B1896" t="n">
        <v>2.64e-10</v>
      </c>
      <c r="C1896" t="inlineStr">
        <is>
          <t>RER</t>
        </is>
      </c>
      <c r="D1896" t="inlineStr">
        <is>
          <t>unit</t>
        </is>
      </c>
      <c r="E1896" t="inlineStr">
        <is>
          <t>Materials/fuels</t>
        </is>
      </c>
      <c r="F1896" t="inlineStr">
        <is>
          <t>technosphere</t>
        </is>
      </c>
      <c r="G1896" t="n">
        <v>0</v>
      </c>
      <c r="H1896" t="n">
        <v>2.2e-11</v>
      </c>
      <c r="K1896" t="inlineStr">
        <is>
          <t>CARMA</t>
        </is>
      </c>
    </row>
    <row r="1897">
      <c r="A1897" t="inlineStr">
        <is>
          <t>desulfurisation of lignite flue gas</t>
        </is>
      </c>
      <c r="B1897" t="n">
        <v>0.00011388</v>
      </c>
      <c r="C1897" t="inlineStr">
        <is>
          <t>GLO</t>
        </is>
      </c>
      <c r="D1897" t="inlineStr">
        <is>
          <t>kilogram</t>
        </is>
      </c>
      <c r="E1897" t="inlineStr">
        <is>
          <t>Materials/fuels</t>
        </is>
      </c>
      <c r="F1897" t="inlineStr">
        <is>
          <t>technosphere</t>
        </is>
      </c>
      <c r="G1897" t="n">
        <v>0</v>
      </c>
      <c r="H1897" t="n">
        <v>9.490000000000001e-06</v>
      </c>
      <c r="K1897" t="inlineStr">
        <is>
          <t>CARMA; additional reduction 95%</t>
        </is>
      </c>
      <c r="M1897" t="inlineStr">
        <is>
          <t>SOx retained, in lignite flue gas desulfurisation</t>
        </is>
      </c>
    </row>
    <row r="1898">
      <c r="A1898" t="inlineStr">
        <is>
          <t>market for ammonia, liquid</t>
        </is>
      </c>
      <c r="B1898" t="n">
        <v>9.840000000000001e-08</v>
      </c>
      <c r="C1898" t="inlineStr">
        <is>
          <t>RER</t>
        </is>
      </c>
      <c r="D1898" t="inlineStr">
        <is>
          <t>kilogram</t>
        </is>
      </c>
      <c r="E1898" t="inlineStr">
        <is>
          <t>Materials/fuels</t>
        </is>
      </c>
      <c r="F1898" t="inlineStr">
        <is>
          <t>technosphere</t>
        </is>
      </c>
      <c r="G1898" t="n">
        <v>0</v>
      </c>
      <c r="H1898" t="n">
        <v>-18.6191316826762</v>
      </c>
      <c r="I1898" t="n">
        <v>0.09116077839697724</v>
      </c>
      <c r="K1898" t="inlineStr">
        <is>
          <t>general assumption</t>
        </is>
      </c>
      <c r="L1898" t="n">
        <v>0</v>
      </c>
      <c r="M1898" t="inlineStr">
        <is>
          <t>ammonia, liquid</t>
        </is>
      </c>
    </row>
    <row r="1899">
      <c r="A1899" t="inlineStr">
        <is>
          <t>market for chemical, organic</t>
        </is>
      </c>
      <c r="B1899" t="n">
        <v>6.888e-05</v>
      </c>
      <c r="C1899" t="inlineStr">
        <is>
          <t>GLO</t>
        </is>
      </c>
      <c r="D1899" t="inlineStr">
        <is>
          <t>kilogram</t>
        </is>
      </c>
      <c r="E1899" t="inlineStr">
        <is>
          <t>Materials/fuels</t>
        </is>
      </c>
      <c r="F1899" t="inlineStr">
        <is>
          <t>technosphere</t>
        </is>
      </c>
      <c r="G1899" t="n">
        <v>0</v>
      </c>
      <c r="H1899" t="n">
        <v>-12.0680513476328</v>
      </c>
      <c r="I1899" t="n">
        <v>0.09116077839697724</v>
      </c>
      <c r="K1899" t="inlineStr">
        <is>
          <t>general assumption</t>
        </is>
      </c>
      <c r="L1899" t="n">
        <v>0</v>
      </c>
      <c r="M1899" t="inlineStr">
        <is>
          <t>chemical, organic</t>
        </is>
      </c>
    </row>
    <row r="1900">
      <c r="A1900" t="inlineStr">
        <is>
          <t>market for chlorine, liquid</t>
        </is>
      </c>
      <c r="B1900" t="n">
        <v>3.936e-06</v>
      </c>
      <c r="C1900" t="inlineStr">
        <is>
          <t>RER</t>
        </is>
      </c>
      <c r="D1900" t="inlineStr">
        <is>
          <t>kilogram</t>
        </is>
      </c>
      <c r="E1900" t="inlineStr">
        <is>
          <t>Materials/fuels</t>
        </is>
      </c>
      <c r="F1900" t="inlineStr">
        <is>
          <t>technosphere</t>
        </is>
      </c>
      <c r="G1900" t="n">
        <v>0</v>
      </c>
      <c r="H1900" t="n">
        <v>-14.93025222856227</v>
      </c>
      <c r="I1900" t="n">
        <v>0.09116077839697724</v>
      </c>
      <c r="K1900" t="inlineStr">
        <is>
          <t>general assumption</t>
        </is>
      </c>
      <c r="L1900" t="n">
        <v>0</v>
      </c>
      <c r="M1900" t="inlineStr">
        <is>
          <t>chlorine, liquid</t>
        </is>
      </c>
    </row>
    <row r="1901">
      <c r="A1901" t="inlineStr">
        <is>
          <t>market for lubricating oil</t>
        </is>
      </c>
      <c r="B1901" t="n">
        <v>3.936e-05</v>
      </c>
      <c r="C1901" t="inlineStr">
        <is>
          <t>RER</t>
        </is>
      </c>
      <c r="D1901" t="inlineStr">
        <is>
          <t>kilogram</t>
        </is>
      </c>
      <c r="E1901" t="inlineStr">
        <is>
          <t>Materials/fuels</t>
        </is>
      </c>
      <c r="F1901" t="inlineStr">
        <is>
          <t>technosphere</t>
        </is>
      </c>
      <c r="G1901" t="n">
        <v>0</v>
      </c>
      <c r="H1901" t="n">
        <v>-12.62766713556822</v>
      </c>
      <c r="I1901" t="n">
        <v>0.04765508990216251</v>
      </c>
      <c r="K1901" t="inlineStr">
        <is>
          <t>general assumption</t>
        </is>
      </c>
      <c r="L1901" t="n">
        <v>0</v>
      </c>
      <c r="M1901" t="inlineStr">
        <is>
          <t>lubricating oil</t>
        </is>
      </c>
    </row>
    <row r="1902">
      <c r="A1902" t="inlineStr">
        <is>
          <t>market for transport, freight, lorry, unspecified</t>
        </is>
      </c>
      <c r="B1902" t="n">
        <v>0.0378</v>
      </c>
      <c r="C1902" t="inlineStr">
        <is>
          <t>RER</t>
        </is>
      </c>
      <c r="D1902" t="inlineStr">
        <is>
          <t>ton kilometer</t>
        </is>
      </c>
      <c r="E1902" t="inlineStr">
        <is>
          <t>Materials/fuels</t>
        </is>
      </c>
      <c r="F1902" t="inlineStr">
        <is>
          <t>technosphere</t>
        </is>
      </c>
      <c r="G1902" t="n">
        <v>0</v>
      </c>
      <c r="H1902" t="n">
        <v>-5.760352826144596</v>
      </c>
      <c r="I1902" t="n">
        <v>0.09116077839697724</v>
      </c>
      <c r="K1902" t="inlineStr">
        <is>
          <t>avg. transport distance: 25 km</t>
        </is>
      </c>
      <c r="L1902" t="n">
        <v>0</v>
      </c>
      <c r="M1902" t="inlineStr">
        <is>
          <t>transport, freight, lorry, unspecified</t>
        </is>
      </c>
    </row>
    <row r="1903" ht="16" customHeight="1">
      <c r="A1903" t="inlineStr">
        <is>
          <t>market for water, decarbonised</t>
        </is>
      </c>
      <c r="B1903" t="n">
        <v>0.009444000000000001</v>
      </c>
      <c r="C1903" t="inlineStr">
        <is>
          <t>RoW</t>
        </is>
      </c>
      <c r="D1903" t="inlineStr">
        <is>
          <t>kilogram</t>
        </is>
      </c>
      <c r="E1903" t="inlineStr">
        <is>
          <t>Materials/fuels</t>
        </is>
      </c>
      <c r="F1903" t="inlineStr">
        <is>
          <t>technosphere</t>
        </is>
      </c>
      <c r="G1903" t="n">
        <v>0</v>
      </c>
      <c r="H1903" t="n">
        <v>-7.14728230954687</v>
      </c>
      <c r="I1903" t="n">
        <v>0.09116077839697724</v>
      </c>
      <c r="K1903" t="inlineStr">
        <is>
          <t>general assumption</t>
        </is>
      </c>
      <c r="L1903" t="n">
        <v>0</v>
      </c>
      <c r="M1903" t="inlineStr">
        <is>
          <t>water, decarbonised</t>
        </is>
      </c>
    </row>
    <row r="1904">
      <c r="A1904" t="inlineStr">
        <is>
          <t>market for wood chips, wet, measured as dry mass</t>
        </is>
      </c>
      <c r="B1904">
        <f>(SUM(B1862,B1895)/(44/12))/0.49</f>
        <v>1.04081632653061</v>
      </c>
      <c r="C1904" t="inlineStr">
        <is>
          <t>Europe without Switzerland</t>
        </is>
      </c>
      <c r="D1904" t="inlineStr">
        <is>
          <t>kilogram</t>
        </is>
      </c>
      <c r="E1904" t="inlineStr">
        <is>
          <t>Materials/fuels</t>
        </is>
      </c>
      <c r="F1904" t="inlineStr">
        <is>
          <t>technosphere</t>
        </is>
      </c>
      <c r="G1904" t="n">
        <v>0</v>
      </c>
      <c r="H1904" t="n">
        <v>0.0571458</v>
      </c>
      <c r="I1904" t="n">
        <v>0.02439508208471609</v>
      </c>
      <c r="K1904" t="inlineStr">
        <is>
          <t>conversion from cubic meter to kg based on ecoinvent 2.2 data</t>
        </is>
      </c>
      <c r="L1904" t="n">
        <v>0</v>
      </c>
      <c r="M1904" t="inlineStr">
        <is>
          <t>wood chips, wet, measured as dry mass</t>
        </is>
      </c>
    </row>
    <row r="1905">
      <c r="A1905" t="inlineStr">
        <is>
          <t>sodium chloride production, powder</t>
        </is>
      </c>
      <c r="B1905" t="n">
        <v>4.92e-05</v>
      </c>
      <c r="C1905" t="inlineStr">
        <is>
          <t>RER</t>
        </is>
      </c>
      <c r="D1905" t="inlineStr">
        <is>
          <t>kilogram</t>
        </is>
      </c>
      <c r="E1905" t="inlineStr">
        <is>
          <t>Materials/fuels</t>
        </is>
      </c>
      <c r="F1905" t="inlineStr">
        <is>
          <t>technosphere</t>
        </is>
      </c>
      <c r="G1905" t="n">
        <v>0</v>
      </c>
      <c r="H1905" t="n">
        <v>-12.40452358425401</v>
      </c>
      <c r="I1905" t="n">
        <v>0.09116077839697724</v>
      </c>
      <c r="K1905" t="inlineStr">
        <is>
          <t>general assumption</t>
        </is>
      </c>
      <c r="L1905" t="n">
        <v>0</v>
      </c>
      <c r="M1905" t="inlineStr">
        <is>
          <t>sodium chloride, powder</t>
        </is>
      </c>
    </row>
    <row r="1906">
      <c r="A1906" t="inlineStr">
        <is>
          <t>treatment of municipal solid waste, incineration</t>
        </is>
      </c>
      <c r="B1906" t="n">
        <v>-3.936e-05</v>
      </c>
      <c r="C1906" t="inlineStr">
        <is>
          <t>CH</t>
        </is>
      </c>
      <c r="D1906" t="inlineStr">
        <is>
          <t>kilogram</t>
        </is>
      </c>
      <c r="E1906" t="inlineStr">
        <is>
          <t>Waste to treatment</t>
        </is>
      </c>
      <c r="F1906" t="inlineStr">
        <is>
          <t>technosphere</t>
        </is>
      </c>
      <c r="G1906" t="n">
        <v>0</v>
      </c>
      <c r="H1906" t="n">
        <v>-12.62766713556822</v>
      </c>
      <c r="I1906" t="n">
        <v>0.09116077839697724</v>
      </c>
      <c r="K1906" t="inlineStr">
        <is>
          <t>general assumption</t>
        </is>
      </c>
      <c r="L1906" t="n">
        <v>0</v>
      </c>
      <c r="M1906" t="inlineStr">
        <is>
          <t>municipal solid waste</t>
        </is>
      </c>
    </row>
    <row r="1907">
      <c r="A1907" t="inlineStr">
        <is>
          <t>treatment of waste mineral oil, hazardous waste incineration</t>
        </is>
      </c>
      <c r="B1907" t="n">
        <v>-3.936e-05</v>
      </c>
      <c r="C1907" t="inlineStr">
        <is>
          <t>CH</t>
        </is>
      </c>
      <c r="D1907" t="inlineStr">
        <is>
          <t>kilogram</t>
        </is>
      </c>
      <c r="E1907" t="inlineStr">
        <is>
          <t>Waste to treatment</t>
        </is>
      </c>
      <c r="F1907" t="inlineStr">
        <is>
          <t>technosphere</t>
        </is>
      </c>
      <c r="G1907" t="n">
        <v>0</v>
      </c>
      <c r="H1907" t="n">
        <v>-12.62766713556822</v>
      </c>
      <c r="I1907" t="n">
        <v>0.09116077839697724</v>
      </c>
      <c r="K1907" t="inlineStr">
        <is>
          <t>general assumption</t>
        </is>
      </c>
      <c r="L1907" t="n">
        <v>0</v>
      </c>
      <c r="M1907" t="inlineStr">
        <is>
          <t>waste mineral oil</t>
        </is>
      </c>
    </row>
    <row r="1908">
      <c r="A1908" t="inlineStr">
        <is>
          <t>treatment of wastewater, average, capacity 1.1E10l/year</t>
        </is>
      </c>
      <c r="B1908" t="n">
        <v>-9.444e-06</v>
      </c>
      <c r="C1908" t="inlineStr">
        <is>
          <t>CH</t>
        </is>
      </c>
      <c r="D1908" t="inlineStr">
        <is>
          <t>cubic meter</t>
        </is>
      </c>
      <c r="E1908" t="inlineStr">
        <is>
          <t>Waste to treatment</t>
        </is>
      </c>
      <c r="F1908" t="inlineStr">
        <is>
          <t>technosphere</t>
        </is>
      </c>
      <c r="G1908" t="n">
        <v>0</v>
      </c>
      <c r="H1908" t="n">
        <v>-14.05503758852901</v>
      </c>
      <c r="I1908" t="n">
        <v>0.09116077839697724</v>
      </c>
      <c r="K1908" t="inlineStr">
        <is>
          <t>general assumption</t>
        </is>
      </c>
      <c r="L1908" t="n">
        <v>0</v>
      </c>
      <c r="M1908" t="inlineStr">
        <is>
          <t>wastewater, average</t>
        </is>
      </c>
    </row>
    <row r="1909">
      <c r="A1909" t="inlineStr">
        <is>
          <t>treatment of wood ash mixture, pure, landfarming</t>
        </is>
      </c>
      <c r="B1909" t="n">
        <v>-0.001632</v>
      </c>
      <c r="C1909" t="inlineStr">
        <is>
          <t>CH</t>
        </is>
      </c>
      <c r="D1909" t="inlineStr">
        <is>
          <t>kilogram</t>
        </is>
      </c>
      <c r="E1909" t="inlineStr">
        <is>
          <t>Waste to treatment</t>
        </is>
      </c>
      <c r="F1909" t="inlineStr">
        <is>
          <t>technosphere</t>
        </is>
      </c>
      <c r="G1909" t="n">
        <v>0</v>
      </c>
      <c r="H1909" t="n">
        <v>-8.902855672228222</v>
      </c>
      <c r="I1909" t="n">
        <v>0.02439508208471609</v>
      </c>
      <c r="K1909" t="inlineStr">
        <is>
          <t>1% Asche (trockene Holzmasse, =189 kgJ); 25% d. Asche dieser Entsorgungsweg</t>
        </is>
      </c>
      <c r="L1909" t="n">
        <v>0</v>
      </c>
      <c r="M1909" t="inlineStr">
        <is>
          <t>wood ash mixture, pure</t>
        </is>
      </c>
    </row>
    <row r="1910" ht="16" customHeight="1">
      <c r="A1910" t="inlineStr">
        <is>
          <t>treatment of wood ash mixture, pure, municipal incineration</t>
        </is>
      </c>
      <c r="B1910" t="n">
        <v>-0.001632</v>
      </c>
      <c r="C1910" t="inlineStr">
        <is>
          <t>CH</t>
        </is>
      </c>
      <c r="D1910" t="inlineStr">
        <is>
          <t>kilogram</t>
        </is>
      </c>
      <c r="E1910" t="inlineStr">
        <is>
          <t>Waste to treatment</t>
        </is>
      </c>
      <c r="F1910" t="inlineStr">
        <is>
          <t>technosphere</t>
        </is>
      </c>
      <c r="G1910" t="n">
        <v>0</v>
      </c>
      <c r="H1910" t="n">
        <v>-8.902855672228222</v>
      </c>
      <c r="I1910" t="n">
        <v>0.02439508208471609</v>
      </c>
      <c r="K1910" t="inlineStr">
        <is>
          <t>1% Asche (trockene Holzmasse, =189 kgJ); 25% d. Asche dieser Entsorgungsweg</t>
        </is>
      </c>
      <c r="L1910" t="n">
        <v>0</v>
      </c>
      <c r="M1910" t="inlineStr">
        <is>
          <t>wood ash mixture, pure</t>
        </is>
      </c>
    </row>
    <row r="1911">
      <c r="A1911" t="inlineStr">
        <is>
          <t>treatment of wood ash mixture, pure, sanitary landfill</t>
        </is>
      </c>
      <c r="B1911" t="n">
        <v>-0.003264</v>
      </c>
      <c r="C1911" t="inlineStr">
        <is>
          <t>CH</t>
        </is>
      </c>
      <c r="D1911" t="inlineStr">
        <is>
          <t>kilogram</t>
        </is>
      </c>
      <c r="E1911" t="inlineStr">
        <is>
          <t>Waste to treatment</t>
        </is>
      </c>
      <c r="F1911" t="inlineStr">
        <is>
          <t>technosphere</t>
        </is>
      </c>
      <c r="G1911" t="n">
        <v>0</v>
      </c>
      <c r="H1911" t="n">
        <v>-8.209708491668277</v>
      </c>
      <c r="I1911" t="n">
        <v>0.02439508208471609</v>
      </c>
      <c r="K1911" t="inlineStr">
        <is>
          <t>1% Asche (trockene Holzmasse, =189 kgJ); 50% d. Asche dieser Entsorgungsweg</t>
        </is>
      </c>
      <c r="L1911" t="n">
        <v>0</v>
      </c>
      <c r="M1911" t="inlineStr">
        <is>
          <t>wood ash mixture, pure</t>
        </is>
      </c>
    </row>
    <row r="1912"/>
    <row r="1913">
      <c r="A1913" s="1" t="inlineStr">
        <is>
          <t>Activity</t>
        </is>
      </c>
      <c r="B1913" s="1" t="inlineStr">
        <is>
          <t>electricity production, at oil-fired power plant, combined cycle, oxy, pipeline 200km, storage 1000m</t>
        </is>
      </c>
    </row>
    <row r="1914">
      <c r="A1914" t="inlineStr">
        <is>
          <t>location</t>
        </is>
      </c>
      <c r="B1914" t="inlineStr">
        <is>
          <t>RER</t>
        </is>
      </c>
    </row>
    <row r="1915">
      <c r="A1915" t="inlineStr">
        <is>
          <t>production amount</t>
        </is>
      </c>
      <c r="B1915" t="n">
        <v>1</v>
      </c>
    </row>
    <row r="1916">
      <c r="A1916" t="inlineStr">
        <is>
          <t>reference product</t>
        </is>
      </c>
      <c r="B1916" t="inlineStr">
        <is>
          <t>electricity, high voltage</t>
        </is>
      </c>
    </row>
    <row r="1917">
      <c r="A1917" t="inlineStr">
        <is>
          <t>comment</t>
        </is>
      </c>
      <c r="B1917" t="inlineStr">
        <is>
          <t>Rough approximation using an existing oil-fired power plant. 10% efficiency penalty for CCS.</t>
        </is>
      </c>
    </row>
    <row r="1918">
      <c r="A1918" t="inlineStr">
        <is>
          <t>type</t>
        </is>
      </c>
      <c r="B1918" t="inlineStr">
        <is>
          <t>process</t>
        </is>
      </c>
    </row>
    <row r="1919" ht="16" customHeight="1">
      <c r="A1919" t="inlineStr">
        <is>
          <t>unit</t>
        </is>
      </c>
      <c r="B1919" t="inlineStr">
        <is>
          <t>kilowatt hour</t>
        </is>
      </c>
    </row>
    <row r="1920">
      <c r="A1920" s="1" t="inlineStr">
        <is>
          <t>Exchanges</t>
        </is>
      </c>
    </row>
    <row r="1921">
      <c r="A1921" t="inlineStr">
        <is>
          <t>name</t>
        </is>
      </c>
      <c r="B1921" t="inlineStr">
        <is>
          <t>amount</t>
        </is>
      </c>
      <c r="C1921" t="inlineStr">
        <is>
          <t>location</t>
        </is>
      </c>
      <c r="D1921" t="inlineStr">
        <is>
          <t>unit</t>
        </is>
      </c>
      <c r="E1921" t="inlineStr">
        <is>
          <t>categories</t>
        </is>
      </c>
      <c r="F1921" t="inlineStr">
        <is>
          <t>type</t>
        </is>
      </c>
      <c r="G1921" t="inlineStr">
        <is>
          <t>uncertainty type</t>
        </is>
      </c>
      <c r="H1921" t="inlineStr">
        <is>
          <t>loc</t>
        </is>
      </c>
      <c r="I1921" t="inlineStr">
        <is>
          <t>comment</t>
        </is>
      </c>
      <c r="J1921" t="inlineStr">
        <is>
          <t>reference product</t>
        </is>
      </c>
    </row>
    <row r="1922">
      <c r="A1922" t="inlineStr">
        <is>
          <t>electricity production, at oil-fired power plant, combined cycle, oxy, pipeline 200km, storage 1000m</t>
        </is>
      </c>
      <c r="B1922" t="n">
        <v>1</v>
      </c>
      <c r="C1922" t="inlineStr">
        <is>
          <t>RER</t>
        </is>
      </c>
      <c r="D1922" t="inlineStr">
        <is>
          <t>kilowatt hour</t>
        </is>
      </c>
      <c r="F1922" t="inlineStr">
        <is>
          <t>production</t>
        </is>
      </c>
      <c r="I1922" t="inlineStr">
        <is>
          <t>electricity production, at lignite-fired power plant, oxy, pipeline 200km, storage 1000m U</t>
        </is>
      </c>
      <c r="J1922" t="inlineStr">
        <is>
          <t>electricity, high voltage</t>
        </is>
      </c>
    </row>
    <row r="1923">
      <c r="A1923" t="inlineStr">
        <is>
          <t>carbon dioxide, captured from lignite, oxy, pipeline 200km, storage 1000m</t>
        </is>
      </c>
      <c r="B1923" s="3">
        <f>B1926*-1</f>
        <v>0.845405</v>
      </c>
      <c r="C1923" t="inlineStr">
        <is>
          <t>RER</t>
        </is>
      </c>
      <c r="D1923" t="inlineStr">
        <is>
          <t>kilogram</t>
        </is>
      </c>
      <c r="F1923" t="inlineStr">
        <is>
          <t>technosphere</t>
        </is>
      </c>
      <c r="G1923" t="n">
        <v>0</v>
      </c>
      <c r="H1923" t="n">
        <v>0.103</v>
      </c>
      <c r="I1923" t="inlineStr">
        <is>
          <t>95% capture rate</t>
        </is>
      </c>
    </row>
    <row r="1924">
      <c r="A1924" t="inlineStr">
        <is>
          <t>electricity production, oil</t>
        </is>
      </c>
      <c r="B1924" s="3" t="n">
        <v>1.1</v>
      </c>
      <c r="C1924" t="inlineStr">
        <is>
          <t>RoW</t>
        </is>
      </c>
      <c r="D1924" t="inlineStr">
        <is>
          <t>kilowatt hour</t>
        </is>
      </c>
      <c r="F1924" t="inlineStr">
        <is>
          <t>technosphere</t>
        </is>
      </c>
      <c r="G1924" t="n">
        <v>0</v>
      </c>
      <c r="J1924" t="inlineStr">
        <is>
          <t>electricity, high voltage</t>
        </is>
      </c>
    </row>
    <row r="1925">
      <c r="A1925" t="inlineStr">
        <is>
          <t>Carbon dioxide, fossil</t>
        </is>
      </c>
      <c r="B1925" s="3">
        <f>0.809*B1924*0.05</f>
        <v>0.044495</v>
      </c>
      <c r="D1925" t="inlineStr">
        <is>
          <t>kilogram</t>
        </is>
      </c>
      <c r="E1925" t="inlineStr">
        <is>
          <t>air</t>
        </is>
      </c>
      <c r="F1925" t="inlineStr">
        <is>
          <t>biosphere</t>
        </is>
      </c>
      <c r="G1925" t="n">
        <v>0</v>
      </c>
      <c r="I1925" t="inlineStr">
        <is>
          <t>Leakage</t>
        </is>
      </c>
    </row>
    <row r="1926" ht="16" customHeight="1">
      <c r="A1926" t="inlineStr">
        <is>
          <t>Carbon dioxide, fossil</t>
        </is>
      </c>
      <c r="B1926" s="3">
        <f>0.809*B1924*0.95*-1</f>
        <v>-0.845405</v>
      </c>
      <c r="D1926" t="inlineStr">
        <is>
          <t>kilogram</t>
        </is>
      </c>
      <c r="E1926" t="inlineStr">
        <is>
          <t>air</t>
        </is>
      </c>
      <c r="F1926" t="inlineStr">
        <is>
          <t>biosphere</t>
        </is>
      </c>
      <c r="G1926" t="n">
        <v>0</v>
      </c>
    </row>
    <row r="1927">
      <c r="B1927" s="3" t="n"/>
    </row>
    <row r="1928"/>
    <row r="1929">
      <c r="A1929" s="1" t="inlineStr">
        <is>
          <t>Activity</t>
        </is>
      </c>
      <c r="B1929" s="1" t="inlineStr">
        <is>
          <t>Hard coal IGCC power plant 450MW</t>
        </is>
      </c>
    </row>
    <row r="1930">
      <c r="A1930" t="inlineStr">
        <is>
          <t>location</t>
        </is>
      </c>
      <c r="B1930" t="inlineStr">
        <is>
          <t>RER</t>
        </is>
      </c>
    </row>
    <row r="1931">
      <c r="A1931" t="inlineStr">
        <is>
          <t>production amount</t>
        </is>
      </c>
      <c r="B1931" t="n">
        <v>1</v>
      </c>
    </row>
    <row r="1932">
      <c r="A1932" t="inlineStr">
        <is>
          <t>reference product</t>
        </is>
      </c>
      <c r="B1932" t="inlineStr">
        <is>
          <t>Hard coal IGCC power plant 450MW</t>
        </is>
      </c>
    </row>
    <row r="1933" ht="16" customHeight="1">
      <c r="A1933" t="inlineStr">
        <is>
          <t>type</t>
        </is>
      </c>
      <c r="B1933" t="inlineStr">
        <is>
          <t>process</t>
        </is>
      </c>
    </row>
    <row r="1934">
      <c r="A1934" t="inlineStr">
        <is>
          <t>unit</t>
        </is>
      </c>
      <c r="B1934" t="inlineStr">
        <is>
          <t>unit</t>
        </is>
      </c>
    </row>
    <row r="1935">
      <c r="A1935" t="inlineStr">
        <is>
          <t>source</t>
        </is>
      </c>
      <c r="B1935" t="inlineStr">
        <is>
          <t>Life cycle assessment of carbon capture and storage in power generation and industry in Europe, Volkart et al., 2013, International Journal of Greenhouse Gas Control</t>
        </is>
      </c>
    </row>
    <row r="1936">
      <c r="A1936" s="1" t="inlineStr">
        <is>
          <t>Exchanges</t>
        </is>
      </c>
    </row>
    <row r="1937">
      <c r="A1937" t="inlineStr">
        <is>
          <t>name</t>
        </is>
      </c>
      <c r="B1937" t="inlineStr">
        <is>
          <t>amount</t>
        </is>
      </c>
      <c r="C1937" t="inlineStr">
        <is>
          <t>location</t>
        </is>
      </c>
      <c r="D1937" t="inlineStr">
        <is>
          <t>unit</t>
        </is>
      </c>
      <c r="E1937" t="inlineStr">
        <is>
          <t>categories</t>
        </is>
      </c>
      <c r="F1937" t="inlineStr">
        <is>
          <t>type</t>
        </is>
      </c>
      <c r="G1937" t="inlineStr">
        <is>
          <t>uncertainty type</t>
        </is>
      </c>
      <c r="H1937" t="inlineStr">
        <is>
          <t>loc</t>
        </is>
      </c>
      <c r="I1937" t="inlineStr">
        <is>
          <t>scale</t>
        </is>
      </c>
      <c r="J1937" t="inlineStr">
        <is>
          <t>allocation</t>
        </is>
      </c>
      <c r="K1937" t="inlineStr">
        <is>
          <t>comment</t>
        </is>
      </c>
      <c r="L1937" t="inlineStr">
        <is>
          <t>negative</t>
        </is>
      </c>
      <c r="M1937" t="inlineStr">
        <is>
          <t>reference product</t>
        </is>
      </c>
    </row>
    <row r="1938">
      <c r="A1938" t="inlineStr">
        <is>
          <t>Hard coal IGCC power plant 450MW</t>
        </is>
      </c>
      <c r="B1938" t="n">
        <v>1</v>
      </c>
      <c r="C1938" t="inlineStr">
        <is>
          <t>RER</t>
        </is>
      </c>
      <c r="D1938" t="inlineStr">
        <is>
          <t>unit</t>
        </is>
      </c>
      <c r="E1938" t="inlineStr">
        <is>
          <t>CCS Europe 2025::Infrastructure&amp;Background</t>
        </is>
      </c>
      <c r="F1938" t="inlineStr">
        <is>
          <t>production</t>
        </is>
      </c>
      <c r="J1938" t="n">
        <v>100</v>
      </c>
    </row>
    <row r="1939">
      <c r="A1939" t="inlineStr">
        <is>
          <t>construction, hard coal IGCC power plant 450MW</t>
        </is>
      </c>
      <c r="B1939" t="n">
        <v>1</v>
      </c>
      <c r="C1939" t="inlineStr">
        <is>
          <t>RER</t>
        </is>
      </c>
      <c r="D1939" t="inlineStr">
        <is>
          <t>unit</t>
        </is>
      </c>
      <c r="E1939" t="inlineStr">
        <is>
          <t>Materials/fuels</t>
        </is>
      </c>
      <c r="F1939" t="inlineStr">
        <is>
          <t>technosphere</t>
        </is>
      </c>
      <c r="G1939" t="n">
        <v>0</v>
      </c>
      <c r="H1939" t="n">
        <v>0</v>
      </c>
      <c r="I1939" t="n">
        <v>0.5493061443340548</v>
      </c>
      <c r="K1939" t="inlineStr">
        <is>
          <t>(,,,,,);</t>
        </is>
      </c>
      <c r="L1939" t="n">
        <v>0</v>
      </c>
    </row>
    <row r="1940" ht="16" customHeight="1">
      <c r="A1940" t="inlineStr">
        <is>
          <t>dismantling, hard coal IGCC power plant 450MW</t>
        </is>
      </c>
      <c r="B1940" t="n">
        <v>1</v>
      </c>
      <c r="C1940" t="inlineStr">
        <is>
          <t>RER</t>
        </is>
      </c>
      <c r="D1940" t="inlineStr">
        <is>
          <t>unit</t>
        </is>
      </c>
      <c r="E1940" t="inlineStr">
        <is>
          <t>Materials/fuels</t>
        </is>
      </c>
      <c r="F1940" t="inlineStr">
        <is>
          <t>technosphere</t>
        </is>
      </c>
      <c r="G1940" t="n">
        <v>0</v>
      </c>
      <c r="H1940" t="n">
        <v>0</v>
      </c>
      <c r="I1940" t="n">
        <v>0.5493061443340548</v>
      </c>
      <c r="K1940" t="inlineStr">
        <is>
          <t>(,,,,,);</t>
        </is>
      </c>
      <c r="L1940" t="n">
        <v>0</v>
      </c>
    </row>
    <row r="1941"/>
    <row r="1942"/>
    <row r="1943">
      <c r="A1943" s="1" t="inlineStr">
        <is>
          <t>Activity</t>
        </is>
      </c>
      <c r="B1943" s="1" t="inlineStr">
        <is>
          <t>Hydrogen, from steam reforming of biomass gas, at reforming plant</t>
        </is>
      </c>
    </row>
    <row r="1944">
      <c r="A1944" t="inlineStr">
        <is>
          <t>location</t>
        </is>
      </c>
      <c r="B1944" t="inlineStr">
        <is>
          <t>RER</t>
        </is>
      </c>
    </row>
    <row r="1945">
      <c r="A1945" t="inlineStr">
        <is>
          <t>production amount</t>
        </is>
      </c>
      <c r="B1945" t="n">
        <v>1</v>
      </c>
    </row>
    <row r="1946">
      <c r="A1946" t="inlineStr">
        <is>
          <t>reference product</t>
        </is>
      </c>
      <c r="B1946" t="inlineStr">
        <is>
          <t>Hydrogen, from steam reforming of biomass gas, at reforming plant</t>
        </is>
      </c>
    </row>
    <row r="1947">
      <c r="A1947" t="inlineStr">
        <is>
          <t>type</t>
        </is>
      </c>
      <c r="B1947" t="inlineStr">
        <is>
          <t>process</t>
        </is>
      </c>
    </row>
    <row r="1948">
      <c r="A1948" t="inlineStr">
        <is>
          <t>unit</t>
        </is>
      </c>
      <c r="B1948" t="inlineStr">
        <is>
          <t>megajoule</t>
        </is>
      </c>
    </row>
    <row r="1949">
      <c r="A1949" t="inlineStr">
        <is>
          <t>source</t>
        </is>
      </c>
      <c r="B1949" t="inlineStr">
        <is>
          <t>Life cycle assessment of carbon capture and storage in power generation and industry in Europe, Volkart et al., 2013, International Journal of Greenhouse Gas Control</t>
        </is>
      </c>
    </row>
    <row r="1950" ht="16" customHeight="1">
      <c r="A1950" s="1" t="inlineStr">
        <is>
          <t>Exchanges</t>
        </is>
      </c>
    </row>
    <row r="1951">
      <c r="A1951" t="inlineStr">
        <is>
          <t>name</t>
        </is>
      </c>
      <c r="B1951" t="inlineStr">
        <is>
          <t>amount</t>
        </is>
      </c>
      <c r="C1951" t="inlineStr">
        <is>
          <t>location</t>
        </is>
      </c>
      <c r="D1951" t="inlineStr">
        <is>
          <t>unit</t>
        </is>
      </c>
      <c r="E1951" t="inlineStr">
        <is>
          <t>categories</t>
        </is>
      </c>
      <c r="F1951" t="inlineStr">
        <is>
          <t>type</t>
        </is>
      </c>
      <c r="G1951" t="inlineStr">
        <is>
          <t>uncertainty type</t>
        </is>
      </c>
      <c r="H1951" t="inlineStr">
        <is>
          <t>loc</t>
        </is>
      </c>
      <c r="I1951" t="inlineStr">
        <is>
          <t>allocation</t>
        </is>
      </c>
      <c r="J1951" t="inlineStr">
        <is>
          <t>comment</t>
        </is>
      </c>
      <c r="K1951" t="inlineStr">
        <is>
          <t>simapro name</t>
        </is>
      </c>
      <c r="L1951" t="inlineStr">
        <is>
          <t>reference product</t>
        </is>
      </c>
      <c r="M1951" t="inlineStr">
        <is>
          <t>reference product</t>
        </is>
      </c>
    </row>
    <row r="1952">
      <c r="A1952" t="inlineStr">
        <is>
          <t>Carbon dioxide, non-fossil</t>
        </is>
      </c>
      <c r="B1952" t="n">
        <v>0.05511</v>
      </c>
      <c r="D1952" t="inlineStr">
        <is>
          <t>kilogram</t>
        </is>
      </c>
      <c r="E1952" t="inlineStr">
        <is>
          <t>air</t>
        </is>
      </c>
      <c r="F1952" t="inlineStr">
        <is>
          <t>biosphere</t>
        </is>
      </c>
      <c r="G1952" t="n">
        <v>0</v>
      </c>
      <c r="H1952" t="n">
        <v>0.05511</v>
      </c>
      <c r="J1952" t="inlineStr">
        <is>
          <t>replaces 0.08571 in the original dataset</t>
        </is>
      </c>
    </row>
    <row r="1953">
      <c r="A1953" t="inlineStr">
        <is>
          <t>Hydrogen, from steam reforming of biomass gas, at reforming plant</t>
        </is>
      </c>
      <c r="B1953" t="n">
        <v>1</v>
      </c>
      <c r="C1953" t="inlineStr">
        <is>
          <t>RER</t>
        </is>
      </c>
      <c r="D1953" t="inlineStr">
        <is>
          <t>megajoule</t>
        </is>
      </c>
      <c r="E1953" t="inlineStr">
        <is>
          <t>CCS Europe 2025::Wood::Geological storage::BIGCC</t>
        </is>
      </c>
      <c r="F1953" t="inlineStr">
        <is>
          <t>production</t>
        </is>
      </c>
      <c r="I1953" t="n">
        <v>100</v>
      </c>
      <c r="K1953" t="inlineStr">
        <is>
          <t>Hydrogen, from steam reforming of biomass gas, at reforming plant U</t>
        </is>
      </c>
    </row>
    <row r="1954">
      <c r="A1954" t="inlineStr">
        <is>
          <t>Syngas, from biomass gasification</t>
        </is>
      </c>
      <c r="B1954" t="n">
        <v>0.472</v>
      </c>
      <c r="C1954" t="inlineStr">
        <is>
          <t>RER</t>
        </is>
      </c>
      <c r="D1954" t="inlineStr">
        <is>
          <t>megajoule</t>
        </is>
      </c>
      <c r="E1954" t="inlineStr">
        <is>
          <t>Materials/fuels</t>
        </is>
      </c>
      <c r="F1954" t="inlineStr">
        <is>
          <t>technosphere</t>
        </is>
      </c>
      <c r="G1954" t="n">
        <v>0</v>
      </c>
      <c r="H1954" t="n">
        <v>0.472</v>
      </c>
      <c r="K1954" t="inlineStr">
        <is>
          <t>Syngas, from biomass gasification U</t>
        </is>
      </c>
    </row>
    <row r="1955">
      <c r="A1955" t="inlineStr">
        <is>
          <t>market for chemical factory, organics</t>
        </is>
      </c>
      <c r="B1955" t="n">
        <v>8.01e-12</v>
      </c>
      <c r="C1955" t="inlineStr">
        <is>
          <t>GLO</t>
        </is>
      </c>
      <c r="D1955" t="inlineStr">
        <is>
          <t>unit</t>
        </is>
      </c>
      <c r="E1955" t="inlineStr">
        <is>
          <t>Materials/fuels</t>
        </is>
      </c>
      <c r="F1955" t="inlineStr">
        <is>
          <t>technosphere</t>
        </is>
      </c>
      <c r="G1955" t="n">
        <v>0</v>
      </c>
      <c r="H1955" t="n">
        <v>8.01e-12</v>
      </c>
      <c r="J1955" t="inlineStr">
        <is>
          <t>Same as for NG reforming</t>
        </is>
      </c>
      <c r="K1955" t="inlineStr">
        <is>
          <t>Chemical plant, organics/I U</t>
        </is>
      </c>
      <c r="M1955" t="inlineStr">
        <is>
          <t>chemical factory, organics</t>
        </is>
      </c>
    </row>
    <row r="1956">
      <c r="A1956" t="inlineStr">
        <is>
          <t>market for liquid storage tank, chemicals, organics</t>
        </is>
      </c>
      <c r="B1956" t="n">
        <v>8.01e-12</v>
      </c>
      <c r="C1956" t="inlineStr">
        <is>
          <t>GLO</t>
        </is>
      </c>
      <c r="D1956" t="inlineStr">
        <is>
          <t>unit</t>
        </is>
      </c>
      <c r="E1956" t="inlineStr">
        <is>
          <t>Materials/fuels</t>
        </is>
      </c>
      <c r="F1956" t="inlineStr">
        <is>
          <t>technosphere</t>
        </is>
      </c>
      <c r="G1956" t="n">
        <v>0</v>
      </c>
      <c r="H1956" t="n">
        <v>8.01e-12</v>
      </c>
      <c r="J1956" t="inlineStr">
        <is>
          <t>Same as for NG reforming</t>
        </is>
      </c>
      <c r="K1956" t="inlineStr">
        <is>
          <t>Liquid storage tank, chemicals, organics/CH/I U</t>
        </is>
      </c>
      <c r="M1956" t="inlineStr">
        <is>
          <t>liquid storage tank, chemicals, organics</t>
        </is>
      </c>
    </row>
    <row r="1957" ht="16" customHeight="1">
      <c r="A1957" t="inlineStr">
        <is>
          <t>market for steam, in chemical industry</t>
        </is>
      </c>
      <c r="B1957" t="n">
        <v>0.03158</v>
      </c>
      <c r="C1957" t="inlineStr">
        <is>
          <t>RoW</t>
        </is>
      </c>
      <c r="D1957" t="inlineStr">
        <is>
          <t>kilogram</t>
        </is>
      </c>
      <c r="E1957" t="inlineStr">
        <is>
          <t>Materials/fuels</t>
        </is>
      </c>
      <c r="F1957" t="inlineStr">
        <is>
          <t>technosphere</t>
        </is>
      </c>
      <c r="G1957" t="n">
        <v>0</v>
      </c>
      <c r="H1957" t="n">
        <v>0.03158</v>
      </c>
      <c r="K1957" t="inlineStr">
        <is>
          <t>Steam, for chemical processes, at plant U</t>
        </is>
      </c>
      <c r="L1957" t="inlineStr">
        <is>
          <t>steam, in chemical industry</t>
        </is>
      </c>
      <c r="M1957" t="inlineStr">
        <is>
          <t>steam, in chemical industry</t>
        </is>
      </c>
    </row>
    <row r="1958">
      <c r="A1958" t="inlineStr">
        <is>
          <t>market group for electricity, medium voltage</t>
        </is>
      </c>
      <c r="B1958" t="n">
        <v>0.04879</v>
      </c>
      <c r="C1958" t="inlineStr">
        <is>
          <t>ENTSO-E</t>
        </is>
      </c>
      <c r="D1958" t="inlineStr">
        <is>
          <t>kilowatt hour</t>
        </is>
      </c>
      <c r="E1958" t="inlineStr">
        <is>
          <t>Materials/fuels</t>
        </is>
      </c>
      <c r="F1958" t="inlineStr">
        <is>
          <t>technosphere</t>
        </is>
      </c>
      <c r="G1958" t="n">
        <v>0</v>
      </c>
      <c r="H1958" t="n">
        <v>0.04879</v>
      </c>
      <c r="K1958" t="inlineStr">
        <is>
          <t>electricity production, medium voltage, production RER, at grid U</t>
        </is>
      </c>
      <c r="M1958" t="inlineStr">
        <is>
          <t>electricity, medium voltage</t>
        </is>
      </c>
    </row>
    <row r="1959"/>
    <row r="1960">
      <c r="A1960" s="1" t="inlineStr">
        <is>
          <t>Activity</t>
        </is>
      </c>
      <c r="B1960" s="1" t="inlineStr">
        <is>
          <t>Hydrogen, from steam reforming of biomassgas, at reforming plant, pre, pipeline 200km, storage 1000m</t>
        </is>
      </c>
    </row>
    <row r="1961">
      <c r="A1961" t="inlineStr">
        <is>
          <t>location</t>
        </is>
      </c>
      <c r="B1961" t="inlineStr">
        <is>
          <t>RER</t>
        </is>
      </c>
    </row>
    <row r="1962">
      <c r="A1962" t="inlineStr">
        <is>
          <t>production amount</t>
        </is>
      </c>
      <c r="B1962" t="n">
        <v>1</v>
      </c>
    </row>
    <row r="1963">
      <c r="A1963" t="inlineStr">
        <is>
          <t>reference product</t>
        </is>
      </c>
      <c r="B1963" t="inlineStr">
        <is>
          <t>Hydrogen, from steam reforming of biomassgas, at reforming plant, pre, pipeline 200km, storage 1000m</t>
        </is>
      </c>
    </row>
    <row r="1964">
      <c r="A1964" t="inlineStr">
        <is>
          <t>type</t>
        </is>
      </c>
      <c r="B1964" t="inlineStr">
        <is>
          <t>process</t>
        </is>
      </c>
    </row>
    <row r="1965">
      <c r="A1965" t="inlineStr">
        <is>
          <t>unit</t>
        </is>
      </c>
      <c r="B1965" t="inlineStr">
        <is>
          <t>megajoule</t>
        </is>
      </c>
    </row>
    <row r="1966">
      <c r="A1966" t="inlineStr">
        <is>
          <t>source</t>
        </is>
      </c>
      <c r="B1966" t="inlineStr">
        <is>
          <t>Life cycle assessment of carbon capture and storage in power generation and industry in Europe, Volkart et al., 2013, International Journal of Greenhouse Gas Control</t>
        </is>
      </c>
    </row>
    <row r="1967">
      <c r="A1967" s="1" t="inlineStr">
        <is>
          <t>Exchanges</t>
        </is>
      </c>
    </row>
    <row r="1968" ht="16" customHeight="1">
      <c r="A1968" t="inlineStr">
        <is>
          <t>name</t>
        </is>
      </c>
      <c r="B1968" t="inlineStr">
        <is>
          <t>amount</t>
        </is>
      </c>
      <c r="C1968" t="inlineStr">
        <is>
          <t>location</t>
        </is>
      </c>
      <c r="D1968" t="inlineStr">
        <is>
          <t>unit</t>
        </is>
      </c>
      <c r="E1968" t="inlineStr">
        <is>
          <t>categories</t>
        </is>
      </c>
      <c r="F1968" t="inlineStr">
        <is>
          <t>type</t>
        </is>
      </c>
      <c r="G1968" t="inlineStr">
        <is>
          <t>uncertainty type</t>
        </is>
      </c>
      <c r="H1968" t="inlineStr">
        <is>
          <t>loc</t>
        </is>
      </c>
      <c r="I1968" t="inlineStr">
        <is>
          <t>allocation</t>
        </is>
      </c>
      <c r="J1968" t="inlineStr">
        <is>
          <t>comment</t>
        </is>
      </c>
      <c r="K1968" t="inlineStr">
        <is>
          <t>simapro name</t>
        </is>
      </c>
      <c r="L1968" t="inlineStr">
        <is>
          <t>reference product</t>
        </is>
      </c>
      <c r="M1968" t="inlineStr">
        <is>
          <t>reference product</t>
        </is>
      </c>
    </row>
    <row r="1969">
      <c r="A1969" t="inlineStr">
        <is>
          <t>Carbon dioxide, non-fossil</t>
        </is>
      </c>
      <c r="B1969" t="n">
        <v>0.00551</v>
      </c>
      <c r="D1969" t="inlineStr">
        <is>
          <t>kilogram</t>
        </is>
      </c>
      <c r="E1969" t="inlineStr">
        <is>
          <t>air</t>
        </is>
      </c>
      <c r="F1969" t="inlineStr">
        <is>
          <t>biosphere</t>
        </is>
      </c>
      <c r="G1969" t="n">
        <v>0</v>
      </c>
      <c r="H1969" t="n">
        <v>0.00551</v>
      </c>
      <c r="J1969" t="inlineStr">
        <is>
          <t>90% capture rate</t>
        </is>
      </c>
    </row>
    <row r="1970">
      <c r="A1970" t="inlineStr">
        <is>
          <t>Hydrogen, from steam reforming of biomassgas, at reforming plant, pre, pipeline 200km, storage 1000m</t>
        </is>
      </c>
      <c r="B1970" t="n">
        <v>1</v>
      </c>
      <c r="C1970" t="inlineStr">
        <is>
          <t>RER</t>
        </is>
      </c>
      <c r="D1970" t="inlineStr">
        <is>
          <t>megajoule</t>
        </is>
      </c>
      <c r="E1970" t="inlineStr">
        <is>
          <t>CCS Europe 2025::Wood::Geological storage::BIGCC</t>
        </is>
      </c>
      <c r="F1970" t="inlineStr">
        <is>
          <t>production</t>
        </is>
      </c>
      <c r="I1970" t="n">
        <v>100</v>
      </c>
      <c r="K1970" t="inlineStr">
        <is>
          <t>Hydrogen, from steam reforming of biomassgas, at reforming plant, pre, pipeline 200km, storage 1000m U</t>
        </is>
      </c>
    </row>
    <row r="1971">
      <c r="A1971" t="inlineStr">
        <is>
          <t>carbon dioxide, captured at hydrogen production plant, pre, pipeline 200km, storage 1000m</t>
        </is>
      </c>
      <c r="B1971" t="n">
        <v>0.0496</v>
      </c>
      <c r="C1971" t="inlineStr">
        <is>
          <t>RER</t>
        </is>
      </c>
      <c r="D1971" t="inlineStr">
        <is>
          <t>kilogram</t>
        </is>
      </c>
      <c r="E1971" t="inlineStr">
        <is>
          <t>Materials/fuels</t>
        </is>
      </c>
      <c r="F1971" t="inlineStr">
        <is>
          <t>technosphere</t>
        </is>
      </c>
      <c r="G1971" t="n">
        <v>0</v>
      </c>
      <c r="H1971" t="n">
        <v>0.0496</v>
      </c>
      <c r="J1971" t="inlineStr">
        <is>
          <t>90% capture rate</t>
        </is>
      </c>
      <c r="K1971" t="inlineStr">
        <is>
          <t>carbon dioxide, captured at hydrogen production plant, pre, pipeline 200km, storage 1000m U</t>
        </is>
      </c>
    </row>
    <row r="1972">
      <c r="A1972" t="inlineStr">
        <is>
          <t>Syngas, from biomass gasification, pre, pipeline 200km, storage 1000m</t>
        </is>
      </c>
      <c r="B1972" t="n">
        <v>0.472</v>
      </c>
      <c r="C1972" t="inlineStr">
        <is>
          <t>RER</t>
        </is>
      </c>
      <c r="D1972" t="inlineStr">
        <is>
          <t>megajoule</t>
        </is>
      </c>
      <c r="E1972" t="inlineStr">
        <is>
          <t>Materials/fuels</t>
        </is>
      </c>
      <c r="F1972" t="inlineStr">
        <is>
          <t>technosphere</t>
        </is>
      </c>
      <c r="G1972" t="n">
        <v>0</v>
      </c>
      <c r="H1972" t="n">
        <v>0.472</v>
      </c>
      <c r="K1972" t="inlineStr">
        <is>
          <t>Syngas, from biomass gasification, pre, pipeline 200km, storage 1000m U</t>
        </is>
      </c>
    </row>
    <row r="1973">
      <c r="A1973" t="inlineStr">
        <is>
          <t>market for chemical factory, organics</t>
        </is>
      </c>
      <c r="B1973" t="n">
        <v>8.01e-12</v>
      </c>
      <c r="C1973" t="inlineStr">
        <is>
          <t>GLO</t>
        </is>
      </c>
      <c r="D1973" t="inlineStr">
        <is>
          <t>unit</t>
        </is>
      </c>
      <c r="E1973" t="inlineStr">
        <is>
          <t>Materials/fuels</t>
        </is>
      </c>
      <c r="F1973" t="inlineStr">
        <is>
          <t>technosphere</t>
        </is>
      </c>
      <c r="G1973" t="n">
        <v>0</v>
      </c>
      <c r="H1973" t="n">
        <v>8.01e-12</v>
      </c>
      <c r="J1973" t="inlineStr">
        <is>
          <t>Same as for NG reforming</t>
        </is>
      </c>
      <c r="K1973" t="inlineStr">
        <is>
          <t>Chemical plant, organics/I U</t>
        </is>
      </c>
      <c r="M1973" t="inlineStr">
        <is>
          <t>chemical factory, organics</t>
        </is>
      </c>
    </row>
    <row r="1974">
      <c r="A1974" t="inlineStr">
        <is>
          <t>market for liquid storage tank, chemicals, organics</t>
        </is>
      </c>
      <c r="B1974" t="n">
        <v>8.01e-12</v>
      </c>
      <c r="C1974" t="inlineStr">
        <is>
          <t>GLO</t>
        </is>
      </c>
      <c r="D1974" t="inlineStr">
        <is>
          <t>unit</t>
        </is>
      </c>
      <c r="E1974" t="inlineStr">
        <is>
          <t>Materials/fuels</t>
        </is>
      </c>
      <c r="F1974" t="inlineStr">
        <is>
          <t>technosphere</t>
        </is>
      </c>
      <c r="G1974" t="n">
        <v>0</v>
      </c>
      <c r="H1974" t="n">
        <v>8.01e-12</v>
      </c>
      <c r="J1974" t="inlineStr">
        <is>
          <t>Same as for NG reforming</t>
        </is>
      </c>
      <c r="K1974" t="inlineStr">
        <is>
          <t>Liquid storage tank, chemicals, organics/CH/I U</t>
        </is>
      </c>
      <c r="M1974" t="inlineStr">
        <is>
          <t>liquid storage tank, chemicals, organics</t>
        </is>
      </c>
    </row>
    <row r="1975" ht="16" customHeight="1">
      <c r="A1975" t="inlineStr">
        <is>
          <t>market for steam, in chemical industry</t>
        </is>
      </c>
      <c r="B1975" t="n">
        <v>0.03158</v>
      </c>
      <c r="C1975" t="inlineStr">
        <is>
          <t>RoW</t>
        </is>
      </c>
      <c r="D1975" t="inlineStr">
        <is>
          <t>kilogram</t>
        </is>
      </c>
      <c r="E1975" t="inlineStr">
        <is>
          <t>Materials/fuels</t>
        </is>
      </c>
      <c r="F1975" t="inlineStr">
        <is>
          <t>technosphere</t>
        </is>
      </c>
      <c r="G1975" t="n">
        <v>0</v>
      </c>
      <c r="H1975" t="n">
        <v>0.03158</v>
      </c>
      <c r="K1975" t="inlineStr">
        <is>
          <t>Steam, for chemical processes, at plant U</t>
        </is>
      </c>
      <c r="L1975" t="inlineStr">
        <is>
          <t>steam, in chemical industry</t>
        </is>
      </c>
      <c r="M1975" t="inlineStr">
        <is>
          <t>steam, in chemical industry</t>
        </is>
      </c>
    </row>
    <row r="1976">
      <c r="A1976" t="inlineStr">
        <is>
          <t>market group for electricity, medium voltage</t>
        </is>
      </c>
      <c r="B1976" t="n">
        <v>0.04879</v>
      </c>
      <c r="C1976" t="inlineStr">
        <is>
          <t>ENTSO-E</t>
        </is>
      </c>
      <c r="D1976" t="inlineStr">
        <is>
          <t>kilowatt hour</t>
        </is>
      </c>
      <c r="E1976" t="inlineStr">
        <is>
          <t>Materials/fuels</t>
        </is>
      </c>
      <c r="F1976" t="inlineStr">
        <is>
          <t>technosphere</t>
        </is>
      </c>
      <c r="G1976" t="n">
        <v>0</v>
      </c>
      <c r="H1976" t="n">
        <v>0.04879</v>
      </c>
      <c r="K1976" t="inlineStr">
        <is>
          <t>electricity production, medium voltage, production RER, at grid U</t>
        </is>
      </c>
      <c r="M1976" t="inlineStr">
        <is>
          <t>electricity, medium voltage</t>
        </is>
      </c>
    </row>
    <row r="1977"/>
    <row r="1978">
      <c r="A1978" s="1" t="inlineStr">
        <is>
          <t>Activity</t>
        </is>
      </c>
      <c r="B1978" s="1" t="inlineStr">
        <is>
          <t>Hydrogen, from steam reforming of biomassgas, at reforming plant, pre, pipeline 400km, storage 3000m</t>
        </is>
      </c>
    </row>
    <row r="1979">
      <c r="A1979" t="inlineStr">
        <is>
          <t>location</t>
        </is>
      </c>
      <c r="B1979" t="inlineStr">
        <is>
          <t>RER</t>
        </is>
      </c>
    </row>
    <row r="1980">
      <c r="A1980" t="inlineStr">
        <is>
          <t>production amount</t>
        </is>
      </c>
      <c r="B1980" t="n">
        <v>1</v>
      </c>
    </row>
    <row r="1981">
      <c r="A1981" t="inlineStr">
        <is>
          <t>reference product</t>
        </is>
      </c>
      <c r="B1981" t="inlineStr">
        <is>
          <t>Hydrogen, from steam reforming of biomassgas, at reforming plant, pre, pipeline 400km, storage 3000m</t>
        </is>
      </c>
    </row>
    <row r="1982">
      <c r="A1982" t="inlineStr">
        <is>
          <t>type</t>
        </is>
      </c>
      <c r="B1982" t="inlineStr">
        <is>
          <t>process</t>
        </is>
      </c>
    </row>
    <row r="1983">
      <c r="A1983" t="inlineStr">
        <is>
          <t>unit</t>
        </is>
      </c>
      <c r="B1983" t="inlineStr">
        <is>
          <t>megajoule</t>
        </is>
      </c>
    </row>
    <row r="1984">
      <c r="A1984" t="inlineStr">
        <is>
          <t>source</t>
        </is>
      </c>
      <c r="B1984" t="inlineStr">
        <is>
          <t>Life cycle assessment of carbon capture and storage in power generation and industry in Europe, Volkart et al., 2013, International Journal of Greenhouse Gas Control</t>
        </is>
      </c>
    </row>
    <row r="1985">
      <c r="A1985" s="1" t="inlineStr">
        <is>
          <t>Exchanges</t>
        </is>
      </c>
    </row>
    <row r="1986" ht="16" customHeight="1">
      <c r="A1986" t="inlineStr">
        <is>
          <t>name</t>
        </is>
      </c>
      <c r="B1986" t="inlineStr">
        <is>
          <t>amount</t>
        </is>
      </c>
      <c r="C1986" t="inlineStr">
        <is>
          <t>location</t>
        </is>
      </c>
      <c r="D1986" t="inlineStr">
        <is>
          <t>unit</t>
        </is>
      </c>
      <c r="E1986" t="inlineStr">
        <is>
          <t>categories</t>
        </is>
      </c>
      <c r="F1986" t="inlineStr">
        <is>
          <t>type</t>
        </is>
      </c>
      <c r="G1986" t="inlineStr">
        <is>
          <t>uncertainty type</t>
        </is>
      </c>
      <c r="H1986" t="inlineStr">
        <is>
          <t>loc</t>
        </is>
      </c>
      <c r="I1986" t="inlineStr">
        <is>
          <t>allocation</t>
        </is>
      </c>
      <c r="J1986" t="inlineStr">
        <is>
          <t>comment</t>
        </is>
      </c>
      <c r="K1986" t="inlineStr">
        <is>
          <t>simapro name</t>
        </is>
      </c>
      <c r="L1986" t="inlineStr">
        <is>
          <t>reference product</t>
        </is>
      </c>
      <c r="M1986" t="inlineStr">
        <is>
          <t>reference product</t>
        </is>
      </c>
    </row>
    <row r="1987">
      <c r="A1987" t="inlineStr">
        <is>
          <t>Carbon dioxide, non-fossil</t>
        </is>
      </c>
      <c r="B1987" t="n">
        <v>0.00551</v>
      </c>
      <c r="D1987" t="inlineStr">
        <is>
          <t>kilogram</t>
        </is>
      </c>
      <c r="E1987" t="inlineStr">
        <is>
          <t>air</t>
        </is>
      </c>
      <c r="F1987" t="inlineStr">
        <is>
          <t>biosphere</t>
        </is>
      </c>
      <c r="G1987" t="n">
        <v>0</v>
      </c>
      <c r="H1987" t="n">
        <v>0.00551</v>
      </c>
      <c r="J1987" t="inlineStr">
        <is>
          <t>90% capture rate</t>
        </is>
      </c>
    </row>
    <row r="1988">
      <c r="A1988" t="inlineStr">
        <is>
          <t>Hydrogen, from steam reforming of biomassgas, at reforming plant, pre, pipeline 400km, storage 3000m</t>
        </is>
      </c>
      <c r="B1988" t="n">
        <v>1</v>
      </c>
      <c r="C1988" t="inlineStr">
        <is>
          <t>RER</t>
        </is>
      </c>
      <c r="D1988" t="inlineStr">
        <is>
          <t>megajoule</t>
        </is>
      </c>
      <c r="E1988" t="inlineStr">
        <is>
          <t>CCS Europe 2025::Wood::Geological storage::BIGCC</t>
        </is>
      </c>
      <c r="F1988" t="inlineStr">
        <is>
          <t>production</t>
        </is>
      </c>
      <c r="I1988" t="n">
        <v>100</v>
      </c>
      <c r="K1988" t="inlineStr">
        <is>
          <t>Hydrogen, from steam reforming of biomassgas, at reforming plant, pre, pipeline 400km, storage 3000m U</t>
        </is>
      </c>
    </row>
    <row r="1989">
      <c r="A1989" t="inlineStr">
        <is>
          <t>carbon dioxide, captured at hydrogen production plant, pre, pipeline 200km, storage 1000m</t>
        </is>
      </c>
      <c r="B1989" t="n">
        <v>0.0496</v>
      </c>
      <c r="C1989" t="inlineStr">
        <is>
          <t>RER</t>
        </is>
      </c>
      <c r="D1989" t="inlineStr">
        <is>
          <t>kilogram</t>
        </is>
      </c>
      <c r="E1989" t="inlineStr">
        <is>
          <t>Materials/fuels</t>
        </is>
      </c>
      <c r="F1989" t="inlineStr">
        <is>
          <t>technosphere</t>
        </is>
      </c>
      <c r="G1989" t="n">
        <v>0</v>
      </c>
      <c r="H1989" t="n">
        <v>0.0496</v>
      </c>
      <c r="J1989" t="inlineStr">
        <is>
          <t>90% capture rate</t>
        </is>
      </c>
      <c r="K1989" t="inlineStr">
        <is>
          <t>carbon dioxide, captured at hydrogen production plant, pre, pipeline 200km, storage 1000m U</t>
        </is>
      </c>
    </row>
    <row r="1990">
      <c r="A1990" t="inlineStr">
        <is>
          <t>Syngas, from biomass gasification, pre, pipeline 400km, storage 3000m</t>
        </is>
      </c>
      <c r="B1990" t="n">
        <v>0.472</v>
      </c>
      <c r="C1990" t="inlineStr">
        <is>
          <t>RER</t>
        </is>
      </c>
      <c r="D1990" t="inlineStr">
        <is>
          <t>megajoule</t>
        </is>
      </c>
      <c r="E1990" t="inlineStr">
        <is>
          <t>Materials/fuels</t>
        </is>
      </c>
      <c r="F1990" t="inlineStr">
        <is>
          <t>technosphere</t>
        </is>
      </c>
      <c r="G1990" t="n">
        <v>0</v>
      </c>
      <c r="H1990" t="n">
        <v>0.472</v>
      </c>
      <c r="K1990" t="inlineStr">
        <is>
          <t>Syngas, from biomass gasification, pre, pipeline 400km, storage 3000m U</t>
        </is>
      </c>
    </row>
    <row r="1991">
      <c r="A1991" t="inlineStr">
        <is>
          <t>market for chemical factory, organics</t>
        </is>
      </c>
      <c r="B1991" t="n">
        <v>8.01e-12</v>
      </c>
      <c r="C1991" t="inlineStr">
        <is>
          <t>GLO</t>
        </is>
      </c>
      <c r="D1991" t="inlineStr">
        <is>
          <t>unit</t>
        </is>
      </c>
      <c r="E1991" t="inlineStr">
        <is>
          <t>Materials/fuels</t>
        </is>
      </c>
      <c r="F1991" t="inlineStr">
        <is>
          <t>technosphere</t>
        </is>
      </c>
      <c r="G1991" t="n">
        <v>0</v>
      </c>
      <c r="H1991" t="n">
        <v>8.01e-12</v>
      </c>
      <c r="J1991" t="inlineStr">
        <is>
          <t>Same as for NG reforming</t>
        </is>
      </c>
      <c r="K1991" t="inlineStr">
        <is>
          <t>Chemical plant, organics/I U</t>
        </is>
      </c>
      <c r="M1991" t="inlineStr">
        <is>
          <t>chemical factory, organics</t>
        </is>
      </c>
    </row>
    <row r="1992">
      <c r="A1992" t="inlineStr">
        <is>
          <t>market for liquid storage tank, chemicals, organics</t>
        </is>
      </c>
      <c r="B1992" t="n">
        <v>8.01e-12</v>
      </c>
      <c r="C1992" t="inlineStr">
        <is>
          <t>GLO</t>
        </is>
      </c>
      <c r="D1992" t="inlineStr">
        <is>
          <t>unit</t>
        </is>
      </c>
      <c r="E1992" t="inlineStr">
        <is>
          <t>Materials/fuels</t>
        </is>
      </c>
      <c r="F1992" t="inlineStr">
        <is>
          <t>technosphere</t>
        </is>
      </c>
      <c r="G1992" t="n">
        <v>0</v>
      </c>
      <c r="H1992" t="n">
        <v>8.01e-12</v>
      </c>
      <c r="J1992" t="inlineStr">
        <is>
          <t>Same as for NG reforming</t>
        </is>
      </c>
      <c r="K1992" t="inlineStr">
        <is>
          <t>Liquid storage tank, chemicals, organics/CH/I U</t>
        </is>
      </c>
      <c r="M1992" t="inlineStr">
        <is>
          <t>liquid storage tank, chemicals, organics</t>
        </is>
      </c>
    </row>
    <row r="1993" ht="16" customHeight="1">
      <c r="A1993" t="inlineStr">
        <is>
          <t>market for steam, in chemical industry</t>
        </is>
      </c>
      <c r="B1993" t="n">
        <v>0.03158</v>
      </c>
      <c r="C1993" t="inlineStr">
        <is>
          <t>RoW</t>
        </is>
      </c>
      <c r="D1993" t="inlineStr">
        <is>
          <t>kilogram</t>
        </is>
      </c>
      <c r="E1993" t="inlineStr">
        <is>
          <t>Materials/fuels</t>
        </is>
      </c>
      <c r="F1993" t="inlineStr">
        <is>
          <t>technosphere</t>
        </is>
      </c>
      <c r="G1993" t="n">
        <v>0</v>
      </c>
      <c r="H1993" t="n">
        <v>0.03158</v>
      </c>
      <c r="K1993" t="inlineStr">
        <is>
          <t>Steam, for chemical processes, at plant U</t>
        </is>
      </c>
      <c r="L1993" t="inlineStr">
        <is>
          <t>steam, in chemical industry</t>
        </is>
      </c>
      <c r="M1993" t="inlineStr">
        <is>
          <t>steam, in chemical industry</t>
        </is>
      </c>
    </row>
    <row r="1994">
      <c r="A1994" t="inlineStr">
        <is>
          <t>market group for electricity, medium voltage</t>
        </is>
      </c>
      <c r="B1994" t="n">
        <v>0.04879</v>
      </c>
      <c r="C1994" t="inlineStr">
        <is>
          <t>ENTSO-E</t>
        </is>
      </c>
      <c r="D1994" t="inlineStr">
        <is>
          <t>kilowatt hour</t>
        </is>
      </c>
      <c r="E1994" t="inlineStr">
        <is>
          <t>Materials/fuels</t>
        </is>
      </c>
      <c r="F1994" t="inlineStr">
        <is>
          <t>technosphere</t>
        </is>
      </c>
      <c r="G1994" t="n">
        <v>0</v>
      </c>
      <c r="H1994" t="n">
        <v>0.04879</v>
      </c>
      <c r="K1994" t="inlineStr">
        <is>
          <t>electricity production, medium voltage, production RER, at grid U</t>
        </is>
      </c>
      <c r="M1994" t="inlineStr">
        <is>
          <t>electricity, medium voltage</t>
        </is>
      </c>
    </row>
    <row r="1995"/>
    <row r="1996">
      <c r="A1996" s="1" t="inlineStr">
        <is>
          <t>Activity</t>
        </is>
      </c>
      <c r="B1996" s="1" t="inlineStr">
        <is>
          <t>Lignite IGCC power plant 450MW</t>
        </is>
      </c>
    </row>
    <row r="1997">
      <c r="A1997" t="inlineStr">
        <is>
          <t>location</t>
        </is>
      </c>
      <c r="B1997" t="inlineStr">
        <is>
          <t>RER</t>
        </is>
      </c>
    </row>
    <row r="1998">
      <c r="A1998" t="inlineStr">
        <is>
          <t>production amount</t>
        </is>
      </c>
      <c r="B1998" t="n">
        <v>1</v>
      </c>
    </row>
    <row r="1999" ht="16" customHeight="1">
      <c r="A1999" t="inlineStr">
        <is>
          <t>reference product</t>
        </is>
      </c>
      <c r="B1999" t="inlineStr">
        <is>
          <t>Lignite IGCC power plant 450MW</t>
        </is>
      </c>
    </row>
    <row r="2000">
      <c r="A2000" t="inlineStr">
        <is>
          <t>type</t>
        </is>
      </c>
      <c r="B2000" t="inlineStr">
        <is>
          <t>process</t>
        </is>
      </c>
    </row>
    <row r="2001">
      <c r="A2001" t="inlineStr">
        <is>
          <t>unit</t>
        </is>
      </c>
      <c r="B2001" t="inlineStr">
        <is>
          <t>unit</t>
        </is>
      </c>
    </row>
    <row r="2002">
      <c r="A2002" t="inlineStr">
        <is>
          <t>source</t>
        </is>
      </c>
      <c r="B2002" t="inlineStr">
        <is>
          <t>Life cycle assessment of carbon capture and storage in power generation and industry in Europe, Volkart et al., 2013, International Journal of Greenhouse Gas Control</t>
        </is>
      </c>
    </row>
    <row r="2003">
      <c r="A2003" s="1" t="inlineStr">
        <is>
          <t>Exchanges</t>
        </is>
      </c>
    </row>
    <row r="2004">
      <c r="A2004" t="inlineStr">
        <is>
          <t>name</t>
        </is>
      </c>
      <c r="B2004" t="inlineStr">
        <is>
          <t>amount</t>
        </is>
      </c>
      <c r="C2004" t="inlineStr">
        <is>
          <t>location</t>
        </is>
      </c>
      <c r="D2004" t="inlineStr">
        <is>
          <t>unit</t>
        </is>
      </c>
      <c r="E2004" t="inlineStr">
        <is>
          <t>categories</t>
        </is>
      </c>
      <c r="F2004" t="inlineStr">
        <is>
          <t>type</t>
        </is>
      </c>
      <c r="G2004" t="inlineStr">
        <is>
          <t>uncertainty type</t>
        </is>
      </c>
      <c r="H2004" t="inlineStr">
        <is>
          <t>loc</t>
        </is>
      </c>
      <c r="I2004" t="inlineStr">
        <is>
          <t>scale</t>
        </is>
      </c>
      <c r="J2004" t="inlineStr">
        <is>
          <t>allocation</t>
        </is>
      </c>
      <c r="K2004" t="inlineStr">
        <is>
          <t>comment</t>
        </is>
      </c>
      <c r="L2004" t="inlineStr">
        <is>
          <t>negative</t>
        </is>
      </c>
      <c r="M2004" t="inlineStr">
        <is>
          <t>reference product</t>
        </is>
      </c>
    </row>
    <row r="2005">
      <c r="A2005" t="inlineStr">
        <is>
          <t>Lignite IGCC power plant 450MW</t>
        </is>
      </c>
      <c r="B2005" t="n">
        <v>1</v>
      </c>
      <c r="C2005" t="inlineStr">
        <is>
          <t>RER</t>
        </is>
      </c>
      <c r="D2005" t="inlineStr">
        <is>
          <t>unit</t>
        </is>
      </c>
      <c r="E2005" t="inlineStr">
        <is>
          <t>CCS Europe 2025::Infrastructure&amp;Background</t>
        </is>
      </c>
      <c r="F2005" t="inlineStr">
        <is>
          <t>production</t>
        </is>
      </c>
      <c r="J2005" t="n">
        <v>100</v>
      </c>
    </row>
    <row r="2006" ht="16" customHeight="1">
      <c r="A2006" t="inlineStr">
        <is>
          <t>construction, lignite IGCC power plant 450MW</t>
        </is>
      </c>
      <c r="B2006" t="n">
        <v>1</v>
      </c>
      <c r="C2006" t="inlineStr">
        <is>
          <t>RER</t>
        </is>
      </c>
      <c r="D2006" t="inlineStr">
        <is>
          <t>unit</t>
        </is>
      </c>
      <c r="E2006" t="inlineStr">
        <is>
          <t>Materials/fuels</t>
        </is>
      </c>
      <c r="F2006" t="inlineStr">
        <is>
          <t>technosphere</t>
        </is>
      </c>
      <c r="G2006" t="n">
        <v>0</v>
      </c>
      <c r="H2006" t="n">
        <v>0</v>
      </c>
      <c r="I2006" t="n">
        <v>0.5493061443340548</v>
      </c>
      <c r="K2006" t="inlineStr">
        <is>
          <t>(,,,,,);</t>
        </is>
      </c>
      <c r="L2006" t="n">
        <v>0</v>
      </c>
    </row>
    <row r="2007">
      <c r="A2007" t="inlineStr">
        <is>
          <t>dismantling, lignite IGCC power plant 450MW</t>
        </is>
      </c>
      <c r="B2007" t="n">
        <v>1</v>
      </c>
      <c r="C2007" t="inlineStr">
        <is>
          <t>RER</t>
        </is>
      </c>
      <c r="D2007" t="inlineStr">
        <is>
          <t>unit</t>
        </is>
      </c>
      <c r="E2007" t="inlineStr">
        <is>
          <t>Materials/fuels</t>
        </is>
      </c>
      <c r="F2007" t="inlineStr">
        <is>
          <t>technosphere</t>
        </is>
      </c>
      <c r="G2007" t="n">
        <v>0</v>
      </c>
      <c r="H2007" t="n">
        <v>0</v>
      </c>
      <c r="I2007" t="n">
        <v>0.5493061443340548</v>
      </c>
      <c r="K2007" t="inlineStr">
        <is>
          <t>(,,,,,);</t>
        </is>
      </c>
      <c r="L2007" t="n">
        <v>0</v>
      </c>
    </row>
    <row r="2008"/>
    <row r="2009">
      <c r="A2009" s="1" t="inlineStr">
        <is>
          <t>Activity</t>
        </is>
      </c>
      <c r="B2009" s="1" t="inlineStr">
        <is>
          <t>Rape Methyl Ester, at plant</t>
        </is>
      </c>
    </row>
    <row r="2010">
      <c r="A2010" t="inlineStr">
        <is>
          <t>location</t>
        </is>
      </c>
      <c r="B2010" t="inlineStr">
        <is>
          <t>RER</t>
        </is>
      </c>
    </row>
    <row r="2011">
      <c r="A2011" t="inlineStr">
        <is>
          <t>production amount</t>
        </is>
      </c>
      <c r="B2011" t="n">
        <v>1</v>
      </c>
    </row>
    <row r="2012">
      <c r="A2012" t="inlineStr">
        <is>
          <t>reference product</t>
        </is>
      </c>
      <c r="B2012" t="inlineStr">
        <is>
          <t>Rape Methyl Ester, at plant</t>
        </is>
      </c>
    </row>
    <row r="2013">
      <c r="A2013" t="inlineStr">
        <is>
          <t>type</t>
        </is>
      </c>
      <c r="B2013" t="inlineStr">
        <is>
          <t>process</t>
        </is>
      </c>
    </row>
    <row r="2014">
      <c r="A2014" t="inlineStr">
        <is>
          <t>unit</t>
        </is>
      </c>
      <c r="B2014" t="inlineStr">
        <is>
          <t>megajoule</t>
        </is>
      </c>
    </row>
    <row r="2015">
      <c r="A2015" t="inlineStr">
        <is>
          <t>source</t>
        </is>
      </c>
      <c r="B2015" t="inlineStr">
        <is>
          <t>Life cycle assessment of carbon capture and storage in power generation and industry in Europe, Volkart et al., 2013, International Journal of Greenhouse Gas Control</t>
        </is>
      </c>
    </row>
    <row r="2016" ht="16" customHeight="1">
      <c r="A2016" s="1" t="inlineStr">
        <is>
          <t>Exchanges</t>
        </is>
      </c>
    </row>
    <row r="2017">
      <c r="A2017" t="inlineStr">
        <is>
          <t>name</t>
        </is>
      </c>
      <c r="B2017" t="inlineStr">
        <is>
          <t>amount</t>
        </is>
      </c>
      <c r="C2017" t="inlineStr">
        <is>
          <t>location</t>
        </is>
      </c>
      <c r="D2017" t="inlineStr">
        <is>
          <t>unit</t>
        </is>
      </c>
      <c r="E2017" t="inlineStr">
        <is>
          <t>categories</t>
        </is>
      </c>
      <c r="F2017" t="inlineStr">
        <is>
          <t>type</t>
        </is>
      </c>
      <c r="G2017" t="inlineStr">
        <is>
          <t>uncertainty type</t>
        </is>
      </c>
      <c r="H2017" t="inlineStr">
        <is>
          <t>loc</t>
        </is>
      </c>
      <c r="I2017" t="inlineStr">
        <is>
          <t>allocation</t>
        </is>
      </c>
      <c r="J2017" t="inlineStr">
        <is>
          <t>comment</t>
        </is>
      </c>
      <c r="K2017" t="inlineStr">
        <is>
          <t>reference product</t>
        </is>
      </c>
      <c r="L2017" t="inlineStr">
        <is>
          <t>simapro name</t>
        </is>
      </c>
      <c r="M2017" t="inlineStr">
        <is>
          <t>reference product</t>
        </is>
      </c>
    </row>
    <row r="2018">
      <c r="A2018" t="inlineStr">
        <is>
          <t>Rape Methyl Ester, at plant</t>
        </is>
      </c>
      <c r="B2018" t="n">
        <v>1</v>
      </c>
      <c r="C2018" t="inlineStr">
        <is>
          <t>RER</t>
        </is>
      </c>
      <c r="D2018" t="inlineStr">
        <is>
          <t>megajoule</t>
        </is>
      </c>
      <c r="E2018" t="inlineStr">
        <is>
          <t>CCS Europe 2025::Infrastructure&amp;Background</t>
        </is>
      </c>
      <c r="F2018" t="inlineStr">
        <is>
          <t>production</t>
        </is>
      </c>
      <c r="I2018" t="n">
        <v>100</v>
      </c>
      <c r="L2018" t="inlineStr">
        <is>
          <t>Rape Methyl Ester, at plant U</t>
        </is>
      </c>
    </row>
    <row r="2019">
      <c r="A2019" t="inlineStr">
        <is>
          <t>heat production, light fuel oil, at boiler 10kW condensing, non-modulating</t>
        </is>
      </c>
      <c r="B2019" t="n">
        <v>0.0508</v>
      </c>
      <c r="C2019" t="inlineStr">
        <is>
          <t>CH</t>
        </is>
      </c>
      <c r="D2019" t="inlineStr">
        <is>
          <t>megajoule</t>
        </is>
      </c>
      <c r="E2019" t="inlineStr">
        <is>
          <t>Materials/fuels</t>
        </is>
      </c>
      <c r="F2019" t="inlineStr">
        <is>
          <t>technosphere</t>
        </is>
      </c>
      <c r="G2019" t="n">
        <v>0</v>
      </c>
      <c r="H2019" t="n">
        <v>0.0508</v>
      </c>
      <c r="K2019" t="inlineStr">
        <is>
          <t>heat, central or small-scale, other than natural gas</t>
        </is>
      </c>
      <c r="L2019" t="inlineStr">
        <is>
          <t>Light fuel oil, burned in boiler 10kW condensing, non-modulating/CH U</t>
        </is>
      </c>
      <c r="M2019" t="inlineStr">
        <is>
          <t>heat, central or small-scale, other than natural gas</t>
        </is>
      </c>
    </row>
    <row r="2020">
      <c r="A2020" t="inlineStr">
        <is>
          <t>market for cement, unspecified</t>
        </is>
      </c>
      <c r="B2020" t="n">
        <v>0.000282</v>
      </c>
      <c r="C2020" t="inlineStr">
        <is>
          <t>CH</t>
        </is>
      </c>
      <c r="D2020" t="inlineStr">
        <is>
          <t>kilogram</t>
        </is>
      </c>
      <c r="E2020" t="inlineStr">
        <is>
          <t>Materials/fuels</t>
        </is>
      </c>
      <c r="F2020" t="inlineStr">
        <is>
          <t>technosphere</t>
        </is>
      </c>
      <c r="G2020" t="n">
        <v>0</v>
      </c>
      <c r="H2020" t="n">
        <v>0.000282</v>
      </c>
      <c r="L2020" t="inlineStr">
        <is>
          <t>Cement, unspecified, at plant/CH U</t>
        </is>
      </c>
      <c r="M2020" t="inlineStr">
        <is>
          <t>cement, unspecified</t>
        </is>
      </c>
    </row>
    <row r="2021">
      <c r="A2021" t="inlineStr">
        <is>
          <t>market for methanol</t>
        </is>
      </c>
      <c r="B2021" t="n">
        <v>0.00415</v>
      </c>
      <c r="C2021" t="inlineStr">
        <is>
          <t>GLO</t>
        </is>
      </c>
      <c r="D2021" t="inlineStr">
        <is>
          <t>kilogram</t>
        </is>
      </c>
      <c r="E2021" t="inlineStr">
        <is>
          <t>Materials/fuels</t>
        </is>
      </c>
      <c r="F2021" t="inlineStr">
        <is>
          <t>technosphere</t>
        </is>
      </c>
      <c r="G2021" t="n">
        <v>0</v>
      </c>
      <c r="H2021" t="n">
        <v>0.00415</v>
      </c>
      <c r="L2021" t="inlineStr">
        <is>
          <t>Methanol, at regional storage/CH U</t>
        </is>
      </c>
      <c r="M2021" t="inlineStr">
        <is>
          <t>methanol</t>
        </is>
      </c>
    </row>
    <row r="2022">
      <c r="A2022" t="inlineStr">
        <is>
          <t>market for reinforcing steel</t>
        </is>
      </c>
      <c r="B2022" t="n">
        <v>2.82e-05</v>
      </c>
      <c r="C2022" t="inlineStr">
        <is>
          <t>GLO</t>
        </is>
      </c>
      <c r="D2022" t="inlineStr">
        <is>
          <t>kilogram</t>
        </is>
      </c>
      <c r="E2022" t="inlineStr">
        <is>
          <t>Materials/fuels</t>
        </is>
      </c>
      <c r="F2022" t="inlineStr">
        <is>
          <t>technosphere</t>
        </is>
      </c>
      <c r="G2022" t="n">
        <v>0</v>
      </c>
      <c r="H2022" t="n">
        <v>2.82e-05</v>
      </c>
      <c r="L2022" t="inlineStr">
        <is>
          <t>Reinforcing steel, at plant U</t>
        </is>
      </c>
      <c r="M2022" t="inlineStr">
        <is>
          <t>reinforcing steel</t>
        </is>
      </c>
    </row>
    <row r="2023" ht="16" customHeight="1">
      <c r="A2023" t="inlineStr">
        <is>
          <t>market group for electricity, medium voltage</t>
        </is>
      </c>
      <c r="B2023" t="n">
        <v>0.00709</v>
      </c>
      <c r="C2023" t="inlineStr">
        <is>
          <t>ENTSO-E</t>
        </is>
      </c>
      <c r="D2023" t="inlineStr">
        <is>
          <t>kilowatt hour</t>
        </is>
      </c>
      <c r="E2023" t="inlineStr">
        <is>
          <t>Materials/fuels</t>
        </is>
      </c>
      <c r="F2023" t="inlineStr">
        <is>
          <t>technosphere</t>
        </is>
      </c>
      <c r="G2023" t="n">
        <v>0</v>
      </c>
      <c r="H2023" t="n">
        <v>0.00709</v>
      </c>
      <c r="L2023" t="inlineStr">
        <is>
          <t>electricity production, medium voltage, production RER, at grid U</t>
        </is>
      </c>
      <c r="M2023" t="inlineStr">
        <is>
          <t>electricity, medium voltage</t>
        </is>
      </c>
    </row>
    <row r="2024">
      <c r="A2024" t="inlineStr">
        <is>
          <t>rape seed production, Swiss integrated production, intensive</t>
        </is>
      </c>
      <c r="B2024" t="n">
        <v>0.0425</v>
      </c>
      <c r="C2024" t="inlineStr">
        <is>
          <t>CH</t>
        </is>
      </c>
      <c r="D2024" t="inlineStr">
        <is>
          <t>kilogram</t>
        </is>
      </c>
      <c r="E2024" t="inlineStr">
        <is>
          <t>Materials/fuels</t>
        </is>
      </c>
      <c r="F2024" t="inlineStr">
        <is>
          <t>technosphere</t>
        </is>
      </c>
      <c r="G2024" t="n">
        <v>0</v>
      </c>
      <c r="H2024" t="n">
        <v>0.0425</v>
      </c>
      <c r="K2024" t="inlineStr">
        <is>
          <t>rape seed, Swiss integrated production</t>
        </is>
      </c>
      <c r="L2024" t="inlineStr">
        <is>
          <t>Rape seed IP, at farm/CH U</t>
        </is>
      </c>
      <c r="M2024" t="inlineStr">
        <is>
          <t>rape seed, Swiss integrated production</t>
        </is>
      </c>
    </row>
    <row r="2025"/>
    <row r="2026">
      <c r="A2026" s="1" t="inlineStr">
        <is>
          <t>Activity</t>
        </is>
      </c>
      <c r="B2026" s="1" t="inlineStr">
        <is>
          <t>SNG from wood, 70 bar, at consumer</t>
        </is>
      </c>
    </row>
    <row r="2027">
      <c r="A2027" t="inlineStr">
        <is>
          <t>location</t>
        </is>
      </c>
      <c r="B2027" t="inlineStr">
        <is>
          <t>RER</t>
        </is>
      </c>
    </row>
    <row r="2028">
      <c r="A2028" t="inlineStr">
        <is>
          <t>production amount</t>
        </is>
      </c>
      <c r="B2028" t="n">
        <v>1</v>
      </c>
    </row>
    <row r="2029">
      <c r="A2029" t="inlineStr">
        <is>
          <t>reference product</t>
        </is>
      </c>
      <c r="B2029" t="inlineStr">
        <is>
          <t>SNG from wood, 70 bar, at consumer</t>
        </is>
      </c>
    </row>
    <row r="2030">
      <c r="A2030" t="inlineStr">
        <is>
          <t>type</t>
        </is>
      </c>
      <c r="B2030" t="inlineStr">
        <is>
          <t>process</t>
        </is>
      </c>
    </row>
    <row r="2031">
      <c r="A2031" t="inlineStr">
        <is>
          <t>unit</t>
        </is>
      </c>
      <c r="B2031" t="inlineStr">
        <is>
          <t>megajoule</t>
        </is>
      </c>
    </row>
    <row r="2032">
      <c r="A2032" t="inlineStr">
        <is>
          <t>source</t>
        </is>
      </c>
      <c r="B2032" t="inlineStr">
        <is>
          <t>Life cycle assessment of carbon capture and storage in power generation and industry in Europe, Volkart et al., 2013, International Journal of Greenhouse Gas Control</t>
        </is>
      </c>
    </row>
    <row r="2033" ht="16" customHeight="1">
      <c r="A2033" s="1" t="inlineStr">
        <is>
          <t>Exchanges</t>
        </is>
      </c>
    </row>
    <row r="2034">
      <c r="A2034" t="inlineStr">
        <is>
          <t>name</t>
        </is>
      </c>
      <c r="B2034" t="inlineStr">
        <is>
          <t>amount</t>
        </is>
      </c>
      <c r="C2034" t="inlineStr">
        <is>
          <t>location</t>
        </is>
      </c>
      <c r="D2034" t="inlineStr">
        <is>
          <t>unit</t>
        </is>
      </c>
      <c r="E2034" t="inlineStr">
        <is>
          <t>categories</t>
        </is>
      </c>
      <c r="F2034" t="inlineStr">
        <is>
          <t>type</t>
        </is>
      </c>
      <c r="G2034" t="inlineStr">
        <is>
          <t>uncertainty type</t>
        </is>
      </c>
      <c r="H2034" t="inlineStr">
        <is>
          <t>loc</t>
        </is>
      </c>
      <c r="I2034" t="inlineStr">
        <is>
          <t>allocation</t>
        </is>
      </c>
      <c r="J2034" t="inlineStr">
        <is>
          <t>comment</t>
        </is>
      </c>
      <c r="K2034" t="inlineStr">
        <is>
          <t>reference product</t>
        </is>
      </c>
      <c r="L2034" t="inlineStr">
        <is>
          <t>simapro name</t>
        </is>
      </c>
      <c r="M2034" t="inlineStr">
        <is>
          <t>reference product</t>
        </is>
      </c>
    </row>
    <row r="2035">
      <c r="A2035" t="inlineStr">
        <is>
          <t>Carbon dioxide, non-fossil</t>
        </is>
      </c>
      <c r="B2035" t="n">
        <v>1.39e-07</v>
      </c>
      <c r="D2035" t="inlineStr">
        <is>
          <t>kilogram</t>
        </is>
      </c>
      <c r="E2035" t="inlineStr">
        <is>
          <t>air</t>
        </is>
      </c>
      <c r="F2035" t="inlineStr">
        <is>
          <t>biosphere</t>
        </is>
      </c>
      <c r="G2035" t="n">
        <v>0</v>
      </c>
      <c r="H2035" t="n">
        <v>1.39e-07</v>
      </c>
    </row>
    <row r="2036">
      <c r="A2036" t="inlineStr">
        <is>
          <t>Methane, non-fossil</t>
        </is>
      </c>
      <c r="B2036" t="n">
        <v>8.7e-06</v>
      </c>
      <c r="D2036" t="inlineStr">
        <is>
          <t>kilogram</t>
        </is>
      </c>
      <c r="E2036" t="inlineStr">
        <is>
          <t>air::urban air close to ground</t>
        </is>
      </c>
      <c r="F2036" t="inlineStr">
        <is>
          <t>biosphere</t>
        </is>
      </c>
      <c r="G2036" t="n">
        <v>0</v>
      </c>
      <c r="H2036" t="n">
        <v>8.7e-06</v>
      </c>
    </row>
    <row r="2037">
      <c r="A2037" t="inlineStr">
        <is>
          <t>SNG from wood, 70 bar, at consumer</t>
        </is>
      </c>
      <c r="B2037" t="n">
        <v>1</v>
      </c>
      <c r="C2037" t="inlineStr">
        <is>
          <t>RER</t>
        </is>
      </c>
      <c r="D2037" t="inlineStr">
        <is>
          <t>megajoule</t>
        </is>
      </c>
      <c r="E2037" t="inlineStr">
        <is>
          <t>CCS Europe 2025::Infrastructure&amp;Background</t>
        </is>
      </c>
      <c r="F2037" t="inlineStr">
        <is>
          <t>production</t>
        </is>
      </c>
      <c r="I2037" t="n">
        <v>100</v>
      </c>
      <c r="L2037" t="inlineStr">
        <is>
          <t>SNG from wood, 70 bar, at consumer U</t>
        </is>
      </c>
    </row>
    <row r="2038">
      <c r="A2038" t="inlineStr">
        <is>
          <t>Synthetic natural gas from wood, 70 bar, at plant</t>
        </is>
      </c>
      <c r="B2038" t="n">
        <v>1</v>
      </c>
      <c r="C2038" t="inlineStr">
        <is>
          <t>RER</t>
        </is>
      </c>
      <c r="D2038" t="inlineStr">
        <is>
          <t>megajoule</t>
        </is>
      </c>
      <c r="E2038" t="inlineStr">
        <is>
          <t>Materials/fuels</t>
        </is>
      </c>
      <c r="F2038" t="inlineStr">
        <is>
          <t>technosphere</t>
        </is>
      </c>
      <c r="G2038" t="n">
        <v>0</v>
      </c>
      <c r="H2038" t="n">
        <v>1</v>
      </c>
      <c r="L2038" t="inlineStr">
        <is>
          <t>Synthetic natural gas from wood, 70 bar, at plant U</t>
        </is>
      </c>
    </row>
    <row r="2039">
      <c r="A2039" t="inlineStr">
        <is>
          <t>heat production, natural gas, at industrial furnace &gt;100kW</t>
        </is>
      </c>
      <c r="B2039" t="n">
        <v>0.00167</v>
      </c>
      <c r="C2039" t="inlineStr">
        <is>
          <t>Europe without Switzerland</t>
        </is>
      </c>
      <c r="D2039" t="inlineStr">
        <is>
          <t>megajoule</t>
        </is>
      </c>
      <c r="E2039" t="inlineStr">
        <is>
          <t>Materials/fuels</t>
        </is>
      </c>
      <c r="F2039" t="inlineStr">
        <is>
          <t>technosphere</t>
        </is>
      </c>
      <c r="G2039" t="n">
        <v>0</v>
      </c>
      <c r="H2039" t="n">
        <v>0.00167</v>
      </c>
      <c r="L2039" t="inlineStr">
        <is>
          <t>Natural gas, burned in industrial furnace &gt;100kW U</t>
        </is>
      </c>
      <c r="M2039" t="inlineStr">
        <is>
          <t>heat, district or industrial, natural gas</t>
        </is>
      </c>
    </row>
    <row r="2040" ht="16" customHeight="1">
      <c r="A2040" t="inlineStr">
        <is>
          <t>market group for electricity, medium voltage</t>
        </is>
      </c>
      <c r="B2040" t="n">
        <v>7.24e-05</v>
      </c>
      <c r="C2040" t="inlineStr">
        <is>
          <t>ENTSO-E</t>
        </is>
      </c>
      <c r="D2040" t="inlineStr">
        <is>
          <t>kilowatt hour</t>
        </is>
      </c>
      <c r="E2040" t="inlineStr">
        <is>
          <t>Materials/fuels</t>
        </is>
      </c>
      <c r="F2040" t="inlineStr">
        <is>
          <t>technosphere</t>
        </is>
      </c>
      <c r="G2040" t="n">
        <v>0</v>
      </c>
      <c r="H2040" t="n">
        <v>7.24e-05</v>
      </c>
      <c r="L2040" t="inlineStr">
        <is>
          <t>electricity production, medium voltage, production RER, at grid U</t>
        </is>
      </c>
      <c r="M2040" t="inlineStr">
        <is>
          <t>electricity, medium voltage</t>
        </is>
      </c>
    </row>
    <row r="2041">
      <c r="A2041" t="inlineStr">
        <is>
          <t>pipeline construction, natural gas, high pressure distribution network</t>
        </is>
      </c>
      <c r="B2041" t="n">
        <v>8.96e-10</v>
      </c>
      <c r="C2041" t="inlineStr">
        <is>
          <t>CH</t>
        </is>
      </c>
      <c r="D2041" t="inlineStr">
        <is>
          <t>kilometer</t>
        </is>
      </c>
      <c r="E2041" t="inlineStr">
        <is>
          <t>Materials/fuels</t>
        </is>
      </c>
      <c r="F2041" t="inlineStr">
        <is>
          <t>technosphere</t>
        </is>
      </c>
      <c r="G2041" t="n">
        <v>0</v>
      </c>
      <c r="H2041" t="n">
        <v>8.96e-10</v>
      </c>
      <c r="K2041" t="inlineStr">
        <is>
          <t>pipeline, natural gas, high pressure distribution network</t>
        </is>
      </c>
      <c r="L2041" t="inlineStr">
        <is>
          <t>Pipeline, natural gas, high pressure distribution network/I U</t>
        </is>
      </c>
      <c r="M2041" t="inlineStr">
        <is>
          <t>pipeline, natural gas, high pressure distribution network</t>
        </is>
      </c>
    </row>
    <row r="2042"/>
    <row r="2043">
      <c r="A2043" s="1" t="inlineStr">
        <is>
          <t>Activity</t>
        </is>
      </c>
      <c r="B2043" s="1" t="inlineStr">
        <is>
          <t>SNG from wood, production plant</t>
        </is>
      </c>
    </row>
    <row r="2044">
      <c r="A2044" t="inlineStr">
        <is>
          <t>location</t>
        </is>
      </c>
      <c r="B2044" t="inlineStr">
        <is>
          <t>RER</t>
        </is>
      </c>
    </row>
    <row r="2045">
      <c r="A2045" t="inlineStr">
        <is>
          <t>production amount</t>
        </is>
      </c>
      <c r="B2045" t="n">
        <v>1</v>
      </c>
    </row>
    <row r="2046">
      <c r="A2046" t="inlineStr">
        <is>
          <t>reference product</t>
        </is>
      </c>
      <c r="B2046" t="inlineStr">
        <is>
          <t>SNG from wood, production plant</t>
        </is>
      </c>
    </row>
    <row r="2047">
      <c r="A2047" t="inlineStr">
        <is>
          <t>type</t>
        </is>
      </c>
      <c r="B2047" t="inlineStr">
        <is>
          <t>process</t>
        </is>
      </c>
    </row>
    <row r="2048">
      <c r="A2048" t="inlineStr">
        <is>
          <t>unit</t>
        </is>
      </c>
      <c r="B2048" t="inlineStr">
        <is>
          <t>unit</t>
        </is>
      </c>
    </row>
    <row r="2049">
      <c r="A2049" t="inlineStr">
        <is>
          <t>source</t>
        </is>
      </c>
      <c r="B2049" t="inlineStr">
        <is>
          <t>Life cycle assessment of carbon capture and storage in power generation and industry in Europe, Volkart et al., 2013, International Journal of Greenhouse Gas Control</t>
        </is>
      </c>
    </row>
    <row r="2050">
      <c r="A2050" s="1" t="inlineStr">
        <is>
          <t>Exchanges</t>
        </is>
      </c>
    </row>
    <row r="2051">
      <c r="A2051" t="inlineStr">
        <is>
          <t>name</t>
        </is>
      </c>
      <c r="B2051" t="inlineStr">
        <is>
          <t>amount</t>
        </is>
      </c>
      <c r="C2051" t="inlineStr">
        <is>
          <t>location</t>
        </is>
      </c>
      <c r="D2051" t="inlineStr">
        <is>
          <t>unit</t>
        </is>
      </c>
      <c r="E2051" t="inlineStr">
        <is>
          <t>categories</t>
        </is>
      </c>
      <c r="F2051" t="inlineStr">
        <is>
          <t>type</t>
        </is>
      </c>
      <c r="G2051" t="inlineStr">
        <is>
          <t>uncertainty type</t>
        </is>
      </c>
      <c r="H2051" t="inlineStr">
        <is>
          <t>loc</t>
        </is>
      </c>
      <c r="I2051" t="inlineStr">
        <is>
          <t>allocation</t>
        </is>
      </c>
      <c r="J2051" t="inlineStr">
        <is>
          <t>comment</t>
        </is>
      </c>
      <c r="K2051" t="inlineStr">
        <is>
          <t>reference product</t>
        </is>
      </c>
      <c r="L2051" t="inlineStr">
        <is>
          <t>simapro name</t>
        </is>
      </c>
      <c r="M2051" t="inlineStr">
        <is>
          <t>reference product</t>
        </is>
      </c>
    </row>
    <row r="2052">
      <c r="A2052" t="inlineStr">
        <is>
          <t>Occupation, construction site</t>
        </is>
      </c>
      <c r="B2052" t="n">
        <v>538000</v>
      </c>
      <c r="D2052" t="inlineStr">
        <is>
          <t>square meter-year</t>
        </is>
      </c>
      <c r="E2052" t="inlineStr">
        <is>
          <t>natural resource::land</t>
        </is>
      </c>
      <c r="F2052" t="inlineStr">
        <is>
          <t>biosphere</t>
        </is>
      </c>
      <c r="G2052" t="n">
        <v>0</v>
      </c>
      <c r="H2052" t="n">
        <v>538000</v>
      </c>
    </row>
    <row r="2053">
      <c r="A2053" t="inlineStr">
        <is>
          <t>Occupation, industrial area</t>
        </is>
      </c>
      <c r="B2053" t="n">
        <v>1210000</v>
      </c>
      <c r="D2053" t="inlineStr">
        <is>
          <t>square meter-year</t>
        </is>
      </c>
      <c r="E2053" t="inlineStr">
        <is>
          <t>natural resource::land</t>
        </is>
      </c>
      <c r="F2053" t="inlineStr">
        <is>
          <t>biosphere</t>
        </is>
      </c>
      <c r="G2053" t="n">
        <v>0</v>
      </c>
      <c r="H2053" t="n">
        <v>1210000</v>
      </c>
    </row>
    <row r="2054">
      <c r="A2054" t="inlineStr">
        <is>
          <t>Occupation, industrial area</t>
        </is>
      </c>
      <c r="B2054" t="n">
        <v>321000</v>
      </c>
      <c r="D2054" t="inlineStr">
        <is>
          <t>square meter-year</t>
        </is>
      </c>
      <c r="E2054" t="inlineStr">
        <is>
          <t>natural resource::land</t>
        </is>
      </c>
      <c r="F2054" t="inlineStr">
        <is>
          <t>biosphere</t>
        </is>
      </c>
      <c r="G2054" t="n">
        <v>0</v>
      </c>
      <c r="H2054" t="n">
        <v>321000</v>
      </c>
    </row>
    <row r="2055">
      <c r="A2055" t="inlineStr">
        <is>
          <t>Transformation, from unspecified</t>
        </is>
      </c>
      <c r="B2055" t="n">
        <v>51100</v>
      </c>
      <c r="D2055" t="inlineStr">
        <is>
          <t>square meter</t>
        </is>
      </c>
      <c r="E2055" t="inlineStr">
        <is>
          <t>natural resource::land</t>
        </is>
      </c>
      <c r="F2055" t="inlineStr">
        <is>
          <t>biosphere</t>
        </is>
      </c>
      <c r="G2055" t="n">
        <v>0</v>
      </c>
      <c r="H2055" t="n">
        <v>51100</v>
      </c>
    </row>
    <row r="2056">
      <c r="A2056" t="inlineStr">
        <is>
          <t>Transformation, to industrial area</t>
        </is>
      </c>
      <c r="B2056" t="n">
        <v>40400</v>
      </c>
      <c r="D2056" t="inlineStr">
        <is>
          <t>square meter</t>
        </is>
      </c>
      <c r="E2056" t="inlineStr">
        <is>
          <t>natural resource::land</t>
        </is>
      </c>
      <c r="F2056" t="inlineStr">
        <is>
          <t>biosphere</t>
        </is>
      </c>
      <c r="G2056" t="n">
        <v>0</v>
      </c>
      <c r="H2056" t="n">
        <v>40400</v>
      </c>
    </row>
    <row r="2057">
      <c r="A2057" t="inlineStr">
        <is>
          <t>Transformation, to industrial area</t>
        </is>
      </c>
      <c r="B2057" t="n">
        <v>10700</v>
      </c>
      <c r="D2057" t="inlineStr">
        <is>
          <t>square meter</t>
        </is>
      </c>
      <c r="E2057" t="inlineStr">
        <is>
          <t>natural resource::land</t>
        </is>
      </c>
      <c r="F2057" t="inlineStr">
        <is>
          <t>biosphere</t>
        </is>
      </c>
      <c r="G2057" t="n">
        <v>0</v>
      </c>
      <c r="H2057" t="n">
        <v>10700</v>
      </c>
    </row>
    <row r="2058">
      <c r="A2058" t="inlineStr">
        <is>
          <t>SNG from wood, production plant</t>
        </is>
      </c>
      <c r="B2058" t="n">
        <v>1</v>
      </c>
      <c r="C2058" t="inlineStr">
        <is>
          <t>RER</t>
        </is>
      </c>
      <c r="D2058" t="inlineStr">
        <is>
          <t>unit</t>
        </is>
      </c>
      <c r="E2058" t="inlineStr">
        <is>
          <t>CCS Europe 2025::Infrastructure&amp;Background</t>
        </is>
      </c>
      <c r="F2058" t="inlineStr">
        <is>
          <t>production</t>
        </is>
      </c>
      <c r="I2058" t="n">
        <v>100</v>
      </c>
      <c r="L2058" t="inlineStr">
        <is>
          <t>SNG from wood, production plant U</t>
        </is>
      </c>
    </row>
    <row r="2059">
      <c r="A2059" t="inlineStr">
        <is>
          <t>concrete production, for civil engineering, with cement CEM II/B</t>
        </is>
      </c>
      <c r="B2059" t="n">
        <v>48.9</v>
      </c>
      <c r="C2059" t="inlineStr">
        <is>
          <t>CH</t>
        </is>
      </c>
      <c r="D2059" t="inlineStr">
        <is>
          <t>cubic meter</t>
        </is>
      </c>
      <c r="E2059" t="inlineStr">
        <is>
          <t>Materials/fuels</t>
        </is>
      </c>
      <c r="F2059" t="inlineStr">
        <is>
          <t>technosphere</t>
        </is>
      </c>
      <c r="G2059" t="n">
        <v>0</v>
      </c>
      <c r="H2059" t="n">
        <v>48.9</v>
      </c>
      <c r="K2059" t="inlineStr">
        <is>
          <t>concrete, sole plate and foundation</t>
        </is>
      </c>
      <c r="L2059" t="inlineStr">
        <is>
          <t>Concrete, sole plate and foundation, at plant/CH U</t>
        </is>
      </c>
      <c r="M2059" t="inlineStr">
        <is>
          <t>concrete, sole plate and foundation</t>
        </is>
      </c>
    </row>
    <row r="2060">
      <c r="A2060" t="inlineStr">
        <is>
          <t>market for copper</t>
        </is>
      </c>
      <c r="B2060" t="n">
        <v>30700</v>
      </c>
      <c r="C2060" t="inlineStr">
        <is>
          <t>GLO</t>
        </is>
      </c>
      <c r="D2060" t="inlineStr">
        <is>
          <t>kilogram</t>
        </is>
      </c>
      <c r="E2060" t="inlineStr">
        <is>
          <t>Materials/fuels</t>
        </is>
      </c>
      <c r="F2060" t="inlineStr">
        <is>
          <t>technosphere</t>
        </is>
      </c>
      <c r="G2060" t="n">
        <v>0</v>
      </c>
      <c r="H2060" t="n">
        <v>30700</v>
      </c>
      <c r="K2060" t="inlineStr">
        <is>
          <t>copper</t>
        </is>
      </c>
      <c r="L2060" t="inlineStr">
        <is>
          <t>Copper, at regional storage U</t>
        </is>
      </c>
      <c r="M2060" t="inlineStr">
        <is>
          <t>copper</t>
        </is>
      </c>
    </row>
    <row r="2061">
      <c r="A2061" t="inlineStr">
        <is>
          <t>market for diesel, burned in building machine</t>
        </is>
      </c>
      <c r="B2061" t="n">
        <v>5940000</v>
      </c>
      <c r="C2061" t="inlineStr">
        <is>
          <t>GLO</t>
        </is>
      </c>
      <c r="D2061" t="inlineStr">
        <is>
          <t>megajoule</t>
        </is>
      </c>
      <c r="E2061" t="inlineStr">
        <is>
          <t>Materials/fuels</t>
        </is>
      </c>
      <c r="F2061" t="inlineStr">
        <is>
          <t>technosphere</t>
        </is>
      </c>
      <c r="G2061" t="n">
        <v>0</v>
      </c>
      <c r="H2061" t="n">
        <v>5940000</v>
      </c>
      <c r="L2061" t="inlineStr">
        <is>
          <t>Diesel, burned in building machine/GLO U</t>
        </is>
      </c>
      <c r="M2061" t="inlineStr">
        <is>
          <t>diesel, burned in building machine</t>
        </is>
      </c>
    </row>
    <row r="2062">
      <c r="A2062" t="inlineStr">
        <is>
          <t>market for steel, low-alloyed</t>
        </is>
      </c>
      <c r="B2062" t="n">
        <v>166000</v>
      </c>
      <c r="C2062" t="inlineStr">
        <is>
          <t>GLO</t>
        </is>
      </c>
      <c r="D2062" t="inlineStr">
        <is>
          <t>kilogram</t>
        </is>
      </c>
      <c r="E2062" t="inlineStr">
        <is>
          <t>Materials/fuels</t>
        </is>
      </c>
      <c r="F2062" t="inlineStr">
        <is>
          <t>technosphere</t>
        </is>
      </c>
      <c r="G2062" t="n">
        <v>0</v>
      </c>
      <c r="H2062" t="n">
        <v>166000</v>
      </c>
      <c r="L2062" t="inlineStr">
        <is>
          <t>Steel, low-alloyed, at plant U</t>
        </is>
      </c>
      <c r="M2062" t="inlineStr">
        <is>
          <t>steel, low-alloyed</t>
        </is>
      </c>
    </row>
    <row r="2063" ht="16" customHeight="1">
      <c r="A2063" t="inlineStr">
        <is>
          <t>market for transport, freight train</t>
        </is>
      </c>
      <c r="B2063" t="n">
        <v>141000</v>
      </c>
      <c r="C2063" t="inlineStr">
        <is>
          <t>Europe without Switzerland</t>
        </is>
      </c>
      <c r="D2063" t="inlineStr">
        <is>
          <t>ton kilometer</t>
        </is>
      </c>
      <c r="E2063" t="inlineStr">
        <is>
          <t>Materials/fuels</t>
        </is>
      </c>
      <c r="F2063" t="inlineStr">
        <is>
          <t>technosphere</t>
        </is>
      </c>
      <c r="G2063" t="n">
        <v>0</v>
      </c>
      <c r="H2063" t="n">
        <v>141000</v>
      </c>
      <c r="L2063" t="inlineStr">
        <is>
          <t>Transport, freight, rail U</t>
        </is>
      </c>
      <c r="M2063" t="inlineStr">
        <is>
          <t>transport, freight train</t>
        </is>
      </c>
    </row>
    <row r="2064">
      <c r="A2064" t="inlineStr">
        <is>
          <t>market for transport, freight, lorry, unspecified</t>
        </is>
      </c>
      <c r="B2064" t="n">
        <v>529000</v>
      </c>
      <c r="C2064" t="inlineStr">
        <is>
          <t>RER</t>
        </is>
      </c>
      <c r="D2064" t="inlineStr">
        <is>
          <t>ton kilometer</t>
        </is>
      </c>
      <c r="E2064" t="inlineStr">
        <is>
          <t>Materials/fuels</t>
        </is>
      </c>
      <c r="F2064" t="inlineStr">
        <is>
          <t>technosphere</t>
        </is>
      </c>
      <c r="G2064" t="n">
        <v>0</v>
      </c>
      <c r="H2064" t="n">
        <v>529000</v>
      </c>
      <c r="L2064" t="inlineStr">
        <is>
          <t>Transport, transoceanic freight ship/OCE U</t>
        </is>
      </c>
      <c r="M2064" t="inlineStr">
        <is>
          <t>transport, freight, lorry, unspecified</t>
        </is>
      </c>
    </row>
    <row r="2065">
      <c r="A2065" t="inlineStr">
        <is>
          <t>market group for electricity, medium voltage</t>
        </is>
      </c>
      <c r="B2065" t="n">
        <v>566000</v>
      </c>
      <c r="C2065" t="inlineStr">
        <is>
          <t>ENTSO-E</t>
        </is>
      </c>
      <c r="D2065" t="inlineStr">
        <is>
          <t>kilowatt hour</t>
        </is>
      </c>
      <c r="E2065" t="inlineStr">
        <is>
          <t>Materials/fuels</t>
        </is>
      </c>
      <c r="F2065" t="inlineStr">
        <is>
          <t>technosphere</t>
        </is>
      </c>
      <c r="G2065" t="n">
        <v>0</v>
      </c>
      <c r="H2065" t="n">
        <v>566000</v>
      </c>
      <c r="L2065" t="inlineStr">
        <is>
          <t>electricity production, medium voltage, production RER, at grid U</t>
        </is>
      </c>
      <c r="M2065" t="inlineStr">
        <is>
          <t>electricity, medium voltage</t>
        </is>
      </c>
    </row>
    <row r="2066">
      <c r="A2066" t="inlineStr">
        <is>
          <t>nickel mine operation, sulfidic ore</t>
        </is>
      </c>
      <c r="B2066" t="n">
        <v>2690</v>
      </c>
      <c r="C2066" t="inlineStr">
        <is>
          <t>GLO</t>
        </is>
      </c>
      <c r="D2066" t="inlineStr">
        <is>
          <t>kilogram</t>
        </is>
      </c>
      <c r="E2066" t="inlineStr">
        <is>
          <t>Materials/fuels</t>
        </is>
      </c>
      <c r="F2066" t="inlineStr">
        <is>
          <t>technosphere</t>
        </is>
      </c>
      <c r="G2066" t="n">
        <v>0</v>
      </c>
      <c r="H2066" t="n">
        <v>2690</v>
      </c>
      <c r="K2066" t="inlineStr">
        <is>
          <t>nickel, 99.5%</t>
        </is>
      </c>
      <c r="L2066" t="inlineStr">
        <is>
          <t>Nickel, 99.5%, at plant/GLO U</t>
        </is>
      </c>
      <c r="M2066" t="inlineStr">
        <is>
          <t>nickel, 99.5%</t>
        </is>
      </c>
    </row>
    <row r="2067">
      <c r="A2067" t="inlineStr">
        <is>
          <t>primary zinc production from concentrate</t>
        </is>
      </c>
      <c r="B2067" t="n">
        <v>72900</v>
      </c>
      <c r="C2067" t="inlineStr">
        <is>
          <t>RoW</t>
        </is>
      </c>
      <c r="D2067" t="inlineStr">
        <is>
          <t>kilogram</t>
        </is>
      </c>
      <c r="E2067" t="inlineStr">
        <is>
          <t>Materials/fuels</t>
        </is>
      </c>
      <c r="F2067" t="inlineStr">
        <is>
          <t>technosphere</t>
        </is>
      </c>
      <c r="G2067" t="n">
        <v>0</v>
      </c>
      <c r="H2067" t="n">
        <v>72900</v>
      </c>
      <c r="K2067" t="inlineStr">
        <is>
          <t>zinc</t>
        </is>
      </c>
      <c r="L2067" t="inlineStr">
        <is>
          <t>Zinc, primary, at regional storage U</t>
        </is>
      </c>
      <c r="M2067" t="inlineStr">
        <is>
          <t>indium rich leaching residues, from zinc production</t>
        </is>
      </c>
    </row>
    <row r="2068">
      <c r="A2068" t="inlineStr">
        <is>
          <t>steel production, chromium steel 18/8, hot rolled</t>
        </is>
      </c>
      <c r="B2068" t="n">
        <v>123000</v>
      </c>
      <c r="C2068" t="inlineStr">
        <is>
          <t>RER</t>
        </is>
      </c>
      <c r="D2068" t="inlineStr">
        <is>
          <t>kilogram</t>
        </is>
      </c>
      <c r="E2068" t="inlineStr">
        <is>
          <t>Materials/fuels</t>
        </is>
      </c>
      <c r="F2068" t="inlineStr">
        <is>
          <t>technosphere</t>
        </is>
      </c>
      <c r="G2068" t="n">
        <v>0</v>
      </c>
      <c r="H2068" t="n">
        <v>123000</v>
      </c>
      <c r="K2068" t="inlineStr">
        <is>
          <t>steel, chromium steel 18/8, hot rolled</t>
        </is>
      </c>
      <c r="L2068" t="inlineStr">
        <is>
          <t>Chromium steel 18/8, at plant U</t>
        </is>
      </c>
      <c r="M2068" t="inlineStr">
        <is>
          <t>steel, chromium steel 18/8, hot rolled</t>
        </is>
      </c>
    </row>
    <row r="2069">
      <c r="A2069" t="inlineStr">
        <is>
          <t>steel production, electric, low-alloyed</t>
        </is>
      </c>
      <c r="B2069" t="n">
        <v>390000</v>
      </c>
      <c r="C2069" t="inlineStr">
        <is>
          <t>RER</t>
        </is>
      </c>
      <c r="D2069" t="inlineStr">
        <is>
          <t>kilogram</t>
        </is>
      </c>
      <c r="E2069" t="inlineStr">
        <is>
          <t>Materials/fuels</t>
        </is>
      </c>
      <c r="F2069" t="inlineStr">
        <is>
          <t>technosphere</t>
        </is>
      </c>
      <c r="G2069" t="n">
        <v>0</v>
      </c>
      <c r="H2069" t="n">
        <v>390000</v>
      </c>
      <c r="K2069" t="inlineStr">
        <is>
          <t>steel, low-alloyed</t>
        </is>
      </c>
      <c r="L2069" t="inlineStr">
        <is>
          <t>Steel, electric, un- and low-alloyed, at plant U</t>
        </is>
      </c>
      <c r="M2069" t="inlineStr">
        <is>
          <t>steel, low-alloyed</t>
        </is>
      </c>
    </row>
    <row r="2070" ht="16" customHeight="1">
      <c r="A2070" t="inlineStr">
        <is>
          <t>transport, freight, lorry 16-32 metric ton, EURO4</t>
        </is>
      </c>
      <c r="B2070" t="n">
        <v>7570</v>
      </c>
      <c r="C2070" t="inlineStr">
        <is>
          <t>RER</t>
        </is>
      </c>
      <c r="D2070" t="inlineStr">
        <is>
          <t>ton kilometer</t>
        </is>
      </c>
      <c r="E2070" t="inlineStr">
        <is>
          <t>Materials/fuels</t>
        </is>
      </c>
      <c r="F2070" t="inlineStr">
        <is>
          <t>technosphere</t>
        </is>
      </c>
      <c r="G2070" t="n">
        <v>0</v>
      </c>
      <c r="H2070" t="n">
        <v>7570</v>
      </c>
      <c r="L2070" t="inlineStr">
        <is>
          <t>Transport, lorry 16-32t, EURO4 U</t>
        </is>
      </c>
      <c r="M2070" t="inlineStr">
        <is>
          <t>transport, freight, lorry 16-32 metric ton, EURO4</t>
        </is>
      </c>
    </row>
    <row r="2071">
      <c r="A2071" t="inlineStr">
        <is>
          <t>treatment of waste concrete, inert material landfill</t>
        </is>
      </c>
      <c r="B2071" t="n">
        <v>-113000</v>
      </c>
      <c r="C2071" t="inlineStr">
        <is>
          <t>CH</t>
        </is>
      </c>
      <c r="D2071" t="inlineStr">
        <is>
          <t>kilogram</t>
        </is>
      </c>
      <c r="E2071" t="inlineStr">
        <is>
          <t>Waste to treatment</t>
        </is>
      </c>
      <c r="F2071" t="inlineStr">
        <is>
          <t>technosphere</t>
        </is>
      </c>
      <c r="G2071" t="n">
        <v>0</v>
      </c>
      <c r="H2071" t="n">
        <v>113000</v>
      </c>
      <c r="K2071" t="inlineStr">
        <is>
          <t>waste concrete</t>
        </is>
      </c>
      <c r="L2071" t="inlineStr">
        <is>
          <t>Disposal, concrete, 5% water, to inert material landfill/CH U</t>
        </is>
      </c>
      <c r="M2071" t="inlineStr">
        <is>
          <t>waste concrete</t>
        </is>
      </c>
    </row>
    <row r="2072"/>
    <row r="2073">
      <c r="A2073" s="1" t="inlineStr">
        <is>
          <t>Activity</t>
        </is>
      </c>
      <c r="B2073" s="1" t="inlineStr">
        <is>
          <t>SNG production plant</t>
        </is>
      </c>
    </row>
    <row r="2074">
      <c r="A2074" t="inlineStr">
        <is>
          <t>location</t>
        </is>
      </c>
      <c r="B2074" t="inlineStr">
        <is>
          <t>RER</t>
        </is>
      </c>
    </row>
    <row r="2075">
      <c r="A2075" t="inlineStr">
        <is>
          <t>production amount</t>
        </is>
      </c>
      <c r="B2075" t="n">
        <v>1</v>
      </c>
    </row>
    <row r="2076">
      <c r="A2076" t="inlineStr">
        <is>
          <t>reference product</t>
        </is>
      </c>
      <c r="B2076" t="inlineStr">
        <is>
          <t>SNG production plant</t>
        </is>
      </c>
    </row>
    <row r="2077">
      <c r="A2077" t="inlineStr">
        <is>
          <t>type</t>
        </is>
      </c>
      <c r="B2077" t="inlineStr">
        <is>
          <t>process</t>
        </is>
      </c>
    </row>
    <row r="2078">
      <c r="A2078" t="inlineStr">
        <is>
          <t>unit</t>
        </is>
      </c>
      <c r="B2078" t="inlineStr">
        <is>
          <t>unit</t>
        </is>
      </c>
    </row>
    <row r="2079">
      <c r="A2079" t="inlineStr">
        <is>
          <t>source</t>
        </is>
      </c>
      <c r="B2079" t="inlineStr">
        <is>
          <t>Life cycle assessment of carbon capture and storage in power generation and industry in Europe, Volkart et al., 2013, International Journal of Greenhouse Gas Control</t>
        </is>
      </c>
    </row>
    <row r="2080">
      <c r="A2080" s="1" t="inlineStr">
        <is>
          <t>Exchanges</t>
        </is>
      </c>
    </row>
    <row r="2081">
      <c r="A2081" t="inlineStr">
        <is>
          <t>name</t>
        </is>
      </c>
      <c r="B2081" t="inlineStr">
        <is>
          <t>amount</t>
        </is>
      </c>
      <c r="C2081" t="inlineStr">
        <is>
          <t>location</t>
        </is>
      </c>
      <c r="D2081" t="inlineStr">
        <is>
          <t>unit</t>
        </is>
      </c>
      <c r="E2081" t="inlineStr">
        <is>
          <t>categories</t>
        </is>
      </c>
      <c r="F2081" t="inlineStr">
        <is>
          <t>type</t>
        </is>
      </c>
      <c r="G2081" t="inlineStr">
        <is>
          <t>uncertainty type</t>
        </is>
      </c>
      <c r="H2081" t="inlineStr">
        <is>
          <t>loc</t>
        </is>
      </c>
      <c r="I2081" t="inlineStr">
        <is>
          <t>scale</t>
        </is>
      </c>
      <c r="J2081" t="inlineStr">
        <is>
          <t>allocation</t>
        </is>
      </c>
      <c r="K2081" t="inlineStr">
        <is>
          <t>comment</t>
        </is>
      </c>
      <c r="L2081" t="inlineStr">
        <is>
          <t>negative</t>
        </is>
      </c>
      <c r="M2081" t="inlineStr">
        <is>
          <t>reference product</t>
        </is>
      </c>
    </row>
    <row r="2082">
      <c r="A2082" t="inlineStr">
        <is>
          <t>Occupation, construction site</t>
        </is>
      </c>
      <c r="B2082" t="n">
        <v>538000</v>
      </c>
      <c r="D2082" t="inlineStr">
        <is>
          <t>square meter-year</t>
        </is>
      </c>
      <c r="E2082" t="inlineStr">
        <is>
          <t>natural resource::land</t>
        </is>
      </c>
      <c r="F2082" t="inlineStr">
        <is>
          <t>biosphere</t>
        </is>
      </c>
      <c r="G2082" t="n">
        <v>0</v>
      </c>
      <c r="H2082" t="n">
        <v>13.19561383914392</v>
      </c>
      <c r="I2082" t="n">
        <v>0.2503876439562446</v>
      </c>
      <c r="K2082" t="inlineStr">
        <is>
          <t>(3,4,2,3,3,5); Estimated with data from several plants</t>
        </is>
      </c>
      <c r="L2082" t="n">
        <v>0</v>
      </c>
    </row>
    <row r="2083">
      <c r="A2083" t="inlineStr">
        <is>
          <t>Occupation, industrial area</t>
        </is>
      </c>
      <c r="B2083" t="n">
        <v>1210000</v>
      </c>
      <c r="D2083" t="inlineStr">
        <is>
          <t>square meter-year</t>
        </is>
      </c>
      <c r="E2083" t="inlineStr">
        <is>
          <t>natural resource::land</t>
        </is>
      </c>
      <c r="F2083" t="inlineStr">
        <is>
          <t>biosphere</t>
        </is>
      </c>
      <c r="G2083" t="n">
        <v>0</v>
      </c>
      <c r="H2083" t="n">
        <v>14.00613091757292</v>
      </c>
      <c r="I2083" t="n">
        <v>0.2503876439562446</v>
      </c>
      <c r="K2083" t="inlineStr">
        <is>
          <t>(3,4,2,3,3,5); Estimated with data from several plants</t>
        </is>
      </c>
      <c r="L2083" t="n">
        <v>0</v>
      </c>
    </row>
    <row r="2084">
      <c r="A2084" t="inlineStr">
        <is>
          <t>Occupation, industrial area</t>
        </is>
      </c>
      <c r="B2084" t="n">
        <v>321000</v>
      </c>
      <c r="D2084" t="inlineStr">
        <is>
          <t>square meter-year</t>
        </is>
      </c>
      <c r="E2084" t="inlineStr">
        <is>
          <t>natural resource::land</t>
        </is>
      </c>
      <c r="F2084" t="inlineStr">
        <is>
          <t>biosphere</t>
        </is>
      </c>
      <c r="G2084" t="n">
        <v>0</v>
      </c>
      <c r="H2084" t="n">
        <v>12.67919640211215</v>
      </c>
      <c r="I2084" t="n">
        <v>0.2503876439562446</v>
      </c>
      <c r="K2084" t="inlineStr">
        <is>
          <t>(3,4,2,3,3,5); Estimated with data from several plants</t>
        </is>
      </c>
      <c r="L2084" t="n">
        <v>0</v>
      </c>
    </row>
    <row r="2085">
      <c r="A2085" t="inlineStr">
        <is>
          <t>Transformation, from unspecified</t>
        </is>
      </c>
      <c r="B2085" t="n">
        <v>51100</v>
      </c>
      <c r="D2085" t="inlineStr">
        <is>
          <t>square meter</t>
        </is>
      </c>
      <c r="E2085" t="inlineStr">
        <is>
          <t>natural resource::land</t>
        </is>
      </c>
      <c r="F2085" t="inlineStr">
        <is>
          <t>biosphere</t>
        </is>
      </c>
      <c r="G2085" t="n">
        <v>0</v>
      </c>
      <c r="H2085" t="n">
        <v>10.8415397761918</v>
      </c>
      <c r="I2085" t="n">
        <v>0.3757080443419605</v>
      </c>
      <c r="K2085" t="inlineStr">
        <is>
          <t>(3,4,2,3,3,5); Estimated with data from several plants</t>
        </is>
      </c>
      <c r="L2085" t="n">
        <v>0</v>
      </c>
    </row>
    <row r="2086">
      <c r="A2086" t="inlineStr">
        <is>
          <t>Transformation, to industrial area</t>
        </is>
      </c>
      <c r="B2086" t="n">
        <v>40400</v>
      </c>
      <c r="D2086" t="inlineStr">
        <is>
          <t>square meter</t>
        </is>
      </c>
      <c r="E2086" t="inlineStr">
        <is>
          <t>natural resource::land</t>
        </is>
      </c>
      <c r="F2086" t="inlineStr">
        <is>
          <t>biosphere</t>
        </is>
      </c>
      <c r="G2086" t="n">
        <v>0</v>
      </c>
      <c r="H2086" t="n">
        <v>10.60658506394924</v>
      </c>
      <c r="I2086" t="n">
        <v>0.3757080443419605</v>
      </c>
      <c r="K2086" t="inlineStr">
        <is>
          <t>(3,4,2,3,3,5); Estimated with data from several plants</t>
        </is>
      </c>
      <c r="L2086" t="n">
        <v>0</v>
      </c>
    </row>
    <row r="2087">
      <c r="A2087" t="inlineStr">
        <is>
          <t>Transformation, to industrial area</t>
        </is>
      </c>
      <c r="B2087" t="n">
        <v>10700</v>
      </c>
      <c r="D2087" t="inlineStr">
        <is>
          <t>square meter</t>
        </is>
      </c>
      <c r="E2087" t="inlineStr">
        <is>
          <t>natural resource::land</t>
        </is>
      </c>
      <c r="F2087" t="inlineStr">
        <is>
          <t>biosphere</t>
        </is>
      </c>
      <c r="G2087" t="n">
        <v>0</v>
      </c>
      <c r="H2087" t="n">
        <v>9.277999020449997</v>
      </c>
      <c r="I2087" t="n">
        <v>0.3757080443419605</v>
      </c>
      <c r="K2087" t="inlineStr">
        <is>
          <t>(3,4,2,3,3,5); Estimated with data from several plants</t>
        </is>
      </c>
      <c r="L2087" t="n">
        <v>0</v>
      </c>
    </row>
    <row r="2088">
      <c r="A2088" t="inlineStr">
        <is>
          <t>SNG production plant</t>
        </is>
      </c>
      <c r="B2088" t="n">
        <v>1</v>
      </c>
      <c r="C2088" t="inlineStr">
        <is>
          <t>RER</t>
        </is>
      </c>
      <c r="D2088" t="inlineStr">
        <is>
          <t>unit</t>
        </is>
      </c>
      <c r="E2088" t="inlineStr">
        <is>
          <t>CCS Europe 2025::Infrastructure&amp;Background</t>
        </is>
      </c>
      <c r="F2088" t="inlineStr">
        <is>
          <t>production</t>
        </is>
      </c>
      <c r="J2088" t="n">
        <v>100</v>
      </c>
    </row>
    <row r="2089">
      <c r="A2089" t="inlineStr">
        <is>
          <t>concrete production, for civil engineering, with cement CEM II/B</t>
        </is>
      </c>
      <c r="B2089" t="n">
        <v>48.9</v>
      </c>
      <c r="C2089" t="inlineStr">
        <is>
          <t>CH</t>
        </is>
      </c>
      <c r="D2089" t="inlineStr">
        <is>
          <t>cubic meter</t>
        </is>
      </c>
      <c r="E2089" t="inlineStr">
        <is>
          <t>Materials/fuels</t>
        </is>
      </c>
      <c r="F2089" t="inlineStr">
        <is>
          <t>technosphere</t>
        </is>
      </c>
      <c r="G2089" t="n">
        <v>0</v>
      </c>
      <c r="H2089" t="n">
        <v>3.889777396480826</v>
      </c>
      <c r="I2089" t="n">
        <v>0.1075556898084728</v>
      </c>
      <c r="K2089" t="inlineStr">
        <is>
          <t>(2,4,1,3,1,5); Data from one plant</t>
        </is>
      </c>
      <c r="L2089" t="n">
        <v>0</v>
      </c>
      <c r="M2089" t="inlineStr">
        <is>
          <t>concrete, sole plate and foundation</t>
        </is>
      </c>
    </row>
    <row r="2090">
      <c r="A2090" t="inlineStr">
        <is>
          <t>market for copper</t>
        </is>
      </c>
      <c r="B2090" t="n">
        <v>30700</v>
      </c>
      <c r="C2090" t="inlineStr">
        <is>
          <t>GLO</t>
        </is>
      </c>
      <c r="D2090" t="inlineStr">
        <is>
          <t>kilogram</t>
        </is>
      </c>
      <c r="E2090" t="inlineStr">
        <is>
          <t>Materials/fuels</t>
        </is>
      </c>
      <c r="F2090" t="inlineStr">
        <is>
          <t>technosphere</t>
        </is>
      </c>
      <c r="G2090" t="n">
        <v>0</v>
      </c>
      <c r="H2090" t="n">
        <v>10.33201793357529</v>
      </c>
      <c r="I2090" t="n">
        <v>0.1075556898084728</v>
      </c>
      <c r="K2090" t="inlineStr">
        <is>
          <t>(2,4,1,3,1,5); Data from one plant</t>
        </is>
      </c>
      <c r="L2090" t="n">
        <v>0</v>
      </c>
      <c r="M2090" t="inlineStr">
        <is>
          <t>copper</t>
        </is>
      </c>
    </row>
    <row r="2091">
      <c r="A2091" t="inlineStr">
        <is>
          <t>market for diesel, burned in building machine</t>
        </is>
      </c>
      <c r="B2091" t="n">
        <v>5940000</v>
      </c>
      <c r="C2091" t="inlineStr">
        <is>
          <t>GLO</t>
        </is>
      </c>
      <c r="D2091" t="inlineStr">
        <is>
          <t>megajoule</t>
        </is>
      </c>
      <c r="E2091" t="inlineStr">
        <is>
          <t>Materials/fuels</t>
        </is>
      </c>
      <c r="F2091" t="inlineStr">
        <is>
          <t>technosphere</t>
        </is>
      </c>
      <c r="G2091" t="n">
        <v>0</v>
      </c>
      <c r="H2091" t="n">
        <v>15.59721969133883</v>
      </c>
      <c r="I2091" t="n">
        <v>0.2623642644674911</v>
      </c>
      <c r="K2091" t="inlineStr">
        <is>
          <t>(4,5,1,5,4,5); Estimated from building construction</t>
        </is>
      </c>
      <c r="L2091" t="n">
        <v>0</v>
      </c>
      <c r="M2091" t="inlineStr">
        <is>
          <t>diesel, burned in building machine</t>
        </is>
      </c>
    </row>
    <row r="2092">
      <c r="A2092" t="inlineStr">
        <is>
          <t>market for steel, low-alloyed</t>
        </is>
      </c>
      <c r="B2092" t="n">
        <v>166000</v>
      </c>
      <c r="C2092" t="inlineStr">
        <is>
          <t>GLO</t>
        </is>
      </c>
      <c r="D2092" t="inlineStr">
        <is>
          <t>kilogram</t>
        </is>
      </c>
      <c r="E2092" t="inlineStr">
        <is>
          <t>Materials/fuels</t>
        </is>
      </c>
      <c r="F2092" t="inlineStr">
        <is>
          <t>technosphere</t>
        </is>
      </c>
      <c r="G2092" t="n">
        <v>0</v>
      </c>
      <c r="H2092" t="n">
        <v>12.01974306733868</v>
      </c>
      <c r="I2092" t="n">
        <v>0.1075556898084728</v>
      </c>
      <c r="K2092" t="inlineStr">
        <is>
          <t>(2,4,1,3,1,5); Data from one plant</t>
        </is>
      </c>
      <c r="L2092" t="n">
        <v>0</v>
      </c>
      <c r="M2092" t="inlineStr">
        <is>
          <t>steel, low-alloyed</t>
        </is>
      </c>
    </row>
    <row r="2093" ht="16" customHeight="1">
      <c r="A2093" t="inlineStr">
        <is>
          <t>market for transport, freight train</t>
        </is>
      </c>
      <c r="B2093" t="n">
        <v>141000</v>
      </c>
      <c r="C2093" t="inlineStr">
        <is>
          <t>Europe without Switzerland</t>
        </is>
      </c>
      <c r="D2093" t="inlineStr">
        <is>
          <t>ton kilometer</t>
        </is>
      </c>
      <c r="E2093" t="inlineStr">
        <is>
          <t>Materials/fuels</t>
        </is>
      </c>
      <c r="F2093" t="inlineStr">
        <is>
          <t>technosphere</t>
        </is>
      </c>
      <c r="G2093" t="n">
        <v>0</v>
      </c>
      <c r="H2093" t="n">
        <v>11.85651516936031</v>
      </c>
      <c r="I2093" t="n">
        <v>0.4272076640780338</v>
      </c>
      <c r="K2093" t="inlineStr">
        <is>
          <t>(3,5,1,5,4,5); Estimated with standard distances for europe</t>
        </is>
      </c>
      <c r="L2093" t="n">
        <v>0</v>
      </c>
      <c r="M2093" t="inlineStr">
        <is>
          <t>transport, freight train</t>
        </is>
      </c>
    </row>
    <row r="2094">
      <c r="A2094" t="inlineStr">
        <is>
          <t>market for transport, freight, lorry, unspecified</t>
        </is>
      </c>
      <c r="B2094" t="n">
        <v>529000</v>
      </c>
      <c r="C2094" t="inlineStr">
        <is>
          <t>RER</t>
        </is>
      </c>
      <c r="D2094" t="inlineStr">
        <is>
          <t>ton kilometer</t>
        </is>
      </c>
      <c r="E2094" t="inlineStr">
        <is>
          <t>Materials/fuels</t>
        </is>
      </c>
      <c r="F2094" t="inlineStr">
        <is>
          <t>technosphere</t>
        </is>
      </c>
      <c r="G2094" t="n">
        <v>0</v>
      </c>
      <c r="H2094" t="n">
        <v>13.17874371084044</v>
      </c>
      <c r="I2094" t="n">
        <v>0.2473481209180536</v>
      </c>
      <c r="K2094" t="inlineStr">
        <is>
          <t>(3,5,1,3,4,5); Estimated according to plant location</t>
        </is>
      </c>
      <c r="L2094" t="n">
        <v>0</v>
      </c>
      <c r="M2094" t="inlineStr">
        <is>
          <t>transport, freight, lorry, unspecified</t>
        </is>
      </c>
    </row>
    <row r="2095">
      <c r="A2095" t="inlineStr">
        <is>
          <t>market group for electricity, high voltage</t>
        </is>
      </c>
      <c r="B2095" t="n">
        <v>5660000</v>
      </c>
      <c r="C2095" t="inlineStr">
        <is>
          <t>ENTSO-E</t>
        </is>
      </c>
      <c r="D2095" t="inlineStr">
        <is>
          <t>kilowatt hour</t>
        </is>
      </c>
      <c r="E2095" t="inlineStr">
        <is>
          <t>Materials/fuels</t>
        </is>
      </c>
      <c r="F2095" t="inlineStr">
        <is>
          <t>technosphere</t>
        </is>
      </c>
      <c r="G2095" t="n">
        <v>0</v>
      </c>
      <c r="H2095" t="n">
        <v>5660000</v>
      </c>
      <c r="M2095" t="inlineStr">
        <is>
          <t>electricity, high voltage</t>
        </is>
      </c>
    </row>
    <row r="2096">
      <c r="A2096" t="inlineStr">
        <is>
          <t>nickel mine operation, sulfidic ore</t>
        </is>
      </c>
      <c r="B2096" t="n">
        <v>2690</v>
      </c>
      <c r="C2096" t="inlineStr">
        <is>
          <t>GLO</t>
        </is>
      </c>
      <c r="D2096" t="inlineStr">
        <is>
          <t>kilogram</t>
        </is>
      </c>
      <c r="E2096" t="inlineStr">
        <is>
          <t>Materials/fuels</t>
        </is>
      </c>
      <c r="F2096" t="inlineStr">
        <is>
          <t>technosphere</t>
        </is>
      </c>
      <c r="G2096" t="n">
        <v>0</v>
      </c>
      <c r="H2096" t="n">
        <v>7.897296472595885</v>
      </c>
      <c r="I2096" t="n">
        <v>0.5592074579821448</v>
      </c>
      <c r="K2096" t="inlineStr">
        <is>
          <t>(2,4,1,3,1,5); Data from one plant</t>
        </is>
      </c>
      <c r="L2096" t="n">
        <v>0</v>
      </c>
      <c r="M2096" t="inlineStr">
        <is>
          <t>nickel, 99.5%</t>
        </is>
      </c>
    </row>
    <row r="2097">
      <c r="A2097" t="inlineStr">
        <is>
          <t>primary zinc production from concentrate</t>
        </is>
      </c>
      <c r="B2097" t="n">
        <v>72900</v>
      </c>
      <c r="C2097" t="inlineStr">
        <is>
          <t>RoW</t>
        </is>
      </c>
      <c r="D2097" t="inlineStr">
        <is>
          <t>kilogram</t>
        </is>
      </c>
      <c r="E2097" t="inlineStr">
        <is>
          <t>Materials/fuels</t>
        </is>
      </c>
      <c r="F2097" t="inlineStr">
        <is>
          <t>technosphere</t>
        </is>
      </c>
      <c r="G2097" t="n">
        <v>0</v>
      </c>
      <c r="H2097" t="n">
        <v>11.19684391799675</v>
      </c>
      <c r="I2097" t="n">
        <v>0.5592074579821448</v>
      </c>
      <c r="K2097" t="inlineStr">
        <is>
          <t>(2,4,1,3,1,5); Data from one plant</t>
        </is>
      </c>
      <c r="L2097" t="n">
        <v>0</v>
      </c>
      <c r="M2097" t="inlineStr">
        <is>
          <t>indium rich leaching residues, from zinc production</t>
        </is>
      </c>
    </row>
    <row r="2098">
      <c r="A2098" t="inlineStr">
        <is>
          <t>steel production, chromium steel 18/8, hot rolled</t>
        </is>
      </c>
      <c r="B2098" t="n">
        <v>123000</v>
      </c>
      <c r="C2098" t="inlineStr">
        <is>
          <t>RER</t>
        </is>
      </c>
      <c r="D2098" t="inlineStr">
        <is>
          <t>kilogram</t>
        </is>
      </c>
      <c r="E2098" t="inlineStr">
        <is>
          <t>Materials/fuels</t>
        </is>
      </c>
      <c r="F2098" t="inlineStr">
        <is>
          <t>technosphere</t>
        </is>
      </c>
      <c r="G2098" t="n">
        <v>0</v>
      </c>
      <c r="H2098" t="n">
        <v>11.71993963435455</v>
      </c>
      <c r="I2098" t="n">
        <v>0.1155558604816933</v>
      </c>
      <c r="K2098" t="inlineStr">
        <is>
          <t>(3,4,1,3,1,5); Data from one plant, estimates</t>
        </is>
      </c>
      <c r="L2098" t="n">
        <v>0</v>
      </c>
      <c r="M2098" t="inlineStr">
        <is>
          <t>steel, chromium steel 18/8, hot rolled</t>
        </is>
      </c>
    </row>
    <row r="2099">
      <c r="A2099" t="inlineStr">
        <is>
          <t>steel production, electric, low-alloyed</t>
        </is>
      </c>
      <c r="B2099" t="n">
        <v>390000</v>
      </c>
      <c r="C2099" t="inlineStr">
        <is>
          <t>RER</t>
        </is>
      </c>
      <c r="D2099" t="inlineStr">
        <is>
          <t>kilogram</t>
        </is>
      </c>
      <c r="E2099" t="inlineStr">
        <is>
          <t>Materials/fuels</t>
        </is>
      </c>
      <c r="F2099" t="inlineStr">
        <is>
          <t>technosphere</t>
        </is>
      </c>
      <c r="G2099" t="n">
        <v>0</v>
      </c>
      <c r="H2099" t="n">
        <v>12.87390201810583</v>
      </c>
      <c r="I2099" t="n">
        <v>0.1155558604816933</v>
      </c>
      <c r="K2099" t="inlineStr">
        <is>
          <t>(3,4,1,3,1,5); Data from one plant, estimates</t>
        </is>
      </c>
      <c r="L2099" t="n">
        <v>0</v>
      </c>
      <c r="M2099" t="inlineStr">
        <is>
          <t>steel, low-alloyed</t>
        </is>
      </c>
    </row>
    <row r="2100" ht="16" customHeight="1">
      <c r="A2100" t="inlineStr">
        <is>
          <t>transport, freight, lorry &gt;32 metric ton, EURO4</t>
        </is>
      </c>
      <c r="B2100" t="n">
        <v>7570</v>
      </c>
      <c r="C2100" t="inlineStr">
        <is>
          <t>RER</t>
        </is>
      </c>
      <c r="D2100" t="inlineStr">
        <is>
          <t>ton kilometer</t>
        </is>
      </c>
      <c r="E2100" t="inlineStr">
        <is>
          <t>Materials/fuels</t>
        </is>
      </c>
      <c r="F2100" t="inlineStr">
        <is>
          <t>technosphere</t>
        </is>
      </c>
      <c r="G2100" t="n">
        <v>0</v>
      </c>
      <c r="H2100" t="n">
        <v>8.931948346431495</v>
      </c>
      <c r="I2100" t="n">
        <v>0.2473481209180536</v>
      </c>
      <c r="K2100" t="inlineStr">
        <is>
          <t>(3,5,1,3,4,5); Estimated with standard distances for europe</t>
        </is>
      </c>
      <c r="L2100" t="n">
        <v>0</v>
      </c>
      <c r="M2100" t="inlineStr">
        <is>
          <t>transport, freight, lorry &gt;32 metric ton, EURO4</t>
        </is>
      </c>
    </row>
    <row r="2101">
      <c r="A2101" t="inlineStr">
        <is>
          <t>treatment of waste concrete, inert material landfill</t>
        </is>
      </c>
      <c r="B2101" t="n">
        <v>-113000</v>
      </c>
      <c r="C2101" t="inlineStr">
        <is>
          <t>CH</t>
        </is>
      </c>
      <c r="D2101" t="inlineStr">
        <is>
          <t>kilogram</t>
        </is>
      </c>
      <c r="E2101" t="inlineStr">
        <is>
          <t>Waste to treatment</t>
        </is>
      </c>
      <c r="F2101" t="inlineStr">
        <is>
          <t>technosphere</t>
        </is>
      </c>
      <c r="G2101" t="n">
        <v>0</v>
      </c>
      <c r="H2101" t="n">
        <v>11.63514309769448</v>
      </c>
      <c r="I2101" t="n">
        <v>0.5673113630955713</v>
      </c>
      <c r="K2101" t="inlineStr">
        <is>
          <t>(2,4,1,3,3,5); Data from one plant, process for CH</t>
        </is>
      </c>
      <c r="L2101" t="n">
        <v>0</v>
      </c>
      <c r="M2101" t="inlineStr">
        <is>
          <t>waste concrete</t>
        </is>
      </c>
    </row>
    <row r="2102"/>
    <row r="2103">
      <c r="A2103" s="1" t="inlineStr">
        <is>
          <t>Activity</t>
        </is>
      </c>
      <c r="B2103" s="1" t="inlineStr">
        <is>
          <t>Selexol (Dimethylether of polyethylene glycol)</t>
        </is>
      </c>
    </row>
    <row r="2104">
      <c r="A2104" t="inlineStr">
        <is>
          <t>production amount</t>
        </is>
      </c>
      <c r="B2104" t="n">
        <v>1</v>
      </c>
    </row>
    <row r="2105">
      <c r="A2105" t="inlineStr">
        <is>
          <t>reference product</t>
        </is>
      </c>
      <c r="B2105" t="inlineStr">
        <is>
          <t>Selexol (Dimethylether of polyethylene glycol)</t>
        </is>
      </c>
    </row>
    <row r="2106">
      <c r="A2106" t="inlineStr">
        <is>
          <t>type</t>
        </is>
      </c>
      <c r="B2106" t="inlineStr">
        <is>
          <t>process</t>
        </is>
      </c>
    </row>
    <row r="2107">
      <c r="A2107" t="inlineStr">
        <is>
          <t>unit</t>
        </is>
      </c>
      <c r="B2107" t="inlineStr">
        <is>
          <t>kilogram</t>
        </is>
      </c>
    </row>
    <row r="2108">
      <c r="A2108" t="inlineStr">
        <is>
          <t>location</t>
        </is>
      </c>
      <c r="B2108" t="inlineStr">
        <is>
          <t>RER</t>
        </is>
      </c>
    </row>
    <row r="2109" ht="16" customHeight="1">
      <c r="A2109" t="inlineStr">
        <is>
          <t>source</t>
        </is>
      </c>
      <c r="B2109" t="inlineStr">
        <is>
          <t>Life cycle assessment of carbon capture and storage in power generation and industry in Europe, Volkart et al., 2013, International Journal of Greenhouse Gas Control</t>
        </is>
      </c>
    </row>
    <row r="2110">
      <c r="A2110" s="1" t="inlineStr">
        <is>
          <t>Exchanges</t>
        </is>
      </c>
    </row>
    <row r="2111">
      <c r="A2111" t="inlineStr">
        <is>
          <t>name</t>
        </is>
      </c>
      <c r="B2111" t="inlineStr">
        <is>
          <t>amount</t>
        </is>
      </c>
      <c r="C2111" t="inlineStr">
        <is>
          <t>location</t>
        </is>
      </c>
      <c r="D2111" t="inlineStr">
        <is>
          <t>unit</t>
        </is>
      </c>
      <c r="E2111" t="inlineStr">
        <is>
          <t>categories</t>
        </is>
      </c>
      <c r="F2111" t="inlineStr">
        <is>
          <t>type</t>
        </is>
      </c>
      <c r="G2111" t="inlineStr">
        <is>
          <t>uncertainty type</t>
        </is>
      </c>
      <c r="H2111" t="inlineStr">
        <is>
          <t>loc</t>
        </is>
      </c>
      <c r="I2111" t="inlineStr">
        <is>
          <t>allocation</t>
        </is>
      </c>
      <c r="J2111" t="inlineStr">
        <is>
          <t>comment</t>
        </is>
      </c>
      <c r="K2111" t="inlineStr">
        <is>
          <t>simapro name</t>
        </is>
      </c>
      <c r="L2111" t="inlineStr">
        <is>
          <t>negative</t>
        </is>
      </c>
      <c r="M2111" t="inlineStr">
        <is>
          <t>reference product</t>
        </is>
      </c>
    </row>
    <row r="2112">
      <c r="A2112" t="inlineStr">
        <is>
          <t>Selexol (Dimethylether of polyethylene glycol)</t>
        </is>
      </c>
      <c r="B2112" t="n">
        <v>1</v>
      </c>
      <c r="C2112" t="inlineStr">
        <is>
          <t>RER</t>
        </is>
      </c>
      <c r="D2112" t="inlineStr">
        <is>
          <t>kilogram</t>
        </is>
      </c>
      <c r="E2112" t="inlineStr">
        <is>
          <t>CCS Europe 2025::Solvents</t>
        </is>
      </c>
      <c r="F2112" t="inlineStr">
        <is>
          <t>production</t>
        </is>
      </c>
      <c r="I2112" t="n">
        <v>100</v>
      </c>
    </row>
    <row r="2113">
      <c r="A2113" t="inlineStr">
        <is>
          <t>market for dimethyl sulfate</t>
        </is>
      </c>
      <c r="B2113" t="n">
        <v>0.96</v>
      </c>
      <c r="C2113" t="inlineStr">
        <is>
          <t>RER</t>
        </is>
      </c>
      <c r="D2113" t="inlineStr">
        <is>
          <t>kilogram</t>
        </is>
      </c>
      <c r="E2113" t="inlineStr">
        <is>
          <t>Materials/fuels</t>
        </is>
      </c>
      <c r="F2113" t="inlineStr">
        <is>
          <t>technosphere</t>
        </is>
      </c>
      <c r="G2113" t="n">
        <v>0</v>
      </c>
      <c r="H2113" t="n">
        <v>0.96</v>
      </c>
      <c r="J2113" t="inlineStr">
        <is>
          <t>Luterbach et al. (2009): "Hydrothermal gasification of waste biomass: Sustainable process development using life cycle assessment"</t>
        </is>
      </c>
      <c r="K2113" t="inlineStr">
        <is>
          <t>Dimethyl sulphate, at plant U</t>
        </is>
      </c>
      <c r="M2113" t="inlineStr">
        <is>
          <t>dimethyl sulfate</t>
        </is>
      </c>
    </row>
    <row r="2114">
      <c r="A2114" t="inlineStr">
        <is>
          <t>market for methanol</t>
        </is>
      </c>
      <c r="B2114" t="n">
        <v>0.16</v>
      </c>
      <c r="C2114" t="inlineStr">
        <is>
          <t>GLO</t>
        </is>
      </c>
      <c r="D2114" t="inlineStr">
        <is>
          <t>kilogram</t>
        </is>
      </c>
      <c r="E2114" t="inlineStr">
        <is>
          <t>Materials/fuels</t>
        </is>
      </c>
      <c r="F2114" t="inlineStr">
        <is>
          <t>technosphere</t>
        </is>
      </c>
      <c r="G2114" t="n">
        <v>0</v>
      </c>
      <c r="H2114" t="n">
        <v>0.16</v>
      </c>
      <c r="J2114" t="inlineStr">
        <is>
          <t>Luterbach et al. (2009): "Hydrothermal gasification of waste biomass: Sustainable process development using life cycle assessment"</t>
        </is>
      </c>
      <c r="K2114" t="inlineStr">
        <is>
          <t>Methanol, at plant/GLO U</t>
        </is>
      </c>
      <c r="M2114" t="inlineStr">
        <is>
          <t>methanol</t>
        </is>
      </c>
    </row>
    <row r="2115">
      <c r="A2115" t="inlineStr">
        <is>
          <t>market for transport, freight train</t>
        </is>
      </c>
      <c r="B2115" t="n">
        <v>0.6</v>
      </c>
      <c r="C2115" t="inlineStr">
        <is>
          <t>Europe without Switzerland</t>
        </is>
      </c>
      <c r="D2115" t="inlineStr">
        <is>
          <t>ton kilometer</t>
        </is>
      </c>
      <c r="E2115" t="inlineStr">
        <is>
          <t>Materials/fuels</t>
        </is>
      </c>
      <c r="F2115" t="inlineStr">
        <is>
          <t>technosphere</t>
        </is>
      </c>
      <c r="G2115" t="n">
        <v>0</v>
      </c>
      <c r="H2115" t="n">
        <v>0.6</v>
      </c>
      <c r="J2115" t="inlineStr">
        <is>
          <t>Luterbach et al. (2009): "Hydrothermal gasification of waste biomass: Sustainable process development using life cycle assessment"</t>
        </is>
      </c>
      <c r="K2115" t="inlineStr">
        <is>
          <t>Transport, freight, rail U</t>
        </is>
      </c>
      <c r="M2115" t="inlineStr">
        <is>
          <t>transport, freight train</t>
        </is>
      </c>
    </row>
    <row r="2116" ht="16" customHeight="1">
      <c r="A2116" t="inlineStr">
        <is>
          <t>market for transport, freight, lorry, unspecified</t>
        </is>
      </c>
      <c r="B2116" t="n">
        <v>0.05</v>
      </c>
      <c r="C2116" t="inlineStr">
        <is>
          <t>RER</t>
        </is>
      </c>
      <c r="D2116" t="inlineStr">
        <is>
          <t>ton kilometer</t>
        </is>
      </c>
      <c r="E2116" t="inlineStr">
        <is>
          <t>Materials/fuels</t>
        </is>
      </c>
      <c r="F2116" t="inlineStr">
        <is>
          <t>technosphere</t>
        </is>
      </c>
      <c r="G2116" t="n">
        <v>0</v>
      </c>
      <c r="H2116" t="n">
        <v>0.05</v>
      </c>
      <c r="J2116" t="inlineStr">
        <is>
          <t>Luterbach et al. (2009): "Hydrothermal gasification of waste biomass: Sustainable process development using life cycle assessment"</t>
        </is>
      </c>
      <c r="K2116" t="inlineStr">
        <is>
          <t>Transport, lorry &gt;16t, fleet average U</t>
        </is>
      </c>
      <c r="M2116" t="inlineStr">
        <is>
          <t>transport, freight, lorry, unspecified</t>
        </is>
      </c>
    </row>
    <row r="2117">
      <c r="A2117" t="inlineStr">
        <is>
          <t>market for triethylene glycol</t>
        </is>
      </c>
      <c r="B2117" t="n">
        <v>0.62</v>
      </c>
      <c r="C2117" t="inlineStr">
        <is>
          <t>RER</t>
        </is>
      </c>
      <c r="D2117" t="inlineStr">
        <is>
          <t>kilogram</t>
        </is>
      </c>
      <c r="E2117" t="inlineStr">
        <is>
          <t>Materials/fuels</t>
        </is>
      </c>
      <c r="F2117" t="inlineStr">
        <is>
          <t>technosphere</t>
        </is>
      </c>
      <c r="G2117" t="n">
        <v>0</v>
      </c>
      <c r="H2117" t="n">
        <v>0.62</v>
      </c>
      <c r="J2117" t="inlineStr">
        <is>
          <t>Luterbach et al. (2009): "Hydrothermal gasification of waste biomass: Sustainable process development using life cycle assessment"</t>
        </is>
      </c>
      <c r="K2117" t="inlineStr">
        <is>
          <t>Triethylene glycol, at plant U</t>
        </is>
      </c>
      <c r="M2117" t="inlineStr">
        <is>
          <t>triethylene glycol</t>
        </is>
      </c>
    </row>
    <row r="2118"/>
    <row r="2119">
      <c r="A2119" s="1" t="inlineStr">
        <is>
          <t>Activity</t>
        </is>
      </c>
      <c r="B2119" s="1" t="inlineStr">
        <is>
          <t>Syngas production plant</t>
        </is>
      </c>
    </row>
    <row r="2120">
      <c r="A2120" t="inlineStr">
        <is>
          <t>location</t>
        </is>
      </c>
      <c r="B2120" t="inlineStr">
        <is>
          <t>RER</t>
        </is>
      </c>
    </row>
    <row r="2121">
      <c r="A2121" t="inlineStr">
        <is>
          <t>production amount</t>
        </is>
      </c>
      <c r="B2121" t="n">
        <v>1</v>
      </c>
    </row>
    <row r="2122">
      <c r="A2122" t="inlineStr">
        <is>
          <t>reference product</t>
        </is>
      </c>
      <c r="B2122" t="inlineStr">
        <is>
          <t>Syngas production plant</t>
        </is>
      </c>
    </row>
    <row r="2123">
      <c r="A2123" t="inlineStr">
        <is>
          <t>type</t>
        </is>
      </c>
      <c r="B2123" t="inlineStr">
        <is>
          <t>process</t>
        </is>
      </c>
    </row>
    <row r="2124">
      <c r="A2124" t="inlineStr">
        <is>
          <t>unit</t>
        </is>
      </c>
      <c r="B2124" t="inlineStr">
        <is>
          <t>unit</t>
        </is>
      </c>
    </row>
    <row r="2125">
      <c r="A2125" t="inlineStr">
        <is>
          <t>source</t>
        </is>
      </c>
      <c r="B2125" t="inlineStr">
        <is>
          <t>Life cycle assessment of carbon capture and storage in power generation and industry in Europe, Volkart et al., 2013, International Journal of Greenhouse Gas Control</t>
        </is>
      </c>
    </row>
    <row r="2126">
      <c r="A2126" s="1" t="inlineStr">
        <is>
          <t>Exchanges</t>
        </is>
      </c>
    </row>
    <row r="2127">
      <c r="A2127" t="inlineStr">
        <is>
          <t>name</t>
        </is>
      </c>
      <c r="B2127" t="inlineStr">
        <is>
          <t>amount</t>
        </is>
      </c>
      <c r="C2127" t="inlineStr">
        <is>
          <t>location</t>
        </is>
      </c>
      <c r="D2127" t="inlineStr">
        <is>
          <t>unit</t>
        </is>
      </c>
      <c r="E2127" t="inlineStr">
        <is>
          <t>categories</t>
        </is>
      </c>
      <c r="F2127" t="inlineStr">
        <is>
          <t>type</t>
        </is>
      </c>
      <c r="G2127" t="inlineStr">
        <is>
          <t>uncertainty type</t>
        </is>
      </c>
      <c r="H2127" t="inlineStr">
        <is>
          <t>loc</t>
        </is>
      </c>
      <c r="I2127" t="inlineStr">
        <is>
          <t>scale</t>
        </is>
      </c>
      <c r="J2127" t="inlineStr">
        <is>
          <t>allocation</t>
        </is>
      </c>
      <c r="K2127" t="inlineStr">
        <is>
          <t>comment</t>
        </is>
      </c>
      <c r="L2127" t="inlineStr">
        <is>
          <t>negative</t>
        </is>
      </c>
      <c r="M2127" t="inlineStr">
        <is>
          <t>reference product</t>
        </is>
      </c>
    </row>
    <row r="2128">
      <c r="A2128" t="inlineStr">
        <is>
          <t>Occupation, construction site</t>
        </is>
      </c>
      <c r="B2128" t="n">
        <v>538000</v>
      </c>
      <c r="D2128" t="inlineStr">
        <is>
          <t>square meter-year</t>
        </is>
      </c>
      <c r="E2128" t="inlineStr">
        <is>
          <t>natural resource::land</t>
        </is>
      </c>
      <c r="F2128" t="inlineStr">
        <is>
          <t>biosphere</t>
        </is>
      </c>
      <c r="G2128" t="n">
        <v>0</v>
      </c>
      <c r="H2128" t="n">
        <v>13.19561383914392</v>
      </c>
      <c r="I2128" t="n">
        <v>0.2503876439562446</v>
      </c>
      <c r="K2128" t="inlineStr">
        <is>
          <t>(3,4,2,3,3,5); Estimated with data from several plants</t>
        </is>
      </c>
      <c r="L2128" t="n">
        <v>0</v>
      </c>
    </row>
    <row r="2129">
      <c r="A2129" t="inlineStr">
        <is>
          <t>Occupation, industrial area</t>
        </is>
      </c>
      <c r="B2129" t="n">
        <v>1210000</v>
      </c>
      <c r="D2129" t="inlineStr">
        <is>
          <t>square meter-year</t>
        </is>
      </c>
      <c r="E2129" t="inlineStr">
        <is>
          <t>natural resource::land</t>
        </is>
      </c>
      <c r="F2129" t="inlineStr">
        <is>
          <t>biosphere</t>
        </is>
      </c>
      <c r="G2129" t="n">
        <v>0</v>
      </c>
      <c r="H2129" t="n">
        <v>14.00613091757292</v>
      </c>
      <c r="I2129" t="n">
        <v>0.2503876439562446</v>
      </c>
      <c r="K2129" t="inlineStr">
        <is>
          <t>(3,4,2,3,3,5); Estimated with data from several plants</t>
        </is>
      </c>
      <c r="L2129" t="n">
        <v>0</v>
      </c>
    </row>
    <row r="2130">
      <c r="A2130" t="inlineStr">
        <is>
          <t>Occupation, industrial area</t>
        </is>
      </c>
      <c r="B2130" t="n">
        <v>321000</v>
      </c>
      <c r="D2130" t="inlineStr">
        <is>
          <t>square meter-year</t>
        </is>
      </c>
      <c r="E2130" t="inlineStr">
        <is>
          <t>natural resource::land</t>
        </is>
      </c>
      <c r="F2130" t="inlineStr">
        <is>
          <t>biosphere</t>
        </is>
      </c>
      <c r="G2130" t="n">
        <v>0</v>
      </c>
      <c r="H2130" t="n">
        <v>12.67919640211215</v>
      </c>
      <c r="I2130" t="n">
        <v>0.2503876439562446</v>
      </c>
      <c r="K2130" t="inlineStr">
        <is>
          <t>(3,4,2,3,3,5); Estimated with data from several plants</t>
        </is>
      </c>
      <c r="L2130" t="n">
        <v>0</v>
      </c>
    </row>
    <row r="2131">
      <c r="A2131" t="inlineStr">
        <is>
          <t>Transformation, from unspecified</t>
        </is>
      </c>
      <c r="B2131" t="n">
        <v>51100</v>
      </c>
      <c r="D2131" t="inlineStr">
        <is>
          <t>square meter</t>
        </is>
      </c>
      <c r="E2131" t="inlineStr">
        <is>
          <t>natural resource::land</t>
        </is>
      </c>
      <c r="F2131" t="inlineStr">
        <is>
          <t>biosphere</t>
        </is>
      </c>
      <c r="G2131" t="n">
        <v>0</v>
      </c>
      <c r="H2131" t="n">
        <v>10.8415397761918</v>
      </c>
      <c r="I2131" t="n">
        <v>0.3757080443419605</v>
      </c>
      <c r="K2131" t="inlineStr">
        <is>
          <t>(3,4,2,3,3,5); Estimated with data from several plants</t>
        </is>
      </c>
      <c r="L2131" t="n">
        <v>0</v>
      </c>
    </row>
    <row r="2132">
      <c r="A2132" t="inlineStr">
        <is>
          <t>Transformation, to industrial area</t>
        </is>
      </c>
      <c r="B2132" t="n">
        <v>40400</v>
      </c>
      <c r="D2132" t="inlineStr">
        <is>
          <t>square meter</t>
        </is>
      </c>
      <c r="E2132" t="inlineStr">
        <is>
          <t>natural resource::land</t>
        </is>
      </c>
      <c r="F2132" t="inlineStr">
        <is>
          <t>biosphere</t>
        </is>
      </c>
      <c r="G2132" t="n">
        <v>0</v>
      </c>
      <c r="H2132" t="n">
        <v>10.60658506394924</v>
      </c>
      <c r="I2132" t="n">
        <v>0.3757080443419605</v>
      </c>
      <c r="K2132" t="inlineStr">
        <is>
          <t>(3,4,2,3,3,5); Estimated with data from several plants</t>
        </is>
      </c>
      <c r="L2132" t="n">
        <v>0</v>
      </c>
    </row>
    <row r="2133">
      <c r="A2133" t="inlineStr">
        <is>
          <t>Transformation, to industrial area</t>
        </is>
      </c>
      <c r="B2133" t="n">
        <v>10700</v>
      </c>
      <c r="D2133" t="inlineStr">
        <is>
          <t>square meter</t>
        </is>
      </c>
      <c r="E2133" t="inlineStr">
        <is>
          <t>natural resource::land</t>
        </is>
      </c>
      <c r="F2133" t="inlineStr">
        <is>
          <t>biosphere</t>
        </is>
      </c>
      <c r="G2133" t="n">
        <v>0</v>
      </c>
      <c r="H2133" t="n">
        <v>9.277999020449997</v>
      </c>
      <c r="I2133" t="n">
        <v>0.3757080443419605</v>
      </c>
      <c r="K2133" t="inlineStr">
        <is>
          <t>(3,4,2,3,3,5); Estimated with data from several plants</t>
        </is>
      </c>
      <c r="L2133" t="n">
        <v>0</v>
      </c>
    </row>
    <row r="2134">
      <c r="A2134" t="inlineStr">
        <is>
          <t>Syngas production plant</t>
        </is>
      </c>
      <c r="B2134" t="n">
        <v>1</v>
      </c>
      <c r="C2134" t="inlineStr">
        <is>
          <t>RER</t>
        </is>
      </c>
      <c r="D2134" t="inlineStr">
        <is>
          <t>unit</t>
        </is>
      </c>
      <c r="E2134" t="inlineStr">
        <is>
          <t>CCS Europe 2025::Infrastructure&amp;Background</t>
        </is>
      </c>
      <c r="F2134" t="inlineStr">
        <is>
          <t>production</t>
        </is>
      </c>
      <c r="J2134" t="n">
        <v>100</v>
      </c>
    </row>
    <row r="2135">
      <c r="A2135" t="inlineStr">
        <is>
          <t>concrete production, for civil engineering, with cement CEM II/B</t>
        </is>
      </c>
      <c r="B2135" t="n">
        <v>48.9</v>
      </c>
      <c r="C2135" t="inlineStr">
        <is>
          <t>CH</t>
        </is>
      </c>
      <c r="D2135" t="inlineStr">
        <is>
          <t>cubic meter</t>
        </is>
      </c>
      <c r="E2135" t="inlineStr">
        <is>
          <t>Materials/fuels</t>
        </is>
      </c>
      <c r="F2135" t="inlineStr">
        <is>
          <t>technosphere</t>
        </is>
      </c>
      <c r="G2135" t="n">
        <v>0</v>
      </c>
      <c r="H2135" t="n">
        <v>3.889777396480826</v>
      </c>
      <c r="I2135" t="n">
        <v>0.1075556898084728</v>
      </c>
      <c r="K2135" t="inlineStr">
        <is>
          <t>(2,4,1,3,1,5); Data from one plant</t>
        </is>
      </c>
      <c r="L2135" t="n">
        <v>0</v>
      </c>
      <c r="M2135" t="inlineStr">
        <is>
          <t>concrete, sole plate and foundation</t>
        </is>
      </c>
    </row>
    <row r="2136">
      <c r="A2136" t="inlineStr">
        <is>
          <t>market for copper</t>
        </is>
      </c>
      <c r="B2136" t="n">
        <v>30700</v>
      </c>
      <c r="C2136" t="inlineStr">
        <is>
          <t>GLO</t>
        </is>
      </c>
      <c r="D2136" t="inlineStr">
        <is>
          <t>kilogram</t>
        </is>
      </c>
      <c r="E2136" t="inlineStr">
        <is>
          <t>Materials/fuels</t>
        </is>
      </c>
      <c r="F2136" t="inlineStr">
        <is>
          <t>technosphere</t>
        </is>
      </c>
      <c r="G2136" t="n">
        <v>0</v>
      </c>
      <c r="H2136" t="n">
        <v>10.33201793357529</v>
      </c>
      <c r="I2136" t="n">
        <v>0.1075556898084728</v>
      </c>
      <c r="K2136" t="inlineStr">
        <is>
          <t>(2,4,1,3,1,5); Data from one plant</t>
        </is>
      </c>
      <c r="L2136" t="n">
        <v>0</v>
      </c>
      <c r="M2136" t="inlineStr">
        <is>
          <t>copper</t>
        </is>
      </c>
    </row>
    <row r="2137">
      <c r="A2137" t="inlineStr">
        <is>
          <t>market for diesel, burned in building machine</t>
        </is>
      </c>
      <c r="B2137" t="n">
        <v>5940000</v>
      </c>
      <c r="C2137" t="inlineStr">
        <is>
          <t>GLO</t>
        </is>
      </c>
      <c r="D2137" t="inlineStr">
        <is>
          <t>megajoule</t>
        </is>
      </c>
      <c r="E2137" t="inlineStr">
        <is>
          <t>Materials/fuels</t>
        </is>
      </c>
      <c r="F2137" t="inlineStr">
        <is>
          <t>technosphere</t>
        </is>
      </c>
      <c r="G2137" t="n">
        <v>0</v>
      </c>
      <c r="H2137" t="n">
        <v>15.59721969133883</v>
      </c>
      <c r="I2137" t="n">
        <v>0.2623642644674911</v>
      </c>
      <c r="K2137" t="inlineStr">
        <is>
          <t>(4,5,1,5,4,5); Estimated from building construction</t>
        </is>
      </c>
      <c r="L2137" t="n">
        <v>0</v>
      </c>
      <c r="M2137" t="inlineStr">
        <is>
          <t>diesel, burned in building machine</t>
        </is>
      </c>
    </row>
    <row r="2138">
      <c r="A2138" t="inlineStr">
        <is>
          <t>market for steel, low-alloyed</t>
        </is>
      </c>
      <c r="B2138" t="n">
        <v>166000</v>
      </c>
      <c r="C2138" t="inlineStr">
        <is>
          <t>GLO</t>
        </is>
      </c>
      <c r="D2138" t="inlineStr">
        <is>
          <t>kilogram</t>
        </is>
      </c>
      <c r="E2138" t="inlineStr">
        <is>
          <t>Materials/fuels</t>
        </is>
      </c>
      <c r="F2138" t="inlineStr">
        <is>
          <t>technosphere</t>
        </is>
      </c>
      <c r="G2138" t="n">
        <v>0</v>
      </c>
      <c r="H2138" t="n">
        <v>12.01974306733868</v>
      </c>
      <c r="I2138" t="n">
        <v>0.1075556898084728</v>
      </c>
      <c r="K2138" t="inlineStr">
        <is>
          <t>(2,4,1,3,1,5); Data from one plant</t>
        </is>
      </c>
      <c r="L2138" t="n">
        <v>0</v>
      </c>
      <c r="M2138" t="inlineStr">
        <is>
          <t>steel, low-alloyed</t>
        </is>
      </c>
    </row>
    <row r="2139" ht="16" customHeight="1">
      <c r="A2139" t="inlineStr">
        <is>
          <t>market for transport, freight train</t>
        </is>
      </c>
      <c r="B2139" t="n">
        <v>141000</v>
      </c>
      <c r="C2139" t="inlineStr">
        <is>
          <t>Europe without Switzerland</t>
        </is>
      </c>
      <c r="D2139" t="inlineStr">
        <is>
          <t>ton kilometer</t>
        </is>
      </c>
      <c r="E2139" t="inlineStr">
        <is>
          <t>Materials/fuels</t>
        </is>
      </c>
      <c r="F2139" t="inlineStr">
        <is>
          <t>technosphere</t>
        </is>
      </c>
      <c r="G2139" t="n">
        <v>0</v>
      </c>
      <c r="H2139" t="n">
        <v>11.85651516936031</v>
      </c>
      <c r="I2139" t="n">
        <v>0.4272076640780338</v>
      </c>
      <c r="K2139" t="inlineStr">
        <is>
          <t>(3,5,1,5,4,5); Estimated with standard distances for europe</t>
        </is>
      </c>
      <c r="L2139" t="n">
        <v>0</v>
      </c>
      <c r="M2139" t="inlineStr">
        <is>
          <t>transport, freight train</t>
        </is>
      </c>
    </row>
    <row r="2140">
      <c r="A2140" t="inlineStr">
        <is>
          <t>market for transport, freight, lorry, unspecified</t>
        </is>
      </c>
      <c r="B2140" t="n">
        <v>529000</v>
      </c>
      <c r="C2140" t="inlineStr">
        <is>
          <t>RER</t>
        </is>
      </c>
      <c r="D2140" t="inlineStr">
        <is>
          <t>ton kilometer</t>
        </is>
      </c>
      <c r="E2140" t="inlineStr">
        <is>
          <t>Materials/fuels</t>
        </is>
      </c>
      <c r="F2140" t="inlineStr">
        <is>
          <t>technosphere</t>
        </is>
      </c>
      <c r="G2140" t="n">
        <v>0</v>
      </c>
      <c r="H2140" t="n">
        <v>13.17874371084044</v>
      </c>
      <c r="I2140" t="n">
        <v>0.2473481209180536</v>
      </c>
      <c r="K2140" t="inlineStr">
        <is>
          <t>(3,5,1,3,4,5); Estimated according to plant location</t>
        </is>
      </c>
      <c r="L2140" t="n">
        <v>0</v>
      </c>
      <c r="M2140" t="inlineStr">
        <is>
          <t>transport, freight, lorry, unspecified</t>
        </is>
      </c>
    </row>
    <row r="2141">
      <c r="A2141" t="inlineStr">
        <is>
          <t>market group for electricity, high voltage</t>
        </is>
      </c>
      <c r="B2141" t="n">
        <v>5660000</v>
      </c>
      <c r="C2141" t="inlineStr">
        <is>
          <t>ENTSO-E</t>
        </is>
      </c>
      <c r="D2141" t="inlineStr">
        <is>
          <t>kilowatt hour</t>
        </is>
      </c>
      <c r="E2141" t="inlineStr">
        <is>
          <t>Materials/fuels</t>
        </is>
      </c>
      <c r="F2141" t="inlineStr">
        <is>
          <t>technosphere</t>
        </is>
      </c>
      <c r="G2141" t="n">
        <v>0</v>
      </c>
      <c r="H2141" t="n">
        <v>5660000</v>
      </c>
      <c r="M2141" t="inlineStr">
        <is>
          <t>electricity, high voltage</t>
        </is>
      </c>
    </row>
    <row r="2142">
      <c r="A2142" t="inlineStr">
        <is>
          <t>nickel mine operation, sulfidic ore</t>
        </is>
      </c>
      <c r="B2142" t="n">
        <v>2690</v>
      </c>
      <c r="C2142" t="inlineStr">
        <is>
          <t>GLO</t>
        </is>
      </c>
      <c r="D2142" t="inlineStr">
        <is>
          <t>kilogram</t>
        </is>
      </c>
      <c r="E2142" t="inlineStr">
        <is>
          <t>Materials/fuels</t>
        </is>
      </c>
      <c r="F2142" t="inlineStr">
        <is>
          <t>technosphere</t>
        </is>
      </c>
      <c r="G2142" t="n">
        <v>0</v>
      </c>
      <c r="H2142" t="n">
        <v>7.897296472595885</v>
      </c>
      <c r="I2142" t="n">
        <v>0.5592074579821448</v>
      </c>
      <c r="K2142" t="inlineStr">
        <is>
          <t>(2,4,1,3,1,5); Data from one plant</t>
        </is>
      </c>
      <c r="L2142" t="n">
        <v>0</v>
      </c>
      <c r="M2142" t="inlineStr">
        <is>
          <t>nickel, 99.5%</t>
        </is>
      </c>
    </row>
    <row r="2143">
      <c r="A2143" t="inlineStr">
        <is>
          <t>primary zinc production from concentrate</t>
        </is>
      </c>
      <c r="B2143" t="n">
        <v>72900</v>
      </c>
      <c r="C2143" t="inlineStr">
        <is>
          <t>RoW</t>
        </is>
      </c>
      <c r="D2143" t="inlineStr">
        <is>
          <t>kilogram</t>
        </is>
      </c>
      <c r="E2143" t="inlineStr">
        <is>
          <t>Materials/fuels</t>
        </is>
      </c>
      <c r="F2143" t="inlineStr">
        <is>
          <t>technosphere</t>
        </is>
      </c>
      <c r="G2143" t="n">
        <v>0</v>
      </c>
      <c r="H2143" t="n">
        <v>11.19684391799675</v>
      </c>
      <c r="I2143" t="n">
        <v>0.5592074579821448</v>
      </c>
      <c r="K2143" t="inlineStr">
        <is>
          <t>(2,4,1,3,1,5); Data from one plant</t>
        </is>
      </c>
      <c r="L2143" t="n">
        <v>0</v>
      </c>
      <c r="M2143" t="inlineStr">
        <is>
          <t>indium rich leaching residues, from zinc production</t>
        </is>
      </c>
    </row>
    <row r="2144">
      <c r="A2144" t="inlineStr">
        <is>
          <t>steel production, chromium steel 18/8, hot rolled</t>
        </is>
      </c>
      <c r="B2144" t="n">
        <v>123000</v>
      </c>
      <c r="C2144" t="inlineStr">
        <is>
          <t>RER</t>
        </is>
      </c>
      <c r="D2144" t="inlineStr">
        <is>
          <t>kilogram</t>
        </is>
      </c>
      <c r="E2144" t="inlineStr">
        <is>
          <t>Materials/fuels</t>
        </is>
      </c>
      <c r="F2144" t="inlineStr">
        <is>
          <t>technosphere</t>
        </is>
      </c>
      <c r="G2144" t="n">
        <v>0</v>
      </c>
      <c r="H2144" t="n">
        <v>11.71993963435455</v>
      </c>
      <c r="I2144" t="n">
        <v>0.1155558604816933</v>
      </c>
      <c r="K2144" t="inlineStr">
        <is>
          <t>(3,4,1,3,1,5); Data from one plant, estimates</t>
        </is>
      </c>
      <c r="L2144" t="n">
        <v>0</v>
      </c>
      <c r="M2144" t="inlineStr">
        <is>
          <t>steel, chromium steel 18/8, hot rolled</t>
        </is>
      </c>
    </row>
    <row r="2145">
      <c r="A2145" t="inlineStr">
        <is>
          <t>steel production, electric, low-alloyed</t>
        </is>
      </c>
      <c r="B2145" t="n">
        <v>390000</v>
      </c>
      <c r="C2145" t="inlineStr">
        <is>
          <t>RER</t>
        </is>
      </c>
      <c r="D2145" t="inlineStr">
        <is>
          <t>kilogram</t>
        </is>
      </c>
      <c r="E2145" t="inlineStr">
        <is>
          <t>Materials/fuels</t>
        </is>
      </c>
      <c r="F2145" t="inlineStr">
        <is>
          <t>technosphere</t>
        </is>
      </c>
      <c r="G2145" t="n">
        <v>0</v>
      </c>
      <c r="H2145" t="n">
        <v>12.87390201810583</v>
      </c>
      <c r="I2145" t="n">
        <v>0.1155558604816933</v>
      </c>
      <c r="K2145" t="inlineStr">
        <is>
          <t>(3,4,1,3,1,5); Data from one plant, estimates</t>
        </is>
      </c>
      <c r="L2145" t="n">
        <v>0</v>
      </c>
      <c r="M2145" t="inlineStr">
        <is>
          <t>steel, low-alloyed</t>
        </is>
      </c>
    </row>
    <row r="2146" ht="16" customHeight="1">
      <c r="A2146" t="inlineStr">
        <is>
          <t>transport, freight, lorry &gt;32 metric ton, EURO4</t>
        </is>
      </c>
      <c r="B2146" t="n">
        <v>7570</v>
      </c>
      <c r="C2146" t="inlineStr">
        <is>
          <t>RER</t>
        </is>
      </c>
      <c r="D2146" t="inlineStr">
        <is>
          <t>ton kilometer</t>
        </is>
      </c>
      <c r="E2146" t="inlineStr">
        <is>
          <t>Materials/fuels</t>
        </is>
      </c>
      <c r="F2146" t="inlineStr">
        <is>
          <t>technosphere</t>
        </is>
      </c>
      <c r="G2146" t="n">
        <v>0</v>
      </c>
      <c r="H2146" t="n">
        <v>8.931948346431495</v>
      </c>
      <c r="I2146" t="n">
        <v>0.2473481209180536</v>
      </c>
      <c r="K2146" t="inlineStr">
        <is>
          <t>(3,5,1,3,4,5); Estimated with standard distances for europe</t>
        </is>
      </c>
      <c r="L2146" t="n">
        <v>0</v>
      </c>
      <c r="M2146" t="inlineStr">
        <is>
          <t>transport, freight, lorry &gt;32 metric ton, EURO4</t>
        </is>
      </c>
    </row>
    <row r="2147">
      <c r="A2147" t="inlineStr">
        <is>
          <t>treatment of waste concrete, inert material landfill</t>
        </is>
      </c>
      <c r="B2147" t="n">
        <v>-113000</v>
      </c>
      <c r="C2147" t="inlineStr">
        <is>
          <t>CH</t>
        </is>
      </c>
      <c r="D2147" t="inlineStr">
        <is>
          <t>kilogram</t>
        </is>
      </c>
      <c r="E2147" t="inlineStr">
        <is>
          <t>Waste to treatment</t>
        </is>
      </c>
      <c r="F2147" t="inlineStr">
        <is>
          <t>technosphere</t>
        </is>
      </c>
      <c r="G2147" t="n">
        <v>0</v>
      </c>
      <c r="H2147" t="n">
        <v>11.63514309769448</v>
      </c>
      <c r="I2147" t="n">
        <v>0.5673113630955713</v>
      </c>
      <c r="K2147" t="inlineStr">
        <is>
          <t>(2,4,1,3,3,5); Data from one plant, process for CH</t>
        </is>
      </c>
      <c r="L2147" t="n">
        <v>0</v>
      </c>
      <c r="M2147" t="inlineStr">
        <is>
          <t>waste concrete</t>
        </is>
      </c>
    </row>
    <row r="2148"/>
    <row r="2149">
      <c r="A2149" s="1" t="inlineStr">
        <is>
          <t>Activity</t>
        </is>
      </c>
      <c r="B2149" s="1" t="inlineStr">
        <is>
          <t>Syngas, from biomass gasification</t>
        </is>
      </c>
    </row>
    <row r="2150">
      <c r="A2150" t="inlineStr">
        <is>
          <t>location</t>
        </is>
      </c>
      <c r="B2150" t="inlineStr">
        <is>
          <t>RER</t>
        </is>
      </c>
    </row>
    <row r="2151">
      <c r="A2151" t="inlineStr">
        <is>
          <t>production amount</t>
        </is>
      </c>
      <c r="B2151" t="n">
        <v>1</v>
      </c>
    </row>
    <row r="2152">
      <c r="A2152" t="inlineStr">
        <is>
          <t>reference product</t>
        </is>
      </c>
      <c r="B2152" t="inlineStr">
        <is>
          <t>Syngas, from biomass gasification</t>
        </is>
      </c>
    </row>
    <row r="2153">
      <c r="A2153" t="inlineStr">
        <is>
          <t>type</t>
        </is>
      </c>
      <c r="B2153" t="inlineStr">
        <is>
          <t>process</t>
        </is>
      </c>
    </row>
    <row r="2154">
      <c r="A2154" t="inlineStr">
        <is>
          <t>unit</t>
        </is>
      </c>
      <c r="B2154" t="inlineStr">
        <is>
          <t>megajoule</t>
        </is>
      </c>
    </row>
    <row r="2155">
      <c r="A2155" t="inlineStr">
        <is>
          <t>source</t>
        </is>
      </c>
      <c r="B2155" t="inlineStr">
        <is>
          <t>Life cycle assessment of carbon capture and storage in power generation and industry in Europe, Volkart et al., 2013, International Journal of Greenhouse Gas Control</t>
        </is>
      </c>
    </row>
    <row r="2156">
      <c r="A2156" s="1" t="inlineStr">
        <is>
          <t>Exchanges</t>
        </is>
      </c>
    </row>
    <row r="2157">
      <c r="A2157" t="inlineStr">
        <is>
          <t>name</t>
        </is>
      </c>
      <c r="B2157" t="inlineStr">
        <is>
          <t>amount</t>
        </is>
      </c>
      <c r="C2157" t="inlineStr">
        <is>
          <t>location</t>
        </is>
      </c>
      <c r="D2157" t="inlineStr">
        <is>
          <t>unit</t>
        </is>
      </c>
      <c r="E2157" t="inlineStr">
        <is>
          <t>categories</t>
        </is>
      </c>
      <c r="F2157" t="inlineStr">
        <is>
          <t>type</t>
        </is>
      </c>
      <c r="G2157" t="inlineStr">
        <is>
          <t>uncertainty type</t>
        </is>
      </c>
      <c r="H2157" t="inlineStr">
        <is>
          <t>loc</t>
        </is>
      </c>
      <c r="I2157" t="inlineStr">
        <is>
          <t>allocation</t>
        </is>
      </c>
      <c r="J2157" t="inlineStr">
        <is>
          <t>comment</t>
        </is>
      </c>
      <c r="K2157" t="inlineStr">
        <is>
          <t>reference product</t>
        </is>
      </c>
    </row>
    <row r="2158">
      <c r="A2158" t="inlineStr">
        <is>
          <t>Carbon dioxide, non-fossil</t>
        </is>
      </c>
      <c r="B2158" t="n">
        <v>0.000674</v>
      </c>
      <c r="D2158" t="inlineStr">
        <is>
          <t>kilogram</t>
        </is>
      </c>
      <c r="E2158" t="inlineStr">
        <is>
          <t>air</t>
        </is>
      </c>
      <c r="F2158" t="inlineStr">
        <is>
          <t>biosphere</t>
        </is>
      </c>
      <c r="G2158" t="n">
        <v>0</v>
      </c>
      <c r="H2158" t="n">
        <v>0.000674</v>
      </c>
      <c r="J2158" t="inlineStr">
        <is>
          <t>replaces 2.24E-2 in the original dataset</t>
        </is>
      </c>
    </row>
    <row r="2159">
      <c r="A2159" t="inlineStr">
        <is>
          <t>Carbon monoxide, non-fossil</t>
        </is>
      </c>
      <c r="B2159" t="n">
        <v>2.87e-05</v>
      </c>
      <c r="D2159" t="inlineStr">
        <is>
          <t>kilogram</t>
        </is>
      </c>
      <c r="E2159" t="inlineStr">
        <is>
          <t>air</t>
        </is>
      </c>
      <c r="F2159" t="inlineStr">
        <is>
          <t>biosphere</t>
        </is>
      </c>
      <c r="G2159" t="n">
        <v>0</v>
      </c>
      <c r="H2159" t="n">
        <v>2.87e-05</v>
      </c>
    </row>
    <row r="2160">
      <c r="A2160" t="inlineStr">
        <is>
          <t>Nitrogen oxides</t>
        </is>
      </c>
      <c r="B2160" t="n">
        <v>1.65e-05</v>
      </c>
      <c r="D2160" t="inlineStr">
        <is>
          <t>kilogram</t>
        </is>
      </c>
      <c r="E2160" t="inlineStr">
        <is>
          <t>air</t>
        </is>
      </c>
      <c r="F2160" t="inlineStr">
        <is>
          <t>biosphere</t>
        </is>
      </c>
      <c r="G2160" t="n">
        <v>0</v>
      </c>
      <c r="H2160" t="n">
        <v>1.65e-05</v>
      </c>
    </row>
    <row r="2161">
      <c r="A2161" t="inlineStr">
        <is>
          <t>Particulates, &gt; 2.5 um, and &lt; 10um</t>
        </is>
      </c>
      <c r="B2161" t="n">
        <v>4.51e-07</v>
      </c>
      <c r="D2161" t="inlineStr">
        <is>
          <t>kilogram</t>
        </is>
      </c>
      <c r="E2161" t="inlineStr">
        <is>
          <t>air</t>
        </is>
      </c>
      <c r="F2161" t="inlineStr">
        <is>
          <t>biosphere</t>
        </is>
      </c>
      <c r="G2161" t="n">
        <v>0</v>
      </c>
      <c r="H2161" t="n">
        <v>4.51e-07</v>
      </c>
    </row>
    <row r="2162">
      <c r="A2162" t="inlineStr">
        <is>
          <t>Syngas, from biomass gasification</t>
        </is>
      </c>
      <c r="B2162" t="n">
        <v>1</v>
      </c>
      <c r="C2162" t="inlineStr">
        <is>
          <t>RER</t>
        </is>
      </c>
      <c r="D2162" t="inlineStr">
        <is>
          <t>megajoule</t>
        </is>
      </c>
      <c r="E2162" t="inlineStr">
        <is>
          <t>CCS Europe 2025::Infrastructure&amp;Background</t>
        </is>
      </c>
      <c r="F2162" t="inlineStr">
        <is>
          <t>production</t>
        </is>
      </c>
      <c r="I2162" t="n">
        <v>100</v>
      </c>
    </row>
    <row r="2163">
      <c r="A2163" t="inlineStr">
        <is>
          <t>Syngas production plant</t>
        </is>
      </c>
      <c r="B2163" t="n">
        <v>6.68e-11</v>
      </c>
      <c r="C2163" t="inlineStr">
        <is>
          <t>RER</t>
        </is>
      </c>
      <c r="D2163" t="inlineStr">
        <is>
          <t>unit</t>
        </is>
      </c>
      <c r="E2163" t="inlineStr">
        <is>
          <t>Materials/fuels</t>
        </is>
      </c>
      <c r="F2163" t="inlineStr">
        <is>
          <t>technosphere</t>
        </is>
      </c>
      <c r="G2163" t="n">
        <v>0</v>
      </c>
      <c r="H2163" t="n">
        <v>6.68e-11</v>
      </c>
      <c r="J2163" t="inlineStr">
        <is>
          <t>Adapted from ecoinvent syngas</t>
        </is>
      </c>
    </row>
    <row r="2164">
      <c r="A2164" t="inlineStr">
        <is>
          <t>esterification of rape oil</t>
        </is>
      </c>
      <c r="B2164" t="n">
        <v>0.0001035</v>
      </c>
      <c r="C2164" t="inlineStr">
        <is>
          <t>CH</t>
        </is>
      </c>
      <c r="D2164" t="inlineStr">
        <is>
          <t>kilogram</t>
        </is>
      </c>
      <c r="E2164" t="inlineStr">
        <is>
          <t>Materials/fuels</t>
        </is>
      </c>
      <c r="F2164" t="inlineStr">
        <is>
          <t>technosphere</t>
        </is>
      </c>
      <c r="G2164" t="n">
        <v>0</v>
      </c>
      <c r="H2164" t="n">
        <v>0.0001035</v>
      </c>
      <c r="J2164" t="inlineStr">
        <is>
          <t>Removal of tars</t>
        </is>
      </c>
      <c r="K2164" t="inlineStr">
        <is>
          <t>vegetable oil methyl ester</t>
        </is>
      </c>
    </row>
    <row r="2165">
      <c r="A2165" t="inlineStr">
        <is>
          <t>lime production, milled, packed</t>
        </is>
      </c>
      <c r="B2165" t="n">
        <v>0.0002941</v>
      </c>
      <c r="C2165" t="inlineStr">
        <is>
          <t>CH</t>
        </is>
      </c>
      <c r="D2165" t="inlineStr">
        <is>
          <t>kilogram</t>
        </is>
      </c>
      <c r="E2165" t="inlineStr">
        <is>
          <t>Materials/fuels</t>
        </is>
      </c>
      <c r="F2165" t="inlineStr">
        <is>
          <t>technosphere</t>
        </is>
      </c>
      <c r="G2165" t="n">
        <v>0</v>
      </c>
      <c r="H2165" t="n">
        <v>0.0002941</v>
      </c>
      <c r="J2165" t="inlineStr">
        <is>
          <t>Pre-coating</t>
        </is>
      </c>
      <c r="K2165" t="inlineStr">
        <is>
          <t>lime, packed</t>
        </is>
      </c>
    </row>
    <row r="2166">
      <c r="A2166" t="inlineStr">
        <is>
          <t>market for charcoal</t>
        </is>
      </c>
      <c r="B2166" t="n">
        <v>0.0002941</v>
      </c>
      <c r="C2166" t="inlineStr">
        <is>
          <t>GLO</t>
        </is>
      </c>
      <c r="D2166" t="inlineStr">
        <is>
          <t>kilogram</t>
        </is>
      </c>
      <c r="E2166" t="inlineStr">
        <is>
          <t>Materials/fuels</t>
        </is>
      </c>
      <c r="F2166" t="inlineStr">
        <is>
          <t>technosphere</t>
        </is>
      </c>
      <c r="G2166" t="n">
        <v>0</v>
      </c>
      <c r="H2166" t="n">
        <v>0.0002941</v>
      </c>
      <c r="J2166" t="inlineStr">
        <is>
          <t>Pre-coating</t>
        </is>
      </c>
      <c r="K2166" t="inlineStr">
        <is>
          <t>charcoal</t>
        </is>
      </c>
    </row>
    <row r="2167">
      <c r="A2167" t="inlineStr">
        <is>
          <t>market for magnesium</t>
        </is>
      </c>
      <c r="B2167" t="n">
        <v>0.0001307</v>
      </c>
      <c r="C2167" t="inlineStr">
        <is>
          <t>GLO</t>
        </is>
      </c>
      <c r="D2167" t="inlineStr">
        <is>
          <t>kilogram</t>
        </is>
      </c>
      <c r="E2167" t="inlineStr">
        <is>
          <t>Materials/fuels</t>
        </is>
      </c>
      <c r="F2167" t="inlineStr">
        <is>
          <t>technosphere</t>
        </is>
      </c>
      <c r="G2167" t="n">
        <v>0</v>
      </c>
      <c r="H2167" t="n">
        <v>0.0001307</v>
      </c>
      <c r="J2167" t="inlineStr">
        <is>
          <t>Bed material</t>
        </is>
      </c>
      <c r="K2167" t="inlineStr">
        <is>
          <t>magnesium</t>
        </is>
      </c>
    </row>
    <row r="2168" ht="16" customHeight="1">
      <c r="A2168" t="inlineStr">
        <is>
          <t>market for tap water</t>
        </is>
      </c>
      <c r="B2168" t="n">
        <v>0.01025</v>
      </c>
      <c r="C2168" t="inlineStr">
        <is>
          <t>Europe without Switzerland</t>
        </is>
      </c>
      <c r="D2168" t="inlineStr">
        <is>
          <t>kilogram</t>
        </is>
      </c>
      <c r="E2168" t="inlineStr">
        <is>
          <t>Materials/fuels</t>
        </is>
      </c>
      <c r="F2168" t="inlineStr">
        <is>
          <t>technosphere</t>
        </is>
      </c>
      <c r="G2168" t="n">
        <v>0</v>
      </c>
      <c r="H2168" t="n">
        <v>0.01025</v>
      </c>
      <c r="J2168" t="inlineStr">
        <is>
          <t>Adapted from ecoinvent syngas</t>
        </is>
      </c>
      <c r="K2168" t="inlineStr">
        <is>
          <t>tap water</t>
        </is>
      </c>
    </row>
    <row r="2169">
      <c r="A2169" t="inlineStr">
        <is>
          <t>market for transport, freight train</t>
        </is>
      </c>
      <c r="B2169" t="n">
        <v>0.00025</v>
      </c>
      <c r="C2169" t="inlineStr">
        <is>
          <t>Europe without Switzerland</t>
        </is>
      </c>
      <c r="D2169" t="inlineStr">
        <is>
          <t>ton kilometer</t>
        </is>
      </c>
      <c r="E2169" t="inlineStr">
        <is>
          <t>Materials/fuels</t>
        </is>
      </c>
      <c r="F2169" t="inlineStr">
        <is>
          <t>technosphere</t>
        </is>
      </c>
      <c r="G2169" t="n">
        <v>0</v>
      </c>
      <c r="H2169" t="n">
        <v>0.00025</v>
      </c>
      <c r="J2169" t="inlineStr">
        <is>
          <t>Adapted from ecoinvent syngas</t>
        </is>
      </c>
      <c r="K2169" t="inlineStr">
        <is>
          <t>transport, freight train</t>
        </is>
      </c>
    </row>
    <row r="2170">
      <c r="A2170" t="inlineStr">
        <is>
          <t>market for wood chips, wet, measured as dry mass</t>
        </is>
      </c>
      <c r="B2170" t="n">
        <v>0.06406742</v>
      </c>
      <c r="C2170" t="inlineStr">
        <is>
          <t>Europe without Switzerland</t>
        </is>
      </c>
      <c r="D2170" t="inlineStr">
        <is>
          <t>kilogram</t>
        </is>
      </c>
      <c r="E2170" t="inlineStr">
        <is>
          <t>Materials/fuels</t>
        </is>
      </c>
      <c r="F2170" t="inlineStr">
        <is>
          <t>technosphere</t>
        </is>
      </c>
      <c r="G2170" t="n">
        <v>0</v>
      </c>
      <c r="H2170" t="n">
        <v>0.06406742</v>
      </c>
      <c r="J2170" t="inlineStr">
        <is>
          <t>conversion from cubic meter to kg based on ecoinvent 2.2 data</t>
        </is>
      </c>
      <c r="K2170" t="inlineStr">
        <is>
          <t>wood chips, wet, measured as dry mass</t>
        </is>
      </c>
    </row>
    <row r="2171">
      <c r="A2171" t="inlineStr">
        <is>
          <t>market group for electricity, medium voltage</t>
        </is>
      </c>
      <c r="B2171" t="n">
        <v>0.001905</v>
      </c>
      <c r="C2171" t="inlineStr">
        <is>
          <t>ENTSO-E</t>
        </is>
      </c>
      <c r="D2171" t="inlineStr">
        <is>
          <t>kilowatt hour</t>
        </is>
      </c>
      <c r="E2171" t="inlineStr">
        <is>
          <t>Materials/fuels</t>
        </is>
      </c>
      <c r="F2171" t="inlineStr">
        <is>
          <t>technosphere</t>
        </is>
      </c>
      <c r="G2171" t="n">
        <v>0</v>
      </c>
      <c r="H2171" t="n">
        <v>0.001905</v>
      </c>
      <c r="K2171" t="inlineStr">
        <is>
          <t>electricity, medium voltage</t>
        </is>
      </c>
    </row>
    <row r="2172">
      <c r="A2172" t="inlineStr">
        <is>
          <t>market for iron scrap, sorted, pressed</t>
        </is>
      </c>
      <c r="B2172" t="n">
        <v>0.0001307</v>
      </c>
      <c r="C2172" t="inlineStr">
        <is>
          <t>GLO</t>
        </is>
      </c>
      <c r="D2172" t="inlineStr">
        <is>
          <t>kilogram</t>
        </is>
      </c>
      <c r="E2172" t="inlineStr">
        <is>
          <t>Materials/fuels</t>
        </is>
      </c>
      <c r="F2172" t="inlineStr">
        <is>
          <t>technosphere</t>
        </is>
      </c>
      <c r="G2172" t="n">
        <v>0</v>
      </c>
      <c r="H2172" t="n">
        <v>0.0001307</v>
      </c>
      <c r="J2172" t="inlineStr">
        <is>
          <t>Bed material</t>
        </is>
      </c>
      <c r="K2172" t="inlineStr">
        <is>
          <t>iron scrap, sorted, pressed</t>
        </is>
      </c>
    </row>
    <row r="2173">
      <c r="A2173" t="inlineStr">
        <is>
          <t>transport, freight, lorry &gt;32 metric ton, EURO4</t>
        </is>
      </c>
      <c r="B2173" t="n">
        <v>0.03</v>
      </c>
      <c r="C2173" t="inlineStr">
        <is>
          <t>RER</t>
        </is>
      </c>
      <c r="D2173" t="inlineStr">
        <is>
          <t>ton kilometer</t>
        </is>
      </c>
      <c r="E2173" t="inlineStr">
        <is>
          <t>Materials/fuels</t>
        </is>
      </c>
      <c r="F2173" t="inlineStr">
        <is>
          <t>technosphere</t>
        </is>
      </c>
      <c r="G2173" t="n">
        <v>0</v>
      </c>
      <c r="H2173" t="n">
        <v>0.03</v>
      </c>
      <c r="J2173" t="inlineStr">
        <is>
          <t>Adapted from ecoinvent syngas</t>
        </is>
      </c>
      <c r="K2173" t="inlineStr">
        <is>
          <t>transport, freight, lorry &gt;32 metric ton, EURO4</t>
        </is>
      </c>
    </row>
    <row r="2174">
      <c r="A2174" t="inlineStr">
        <is>
          <t>treatment of inert waste, inert material landfill</t>
        </is>
      </c>
      <c r="B2174" t="n">
        <v>-0.000708</v>
      </c>
      <c r="C2174" t="inlineStr">
        <is>
          <t>CH</t>
        </is>
      </c>
      <c r="D2174" t="inlineStr">
        <is>
          <t>kilogram</t>
        </is>
      </c>
      <c r="E2174" t="inlineStr">
        <is>
          <t>Waste to treatment</t>
        </is>
      </c>
      <c r="F2174" t="inlineStr">
        <is>
          <t>technosphere</t>
        </is>
      </c>
      <c r="G2174" t="n">
        <v>0</v>
      </c>
      <c r="H2174" t="n">
        <v>0.000708</v>
      </c>
      <c r="K2174" t="inlineStr">
        <is>
          <t>inert waste, for final disposal</t>
        </is>
      </c>
    </row>
    <row r="2175" ht="16" customHeight="1">
      <c r="A2175" t="inlineStr">
        <is>
          <t>treatment of wood ash mixture, pure, landfarming</t>
        </is>
      </c>
      <c r="B2175" t="n">
        <v>-0.000332</v>
      </c>
      <c r="C2175" t="inlineStr">
        <is>
          <t>CH</t>
        </is>
      </c>
      <c r="D2175" t="inlineStr">
        <is>
          <t>kilogram</t>
        </is>
      </c>
      <c r="E2175" t="inlineStr">
        <is>
          <t>Waste to treatment</t>
        </is>
      </c>
      <c r="F2175" t="inlineStr">
        <is>
          <t>technosphere</t>
        </is>
      </c>
      <c r="G2175" t="n">
        <v>0</v>
      </c>
      <c r="H2175" t="n">
        <v>0.000332</v>
      </c>
      <c r="K2175" t="inlineStr">
        <is>
          <t>wood ash mixture, pure</t>
        </is>
      </c>
    </row>
    <row r="2176">
      <c r="A2176" t="inlineStr">
        <is>
          <t>zinc mine operation</t>
        </is>
      </c>
      <c r="B2176" t="n">
        <v>6.716e-06</v>
      </c>
      <c r="C2176" t="inlineStr">
        <is>
          <t>GLO</t>
        </is>
      </c>
      <c r="D2176" t="inlineStr">
        <is>
          <t>kilogram</t>
        </is>
      </c>
      <c r="E2176" t="inlineStr">
        <is>
          <t>Materials/fuels</t>
        </is>
      </c>
      <c r="F2176" t="inlineStr">
        <is>
          <t>technosphere</t>
        </is>
      </c>
      <c r="G2176" t="n">
        <v>0</v>
      </c>
      <c r="H2176" t="n">
        <v>6.716e-06</v>
      </c>
      <c r="J2176" t="inlineStr">
        <is>
          <t>Sulphur absorption</t>
        </is>
      </c>
      <c r="K2176" t="inlineStr">
        <is>
          <t>zinc concentrate</t>
        </is>
      </c>
    </row>
    <row r="2177"/>
    <row r="2178">
      <c r="A2178" s="1" t="inlineStr">
        <is>
          <t>Activity</t>
        </is>
      </c>
      <c r="B2178" s="1" t="inlineStr">
        <is>
          <t>Syngas, from biomass gasification, pre, pipeline 200km, storage 1000m</t>
        </is>
      </c>
    </row>
    <row r="2179">
      <c r="A2179" t="inlineStr">
        <is>
          <t>location</t>
        </is>
      </c>
      <c r="B2179" t="inlineStr">
        <is>
          <t>RER</t>
        </is>
      </c>
    </row>
    <row r="2180">
      <c r="A2180" t="inlineStr">
        <is>
          <t>production amount</t>
        </is>
      </c>
      <c r="B2180" t="n">
        <v>1</v>
      </c>
    </row>
    <row r="2181">
      <c r="A2181" t="inlineStr">
        <is>
          <t>reference product</t>
        </is>
      </c>
      <c r="B2181" t="inlineStr">
        <is>
          <t>Syngas, from biomass gasification, pre, pipeline 200km, storage 1000m</t>
        </is>
      </c>
    </row>
    <row r="2182">
      <c r="A2182" t="inlineStr">
        <is>
          <t>type</t>
        </is>
      </c>
      <c r="B2182" t="inlineStr">
        <is>
          <t>process</t>
        </is>
      </c>
    </row>
    <row r="2183">
      <c r="A2183" t="inlineStr">
        <is>
          <t>unit</t>
        </is>
      </c>
      <c r="B2183" t="inlineStr">
        <is>
          <t>megajoule</t>
        </is>
      </c>
    </row>
    <row r="2184">
      <c r="A2184" t="inlineStr">
        <is>
          <t>source</t>
        </is>
      </c>
      <c r="B2184" t="inlineStr">
        <is>
          <t>Life cycle assessment of carbon capture and storage in power generation and industry in Europe, Volkart et al., 2013, International Journal of Greenhouse Gas Control</t>
        </is>
      </c>
    </row>
    <row r="2185">
      <c r="A2185" s="1" t="inlineStr">
        <is>
          <t>Exchanges</t>
        </is>
      </c>
    </row>
    <row r="2186">
      <c r="A2186" t="inlineStr">
        <is>
          <t>name</t>
        </is>
      </c>
      <c r="B2186" t="inlineStr">
        <is>
          <t>amount</t>
        </is>
      </c>
      <c r="C2186" t="inlineStr">
        <is>
          <t>location</t>
        </is>
      </c>
      <c r="D2186" t="inlineStr">
        <is>
          <t>unit</t>
        </is>
      </c>
      <c r="E2186" t="inlineStr">
        <is>
          <t>categories</t>
        </is>
      </c>
      <c r="F2186" t="inlineStr">
        <is>
          <t>type</t>
        </is>
      </c>
      <c r="G2186" t="inlineStr">
        <is>
          <t>uncertainty type</t>
        </is>
      </c>
      <c r="H2186" t="inlineStr">
        <is>
          <t>loc</t>
        </is>
      </c>
      <c r="I2186" t="inlineStr">
        <is>
          <t>allocation</t>
        </is>
      </c>
      <c r="J2186" t="inlineStr">
        <is>
          <t>comment</t>
        </is>
      </c>
      <c r="K2186" t="inlineStr">
        <is>
          <t>reference product</t>
        </is>
      </c>
    </row>
    <row r="2187">
      <c r="A2187" t="inlineStr">
        <is>
          <t>Carbon dioxide, non-fossil</t>
        </is>
      </c>
      <c r="B2187" t="n">
        <v>6.74e-05</v>
      </c>
      <c r="D2187" t="inlineStr">
        <is>
          <t>kilogram</t>
        </is>
      </c>
      <c r="E2187" t="inlineStr">
        <is>
          <t>air</t>
        </is>
      </c>
      <c r="F2187" t="inlineStr">
        <is>
          <t>biosphere</t>
        </is>
      </c>
      <c r="G2187" t="n">
        <v>0</v>
      </c>
      <c r="H2187" t="n">
        <v>6.74e-05</v>
      </c>
      <c r="J2187" t="inlineStr">
        <is>
          <t>90% capture rate</t>
        </is>
      </c>
    </row>
    <row r="2188">
      <c r="A2188" t="inlineStr">
        <is>
          <t>Carbon monoxide, non-fossil</t>
        </is>
      </c>
      <c r="B2188" t="n">
        <v>2.87e-05</v>
      </c>
      <c r="D2188" t="inlineStr">
        <is>
          <t>kilogram</t>
        </is>
      </c>
      <c r="E2188" t="inlineStr">
        <is>
          <t>air</t>
        </is>
      </c>
      <c r="F2188" t="inlineStr">
        <is>
          <t>biosphere</t>
        </is>
      </c>
      <c r="G2188" t="n">
        <v>0</v>
      </c>
      <c r="H2188" t="n">
        <v>2.87e-05</v>
      </c>
    </row>
    <row r="2189">
      <c r="A2189" t="inlineStr">
        <is>
          <t>Nitrogen oxides</t>
        </is>
      </c>
      <c r="B2189" t="n">
        <v>1.24e-05</v>
      </c>
      <c r="D2189" t="inlineStr">
        <is>
          <t>kilogram</t>
        </is>
      </c>
      <c r="E2189" t="inlineStr">
        <is>
          <t>air</t>
        </is>
      </c>
      <c r="F2189" t="inlineStr">
        <is>
          <t>biosphere</t>
        </is>
      </c>
      <c r="G2189" t="n">
        <v>0</v>
      </c>
      <c r="H2189" t="n">
        <v>1.24e-05</v>
      </c>
      <c r="J2189" t="inlineStr">
        <is>
          <t>additional reduction: 25%</t>
        </is>
      </c>
    </row>
    <row r="2190">
      <c r="A2190" t="inlineStr">
        <is>
          <t>Particulates, &gt; 2.5 um, and &lt; 10um</t>
        </is>
      </c>
      <c r="B2190" t="n">
        <v>4.51e-07</v>
      </c>
      <c r="D2190" t="inlineStr">
        <is>
          <t>kilogram</t>
        </is>
      </c>
      <c r="E2190" t="inlineStr">
        <is>
          <t>air</t>
        </is>
      </c>
      <c r="F2190" t="inlineStr">
        <is>
          <t>biosphere</t>
        </is>
      </c>
      <c r="G2190" t="n">
        <v>0</v>
      </c>
      <c r="H2190" t="n">
        <v>4.51e-07</v>
      </c>
      <c r="J2190" t="inlineStr">
        <is>
          <t>additional reduction: 0%</t>
        </is>
      </c>
    </row>
    <row r="2191">
      <c r="A2191" t="inlineStr">
        <is>
          <t>Syngas, from biomass gasification, pre, pipeline 200km, storage 1000m</t>
        </is>
      </c>
      <c r="B2191" t="n">
        <v>1</v>
      </c>
      <c r="C2191" t="inlineStr">
        <is>
          <t>RER</t>
        </is>
      </c>
      <c r="D2191" t="inlineStr">
        <is>
          <t>megajoule</t>
        </is>
      </c>
      <c r="E2191" t="inlineStr">
        <is>
          <t>CCS Europe 2025::Infrastructure&amp;Background</t>
        </is>
      </c>
      <c r="F2191" t="inlineStr">
        <is>
          <t>production</t>
        </is>
      </c>
      <c r="I2191" t="n">
        <v>100</v>
      </c>
    </row>
    <row r="2192">
      <c r="A2192" t="inlineStr">
        <is>
          <t>carbon dioxide, captured at hydrogen production plant, pre, pipeline 200km, storage 1000m</t>
        </is>
      </c>
      <c r="B2192" t="n">
        <v>0.000607</v>
      </c>
      <c r="C2192" t="inlineStr">
        <is>
          <t>RER</t>
        </is>
      </c>
      <c r="D2192" t="inlineStr">
        <is>
          <t>kilogram</t>
        </is>
      </c>
      <c r="E2192" t="inlineStr">
        <is>
          <t>Materials/fuels</t>
        </is>
      </c>
      <c r="F2192" t="inlineStr">
        <is>
          <t>technosphere</t>
        </is>
      </c>
      <c r="G2192" t="n">
        <v>0</v>
      </c>
      <c r="H2192" t="n">
        <v>0.000607</v>
      </c>
      <c r="J2192" t="inlineStr">
        <is>
          <t>90% capture rate</t>
        </is>
      </c>
    </row>
    <row r="2193">
      <c r="A2193" t="inlineStr">
        <is>
          <t>Syngas production plant</t>
        </is>
      </c>
      <c r="B2193" t="n">
        <v>6.68e-11</v>
      </c>
      <c r="C2193" t="inlineStr">
        <is>
          <t>RER</t>
        </is>
      </c>
      <c r="D2193" t="inlineStr">
        <is>
          <t>unit</t>
        </is>
      </c>
      <c r="E2193" t="inlineStr">
        <is>
          <t>Materials/fuels</t>
        </is>
      </c>
      <c r="F2193" t="inlineStr">
        <is>
          <t>technosphere</t>
        </is>
      </c>
      <c r="G2193" t="n">
        <v>0</v>
      </c>
      <c r="H2193" t="n">
        <v>6.68e-11</v>
      </c>
      <c r="J2193" t="inlineStr">
        <is>
          <t>Adapted from ecoinvent syngas</t>
        </is>
      </c>
    </row>
    <row r="2194">
      <c r="A2194" t="inlineStr">
        <is>
          <t>esterification of rape oil</t>
        </is>
      </c>
      <c r="B2194" t="n">
        <v>0.0001035</v>
      </c>
      <c r="C2194" t="inlineStr">
        <is>
          <t>CH</t>
        </is>
      </c>
      <c r="D2194" t="inlineStr">
        <is>
          <t>kilogram</t>
        </is>
      </c>
      <c r="E2194" t="inlineStr">
        <is>
          <t>Materials/fuels</t>
        </is>
      </c>
      <c r="F2194" t="inlineStr">
        <is>
          <t>technosphere</t>
        </is>
      </c>
      <c r="G2194" t="n">
        <v>0</v>
      </c>
      <c r="H2194" t="n">
        <v>0.0001035</v>
      </c>
      <c r="J2194" t="inlineStr">
        <is>
          <t>Removal of tars</t>
        </is>
      </c>
      <c r="K2194" t="inlineStr">
        <is>
          <t>vegetable oil methyl ester</t>
        </is>
      </c>
    </row>
    <row r="2195">
      <c r="A2195" t="inlineStr">
        <is>
          <t>lime production, milled, packed</t>
        </is>
      </c>
      <c r="B2195" t="n">
        <v>0.0002941</v>
      </c>
      <c r="C2195" t="inlineStr">
        <is>
          <t>CH</t>
        </is>
      </c>
      <c r="D2195" t="inlineStr">
        <is>
          <t>kilogram</t>
        </is>
      </c>
      <c r="E2195" t="inlineStr">
        <is>
          <t>Materials/fuels</t>
        </is>
      </c>
      <c r="F2195" t="inlineStr">
        <is>
          <t>technosphere</t>
        </is>
      </c>
      <c r="G2195" t="n">
        <v>0</v>
      </c>
      <c r="H2195" t="n">
        <v>0.0002941</v>
      </c>
      <c r="J2195" t="inlineStr">
        <is>
          <t>Pre-coating</t>
        </is>
      </c>
      <c r="K2195" t="inlineStr">
        <is>
          <t>lime, packed</t>
        </is>
      </c>
    </row>
    <row r="2196">
      <c r="A2196" t="inlineStr">
        <is>
          <t>market for charcoal</t>
        </is>
      </c>
      <c r="B2196" t="n">
        <v>0.0002941</v>
      </c>
      <c r="C2196" t="inlineStr">
        <is>
          <t>GLO</t>
        </is>
      </c>
      <c r="D2196" t="inlineStr">
        <is>
          <t>kilogram</t>
        </is>
      </c>
      <c r="E2196" t="inlineStr">
        <is>
          <t>Materials/fuels</t>
        </is>
      </c>
      <c r="F2196" t="inlineStr">
        <is>
          <t>technosphere</t>
        </is>
      </c>
      <c r="G2196" t="n">
        <v>0</v>
      </c>
      <c r="H2196" t="n">
        <v>0.0002941</v>
      </c>
      <c r="J2196" t="inlineStr">
        <is>
          <t>Pre-coating</t>
        </is>
      </c>
      <c r="K2196" t="inlineStr">
        <is>
          <t>charcoal</t>
        </is>
      </c>
    </row>
    <row r="2197">
      <c r="A2197" t="inlineStr">
        <is>
          <t>market for magnesium</t>
        </is>
      </c>
      <c r="B2197" t="n">
        <v>0.0001307</v>
      </c>
      <c r="C2197" t="inlineStr">
        <is>
          <t>GLO</t>
        </is>
      </c>
      <c r="D2197" t="inlineStr">
        <is>
          <t>kilogram</t>
        </is>
      </c>
      <c r="E2197" t="inlineStr">
        <is>
          <t>Materials/fuels</t>
        </is>
      </c>
      <c r="F2197" t="inlineStr">
        <is>
          <t>technosphere</t>
        </is>
      </c>
      <c r="G2197" t="n">
        <v>0</v>
      </c>
      <c r="H2197" t="n">
        <v>0.0001307</v>
      </c>
      <c r="J2197" t="inlineStr">
        <is>
          <t>Bed material</t>
        </is>
      </c>
      <c r="K2197" t="inlineStr">
        <is>
          <t>magnesium</t>
        </is>
      </c>
    </row>
    <row r="2198" ht="16" customHeight="1">
      <c r="A2198" t="inlineStr">
        <is>
          <t>market for tap water</t>
        </is>
      </c>
      <c r="B2198" t="n">
        <v>0.01025</v>
      </c>
      <c r="C2198" t="inlineStr">
        <is>
          <t>Europe without Switzerland</t>
        </is>
      </c>
      <c r="D2198" t="inlineStr">
        <is>
          <t>kilogram</t>
        </is>
      </c>
      <c r="E2198" t="inlineStr">
        <is>
          <t>Materials/fuels</t>
        </is>
      </c>
      <c r="F2198" t="inlineStr">
        <is>
          <t>technosphere</t>
        </is>
      </c>
      <c r="G2198" t="n">
        <v>0</v>
      </c>
      <c r="H2198" t="n">
        <v>0.01025</v>
      </c>
      <c r="J2198" t="inlineStr">
        <is>
          <t>Adapted from ecoinvent syngas</t>
        </is>
      </c>
      <c r="K2198" t="inlineStr">
        <is>
          <t>tap water</t>
        </is>
      </c>
    </row>
    <row r="2199">
      <c r="A2199" t="inlineStr">
        <is>
          <t>market for transport, freight train</t>
        </is>
      </c>
      <c r="B2199" t="n">
        <v>0.00025</v>
      </c>
      <c r="C2199" t="inlineStr">
        <is>
          <t>Europe without Switzerland</t>
        </is>
      </c>
      <c r="D2199" t="inlineStr">
        <is>
          <t>ton kilometer</t>
        </is>
      </c>
      <c r="E2199" t="inlineStr">
        <is>
          <t>Materials/fuels</t>
        </is>
      </c>
      <c r="F2199" t="inlineStr">
        <is>
          <t>technosphere</t>
        </is>
      </c>
      <c r="G2199" t="n">
        <v>0</v>
      </c>
      <c r="H2199" t="n">
        <v>0.00025</v>
      </c>
      <c r="J2199" t="inlineStr">
        <is>
          <t>Adapted from ecoinvent syngas</t>
        </is>
      </c>
      <c r="K2199" t="inlineStr">
        <is>
          <t>transport, freight train</t>
        </is>
      </c>
    </row>
    <row r="2200">
      <c r="A2200" t="inlineStr">
        <is>
          <t>market for wood chips, wet, measured as dry mass</t>
        </is>
      </c>
      <c r="B2200" t="n">
        <v>0.06406742</v>
      </c>
      <c r="C2200" t="inlineStr">
        <is>
          <t>Europe without Switzerland</t>
        </is>
      </c>
      <c r="D2200" t="inlineStr">
        <is>
          <t>kilogram</t>
        </is>
      </c>
      <c r="E2200" t="inlineStr">
        <is>
          <t>Materials/fuels</t>
        </is>
      </c>
      <c r="F2200" t="inlineStr">
        <is>
          <t>technosphere</t>
        </is>
      </c>
      <c r="G2200" t="n">
        <v>0</v>
      </c>
      <c r="H2200" t="n">
        <v>0.06406742</v>
      </c>
      <c r="J2200" t="inlineStr">
        <is>
          <t>conversion from cubic meter to kg based on ecoinvent 2.2 data</t>
        </is>
      </c>
      <c r="K2200" t="inlineStr">
        <is>
          <t>wood chips, wet, measured as dry mass</t>
        </is>
      </c>
    </row>
    <row r="2201">
      <c r="A2201" t="inlineStr">
        <is>
          <t>market group for electricity, medium voltage</t>
        </is>
      </c>
      <c r="B2201" t="n">
        <v>0.001905</v>
      </c>
      <c r="C2201" t="inlineStr">
        <is>
          <t>ENTSO-E</t>
        </is>
      </c>
      <c r="D2201" t="inlineStr">
        <is>
          <t>kilowatt hour</t>
        </is>
      </c>
      <c r="E2201" t="inlineStr">
        <is>
          <t>Materials/fuels</t>
        </is>
      </c>
      <c r="F2201" t="inlineStr">
        <is>
          <t>technosphere</t>
        </is>
      </c>
      <c r="G2201" t="n">
        <v>0</v>
      </c>
      <c r="H2201" t="n">
        <v>0.001905</v>
      </c>
      <c r="K2201" t="inlineStr">
        <is>
          <t>electricity, medium voltage</t>
        </is>
      </c>
    </row>
    <row r="2202">
      <c r="A2202" t="inlineStr">
        <is>
          <t>market for iron scrap, sorted, pressed</t>
        </is>
      </c>
      <c r="B2202" t="n">
        <v>0.0001307</v>
      </c>
      <c r="C2202" t="inlineStr">
        <is>
          <t>GLO</t>
        </is>
      </c>
      <c r="D2202" t="inlineStr">
        <is>
          <t>kilogram</t>
        </is>
      </c>
      <c r="E2202" t="inlineStr">
        <is>
          <t>Materials/fuels</t>
        </is>
      </c>
      <c r="F2202" t="inlineStr">
        <is>
          <t>technosphere</t>
        </is>
      </c>
      <c r="G2202" t="n">
        <v>0</v>
      </c>
      <c r="H2202" t="n">
        <v>0.0001307</v>
      </c>
      <c r="J2202" t="inlineStr">
        <is>
          <t>Bed material</t>
        </is>
      </c>
      <c r="K2202" t="inlineStr">
        <is>
          <t>iron scrap, sorted, pressed</t>
        </is>
      </c>
    </row>
    <row r="2203">
      <c r="A2203" t="inlineStr">
        <is>
          <t>transport, freight, lorry &gt;32 metric ton, EURO4</t>
        </is>
      </c>
      <c r="B2203" t="n">
        <v>0.03</v>
      </c>
      <c r="C2203" t="inlineStr">
        <is>
          <t>RER</t>
        </is>
      </c>
      <c r="D2203" t="inlineStr">
        <is>
          <t>ton kilometer</t>
        </is>
      </c>
      <c r="E2203" t="inlineStr">
        <is>
          <t>Materials/fuels</t>
        </is>
      </c>
      <c r="F2203" t="inlineStr">
        <is>
          <t>technosphere</t>
        </is>
      </c>
      <c r="G2203" t="n">
        <v>0</v>
      </c>
      <c r="H2203" t="n">
        <v>0.03</v>
      </c>
      <c r="J2203" t="inlineStr">
        <is>
          <t>Adapted from ecoinvent syngas</t>
        </is>
      </c>
      <c r="K2203" t="inlineStr">
        <is>
          <t>transport, freight, lorry &gt;32 metric ton, EURO4</t>
        </is>
      </c>
    </row>
    <row r="2204">
      <c r="A2204" t="inlineStr">
        <is>
          <t>treatment of inert waste, inert material landfill</t>
        </is>
      </c>
      <c r="B2204" t="n">
        <v>-0.000708</v>
      </c>
      <c r="C2204" t="inlineStr">
        <is>
          <t>CH</t>
        </is>
      </c>
      <c r="D2204" t="inlineStr">
        <is>
          <t>kilogram</t>
        </is>
      </c>
      <c r="E2204" t="inlineStr">
        <is>
          <t>Waste to treatment</t>
        </is>
      </c>
      <c r="F2204" t="inlineStr">
        <is>
          <t>technosphere</t>
        </is>
      </c>
      <c r="G2204" t="n">
        <v>0</v>
      </c>
      <c r="H2204" t="n">
        <v>0.000708</v>
      </c>
      <c r="K2204" t="inlineStr">
        <is>
          <t>inert waste, for final disposal</t>
        </is>
      </c>
    </row>
    <row r="2205" ht="16" customHeight="1">
      <c r="A2205" t="inlineStr">
        <is>
          <t>treatment of wood ash mixture, pure, landfarming</t>
        </is>
      </c>
      <c r="B2205" t="n">
        <v>-0.000332</v>
      </c>
      <c r="C2205" t="inlineStr">
        <is>
          <t>CH</t>
        </is>
      </c>
      <c r="D2205" t="inlineStr">
        <is>
          <t>kilogram</t>
        </is>
      </c>
      <c r="E2205" t="inlineStr">
        <is>
          <t>Waste to treatment</t>
        </is>
      </c>
      <c r="F2205" t="inlineStr">
        <is>
          <t>technosphere</t>
        </is>
      </c>
      <c r="G2205" t="n">
        <v>0</v>
      </c>
      <c r="H2205" t="n">
        <v>0.000332</v>
      </c>
      <c r="K2205" t="inlineStr">
        <is>
          <t>wood ash mixture, pure</t>
        </is>
      </c>
    </row>
    <row r="2206">
      <c r="A2206" t="inlineStr">
        <is>
          <t>zinc mine operation</t>
        </is>
      </c>
      <c r="B2206" t="n">
        <v>6.716e-06</v>
      </c>
      <c r="C2206" t="inlineStr">
        <is>
          <t>GLO</t>
        </is>
      </c>
      <c r="D2206" t="inlineStr">
        <is>
          <t>kilogram</t>
        </is>
      </c>
      <c r="E2206" t="inlineStr">
        <is>
          <t>Materials/fuels</t>
        </is>
      </c>
      <c r="F2206" t="inlineStr">
        <is>
          <t>technosphere</t>
        </is>
      </c>
      <c r="G2206" t="n">
        <v>0</v>
      </c>
      <c r="H2206" t="n">
        <v>6.716e-06</v>
      </c>
      <c r="J2206" t="inlineStr">
        <is>
          <t>Sulphur absorption</t>
        </is>
      </c>
      <c r="K2206" t="inlineStr">
        <is>
          <t>zinc concentrate</t>
        </is>
      </c>
    </row>
    <row r="2207"/>
    <row r="2208">
      <c r="A2208" s="1" t="inlineStr">
        <is>
          <t>Activity</t>
        </is>
      </c>
      <c r="B2208" s="1" t="inlineStr">
        <is>
          <t>Syngas, from biomass gasification, pre, pipeline 400km, storage 3000m</t>
        </is>
      </c>
    </row>
    <row r="2209">
      <c r="A2209" t="inlineStr">
        <is>
          <t>location</t>
        </is>
      </c>
      <c r="B2209" t="inlineStr">
        <is>
          <t>RER</t>
        </is>
      </c>
    </row>
    <row r="2210">
      <c r="A2210" t="inlineStr">
        <is>
          <t>production amount</t>
        </is>
      </c>
      <c r="B2210" t="n">
        <v>1</v>
      </c>
    </row>
    <row r="2211">
      <c r="A2211" t="inlineStr">
        <is>
          <t>reference product</t>
        </is>
      </c>
      <c r="B2211" t="inlineStr">
        <is>
          <t>Syngas, from biomass gasification, pre, pipeline 400km, storage 3000m</t>
        </is>
      </c>
    </row>
    <row r="2212">
      <c r="A2212" t="inlineStr">
        <is>
          <t>type</t>
        </is>
      </c>
      <c r="B2212" t="inlineStr">
        <is>
          <t>process</t>
        </is>
      </c>
    </row>
    <row r="2213">
      <c r="A2213" t="inlineStr">
        <is>
          <t>unit</t>
        </is>
      </c>
      <c r="B2213" t="inlineStr">
        <is>
          <t>megajoule</t>
        </is>
      </c>
    </row>
    <row r="2214">
      <c r="A2214" t="inlineStr">
        <is>
          <t>source</t>
        </is>
      </c>
      <c r="B2214" t="inlineStr">
        <is>
          <t>Life cycle assessment of carbon capture and storage in power generation and industry in Europe, Volkart et al., 2013, International Journal of Greenhouse Gas Control</t>
        </is>
      </c>
    </row>
    <row r="2215">
      <c r="A2215" s="1" t="inlineStr">
        <is>
          <t>Exchanges</t>
        </is>
      </c>
    </row>
    <row r="2216">
      <c r="A2216" t="inlineStr">
        <is>
          <t>name</t>
        </is>
      </c>
      <c r="B2216" t="inlineStr">
        <is>
          <t>amount</t>
        </is>
      </c>
      <c r="C2216" t="inlineStr">
        <is>
          <t>location</t>
        </is>
      </c>
      <c r="D2216" t="inlineStr">
        <is>
          <t>unit</t>
        </is>
      </c>
      <c r="E2216" t="inlineStr">
        <is>
          <t>categories</t>
        </is>
      </c>
      <c r="F2216" t="inlineStr">
        <is>
          <t>type</t>
        </is>
      </c>
      <c r="G2216" t="inlineStr">
        <is>
          <t>uncertainty type</t>
        </is>
      </c>
      <c r="H2216" t="inlineStr">
        <is>
          <t>loc</t>
        </is>
      </c>
      <c r="I2216" t="inlineStr">
        <is>
          <t>allocation</t>
        </is>
      </c>
      <c r="J2216" t="inlineStr">
        <is>
          <t>comment</t>
        </is>
      </c>
      <c r="K2216" t="inlineStr">
        <is>
          <t>reference product</t>
        </is>
      </c>
    </row>
    <row r="2217">
      <c r="A2217" t="inlineStr">
        <is>
          <t>Carbon dioxide, non-fossil</t>
        </is>
      </c>
      <c r="B2217" t="n">
        <v>6.74e-05</v>
      </c>
      <c r="D2217" t="inlineStr">
        <is>
          <t>kilogram</t>
        </is>
      </c>
      <c r="E2217" t="inlineStr">
        <is>
          <t>air</t>
        </is>
      </c>
      <c r="F2217" t="inlineStr">
        <is>
          <t>biosphere</t>
        </is>
      </c>
      <c r="G2217" t="n">
        <v>0</v>
      </c>
      <c r="H2217" t="n">
        <v>6.74e-05</v>
      </c>
      <c r="J2217" t="inlineStr">
        <is>
          <t>90% capture rate</t>
        </is>
      </c>
    </row>
    <row r="2218">
      <c r="A2218" t="inlineStr">
        <is>
          <t>Carbon monoxide, non-fossil</t>
        </is>
      </c>
      <c r="B2218" t="n">
        <v>2.87e-05</v>
      </c>
      <c r="D2218" t="inlineStr">
        <is>
          <t>kilogram</t>
        </is>
      </c>
      <c r="E2218" t="inlineStr">
        <is>
          <t>air</t>
        </is>
      </c>
      <c r="F2218" t="inlineStr">
        <is>
          <t>biosphere</t>
        </is>
      </c>
      <c r="G2218" t="n">
        <v>0</v>
      </c>
      <c r="H2218" t="n">
        <v>2.87e-05</v>
      </c>
    </row>
    <row r="2219">
      <c r="A2219" t="inlineStr">
        <is>
          <t>Nitrogen oxides</t>
        </is>
      </c>
      <c r="B2219" t="n">
        <v>1.24e-05</v>
      </c>
      <c r="D2219" t="inlineStr">
        <is>
          <t>kilogram</t>
        </is>
      </c>
      <c r="E2219" t="inlineStr">
        <is>
          <t>air</t>
        </is>
      </c>
      <c r="F2219" t="inlineStr">
        <is>
          <t>biosphere</t>
        </is>
      </c>
      <c r="G2219" t="n">
        <v>0</v>
      </c>
      <c r="H2219" t="n">
        <v>1.24e-05</v>
      </c>
      <c r="J2219" t="inlineStr">
        <is>
          <t>additional reduction: 25%</t>
        </is>
      </c>
    </row>
    <row r="2220">
      <c r="A2220" t="inlineStr">
        <is>
          <t>Particulates, &gt; 2.5 um, and &lt; 10um</t>
        </is>
      </c>
      <c r="B2220" t="n">
        <v>4.51e-07</v>
      </c>
      <c r="D2220" t="inlineStr">
        <is>
          <t>kilogram</t>
        </is>
      </c>
      <c r="E2220" t="inlineStr">
        <is>
          <t>air</t>
        </is>
      </c>
      <c r="F2220" t="inlineStr">
        <is>
          <t>biosphere</t>
        </is>
      </c>
      <c r="G2220" t="n">
        <v>0</v>
      </c>
      <c r="H2220" t="n">
        <v>4.51e-07</v>
      </c>
      <c r="J2220" t="inlineStr">
        <is>
          <t>additional reduction: 0%</t>
        </is>
      </c>
    </row>
    <row r="2221">
      <c r="A2221" t="inlineStr">
        <is>
          <t>Syngas, from biomass gasification, pre, pipeline 400km, storage 3000m</t>
        </is>
      </c>
      <c r="B2221" t="n">
        <v>1</v>
      </c>
      <c r="C2221" t="inlineStr">
        <is>
          <t>RER</t>
        </is>
      </c>
      <c r="D2221" t="inlineStr">
        <is>
          <t>megajoule</t>
        </is>
      </c>
      <c r="E2221" t="inlineStr">
        <is>
          <t>CCS Europe 2025::Infrastructure&amp;Background</t>
        </is>
      </c>
      <c r="F2221" t="inlineStr">
        <is>
          <t>production</t>
        </is>
      </c>
      <c r="I2221" t="n">
        <v>100</v>
      </c>
    </row>
    <row r="2222">
      <c r="A2222" t="inlineStr">
        <is>
          <t>carbon dioxide, captured at hydrogen production plant, pre, pipeline 400km, storage 3000m</t>
        </is>
      </c>
      <c r="B2222" t="n">
        <v>0.000607</v>
      </c>
      <c r="C2222" t="inlineStr">
        <is>
          <t>RER</t>
        </is>
      </c>
      <c r="D2222" t="inlineStr">
        <is>
          <t>kilogram</t>
        </is>
      </c>
      <c r="E2222" t="inlineStr">
        <is>
          <t>Materials/fuels</t>
        </is>
      </c>
      <c r="F2222" t="inlineStr">
        <is>
          <t>technosphere</t>
        </is>
      </c>
      <c r="G2222" t="n">
        <v>0</v>
      </c>
      <c r="H2222" t="n">
        <v>0.000607</v>
      </c>
      <c r="J2222" t="inlineStr">
        <is>
          <t>90% capture rate</t>
        </is>
      </c>
    </row>
    <row r="2223">
      <c r="A2223" t="inlineStr">
        <is>
          <t>Syngas production plant</t>
        </is>
      </c>
      <c r="B2223" t="n">
        <v>6.68e-11</v>
      </c>
      <c r="C2223" t="inlineStr">
        <is>
          <t>RER</t>
        </is>
      </c>
      <c r="D2223" t="inlineStr">
        <is>
          <t>unit</t>
        </is>
      </c>
      <c r="E2223" t="inlineStr">
        <is>
          <t>Materials/fuels</t>
        </is>
      </c>
      <c r="F2223" t="inlineStr">
        <is>
          <t>technosphere</t>
        </is>
      </c>
      <c r="G2223" t="n">
        <v>0</v>
      </c>
      <c r="H2223" t="n">
        <v>6.68e-11</v>
      </c>
      <c r="J2223" t="inlineStr">
        <is>
          <t>Adapted from ecoinvent syngas</t>
        </is>
      </c>
    </row>
    <row r="2224">
      <c r="A2224" t="inlineStr">
        <is>
          <t>esterification of rape oil</t>
        </is>
      </c>
      <c r="B2224" t="n">
        <v>0.0001035</v>
      </c>
      <c r="C2224" t="inlineStr">
        <is>
          <t>CH</t>
        </is>
      </c>
      <c r="D2224" t="inlineStr">
        <is>
          <t>kilogram</t>
        </is>
      </c>
      <c r="E2224" t="inlineStr">
        <is>
          <t>Materials/fuels</t>
        </is>
      </c>
      <c r="F2224" t="inlineStr">
        <is>
          <t>technosphere</t>
        </is>
      </c>
      <c r="G2224" t="n">
        <v>0</v>
      </c>
      <c r="H2224" t="n">
        <v>0.0001035</v>
      </c>
      <c r="J2224" t="inlineStr">
        <is>
          <t>Removal of tars</t>
        </is>
      </c>
      <c r="K2224" t="inlineStr">
        <is>
          <t>vegetable oil methyl ester</t>
        </is>
      </c>
    </row>
    <row r="2225">
      <c r="A2225" t="inlineStr">
        <is>
          <t>lime production, milled, packed</t>
        </is>
      </c>
      <c r="B2225" t="n">
        <v>0.0002941</v>
      </c>
      <c r="C2225" t="inlineStr">
        <is>
          <t>CH</t>
        </is>
      </c>
      <c r="D2225" t="inlineStr">
        <is>
          <t>kilogram</t>
        </is>
      </c>
      <c r="E2225" t="inlineStr">
        <is>
          <t>Materials/fuels</t>
        </is>
      </c>
      <c r="F2225" t="inlineStr">
        <is>
          <t>technosphere</t>
        </is>
      </c>
      <c r="G2225" t="n">
        <v>0</v>
      </c>
      <c r="H2225" t="n">
        <v>0.0002941</v>
      </c>
      <c r="J2225" t="inlineStr">
        <is>
          <t>Pre-coating</t>
        </is>
      </c>
      <c r="K2225" t="inlineStr">
        <is>
          <t>lime, packed</t>
        </is>
      </c>
    </row>
    <row r="2226">
      <c r="A2226" t="inlineStr">
        <is>
          <t>market for charcoal</t>
        </is>
      </c>
      <c r="B2226" t="n">
        <v>0.0002941</v>
      </c>
      <c r="C2226" t="inlineStr">
        <is>
          <t>GLO</t>
        </is>
      </c>
      <c r="D2226" t="inlineStr">
        <is>
          <t>kilogram</t>
        </is>
      </c>
      <c r="E2226" t="inlineStr">
        <is>
          <t>Materials/fuels</t>
        </is>
      </c>
      <c r="F2226" t="inlineStr">
        <is>
          <t>technosphere</t>
        </is>
      </c>
      <c r="G2226" t="n">
        <v>0</v>
      </c>
      <c r="H2226" t="n">
        <v>0.0002941</v>
      </c>
      <c r="J2226" t="inlineStr">
        <is>
          <t>Pre-coating</t>
        </is>
      </c>
      <c r="K2226" t="inlineStr">
        <is>
          <t>charcoal</t>
        </is>
      </c>
    </row>
    <row r="2227">
      <c r="A2227" t="inlineStr">
        <is>
          <t>market for magnesium</t>
        </is>
      </c>
      <c r="B2227" t="n">
        <v>0.0001307</v>
      </c>
      <c r="C2227" t="inlineStr">
        <is>
          <t>GLO</t>
        </is>
      </c>
      <c r="D2227" t="inlineStr">
        <is>
          <t>kilogram</t>
        </is>
      </c>
      <c r="E2227" t="inlineStr">
        <is>
          <t>Materials/fuels</t>
        </is>
      </c>
      <c r="F2227" t="inlineStr">
        <is>
          <t>technosphere</t>
        </is>
      </c>
      <c r="G2227" t="n">
        <v>0</v>
      </c>
      <c r="H2227" t="n">
        <v>0.0001307</v>
      </c>
      <c r="J2227" t="inlineStr">
        <is>
          <t>Bed material</t>
        </is>
      </c>
      <c r="K2227" t="inlineStr">
        <is>
          <t>magnesium</t>
        </is>
      </c>
    </row>
    <row r="2228" ht="16" customHeight="1">
      <c r="A2228" t="inlineStr">
        <is>
          <t>market for tap water</t>
        </is>
      </c>
      <c r="B2228" t="n">
        <v>0.01025</v>
      </c>
      <c r="C2228" t="inlineStr">
        <is>
          <t>Europe without Switzerland</t>
        </is>
      </c>
      <c r="D2228" t="inlineStr">
        <is>
          <t>kilogram</t>
        </is>
      </c>
      <c r="E2228" t="inlineStr">
        <is>
          <t>Materials/fuels</t>
        </is>
      </c>
      <c r="F2228" t="inlineStr">
        <is>
          <t>technosphere</t>
        </is>
      </c>
      <c r="G2228" t="n">
        <v>0</v>
      </c>
      <c r="H2228" t="n">
        <v>0.01025</v>
      </c>
      <c r="J2228" t="inlineStr">
        <is>
          <t>Adapted from ecoinvent syngas</t>
        </is>
      </c>
      <c r="K2228" t="inlineStr">
        <is>
          <t>tap water</t>
        </is>
      </c>
    </row>
    <row r="2229">
      <c r="A2229" t="inlineStr">
        <is>
          <t>market for transport, freight train</t>
        </is>
      </c>
      <c r="B2229" t="n">
        <v>0.00025</v>
      </c>
      <c r="C2229" t="inlineStr">
        <is>
          <t>Europe without Switzerland</t>
        </is>
      </c>
      <c r="D2229" t="inlineStr">
        <is>
          <t>ton kilometer</t>
        </is>
      </c>
      <c r="E2229" t="inlineStr">
        <is>
          <t>Materials/fuels</t>
        </is>
      </c>
      <c r="F2229" t="inlineStr">
        <is>
          <t>technosphere</t>
        </is>
      </c>
      <c r="G2229" t="n">
        <v>0</v>
      </c>
      <c r="H2229" t="n">
        <v>0.00025</v>
      </c>
      <c r="J2229" t="inlineStr">
        <is>
          <t>Adapted from ecoinvent syngas</t>
        </is>
      </c>
      <c r="K2229" t="inlineStr">
        <is>
          <t>transport, freight train</t>
        </is>
      </c>
    </row>
    <row r="2230">
      <c r="A2230" t="inlineStr">
        <is>
          <t>market for wood chips, wet, measured as dry mass</t>
        </is>
      </c>
      <c r="B2230" t="n">
        <v>0.06406742</v>
      </c>
      <c r="C2230" t="inlineStr">
        <is>
          <t>Europe without Switzerland</t>
        </is>
      </c>
      <c r="D2230" t="inlineStr">
        <is>
          <t>kilogram</t>
        </is>
      </c>
      <c r="E2230" t="inlineStr">
        <is>
          <t>Materials/fuels</t>
        </is>
      </c>
      <c r="F2230" t="inlineStr">
        <is>
          <t>technosphere</t>
        </is>
      </c>
      <c r="G2230" t="n">
        <v>0</v>
      </c>
      <c r="H2230" t="n">
        <v>0.06406742</v>
      </c>
      <c r="J2230" t="inlineStr">
        <is>
          <t>conversion from cubic meter to kg based on ecoinvent 2.2 data</t>
        </is>
      </c>
      <c r="K2230" t="inlineStr">
        <is>
          <t>wood chips, wet, measured as dry mass</t>
        </is>
      </c>
    </row>
    <row r="2231">
      <c r="A2231" t="inlineStr">
        <is>
          <t>market group for electricity, medium voltage</t>
        </is>
      </c>
      <c r="B2231" t="n">
        <v>0.001905</v>
      </c>
      <c r="C2231" t="inlineStr">
        <is>
          <t>ENTSO-E</t>
        </is>
      </c>
      <c r="D2231" t="inlineStr">
        <is>
          <t>kilowatt hour</t>
        </is>
      </c>
      <c r="E2231" t="inlineStr">
        <is>
          <t>Materials/fuels</t>
        </is>
      </c>
      <c r="F2231" t="inlineStr">
        <is>
          <t>technosphere</t>
        </is>
      </c>
      <c r="G2231" t="n">
        <v>0</v>
      </c>
      <c r="H2231" t="n">
        <v>0.001905</v>
      </c>
      <c r="K2231" t="inlineStr">
        <is>
          <t>electricity, medium voltage</t>
        </is>
      </c>
    </row>
    <row r="2232">
      <c r="A2232" t="inlineStr">
        <is>
          <t>market for iron scrap, sorted, pressed</t>
        </is>
      </c>
      <c r="B2232" t="n">
        <v>0.0001307</v>
      </c>
      <c r="C2232" t="inlineStr">
        <is>
          <t>GLO</t>
        </is>
      </c>
      <c r="D2232" t="inlineStr">
        <is>
          <t>kilogram</t>
        </is>
      </c>
      <c r="E2232" t="inlineStr">
        <is>
          <t>Materials/fuels</t>
        </is>
      </c>
      <c r="F2232" t="inlineStr">
        <is>
          <t>technosphere</t>
        </is>
      </c>
      <c r="G2232" t="n">
        <v>0</v>
      </c>
      <c r="H2232" t="n">
        <v>0.0001307</v>
      </c>
      <c r="J2232" t="inlineStr">
        <is>
          <t>Bed material</t>
        </is>
      </c>
      <c r="K2232" t="inlineStr">
        <is>
          <t>iron scrap, sorted, pressed</t>
        </is>
      </c>
    </row>
    <row r="2233">
      <c r="A2233" t="inlineStr">
        <is>
          <t>transport, freight, lorry &gt;32 metric ton, EURO4</t>
        </is>
      </c>
      <c r="B2233" t="n">
        <v>0.03</v>
      </c>
      <c r="C2233" t="inlineStr">
        <is>
          <t>RER</t>
        </is>
      </c>
      <c r="D2233" t="inlineStr">
        <is>
          <t>ton kilometer</t>
        </is>
      </c>
      <c r="E2233" t="inlineStr">
        <is>
          <t>Materials/fuels</t>
        </is>
      </c>
      <c r="F2233" t="inlineStr">
        <is>
          <t>technosphere</t>
        </is>
      </c>
      <c r="G2233" t="n">
        <v>0</v>
      </c>
      <c r="H2233" t="n">
        <v>0.03</v>
      </c>
      <c r="J2233" t="inlineStr">
        <is>
          <t>Adapted from ecoinvent syngas</t>
        </is>
      </c>
      <c r="K2233" t="inlineStr">
        <is>
          <t>transport, freight, lorry &gt;32 metric ton, EURO4</t>
        </is>
      </c>
    </row>
    <row r="2234">
      <c r="A2234" t="inlineStr">
        <is>
          <t>treatment of inert waste, inert material landfill</t>
        </is>
      </c>
      <c r="B2234" t="n">
        <v>-0.000708</v>
      </c>
      <c r="C2234" t="inlineStr">
        <is>
          <t>CH</t>
        </is>
      </c>
      <c r="D2234" t="inlineStr">
        <is>
          <t>kilogram</t>
        </is>
      </c>
      <c r="E2234" t="inlineStr">
        <is>
          <t>Waste to treatment</t>
        </is>
      </c>
      <c r="F2234" t="inlineStr">
        <is>
          <t>technosphere</t>
        </is>
      </c>
      <c r="G2234" t="n">
        <v>0</v>
      </c>
      <c r="H2234" t="n">
        <v>0.000708</v>
      </c>
      <c r="K2234" t="inlineStr">
        <is>
          <t>inert waste, for final disposal</t>
        </is>
      </c>
    </row>
    <row r="2235" ht="16" customHeight="1">
      <c r="A2235" t="inlineStr">
        <is>
          <t>treatment of wood ash mixture, pure, landfarming</t>
        </is>
      </c>
      <c r="B2235" t="n">
        <v>-0.000332</v>
      </c>
      <c r="C2235" t="inlineStr">
        <is>
          <t>CH</t>
        </is>
      </c>
      <c r="D2235" t="inlineStr">
        <is>
          <t>kilogram</t>
        </is>
      </c>
      <c r="E2235" t="inlineStr">
        <is>
          <t>Waste to treatment</t>
        </is>
      </c>
      <c r="F2235" t="inlineStr">
        <is>
          <t>technosphere</t>
        </is>
      </c>
      <c r="G2235" t="n">
        <v>0</v>
      </c>
      <c r="H2235" t="n">
        <v>0.000332</v>
      </c>
      <c r="K2235" t="inlineStr">
        <is>
          <t>wood ash mixture, pure</t>
        </is>
      </c>
    </row>
    <row r="2236">
      <c r="A2236" t="inlineStr">
        <is>
          <t>zinc mine operation</t>
        </is>
      </c>
      <c r="B2236" t="n">
        <v>6.716e-06</v>
      </c>
      <c r="C2236" t="inlineStr">
        <is>
          <t>GLO</t>
        </is>
      </c>
      <c r="D2236" t="inlineStr">
        <is>
          <t>kilogram</t>
        </is>
      </c>
      <c r="E2236" t="inlineStr">
        <is>
          <t>Materials/fuels</t>
        </is>
      </c>
      <c r="F2236" t="inlineStr">
        <is>
          <t>technosphere</t>
        </is>
      </c>
      <c r="G2236" t="n">
        <v>0</v>
      </c>
      <c r="H2236" t="n">
        <v>6.716e-06</v>
      </c>
      <c r="J2236" t="inlineStr">
        <is>
          <t>Sulphur absorption</t>
        </is>
      </c>
      <c r="K2236" t="inlineStr">
        <is>
          <t>zinc concentrate</t>
        </is>
      </c>
    </row>
    <row r="2237"/>
    <row r="2238">
      <c r="A2238" s="1" t="inlineStr">
        <is>
          <t>Activity</t>
        </is>
      </c>
      <c r="B2238" s="1" t="inlineStr">
        <is>
          <t>Synthetic natural gas from wood, 70 bar, at plant</t>
        </is>
      </c>
    </row>
    <row r="2239">
      <c r="A2239" t="inlineStr">
        <is>
          <t>location</t>
        </is>
      </c>
      <c r="B2239" t="inlineStr">
        <is>
          <t>RER</t>
        </is>
      </c>
    </row>
    <row r="2240">
      <c r="A2240" t="inlineStr">
        <is>
          <t>production amount</t>
        </is>
      </c>
      <c r="B2240" t="n">
        <v>1</v>
      </c>
    </row>
    <row r="2241">
      <c r="A2241" t="inlineStr">
        <is>
          <t>reference product</t>
        </is>
      </c>
      <c r="B2241" t="inlineStr">
        <is>
          <t>Synthetic natural gas from wood, 70 bar, at plant</t>
        </is>
      </c>
    </row>
    <row r="2242">
      <c r="A2242" t="inlineStr">
        <is>
          <t>type</t>
        </is>
      </c>
      <c r="B2242" t="inlineStr">
        <is>
          <t>process</t>
        </is>
      </c>
    </row>
    <row r="2243">
      <c r="A2243" t="inlineStr">
        <is>
          <t>unit</t>
        </is>
      </c>
      <c r="B2243" t="inlineStr">
        <is>
          <t>megajoule</t>
        </is>
      </c>
    </row>
    <row r="2244">
      <c r="A2244" t="inlineStr">
        <is>
          <t>source</t>
        </is>
      </c>
      <c r="B2244" t="inlineStr">
        <is>
          <t>Life cycle assessment of carbon capture and storage in power generation and industry in Europe, Volkart et al., 2013, International Journal of Greenhouse Gas Control</t>
        </is>
      </c>
    </row>
    <row r="2245">
      <c r="A2245" s="1" t="inlineStr">
        <is>
          <t>Exchanges</t>
        </is>
      </c>
    </row>
    <row r="2246">
      <c r="A2246" t="inlineStr">
        <is>
          <t>name</t>
        </is>
      </c>
      <c r="B2246" t="inlineStr">
        <is>
          <t>amount</t>
        </is>
      </c>
      <c r="C2246" t="inlineStr">
        <is>
          <t>location</t>
        </is>
      </c>
      <c r="D2246" t="inlineStr">
        <is>
          <t>unit</t>
        </is>
      </c>
      <c r="E2246" t="inlineStr">
        <is>
          <t>categories</t>
        </is>
      </c>
      <c r="F2246" t="inlineStr">
        <is>
          <t>type</t>
        </is>
      </c>
      <c r="G2246" t="inlineStr">
        <is>
          <t>uncertainty type</t>
        </is>
      </c>
      <c r="H2246" t="inlineStr">
        <is>
          <t>loc</t>
        </is>
      </c>
      <c r="I2246" t="inlineStr">
        <is>
          <t>allocation</t>
        </is>
      </c>
      <c r="J2246" t="inlineStr">
        <is>
          <t>comment</t>
        </is>
      </c>
      <c r="K2246" t="inlineStr">
        <is>
          <t>reference product</t>
        </is>
      </c>
      <c r="L2246" t="inlineStr">
        <is>
          <t>reference product</t>
        </is>
      </c>
    </row>
    <row r="2247">
      <c r="A2247" t="inlineStr">
        <is>
          <t>Carbon dioxide, non-fossil</t>
        </is>
      </c>
      <c r="B2247" t="n">
        <v>0.152</v>
      </c>
      <c r="D2247" t="inlineStr">
        <is>
          <t>kilogram</t>
        </is>
      </c>
      <c r="E2247" t="inlineStr">
        <is>
          <t>air</t>
        </is>
      </c>
      <c r="F2247" t="inlineStr">
        <is>
          <t>biosphere</t>
        </is>
      </c>
      <c r="G2247" t="n">
        <v>0</v>
      </c>
      <c r="H2247" t="n">
        <v>0.152</v>
      </c>
      <c r="J2247" t="inlineStr">
        <is>
          <t>Cwood input - Csng (97.3% CH4, 2.6% CO, 0.1% hydrogenO)</t>
        </is>
      </c>
    </row>
    <row r="2248">
      <c r="A2248" t="inlineStr">
        <is>
          <t>Carbon dioxide, non-fossil</t>
        </is>
      </c>
      <c r="B2248" t="n">
        <v>0.00111</v>
      </c>
      <c r="D2248" t="inlineStr">
        <is>
          <t>kilogram</t>
        </is>
      </c>
      <c r="E2248" t="inlineStr">
        <is>
          <t>air</t>
        </is>
      </c>
      <c r="F2248" t="inlineStr">
        <is>
          <t>biosphere</t>
        </is>
      </c>
      <c r="G2248" t="n">
        <v>0</v>
      </c>
      <c r="H2248" t="n">
        <v>0.00111</v>
      </c>
      <c r="J2248" t="inlineStr">
        <is>
          <t>RME combustion; 78% C-content</t>
        </is>
      </c>
    </row>
    <row r="2249">
      <c r="A2249" t="inlineStr">
        <is>
          <t>Carbon dioxide, non-fossil</t>
        </is>
      </c>
      <c r="B2249" t="n">
        <v>0.00157</v>
      </c>
      <c r="D2249" t="inlineStr">
        <is>
          <t>kilogram</t>
        </is>
      </c>
      <c r="E2249" t="inlineStr">
        <is>
          <t>air</t>
        </is>
      </c>
      <c r="F2249" t="inlineStr">
        <is>
          <t>biosphere</t>
        </is>
      </c>
      <c r="G2249" t="n">
        <v>0</v>
      </c>
      <c r="H2249" t="n">
        <v>0.00157</v>
      </c>
      <c r="J2249" t="inlineStr">
        <is>
          <t>Charcoal combustion; 80% C-content</t>
        </is>
      </c>
    </row>
    <row r="2250">
      <c r="A2250" t="inlineStr">
        <is>
          <t>Carbon monoxide, non-fossil</t>
        </is>
      </c>
      <c r="B2250" t="n">
        <v>8.15e-05</v>
      </c>
      <c r="D2250" t="inlineStr">
        <is>
          <t>kilogram</t>
        </is>
      </c>
      <c r="E2250" t="inlineStr">
        <is>
          <t>air::non-urban air or from high stacks</t>
        </is>
      </c>
      <c r="F2250" t="inlineStr">
        <is>
          <t>biosphere</t>
        </is>
      </c>
      <c r="G2250" t="n">
        <v>0</v>
      </c>
      <c r="H2250" t="n">
        <v>8.15e-05</v>
      </c>
    </row>
    <row r="2251">
      <c r="A2251" t="inlineStr">
        <is>
          <t>Hydrocarbons, aliphatic, alkanes, unspecified</t>
        </is>
      </c>
      <c r="B2251" t="n">
        <v>8.940000000000001e-06</v>
      </c>
      <c r="D2251" t="inlineStr">
        <is>
          <t>kilogram</t>
        </is>
      </c>
      <c r="E2251" t="inlineStr">
        <is>
          <t>air::non-urban air or from high stacks</t>
        </is>
      </c>
      <c r="F2251" t="inlineStr">
        <is>
          <t>biosphere</t>
        </is>
      </c>
      <c r="G2251" t="n">
        <v>0</v>
      </c>
      <c r="H2251" t="n">
        <v>8.940000000000001e-06</v>
      </c>
    </row>
    <row r="2252">
      <c r="A2252" t="inlineStr">
        <is>
          <t>Nitrogen oxides</t>
        </is>
      </c>
      <c r="B2252" t="n">
        <v>4.69e-05</v>
      </c>
      <c r="D2252" t="inlineStr">
        <is>
          <t>kilogram</t>
        </is>
      </c>
      <c r="E2252" t="inlineStr">
        <is>
          <t>air::non-urban air or from high stacks</t>
        </is>
      </c>
      <c r="F2252" t="inlineStr">
        <is>
          <t>biosphere</t>
        </is>
      </c>
      <c r="G2252" t="n">
        <v>0</v>
      </c>
      <c r="H2252" t="n">
        <v>4.69e-05</v>
      </c>
    </row>
    <row r="2253">
      <c r="A2253" t="inlineStr">
        <is>
          <t>Particulates, &gt; 2.5 um, and &lt; 10um</t>
        </is>
      </c>
      <c r="B2253" t="n">
        <v>1.29e-06</v>
      </c>
      <c r="D2253" t="inlineStr">
        <is>
          <t>kilogram</t>
        </is>
      </c>
      <c r="E2253" t="inlineStr">
        <is>
          <t>air::non-urban air or from high stacks</t>
        </is>
      </c>
      <c r="F2253" t="inlineStr">
        <is>
          <t>biosphere</t>
        </is>
      </c>
      <c r="G2253" t="n">
        <v>0</v>
      </c>
      <c r="H2253" t="n">
        <v>1.29e-06</v>
      </c>
    </row>
    <row r="2254">
      <c r="A2254" t="inlineStr">
        <is>
          <t>Synthetic natural gas from wood, 70 bar, at plant</t>
        </is>
      </c>
      <c r="B2254" t="n">
        <v>1</v>
      </c>
      <c r="C2254" t="inlineStr">
        <is>
          <t>RER</t>
        </is>
      </c>
      <c r="D2254" t="inlineStr">
        <is>
          <t>megajoule</t>
        </is>
      </c>
      <c r="E2254" t="inlineStr">
        <is>
          <t>CCS Europe 2025::Infrastructure&amp;Background</t>
        </is>
      </c>
      <c r="F2254" t="inlineStr">
        <is>
          <t>production</t>
        </is>
      </c>
      <c r="I2254" t="n">
        <v>100</v>
      </c>
    </row>
    <row r="2255">
      <c r="A2255" t="inlineStr">
        <is>
          <t>Rape Methyl Ester, at plant</t>
        </is>
      </c>
      <c r="B2255" t="n">
        <v>0.0145</v>
      </c>
      <c r="C2255" t="inlineStr">
        <is>
          <t>RER</t>
        </is>
      </c>
      <c r="D2255" t="inlineStr">
        <is>
          <t>megajoule</t>
        </is>
      </c>
      <c r="E2255" t="inlineStr">
        <is>
          <t>Materials/fuels</t>
        </is>
      </c>
      <c r="F2255" t="inlineStr">
        <is>
          <t>technosphere</t>
        </is>
      </c>
      <c r="G2255" t="n">
        <v>0</v>
      </c>
      <c r="H2255" t="n">
        <v>0.0145</v>
      </c>
      <c r="J2255" t="inlineStr">
        <is>
          <t>36.82 MJ/kg</t>
        </is>
      </c>
    </row>
    <row r="2256">
      <c r="A2256" t="inlineStr">
        <is>
          <t>SNG from wood, production plant</t>
        </is>
      </c>
      <c r="B2256" t="n">
        <v>4.72e-11</v>
      </c>
      <c r="C2256" t="inlineStr">
        <is>
          <t>RER</t>
        </is>
      </c>
      <c r="D2256" t="inlineStr">
        <is>
          <t>unit</t>
        </is>
      </c>
      <c r="E2256" t="inlineStr">
        <is>
          <t>Materials/fuels</t>
        </is>
      </c>
      <c r="F2256" t="inlineStr">
        <is>
          <t>technosphere</t>
        </is>
      </c>
      <c r="G2256" t="n">
        <v>0</v>
      </c>
      <c r="H2256" t="n">
        <v>4.72e-11</v>
      </c>
      <c r="J2256" t="inlineStr">
        <is>
          <t>1 / (50 mwinput*0.56 eff*7000h*30*3600)</t>
        </is>
      </c>
    </row>
    <row r="2257">
      <c r="A2257" t="inlineStr">
        <is>
          <t>basalt quarry operation</t>
        </is>
      </c>
      <c r="B2257" t="n">
        <v>0.00095</v>
      </c>
      <c r="C2257" t="inlineStr">
        <is>
          <t>RER</t>
        </is>
      </c>
      <c r="D2257" t="inlineStr">
        <is>
          <t>kilogram</t>
        </is>
      </c>
      <c r="E2257" t="inlineStr">
        <is>
          <t>Materials/fuels</t>
        </is>
      </c>
      <c r="F2257" t="inlineStr">
        <is>
          <t>technosphere</t>
        </is>
      </c>
      <c r="G2257" t="n">
        <v>0</v>
      </c>
      <c r="H2257" t="n">
        <v>0.00095</v>
      </c>
      <c r="J2257" t="inlineStr">
        <is>
          <t>Approximation for olivine</t>
        </is>
      </c>
      <c r="K2257" t="inlineStr">
        <is>
          <t>basalt</t>
        </is>
      </c>
      <c r="L2257" t="inlineStr">
        <is>
          <t>basalt</t>
        </is>
      </c>
    </row>
    <row r="2258">
      <c r="A2258" t="inlineStr">
        <is>
          <t>heat production, light fuel oil, at boiler 10kW condensing, non-modulating</t>
        </is>
      </c>
      <c r="B2258" t="n">
        <v>1.74e-05</v>
      </c>
      <c r="C2258" t="inlineStr">
        <is>
          <t>CH</t>
        </is>
      </c>
      <c r="D2258" t="inlineStr">
        <is>
          <t>megajoule</t>
        </is>
      </c>
      <c r="E2258" t="inlineStr">
        <is>
          <t>Materials/fuels</t>
        </is>
      </c>
      <c r="F2258" t="inlineStr">
        <is>
          <t>technosphere</t>
        </is>
      </c>
      <c r="G2258" t="n">
        <v>0</v>
      </c>
      <c r="H2258" t="n">
        <v>1.74e-05</v>
      </c>
      <c r="J2258" t="inlineStr">
        <is>
          <t>Oil for start-up</t>
        </is>
      </c>
      <c r="K2258" t="inlineStr">
        <is>
          <t>heat, central or small-scale, other than natural gas</t>
        </is>
      </c>
      <c r="L2258" t="inlineStr">
        <is>
          <t>heat, central or small-scale, other than natural gas</t>
        </is>
      </c>
    </row>
    <row r="2259">
      <c r="A2259" t="inlineStr">
        <is>
          <t>lime production, milled, packed</t>
        </is>
      </c>
      <c r="B2259" t="n">
        <v>0.000576</v>
      </c>
      <c r="C2259" t="inlineStr">
        <is>
          <t>CH</t>
        </is>
      </c>
      <c r="D2259" t="inlineStr">
        <is>
          <t>kilogram</t>
        </is>
      </c>
      <c r="E2259" t="inlineStr">
        <is>
          <t>Materials/fuels</t>
        </is>
      </c>
      <c r="F2259" t="inlineStr">
        <is>
          <t>technosphere</t>
        </is>
      </c>
      <c r="G2259" t="n">
        <v>0</v>
      </c>
      <c r="H2259" t="n">
        <v>0.000576</v>
      </c>
      <c r="J2259" t="inlineStr">
        <is>
          <t>CaCO3 (Sorbalit component; precoat material)</t>
        </is>
      </c>
      <c r="K2259" t="inlineStr">
        <is>
          <t>lime, packed</t>
        </is>
      </c>
      <c r="L2259" t="inlineStr">
        <is>
          <t>lime, packed</t>
        </is>
      </c>
    </row>
    <row r="2260">
      <c r="A2260" t="inlineStr">
        <is>
          <t>market for aluminium oxide, metallurgical</t>
        </is>
      </c>
      <c r="B2260" t="n">
        <v>1.16e-11</v>
      </c>
      <c r="C2260" t="inlineStr">
        <is>
          <t>IAI Area, EU27 &amp; EFTA</t>
        </is>
      </c>
      <c r="D2260" t="inlineStr">
        <is>
          <t>kilogram</t>
        </is>
      </c>
      <c r="E2260" t="inlineStr">
        <is>
          <t>Materials/fuels</t>
        </is>
      </c>
      <c r="F2260" t="inlineStr">
        <is>
          <t>technosphere</t>
        </is>
      </c>
      <c r="G2260" t="n">
        <v>0</v>
      </c>
      <c r="H2260" t="n">
        <v>1.16e-11</v>
      </c>
      <c r="J2260" t="inlineStr">
        <is>
          <t>Catalyst</t>
        </is>
      </c>
      <c r="K2260" t="inlineStr">
        <is>
          <t>aluminium oxide</t>
        </is>
      </c>
      <c r="L2260" t="inlineStr">
        <is>
          <t>aluminium oxide, metallurgical</t>
        </is>
      </c>
    </row>
    <row r="2261">
      <c r="A2261" t="inlineStr">
        <is>
          <t>market for charcoal</t>
        </is>
      </c>
      <c r="B2261" t="n">
        <v>0.000535</v>
      </c>
      <c r="C2261" t="inlineStr">
        <is>
          <t>GLO</t>
        </is>
      </c>
      <c r="D2261" t="inlineStr">
        <is>
          <t>kilogram</t>
        </is>
      </c>
      <c r="E2261" t="inlineStr">
        <is>
          <t>Materials/fuels</t>
        </is>
      </c>
      <c r="F2261" t="inlineStr">
        <is>
          <t>technosphere</t>
        </is>
      </c>
      <c r="G2261" t="n">
        <v>0</v>
      </c>
      <c r="H2261" t="n">
        <v>0.000535</v>
      </c>
      <c r="J2261" t="inlineStr">
        <is>
          <t>Sorbalit component; precoat material</t>
        </is>
      </c>
      <c r="L2261" t="inlineStr">
        <is>
          <t>charcoal</t>
        </is>
      </c>
    </row>
    <row r="2262">
      <c r="A2262" t="inlineStr">
        <is>
          <t>market for transport, freight, lorry, unspecified</t>
        </is>
      </c>
      <c r="B2262" t="n">
        <v>0.00561</v>
      </c>
      <c r="C2262" t="inlineStr">
        <is>
          <t>RER</t>
        </is>
      </c>
      <c r="D2262" t="inlineStr">
        <is>
          <t>ton kilometer</t>
        </is>
      </c>
      <c r="E2262" t="inlineStr">
        <is>
          <t>Materials/fuels</t>
        </is>
      </c>
      <c r="F2262" t="inlineStr">
        <is>
          <t>technosphere</t>
        </is>
      </c>
      <c r="G2262" t="n">
        <v>0</v>
      </c>
      <c r="H2262" t="n">
        <v>0.00561</v>
      </c>
      <c r="J2262" t="inlineStr">
        <is>
          <t>wood: 415kg3. 25 km</t>
        </is>
      </c>
      <c r="L2262" t="inlineStr">
        <is>
          <t>transport, freight, lorry, unspecified</t>
        </is>
      </c>
    </row>
    <row r="2263">
      <c r="A2263" t="inlineStr">
        <is>
          <t>market for transport, freight, lorry, unspecified</t>
        </is>
      </c>
      <c r="B2263" t="n">
        <v>0.000274</v>
      </c>
      <c r="C2263" t="inlineStr">
        <is>
          <t>RER</t>
        </is>
      </c>
      <c r="D2263" t="inlineStr">
        <is>
          <t>ton kilometer</t>
        </is>
      </c>
      <c r="E2263" t="inlineStr">
        <is>
          <t>Materials/fuels</t>
        </is>
      </c>
      <c r="F2263" t="inlineStr">
        <is>
          <t>technosphere</t>
        </is>
      </c>
      <c r="G2263" t="n">
        <v>0</v>
      </c>
      <c r="H2263" t="n">
        <v>0.000274</v>
      </c>
      <c r="J2263" t="inlineStr">
        <is>
          <t>other materials, waste products. 50 km</t>
        </is>
      </c>
      <c r="L2263" t="inlineStr">
        <is>
          <t>transport, freight, lorry, unspecified</t>
        </is>
      </c>
    </row>
    <row r="2264" ht="16" customHeight="1">
      <c r="A2264" t="inlineStr">
        <is>
          <t>market for wood chips, wet, measured as dry mass</t>
        </is>
      </c>
      <c r="B2264" t="n">
        <v>0.1020326</v>
      </c>
      <c r="C2264" t="inlineStr">
        <is>
          <t>Europe without Switzerland</t>
        </is>
      </c>
      <c r="D2264" t="inlineStr">
        <is>
          <t>kilogram</t>
        </is>
      </c>
      <c r="E2264" t="inlineStr">
        <is>
          <t>Materials/fuels</t>
        </is>
      </c>
      <c r="F2264" t="inlineStr">
        <is>
          <t>technosphere</t>
        </is>
      </c>
      <c r="G2264" t="n">
        <v>0</v>
      </c>
      <c r="H2264" t="n">
        <v>0.1020326</v>
      </c>
      <c r="J2264" t="inlineStr">
        <is>
          <t>conversion from cubic meter to kg based on ecoinvent 2.2 data</t>
        </is>
      </c>
      <c r="K2264" t="inlineStr">
        <is>
          <t>wood chips, wet, measured as dry mass</t>
        </is>
      </c>
      <c r="L2264" t="inlineStr">
        <is>
          <t>wood chips, wet, measured as dry mass</t>
        </is>
      </c>
    </row>
    <row r="2265">
      <c r="A2265" t="inlineStr">
        <is>
          <t>market group for electricity, medium voltage</t>
        </is>
      </c>
      <c r="B2265" t="n">
        <v>0.0177</v>
      </c>
      <c r="C2265" t="inlineStr">
        <is>
          <t>ENTSO-E</t>
        </is>
      </c>
      <c r="D2265" t="inlineStr">
        <is>
          <t>kilowatt hour</t>
        </is>
      </c>
      <c r="E2265" t="inlineStr">
        <is>
          <t>Materials/fuels</t>
        </is>
      </c>
      <c r="F2265" t="inlineStr">
        <is>
          <t>technosphere</t>
        </is>
      </c>
      <c r="G2265" t="n">
        <v>0</v>
      </c>
      <c r="H2265" t="n">
        <v>0.0177</v>
      </c>
      <c r="L2265" t="inlineStr">
        <is>
          <t>electricity, medium voltage</t>
        </is>
      </c>
    </row>
    <row r="2266">
      <c r="A2266" t="inlineStr">
        <is>
          <t>market for nickel, 99.5%</t>
        </is>
      </c>
      <c r="B2266" t="n">
        <v>1.16e-11</v>
      </c>
      <c r="C2266" t="inlineStr">
        <is>
          <t>GLO</t>
        </is>
      </c>
      <c r="D2266" t="inlineStr">
        <is>
          <t>kilogram</t>
        </is>
      </c>
      <c r="E2266" t="inlineStr">
        <is>
          <t>Materials/fuels</t>
        </is>
      </c>
      <c r="F2266" t="inlineStr">
        <is>
          <t>technosphere</t>
        </is>
      </c>
      <c r="G2266" t="n">
        <v>0</v>
      </c>
      <c r="H2266" t="n">
        <v>1.16e-11</v>
      </c>
      <c r="J2266" t="inlineStr">
        <is>
          <t>Catalyst</t>
        </is>
      </c>
      <c r="K2266" t="inlineStr">
        <is>
          <t>nickel, 99.5%</t>
        </is>
      </c>
      <c r="L2266" t="inlineStr">
        <is>
          <t>nickel, 99.5%</t>
        </is>
      </c>
    </row>
    <row r="2267">
      <c r="A2267" t="inlineStr">
        <is>
          <t>treatment of inert waste, sanitary landfill</t>
        </is>
      </c>
      <c r="B2267" t="n">
        <v>-0.00202</v>
      </c>
      <c r="C2267" t="inlineStr">
        <is>
          <t>CH</t>
        </is>
      </c>
      <c r="D2267" t="inlineStr">
        <is>
          <t>kilogram</t>
        </is>
      </c>
      <c r="E2267" t="inlineStr">
        <is>
          <t>Waste to treatment</t>
        </is>
      </c>
      <c r="F2267" t="inlineStr">
        <is>
          <t>technosphere</t>
        </is>
      </c>
      <c r="G2267" t="n">
        <v>0</v>
      </c>
      <c r="H2267" t="n">
        <v>0.00202</v>
      </c>
      <c r="J2267" t="inlineStr">
        <is>
          <t>Olivine, Sorbalit (Kalk-Aktivkohle-Gemisch)</t>
        </is>
      </c>
      <c r="K2267" t="inlineStr">
        <is>
          <t>inert waste</t>
        </is>
      </c>
      <c r="L2267" t="inlineStr">
        <is>
          <t>inert waste</t>
        </is>
      </c>
    </row>
    <row r="2268">
      <c r="A2268" t="inlineStr">
        <is>
          <t>treatment of scrap aluminium, municipal incineration</t>
        </is>
      </c>
      <c r="B2268" t="n">
        <v>-1.16e-11</v>
      </c>
      <c r="C2268" t="inlineStr">
        <is>
          <t>CH</t>
        </is>
      </c>
      <c r="D2268" t="inlineStr">
        <is>
          <t>kilogram</t>
        </is>
      </c>
      <c r="E2268" t="inlineStr">
        <is>
          <t>Waste to treatment</t>
        </is>
      </c>
      <c r="F2268" t="inlineStr">
        <is>
          <t>technosphere</t>
        </is>
      </c>
      <c r="G2268" t="n">
        <v>0</v>
      </c>
      <c r="H2268" t="n">
        <v>1.16e-11</v>
      </c>
      <c r="J2268" t="inlineStr">
        <is>
          <t>Aluminium oxide</t>
        </is>
      </c>
      <c r="K2268" t="inlineStr">
        <is>
          <t>scrap aluminium</t>
        </is>
      </c>
      <c r="L2268" t="inlineStr">
        <is>
          <t>scrap aluminium</t>
        </is>
      </c>
    </row>
    <row r="2269">
      <c r="A2269" t="inlineStr">
        <is>
          <t>treatment of scrap copper, municipal incineration</t>
        </is>
      </c>
      <c r="B2269" t="n">
        <v>-1.16e-11</v>
      </c>
      <c r="C2269" t="inlineStr">
        <is>
          <t>CH</t>
        </is>
      </c>
      <c r="D2269" t="inlineStr">
        <is>
          <t>kilogram</t>
        </is>
      </c>
      <c r="E2269" t="inlineStr">
        <is>
          <t>Waste to treatment</t>
        </is>
      </c>
      <c r="F2269" t="inlineStr">
        <is>
          <t>technosphere</t>
        </is>
      </c>
      <c r="G2269" t="n">
        <v>0</v>
      </c>
      <c r="H2269" t="n">
        <v>1.16e-11</v>
      </c>
      <c r="J2269" t="inlineStr">
        <is>
          <t>Approximation for Nickel! (very conservative; for calculations only)</t>
        </is>
      </c>
      <c r="K2269" t="inlineStr">
        <is>
          <t>scrap copper</t>
        </is>
      </c>
      <c r="L2269" t="inlineStr">
        <is>
          <t>scrap copper</t>
        </is>
      </c>
    </row>
    <row r="2270">
      <c r="A2270" t="inlineStr">
        <is>
          <t>treatment of waste gypsum, sanitary landfill</t>
        </is>
      </c>
      <c r="B2270" t="n">
        <v>-5.63e-05</v>
      </c>
      <c r="C2270" t="inlineStr">
        <is>
          <t>CH</t>
        </is>
      </c>
      <c r="D2270" t="inlineStr">
        <is>
          <t>kilogram</t>
        </is>
      </c>
      <c r="E2270" t="inlineStr">
        <is>
          <t>Waste to treatment</t>
        </is>
      </c>
      <c r="F2270" t="inlineStr">
        <is>
          <t>technosphere</t>
        </is>
      </c>
      <c r="G2270" t="n">
        <v>0</v>
      </c>
      <c r="H2270" t="n">
        <v>5.63e-05</v>
      </c>
      <c r="J2270" t="inlineStr">
        <is>
          <t>Calcium sulfate (ZnO sulphur-removal)</t>
        </is>
      </c>
      <c r="K2270" t="inlineStr">
        <is>
          <t>waste gypsum</t>
        </is>
      </c>
      <c r="L2270" t="inlineStr">
        <is>
          <t>waste gypsum</t>
        </is>
      </c>
    </row>
    <row r="2271" ht="16" customHeight="1">
      <c r="A2271" t="inlineStr">
        <is>
          <t>treatment of wood ash mixture, pure, sanitary landfill</t>
        </is>
      </c>
      <c r="B2271" t="n">
        <v>-0.000945</v>
      </c>
      <c r="C2271" t="inlineStr">
        <is>
          <t>CH</t>
        </is>
      </c>
      <c r="D2271" t="inlineStr">
        <is>
          <t>kilogram</t>
        </is>
      </c>
      <c r="E2271" t="inlineStr">
        <is>
          <t>Waste to treatment</t>
        </is>
      </c>
      <c r="F2271" t="inlineStr">
        <is>
          <t>technosphere</t>
        </is>
      </c>
      <c r="G2271" t="n">
        <v>0</v>
      </c>
      <c r="H2271" t="n">
        <v>0.000945</v>
      </c>
      <c r="J2271" t="inlineStr">
        <is>
          <t>Wood ash</t>
        </is>
      </c>
      <c r="K2271" t="inlineStr">
        <is>
          <t>wood ash mixture, pure</t>
        </is>
      </c>
      <c r="L2271" t="inlineStr">
        <is>
          <t>wood ash mixture, pure</t>
        </is>
      </c>
    </row>
    <row r="2272">
      <c r="A2272" t="inlineStr">
        <is>
          <t>zinc mine operation</t>
        </is>
      </c>
      <c r="B2272" t="n">
        <v>6.28e-06</v>
      </c>
      <c r="C2272" t="inlineStr">
        <is>
          <t>GLO</t>
        </is>
      </c>
      <c r="D2272" t="inlineStr">
        <is>
          <t>kilogram</t>
        </is>
      </c>
      <c r="E2272" t="inlineStr">
        <is>
          <t>Materials/fuels</t>
        </is>
      </c>
      <c r="F2272" t="inlineStr">
        <is>
          <t>technosphere</t>
        </is>
      </c>
      <c r="G2272" t="n">
        <v>0</v>
      </c>
      <c r="H2272" t="n">
        <v>6.28e-06</v>
      </c>
      <c r="J2272" t="inlineStr">
        <is>
          <t>Approximation for ZnO</t>
        </is>
      </c>
      <c r="K2272" t="inlineStr">
        <is>
          <t>zinc concentrate</t>
        </is>
      </c>
      <c r="L2272" t="inlineStr">
        <is>
          <t>zinc concentrate</t>
        </is>
      </c>
    </row>
    <row r="2273"/>
    <row r="2274">
      <c r="A2274" s="1" t="inlineStr">
        <is>
          <t>Activity</t>
        </is>
      </c>
      <c r="B2274" s="1" t="inlineStr">
        <is>
          <t>Wood combustion power plant 20 MW</t>
        </is>
      </c>
    </row>
    <row r="2275">
      <c r="A2275" t="inlineStr">
        <is>
          <t>location</t>
        </is>
      </c>
      <c r="B2275" t="inlineStr">
        <is>
          <t>RER</t>
        </is>
      </c>
    </row>
    <row r="2276">
      <c r="A2276" t="inlineStr">
        <is>
          <t>production amount</t>
        </is>
      </c>
      <c r="B2276" t="n">
        <v>1</v>
      </c>
    </row>
    <row r="2277">
      <c r="A2277" t="inlineStr">
        <is>
          <t>reference product</t>
        </is>
      </c>
      <c r="B2277" t="inlineStr">
        <is>
          <t>Wood combustion power plant 20 MW</t>
        </is>
      </c>
    </row>
    <row r="2278" ht="16" customHeight="1">
      <c r="A2278" t="inlineStr">
        <is>
          <t>type</t>
        </is>
      </c>
      <c r="B2278" t="inlineStr">
        <is>
          <t>process</t>
        </is>
      </c>
    </row>
    <row r="2279">
      <c r="A2279" t="inlineStr">
        <is>
          <t>unit</t>
        </is>
      </c>
      <c r="B2279" t="inlineStr">
        <is>
          <t>unit</t>
        </is>
      </c>
    </row>
    <row r="2280">
      <c r="A2280" t="inlineStr">
        <is>
          <t>source</t>
        </is>
      </c>
      <c r="B2280" t="inlineStr">
        <is>
          <t>Life cycle assessment of carbon capture and storage in power generation and industry in Europe, Volkart et al., 2013, International Journal of Greenhouse Gas Control</t>
        </is>
      </c>
    </row>
    <row r="2281">
      <c r="A2281" s="1" t="inlineStr">
        <is>
          <t>Exchanges</t>
        </is>
      </c>
    </row>
    <row r="2282">
      <c r="A2282" t="inlineStr">
        <is>
          <t>name</t>
        </is>
      </c>
      <c r="B2282" t="inlineStr">
        <is>
          <t>amount</t>
        </is>
      </c>
      <c r="C2282" t="inlineStr">
        <is>
          <t>location</t>
        </is>
      </c>
      <c r="D2282" t="inlineStr">
        <is>
          <t>unit</t>
        </is>
      </c>
      <c r="E2282" t="inlineStr">
        <is>
          <t>categories</t>
        </is>
      </c>
      <c r="F2282" t="inlineStr">
        <is>
          <t>type</t>
        </is>
      </c>
      <c r="G2282" t="inlineStr">
        <is>
          <t>uncertainty type</t>
        </is>
      </c>
      <c r="H2282" t="inlineStr">
        <is>
          <t>loc</t>
        </is>
      </c>
      <c r="I2282" t="inlineStr">
        <is>
          <t>allocation</t>
        </is>
      </c>
      <c r="J2282" t="inlineStr">
        <is>
          <t>comment</t>
        </is>
      </c>
      <c r="K2282" t="inlineStr">
        <is>
          <t>reference product</t>
        </is>
      </c>
      <c r="L2282" t="inlineStr">
        <is>
          <t>simapro name</t>
        </is>
      </c>
      <c r="M2282" t="inlineStr">
        <is>
          <t>reference product</t>
        </is>
      </c>
    </row>
    <row r="2283">
      <c r="A2283" t="inlineStr">
        <is>
          <t>Wood combustion power plant 20 MW</t>
        </is>
      </c>
      <c r="B2283" t="n">
        <v>1</v>
      </c>
      <c r="C2283" t="inlineStr">
        <is>
          <t>RER</t>
        </is>
      </c>
      <c r="D2283" t="inlineStr">
        <is>
          <t>unit</t>
        </is>
      </c>
      <c r="E2283" t="inlineStr">
        <is>
          <t>CCS Europe 2025::Infrastructure&amp;Background</t>
        </is>
      </c>
      <c r="F2283" t="inlineStr">
        <is>
          <t>production</t>
        </is>
      </c>
      <c r="I2283" t="n">
        <v>100</v>
      </c>
      <c r="L2283" t="inlineStr">
        <is>
          <t>Wood combustion power plant 20 MW/I U</t>
        </is>
      </c>
    </row>
    <row r="2284">
      <c r="A2284" t="inlineStr">
        <is>
          <t>heat and power co-generation unit construction, 6400kW thermal, building</t>
        </is>
      </c>
      <c r="B2284" t="n">
        <v>3</v>
      </c>
      <c r="C2284" t="inlineStr">
        <is>
          <t>CH</t>
        </is>
      </c>
      <c r="D2284" t="inlineStr">
        <is>
          <t>unit</t>
        </is>
      </c>
      <c r="E2284" t="inlineStr">
        <is>
          <t>Materials/fuels</t>
        </is>
      </c>
      <c r="F2284" t="inlineStr">
        <is>
          <t>technosphere</t>
        </is>
      </c>
      <c r="G2284" t="n">
        <v>0</v>
      </c>
      <c r="H2284" t="n">
        <v>3</v>
      </c>
      <c r="K2284" t="inlineStr">
        <is>
          <t>heat and power co-generation unit, 6400kW thermal, building</t>
        </is>
      </c>
      <c r="L2284" t="inlineStr">
        <is>
          <t>Cogen unit 6400kWth, wood burning, building/CH/I U</t>
        </is>
      </c>
      <c r="M2284" t="inlineStr">
        <is>
          <t>heat and power co-generation unit, 6400kW thermal, building</t>
        </is>
      </c>
    </row>
    <row r="2285" ht="16" customHeight="1">
      <c r="A2285" t="inlineStr">
        <is>
          <t>heat and power co-generation unit construction, 6400kW thermal, common components for heat+electricity</t>
        </is>
      </c>
      <c r="B2285" t="n">
        <v>3</v>
      </c>
      <c r="C2285" t="inlineStr">
        <is>
          <t>CH</t>
        </is>
      </c>
      <c r="D2285" t="inlineStr">
        <is>
          <t>unit</t>
        </is>
      </c>
      <c r="E2285" t="inlineStr">
        <is>
          <t>Materials/fuels</t>
        </is>
      </c>
      <c r="F2285" t="inlineStr">
        <is>
          <t>technosphere</t>
        </is>
      </c>
      <c r="G2285" t="n">
        <v>0</v>
      </c>
      <c r="H2285" t="n">
        <v>3</v>
      </c>
      <c r="K2285" t="inlineStr">
        <is>
          <t>heat and power co-generation unit, 6400kW thermal, common components for heat+electricity</t>
        </is>
      </c>
      <c r="L2285" t="inlineStr">
        <is>
          <t>Cogen unit 6400kWth, wood burning, common components for heat+electricity/CH/I U</t>
        </is>
      </c>
      <c r="M2285" t="inlineStr">
        <is>
          <t>heat and power co-generation unit, 6400kW thermal, common components for heat+electricity</t>
        </is>
      </c>
    </row>
    <row r="2286">
      <c r="A2286" t="inlineStr">
        <is>
          <t>heat and power co-generation unit construction, 6400kW thermal, components for electricity only</t>
        </is>
      </c>
      <c r="B2286" t="n">
        <v>3</v>
      </c>
      <c r="C2286" t="inlineStr">
        <is>
          <t>CH</t>
        </is>
      </c>
      <c r="D2286" t="inlineStr">
        <is>
          <t>unit</t>
        </is>
      </c>
      <c r="E2286" t="inlineStr">
        <is>
          <t>Materials/fuels</t>
        </is>
      </c>
      <c r="F2286" t="inlineStr">
        <is>
          <t>technosphere</t>
        </is>
      </c>
      <c r="G2286" t="n">
        <v>0</v>
      </c>
      <c r="H2286" t="n">
        <v>3</v>
      </c>
      <c r="K2286" t="inlineStr">
        <is>
          <t>heat and power co-generation unit, 6400kW thermal, components for electricity only</t>
        </is>
      </c>
      <c r="L2286" t="inlineStr">
        <is>
          <t>Cogen unit 6400kWth, wood burning, components for electricity only/CH/I U</t>
        </is>
      </c>
      <c r="M2286" t="inlineStr">
        <is>
          <t>heat and power co-generation unit, 6400kW thermal, components for electricity only</t>
        </is>
      </c>
    </row>
    <row r="2287"/>
    <row r="2288">
      <c r="A2288" s="1" t="inlineStr">
        <is>
          <t>Activity</t>
        </is>
      </c>
      <c r="B2288" s="1" t="inlineStr">
        <is>
          <t>construction, hard coal IGCC power plant 450MW</t>
        </is>
      </c>
    </row>
    <row r="2289">
      <c r="A2289" t="inlineStr">
        <is>
          <t>location</t>
        </is>
      </c>
      <c r="B2289" t="inlineStr">
        <is>
          <t>RER</t>
        </is>
      </c>
    </row>
    <row r="2290">
      <c r="A2290" t="inlineStr">
        <is>
          <t>production amount</t>
        </is>
      </c>
      <c r="B2290" t="n">
        <v>1</v>
      </c>
    </row>
    <row r="2291">
      <c r="A2291" t="inlineStr">
        <is>
          <t>reference product</t>
        </is>
      </c>
      <c r="B2291" t="inlineStr">
        <is>
          <t>construction, hard coal IGCC power plant 450MW</t>
        </is>
      </c>
    </row>
    <row r="2292">
      <c r="A2292" t="inlineStr">
        <is>
          <t>type</t>
        </is>
      </c>
      <c r="B2292" t="inlineStr">
        <is>
          <t>process</t>
        </is>
      </c>
    </row>
    <row r="2293">
      <c r="A2293" t="inlineStr">
        <is>
          <t>unit</t>
        </is>
      </c>
      <c r="B2293" t="inlineStr">
        <is>
          <t>unit</t>
        </is>
      </c>
    </row>
    <row r="2294">
      <c r="A2294" t="inlineStr">
        <is>
          <t>source</t>
        </is>
      </c>
      <c r="B2294" t="inlineStr">
        <is>
          <t>Life cycle assessment of carbon capture and storage in power generation and industry in Europe, Volkart et al., 2013, International Journal of Greenhouse Gas Control</t>
        </is>
      </c>
    </row>
    <row r="2295">
      <c r="A2295" s="1" t="inlineStr">
        <is>
          <t>Exchanges</t>
        </is>
      </c>
    </row>
    <row r="2296">
      <c r="A2296" t="inlineStr">
        <is>
          <t>name</t>
        </is>
      </c>
      <c r="B2296" t="inlineStr">
        <is>
          <t>amount</t>
        </is>
      </c>
      <c r="C2296" t="inlineStr">
        <is>
          <t>location</t>
        </is>
      </c>
      <c r="D2296" t="inlineStr">
        <is>
          <t>unit</t>
        </is>
      </c>
      <c r="E2296" t="inlineStr">
        <is>
          <t>categories</t>
        </is>
      </c>
      <c r="F2296" t="inlineStr">
        <is>
          <t>type</t>
        </is>
      </c>
      <c r="G2296" t="inlineStr">
        <is>
          <t>uncertainty type</t>
        </is>
      </c>
      <c r="H2296" t="inlineStr">
        <is>
          <t>loc</t>
        </is>
      </c>
      <c r="I2296" t="inlineStr">
        <is>
          <t>scale</t>
        </is>
      </c>
      <c r="J2296" t="inlineStr">
        <is>
          <t>allocation</t>
        </is>
      </c>
      <c r="K2296" t="inlineStr">
        <is>
          <t>comment</t>
        </is>
      </c>
      <c r="L2296" t="inlineStr">
        <is>
          <t>negative</t>
        </is>
      </c>
      <c r="M2296" t="inlineStr">
        <is>
          <t>reference product</t>
        </is>
      </c>
    </row>
    <row r="2297">
      <c r="A2297" t="inlineStr">
        <is>
          <t>Occupation, construction site</t>
        </is>
      </c>
      <c r="B2297" t="n">
        <v>2170000</v>
      </c>
      <c r="D2297" t="inlineStr">
        <is>
          <t>square meter-year</t>
        </is>
      </c>
      <c r="E2297" t="inlineStr">
        <is>
          <t>natural resource::land</t>
        </is>
      </c>
      <c r="F2297" t="inlineStr">
        <is>
          <t>biosphere</t>
        </is>
      </c>
      <c r="G2297" t="n">
        <v>0</v>
      </c>
      <c r="H2297" t="n">
        <v>14.59023772551664</v>
      </c>
      <c r="I2297" t="n">
        <v>0</v>
      </c>
      <c r="L2297" t="n">
        <v>0</v>
      </c>
    </row>
    <row r="2298">
      <c r="A2298" t="inlineStr">
        <is>
          <t>Transformation, from annual crop, non-irrigated</t>
        </is>
      </c>
      <c r="B2298" t="n">
        <v>543000</v>
      </c>
      <c r="D2298" t="inlineStr">
        <is>
          <t>square meter</t>
        </is>
      </c>
      <c r="E2298" t="inlineStr">
        <is>
          <t>natural resource::land</t>
        </is>
      </c>
      <c r="F2298" t="inlineStr">
        <is>
          <t>biosphere</t>
        </is>
      </c>
      <c r="G2298" t="n">
        <v>0</v>
      </c>
      <c r="H2298" t="n">
        <v>13.20486459891607</v>
      </c>
      <c r="I2298" t="n">
        <v>0</v>
      </c>
      <c r="L2298" t="n">
        <v>0</v>
      </c>
    </row>
    <row r="2299">
      <c r="A2299" t="inlineStr">
        <is>
          <t>Transformation, to industrial area</t>
        </is>
      </c>
      <c r="B2299" t="n">
        <v>81400</v>
      </c>
      <c r="D2299" t="inlineStr">
        <is>
          <t>square meter</t>
        </is>
      </c>
      <c r="E2299" t="inlineStr">
        <is>
          <t>natural resource::land</t>
        </is>
      </c>
      <c r="F2299" t="inlineStr">
        <is>
          <t>biosphere</t>
        </is>
      </c>
      <c r="G2299" t="n">
        <v>0</v>
      </c>
      <c r="H2299" t="n">
        <v>11.30713055199063</v>
      </c>
      <c r="I2299" t="n">
        <v>0</v>
      </c>
      <c r="L2299" t="n">
        <v>0</v>
      </c>
    </row>
    <row r="2300">
      <c r="A2300" t="inlineStr">
        <is>
          <t>Transformation, to industrial area</t>
        </is>
      </c>
      <c r="B2300" t="n">
        <v>271000</v>
      </c>
      <c r="D2300" t="inlineStr">
        <is>
          <t>square meter</t>
        </is>
      </c>
      <c r="E2300" t="inlineStr">
        <is>
          <t>natural resource::land</t>
        </is>
      </c>
      <c r="F2300" t="inlineStr">
        <is>
          <t>biosphere</t>
        </is>
      </c>
      <c r="G2300" t="n">
        <v>0</v>
      </c>
      <c r="H2300" t="n">
        <v>12.50987409986184</v>
      </c>
      <c r="I2300" t="n">
        <v>0</v>
      </c>
      <c r="L2300" t="n">
        <v>0</v>
      </c>
    </row>
    <row r="2301">
      <c r="A2301" t="inlineStr">
        <is>
          <t>Transformation, to industrial area</t>
        </is>
      </c>
      <c r="B2301" t="n">
        <v>109000</v>
      </c>
      <c r="D2301" t="inlineStr">
        <is>
          <t>square meter</t>
        </is>
      </c>
      <c r="E2301" t="inlineStr">
        <is>
          <t>natural resource::land</t>
        </is>
      </c>
      <c r="F2301" t="inlineStr">
        <is>
          <t>biosphere</t>
        </is>
      </c>
      <c r="G2301" t="n">
        <v>0</v>
      </c>
      <c r="H2301" t="n">
        <v>11.59910316121128</v>
      </c>
      <c r="I2301" t="n">
        <v>0</v>
      </c>
      <c r="L2301" t="n">
        <v>0</v>
      </c>
    </row>
    <row r="2302">
      <c r="A2302" t="inlineStr">
        <is>
          <t>Transformation, to traffic area, rail network</t>
        </is>
      </c>
      <c r="B2302" t="n">
        <v>27100</v>
      </c>
      <c r="D2302" t="inlineStr">
        <is>
          <t>square meter</t>
        </is>
      </c>
      <c r="E2302" t="inlineStr">
        <is>
          <t>natural resource::land</t>
        </is>
      </c>
      <c r="F2302" t="inlineStr">
        <is>
          <t>biosphere</t>
        </is>
      </c>
      <c r="G2302" t="n">
        <v>0</v>
      </c>
      <c r="H2302" t="n">
        <v>10.20728900686779</v>
      </c>
      <c r="I2302" t="n">
        <v>0</v>
      </c>
      <c r="L2302" t="n">
        <v>0</v>
      </c>
    </row>
    <row r="2303">
      <c r="A2303" t="inlineStr">
        <is>
          <t>Transformation, to traffic area, road network</t>
        </is>
      </c>
      <c r="B2303" t="n">
        <v>81400</v>
      </c>
      <c r="D2303" t="inlineStr">
        <is>
          <t>square meter</t>
        </is>
      </c>
      <c r="E2303" t="inlineStr">
        <is>
          <t>natural resource::land</t>
        </is>
      </c>
      <c r="F2303" t="inlineStr">
        <is>
          <t>biosphere</t>
        </is>
      </c>
      <c r="G2303" t="n">
        <v>0</v>
      </c>
      <c r="H2303" t="n">
        <v>11.30713055199063</v>
      </c>
      <c r="I2303" t="n">
        <v>0</v>
      </c>
      <c r="L2303" t="n">
        <v>0</v>
      </c>
    </row>
    <row r="2304">
      <c r="A2304" t="inlineStr">
        <is>
          <t>construction, hard coal IGCC power plant 450MW</t>
        </is>
      </c>
      <c r="B2304" t="n">
        <v>1</v>
      </c>
      <c r="C2304" t="inlineStr">
        <is>
          <t>RER</t>
        </is>
      </c>
      <c r="D2304" t="inlineStr">
        <is>
          <t>unit</t>
        </is>
      </c>
      <c r="E2304" t="inlineStr">
        <is>
          <t>NEEDS_2000::Hard_Coal::IGCC::infrastructure</t>
        </is>
      </c>
      <c r="F2304" t="inlineStr">
        <is>
          <t>production</t>
        </is>
      </c>
      <c r="J2304" t="n">
        <v>100</v>
      </c>
    </row>
    <row r="2305">
      <c r="A2305" t="inlineStr">
        <is>
          <t>alkyd paint production, white, water-based, product in 60% solution state</t>
        </is>
      </c>
      <c r="B2305" t="n">
        <v>35900</v>
      </c>
      <c r="C2305" t="inlineStr">
        <is>
          <t>RER</t>
        </is>
      </c>
      <c r="D2305" t="inlineStr">
        <is>
          <t>kilogram</t>
        </is>
      </c>
      <c r="E2305" t="inlineStr">
        <is>
          <t>Materials/fuels</t>
        </is>
      </c>
      <c r="F2305" t="inlineStr">
        <is>
          <t>technosphere</t>
        </is>
      </c>
      <c r="G2305" t="n">
        <v>0</v>
      </c>
      <c r="H2305" t="n">
        <v>10.48849257447637</v>
      </c>
      <c r="I2305" t="n">
        <v>0</v>
      </c>
      <c r="L2305" t="n">
        <v>0</v>
      </c>
      <c r="M2305" t="inlineStr">
        <is>
          <t>alkyd paint, white, without water, in 60% solution state</t>
        </is>
      </c>
    </row>
    <row r="2306">
      <c r="A2306" t="inlineStr">
        <is>
          <t>aluminium, ingot, primary, import from Rest of Europe</t>
        </is>
      </c>
      <c r="B2306" t="n">
        <v>252000</v>
      </c>
      <c r="C2306" t="inlineStr">
        <is>
          <t>IAI Area, EU27 &amp; EFTA</t>
        </is>
      </c>
      <c r="D2306" t="inlineStr">
        <is>
          <t>kilogram</t>
        </is>
      </c>
      <c r="E2306" t="inlineStr">
        <is>
          <t>Materials/fuels</t>
        </is>
      </c>
      <c r="F2306" t="inlineStr">
        <is>
          <t>technosphere</t>
        </is>
      </c>
      <c r="G2306" t="n">
        <v>0</v>
      </c>
      <c r="H2306" t="n">
        <v>12.43718436649356</v>
      </c>
      <c r="I2306" t="n">
        <v>0</v>
      </c>
      <c r="L2306" t="n">
        <v>0</v>
      </c>
      <c r="M2306" t="inlineStr">
        <is>
          <t>aluminium, primary, ingot</t>
        </is>
      </c>
    </row>
    <row r="2307">
      <c r="A2307" t="inlineStr">
        <is>
          <t>ceramic tile production</t>
        </is>
      </c>
      <c r="B2307" t="n">
        <v>6550</v>
      </c>
      <c r="C2307" t="inlineStr">
        <is>
          <t>CH</t>
        </is>
      </c>
      <c r="D2307" t="inlineStr">
        <is>
          <t>kilogram</t>
        </is>
      </c>
      <c r="E2307" t="inlineStr">
        <is>
          <t>Materials/fuels</t>
        </is>
      </c>
      <c r="F2307" t="inlineStr">
        <is>
          <t>technosphere</t>
        </is>
      </c>
      <c r="G2307" t="n">
        <v>0</v>
      </c>
      <c r="H2307" t="n">
        <v>8.787220328629298</v>
      </c>
      <c r="I2307" t="n">
        <v>0</v>
      </c>
      <c r="L2307" t="n">
        <v>0</v>
      </c>
      <c r="M2307" t="inlineStr">
        <is>
          <t>ceramic tile</t>
        </is>
      </c>
    </row>
    <row r="2308">
      <c r="A2308" t="inlineStr">
        <is>
          <t>excavation, hydraulic digger</t>
        </is>
      </c>
      <c r="B2308" t="n">
        <v>880000</v>
      </c>
      <c r="C2308" t="inlineStr">
        <is>
          <t>RER</t>
        </is>
      </c>
      <c r="D2308" t="inlineStr">
        <is>
          <t>cubic meter</t>
        </is>
      </c>
      <c r="E2308" t="inlineStr">
        <is>
          <t>Materials/fuels</t>
        </is>
      </c>
      <c r="F2308" t="inlineStr">
        <is>
          <t>technosphere</t>
        </is>
      </c>
      <c r="G2308" t="n">
        <v>0</v>
      </c>
      <c r="H2308" t="n">
        <v>13.68767718645439</v>
      </c>
      <c r="I2308" t="n">
        <v>0</v>
      </c>
      <c r="L2308" t="n">
        <v>0</v>
      </c>
      <c r="M2308" t="inlineStr">
        <is>
          <t>excavation, hydraulic digger</t>
        </is>
      </c>
    </row>
    <row r="2309">
      <c r="A2309" t="inlineStr">
        <is>
          <t>flat glass production, uncoated</t>
        </is>
      </c>
      <c r="B2309" t="n">
        <v>14100</v>
      </c>
      <c r="C2309" t="inlineStr">
        <is>
          <t>RER</t>
        </is>
      </c>
      <c r="D2309" t="inlineStr">
        <is>
          <t>kilogram</t>
        </is>
      </c>
      <c r="E2309" t="inlineStr">
        <is>
          <t>Materials/fuels</t>
        </is>
      </c>
      <c r="F2309" t="inlineStr">
        <is>
          <t>technosphere</t>
        </is>
      </c>
      <c r="G2309" t="n">
        <v>0</v>
      </c>
      <c r="H2309" t="n">
        <v>9.55393007636626</v>
      </c>
      <c r="I2309" t="n">
        <v>0</v>
      </c>
      <c r="L2309" t="n">
        <v>0</v>
      </c>
      <c r="M2309" t="inlineStr">
        <is>
          <t>flat glass, uncoated</t>
        </is>
      </c>
    </row>
    <row r="2310">
      <c r="A2310" t="inlineStr">
        <is>
          <t>heat production, heavy fuel oil, at industrial furnace 1MW</t>
        </is>
      </c>
      <c r="B2310" t="n">
        <v>232000000</v>
      </c>
      <c r="C2310" t="inlineStr">
        <is>
          <t>Europe without Switzerland</t>
        </is>
      </c>
      <c r="D2310" t="inlineStr">
        <is>
          <t>megajoule</t>
        </is>
      </c>
      <c r="E2310" t="inlineStr">
        <is>
          <t>Materials/fuels</t>
        </is>
      </c>
      <c r="F2310" t="inlineStr">
        <is>
          <t>technosphere</t>
        </is>
      </c>
      <c r="G2310" t="n">
        <v>0</v>
      </c>
      <c r="H2310" t="n">
        <v>19.26224792963058</v>
      </c>
      <c r="I2310" t="n">
        <v>0</v>
      </c>
      <c r="L2310" t="n">
        <v>0</v>
      </c>
      <c r="M2310" t="inlineStr">
        <is>
          <t>heat, district or industrial, other than natural gas</t>
        </is>
      </c>
    </row>
    <row r="2311">
      <c r="A2311" t="inlineStr">
        <is>
          <t>market for cast iron</t>
        </is>
      </c>
      <c r="B2311" t="n">
        <v>634000</v>
      </c>
      <c r="C2311" t="inlineStr">
        <is>
          <t>GLO</t>
        </is>
      </c>
      <c r="D2311" t="inlineStr">
        <is>
          <t>kilogram</t>
        </is>
      </c>
      <c r="E2311" t="inlineStr">
        <is>
          <t>Materials/fuels</t>
        </is>
      </c>
      <c r="F2311" t="inlineStr">
        <is>
          <t>technosphere</t>
        </is>
      </c>
      <c r="G2311" t="n">
        <v>0</v>
      </c>
      <c r="H2311" t="n">
        <v>13.35980423341936</v>
      </c>
      <c r="I2311" t="n">
        <v>0</v>
      </c>
      <c r="L2311" t="n">
        <v>0</v>
      </c>
      <c r="M2311" t="inlineStr">
        <is>
          <t>cast iron</t>
        </is>
      </c>
    </row>
    <row r="2312">
      <c r="A2312" t="inlineStr">
        <is>
          <t>market for concrete, normal</t>
        </is>
      </c>
      <c r="B2312" t="n">
        <v>127000</v>
      </c>
      <c r="C2312" t="inlineStr">
        <is>
          <t>CH</t>
        </is>
      </c>
      <c r="D2312" t="inlineStr">
        <is>
          <t>cubic meter</t>
        </is>
      </c>
      <c r="E2312" t="inlineStr">
        <is>
          <t>Materials/fuels</t>
        </is>
      </c>
      <c r="F2312" t="inlineStr">
        <is>
          <t>technosphere</t>
        </is>
      </c>
      <c r="G2312" t="n">
        <v>0</v>
      </c>
      <c r="H2312" t="n">
        <v>11.75194236544073</v>
      </c>
      <c r="I2312" t="n">
        <v>0</v>
      </c>
      <c r="L2312" t="n">
        <v>0</v>
      </c>
      <c r="M2312" t="inlineStr">
        <is>
          <t>concrete, normal</t>
        </is>
      </c>
    </row>
    <row r="2313">
      <c r="A2313" t="inlineStr">
        <is>
          <t>market for copper</t>
        </is>
      </c>
      <c r="B2313" t="n">
        <v>1380000</v>
      </c>
      <c r="C2313" t="inlineStr">
        <is>
          <t>GLO</t>
        </is>
      </c>
      <c r="D2313" t="inlineStr">
        <is>
          <t>kilogram</t>
        </is>
      </c>
      <c r="E2313" t="inlineStr">
        <is>
          <t>Materials/fuels</t>
        </is>
      </c>
      <c r="F2313" t="inlineStr">
        <is>
          <t>technosphere</t>
        </is>
      </c>
      <c r="G2313" t="n">
        <v>0</v>
      </c>
      <c r="H2313" t="n">
        <v>14.13759405713339</v>
      </c>
      <c r="I2313" t="n">
        <v>0</v>
      </c>
      <c r="L2313" t="n">
        <v>0</v>
      </c>
      <c r="M2313" t="inlineStr">
        <is>
          <t>copper</t>
        </is>
      </c>
    </row>
    <row r="2314">
      <c r="A2314" t="inlineStr">
        <is>
          <t>market for lead</t>
        </is>
      </c>
      <c r="B2314" t="n">
        <v>1720</v>
      </c>
      <c r="C2314" t="inlineStr">
        <is>
          <t>GLO</t>
        </is>
      </c>
      <c r="D2314" t="inlineStr">
        <is>
          <t>kilogram</t>
        </is>
      </c>
      <c r="E2314" t="inlineStr">
        <is>
          <t>Materials/fuels</t>
        </is>
      </c>
      <c r="F2314" t="inlineStr">
        <is>
          <t>technosphere</t>
        </is>
      </c>
      <c r="G2314" t="n">
        <v>0</v>
      </c>
      <c r="H2314" t="n">
        <v>7.450079569807499</v>
      </c>
      <c r="I2314" t="n">
        <v>0</v>
      </c>
      <c r="L2314" t="n">
        <v>0</v>
      </c>
      <c r="M2314" t="inlineStr">
        <is>
          <t>lead</t>
        </is>
      </c>
    </row>
    <row r="2315">
      <c r="A2315" t="inlineStr">
        <is>
          <t>market for lubricating oil</t>
        </is>
      </c>
      <c r="B2315" t="n">
        <v>419000</v>
      </c>
      <c r="C2315" t="inlineStr">
        <is>
          <t>RER</t>
        </is>
      </c>
      <c r="D2315" t="inlineStr">
        <is>
          <t>kilogram</t>
        </is>
      </c>
      <c r="E2315" t="inlineStr">
        <is>
          <t>Materials/fuels</t>
        </is>
      </c>
      <c r="F2315" t="inlineStr">
        <is>
          <t>technosphere</t>
        </is>
      </c>
      <c r="G2315" t="n">
        <v>0</v>
      </c>
      <c r="H2315" t="n">
        <v>12.94562619890428</v>
      </c>
      <c r="I2315" t="n">
        <v>0</v>
      </c>
      <c r="L2315" t="n">
        <v>0</v>
      </c>
      <c r="M2315" t="inlineStr">
        <is>
          <t>lubricating oil</t>
        </is>
      </c>
    </row>
    <row r="2316">
      <c r="A2316" t="inlineStr">
        <is>
          <t>market for polyvinylfluoride</t>
        </is>
      </c>
      <c r="B2316" t="n">
        <v>790000</v>
      </c>
      <c r="C2316" t="inlineStr">
        <is>
          <t>GLO</t>
        </is>
      </c>
      <c r="D2316" t="inlineStr">
        <is>
          <t>kilogram</t>
        </is>
      </c>
      <c r="E2316" t="inlineStr">
        <is>
          <t>Materials/fuels</t>
        </is>
      </c>
      <c r="F2316" t="inlineStr">
        <is>
          <t>technosphere</t>
        </is>
      </c>
      <c r="G2316" t="n">
        <v>0</v>
      </c>
      <c r="H2316" t="n">
        <v>13.5797882244432</v>
      </c>
      <c r="I2316" t="n">
        <v>0</v>
      </c>
      <c r="L2316" t="n">
        <v>0</v>
      </c>
      <c r="M2316" t="inlineStr">
        <is>
          <t>polyvinylfluoride</t>
        </is>
      </c>
    </row>
    <row r="2317">
      <c r="A2317" t="inlineStr">
        <is>
          <t>market for stone wool</t>
        </is>
      </c>
      <c r="B2317" t="n">
        <v>1250000</v>
      </c>
      <c r="C2317" t="inlineStr">
        <is>
          <t>GLO</t>
        </is>
      </c>
      <c r="D2317" t="inlineStr">
        <is>
          <t>kilogram</t>
        </is>
      </c>
      <c r="E2317" t="inlineStr">
        <is>
          <t>Materials/fuels</t>
        </is>
      </c>
      <c r="F2317" t="inlineStr">
        <is>
          <t>technosphere</t>
        </is>
      </c>
      <c r="G2317" t="n">
        <v>0</v>
      </c>
      <c r="H2317" t="n">
        <v>14.03865410927848</v>
      </c>
      <c r="I2317" t="n">
        <v>0</v>
      </c>
      <c r="L2317" t="n">
        <v>0</v>
      </c>
      <c r="M2317" t="inlineStr">
        <is>
          <t>stone wool</t>
        </is>
      </c>
    </row>
    <row r="2318">
      <c r="A2318" t="inlineStr">
        <is>
          <t>market for transport, freight, lorry, unspecified</t>
        </is>
      </c>
      <c r="B2318" t="n">
        <v>26700000</v>
      </c>
      <c r="C2318" t="inlineStr">
        <is>
          <t>RER</t>
        </is>
      </c>
      <c r="D2318" t="inlineStr">
        <is>
          <t>ton kilometer</t>
        </is>
      </c>
      <c r="E2318" t="inlineStr">
        <is>
          <t>Materials/fuels</t>
        </is>
      </c>
      <c r="F2318" t="inlineStr">
        <is>
          <t>technosphere</t>
        </is>
      </c>
      <c r="G2318" t="n">
        <v>0</v>
      </c>
      <c r="H2318" t="n">
        <v>17.10017412337048</v>
      </c>
      <c r="I2318" t="n">
        <v>0</v>
      </c>
      <c r="L2318" t="n">
        <v>0</v>
      </c>
      <c r="M2318" t="inlineStr">
        <is>
          <t>transport, freight, lorry, unspecified</t>
        </is>
      </c>
    </row>
    <row r="2319">
      <c r="A2319" t="inlineStr">
        <is>
          <t>market group for electricity, low voltage</t>
        </is>
      </c>
      <c r="B2319" t="n">
        <v>18200000</v>
      </c>
      <c r="C2319" t="inlineStr">
        <is>
          <t>ENTSO-E</t>
        </is>
      </c>
      <c r="D2319" t="inlineStr">
        <is>
          <t>kilowatt hour</t>
        </is>
      </c>
      <c r="E2319" t="inlineStr">
        <is>
          <t>Materials/fuels</t>
        </is>
      </c>
      <c r="F2319" t="inlineStr">
        <is>
          <t>technosphere</t>
        </is>
      </c>
      <c r="G2319" t="n">
        <v>0</v>
      </c>
      <c r="H2319" t="n">
        <v>16.71693215204703</v>
      </c>
      <c r="I2319" t="n">
        <v>0</v>
      </c>
      <c r="L2319" t="n">
        <v>0</v>
      </c>
      <c r="M2319" t="inlineStr">
        <is>
          <t>electricity, low voltage</t>
        </is>
      </c>
    </row>
    <row r="2320">
      <c r="A2320" t="inlineStr">
        <is>
          <t>petroleum refinery operation</t>
        </is>
      </c>
      <c r="B2320" t="n">
        <v>265000</v>
      </c>
      <c r="C2320" t="inlineStr">
        <is>
          <t>CH</t>
        </is>
      </c>
      <c r="D2320" t="inlineStr">
        <is>
          <t>kilogram</t>
        </is>
      </c>
      <c r="E2320" t="inlineStr">
        <is>
          <t>Materials/fuels</t>
        </is>
      </c>
      <c r="F2320" t="inlineStr">
        <is>
          <t>technosphere</t>
        </is>
      </c>
      <c r="G2320" t="n">
        <v>0</v>
      </c>
      <c r="H2320" t="n">
        <v>12.48748510496836</v>
      </c>
      <c r="I2320" t="n">
        <v>0</v>
      </c>
      <c r="L2320" t="n">
        <v>0</v>
      </c>
      <c r="M2320" t="inlineStr">
        <is>
          <t>kerosene</t>
        </is>
      </c>
    </row>
    <row r="2321">
      <c r="A2321" t="inlineStr">
        <is>
          <t>plywood production, for outdoor use</t>
        </is>
      </c>
      <c r="B2321" t="n">
        <v>1.55</v>
      </c>
      <c r="C2321" t="inlineStr">
        <is>
          <t>RER</t>
        </is>
      </c>
      <c r="D2321" t="inlineStr">
        <is>
          <t>cubic meter</t>
        </is>
      </c>
      <c r="E2321" t="inlineStr">
        <is>
          <t>Materials/fuels</t>
        </is>
      </c>
      <c r="F2321" t="inlineStr">
        <is>
          <t>technosphere</t>
        </is>
      </c>
      <c r="G2321" t="n">
        <v>0</v>
      </c>
      <c r="H2321" t="n">
        <v>0.4382549309311553</v>
      </c>
      <c r="I2321" t="n">
        <v>0</v>
      </c>
      <c r="L2321" t="n">
        <v>0</v>
      </c>
      <c r="M2321" t="inlineStr">
        <is>
          <t>plywood, for outdoor use</t>
        </is>
      </c>
    </row>
    <row r="2322" ht="16" customHeight="1">
      <c r="A2322" t="inlineStr">
        <is>
          <t>polyethylene production, low density, granulate</t>
        </is>
      </c>
      <c r="B2322" t="n">
        <v>67700</v>
      </c>
      <c r="C2322" t="inlineStr">
        <is>
          <t>RER</t>
        </is>
      </c>
      <c r="D2322" t="inlineStr">
        <is>
          <t>kilogram</t>
        </is>
      </c>
      <c r="E2322" t="inlineStr">
        <is>
          <t>Materials/fuels</t>
        </is>
      </c>
      <c r="F2322" t="inlineStr">
        <is>
          <t>technosphere</t>
        </is>
      </c>
      <c r="G2322" t="n">
        <v>0</v>
      </c>
      <c r="H2322" t="n">
        <v>11.12284145890037</v>
      </c>
      <c r="I2322" t="n">
        <v>0</v>
      </c>
      <c r="L2322" t="n">
        <v>0</v>
      </c>
      <c r="M2322" t="inlineStr">
        <is>
          <t>polyethylene, low density, granulate</t>
        </is>
      </c>
    </row>
    <row r="2323">
      <c r="A2323" t="inlineStr">
        <is>
          <t>polypropylene production, granulate</t>
        </is>
      </c>
      <c r="B2323" t="n">
        <v>33900</v>
      </c>
      <c r="C2323" t="inlineStr">
        <is>
          <t>RER</t>
        </is>
      </c>
      <c r="D2323" t="inlineStr">
        <is>
          <t>kilogram</t>
        </is>
      </c>
      <c r="E2323" t="inlineStr">
        <is>
          <t>Materials/fuels</t>
        </is>
      </c>
      <c r="F2323" t="inlineStr">
        <is>
          <t>technosphere</t>
        </is>
      </c>
      <c r="G2323" t="n">
        <v>0</v>
      </c>
      <c r="H2323" t="n">
        <v>10.43117029336854</v>
      </c>
      <c r="I2323" t="n">
        <v>0</v>
      </c>
      <c r="L2323" t="n">
        <v>0</v>
      </c>
      <c r="M2323" t="inlineStr">
        <is>
          <t>polypropylene, granulate</t>
        </is>
      </c>
    </row>
    <row r="2324">
      <c r="A2324" t="inlineStr">
        <is>
          <t>polystyrene production, high impact</t>
        </is>
      </c>
      <c r="B2324" t="n">
        <v>237000</v>
      </c>
      <c r="C2324" t="inlineStr">
        <is>
          <t>RER</t>
        </is>
      </c>
      <c r="D2324" t="inlineStr">
        <is>
          <t>kilogram</t>
        </is>
      </c>
      <c r="E2324" t="inlineStr">
        <is>
          <t>Materials/fuels</t>
        </is>
      </c>
      <c r="F2324" t="inlineStr">
        <is>
          <t>technosphere</t>
        </is>
      </c>
      <c r="G2324" t="n">
        <v>0</v>
      </c>
      <c r="H2324" t="n">
        <v>12.37581542011727</v>
      </c>
      <c r="I2324" t="n">
        <v>0</v>
      </c>
      <c r="L2324" t="n">
        <v>0</v>
      </c>
      <c r="M2324" t="inlineStr">
        <is>
          <t>polystyrene, high impact</t>
        </is>
      </c>
    </row>
    <row r="2325">
      <c r="A2325" t="inlineStr">
        <is>
          <t>primary zinc production from concentrate</t>
        </is>
      </c>
      <c r="B2325" t="n">
        <v>7240</v>
      </c>
      <c r="C2325" t="inlineStr">
        <is>
          <t>RoW</t>
        </is>
      </c>
      <c r="D2325" t="inlineStr">
        <is>
          <t>kilogram</t>
        </is>
      </c>
      <c r="E2325" t="inlineStr">
        <is>
          <t>Materials/fuels</t>
        </is>
      </c>
      <c r="F2325" t="inlineStr">
        <is>
          <t>technosphere</t>
        </is>
      </c>
      <c r="G2325" t="n">
        <v>0</v>
      </c>
      <c r="H2325" t="n">
        <v>8.887376485379763</v>
      </c>
      <c r="I2325" t="n">
        <v>0</v>
      </c>
      <c r="L2325" t="n">
        <v>0</v>
      </c>
      <c r="M2325" t="inlineStr">
        <is>
          <t>indium rich leaching residues, from zinc production</t>
        </is>
      </c>
    </row>
    <row r="2326">
      <c r="A2326" t="inlineStr">
        <is>
          <t>steel production, converter, low-alloyed</t>
        </is>
      </c>
      <c r="B2326" t="n">
        <v>17000000</v>
      </c>
      <c r="C2326" t="inlineStr">
        <is>
          <t>RER</t>
        </is>
      </c>
      <c r="D2326" t="inlineStr">
        <is>
          <t>kilogram</t>
        </is>
      </c>
      <c r="E2326" t="inlineStr">
        <is>
          <t>Materials/fuels</t>
        </is>
      </c>
      <c r="F2326" t="inlineStr">
        <is>
          <t>technosphere</t>
        </is>
      </c>
      <c r="G2326" t="n">
        <v>0</v>
      </c>
      <c r="H2326" t="n">
        <v>16.64872390202049</v>
      </c>
      <c r="I2326" t="n">
        <v>0</v>
      </c>
      <c r="L2326" t="n">
        <v>0</v>
      </c>
      <c r="M2326" t="inlineStr">
        <is>
          <t>steel, low-alloyed</t>
        </is>
      </c>
    </row>
    <row r="2327">
      <c r="A2327" t="inlineStr">
        <is>
          <t>steel production, converter, unalloyed</t>
        </is>
      </c>
      <c r="B2327" t="n">
        <v>17000000</v>
      </c>
      <c r="C2327" t="inlineStr">
        <is>
          <t>RER</t>
        </is>
      </c>
      <c r="D2327" t="inlineStr">
        <is>
          <t>kilogram</t>
        </is>
      </c>
      <c r="E2327" t="inlineStr">
        <is>
          <t>Materials/fuels</t>
        </is>
      </c>
      <c r="F2327" t="inlineStr">
        <is>
          <t>technosphere</t>
        </is>
      </c>
      <c r="G2327" t="n">
        <v>0</v>
      </c>
      <c r="H2327" t="n">
        <v>16.64872390202049</v>
      </c>
      <c r="I2327" t="n">
        <v>0</v>
      </c>
      <c r="L2327" t="n">
        <v>0</v>
      </c>
      <c r="M2327" t="inlineStr">
        <is>
          <t>steel, unalloyed</t>
        </is>
      </c>
    </row>
    <row r="2328">
      <c r="A2328" t="inlineStr">
        <is>
          <t>steel production, electric, chromium steel 18/8</t>
        </is>
      </c>
      <c r="B2328" t="n">
        <v>3870000</v>
      </c>
      <c r="C2328" t="inlineStr">
        <is>
          <t>RER</t>
        </is>
      </c>
      <c r="D2328" t="inlineStr">
        <is>
          <t>kilogram</t>
        </is>
      </c>
      <c r="E2328" t="inlineStr">
        <is>
          <t>Materials/fuels</t>
        </is>
      </c>
      <c r="F2328" t="inlineStr">
        <is>
          <t>technosphere</t>
        </is>
      </c>
      <c r="G2328" t="n">
        <v>0</v>
      </c>
      <c r="H2328" t="n">
        <v>15.16876506500596</v>
      </c>
      <c r="I2328" t="n">
        <v>0</v>
      </c>
      <c r="L2328" t="n">
        <v>0</v>
      </c>
      <c r="M2328" t="inlineStr">
        <is>
          <t>steel, chromium steel 18/8</t>
        </is>
      </c>
    </row>
    <row r="2329" ht="16" customHeight="1">
      <c r="A2329" t="inlineStr">
        <is>
          <t>treatment of aluminium scrap, new, at refiner</t>
        </is>
      </c>
      <c r="B2329" t="n">
        <v>505000</v>
      </c>
      <c r="C2329" t="inlineStr">
        <is>
          <t>RER</t>
        </is>
      </c>
      <c r="D2329" t="inlineStr">
        <is>
          <t>kilogram</t>
        </is>
      </c>
      <c r="E2329" t="inlineStr">
        <is>
          <t>Materials/fuels</t>
        </is>
      </c>
      <c r="F2329" t="inlineStr">
        <is>
          <t>technosphere</t>
        </is>
      </c>
      <c r="G2329" t="n">
        <v>0</v>
      </c>
      <c r="H2329" t="n">
        <v>13.1323137082575</v>
      </c>
      <c r="I2329" t="n">
        <v>0</v>
      </c>
      <c r="L2329" t="n">
        <v>0</v>
      </c>
      <c r="M2329" t="inlineStr">
        <is>
          <t>aluminium oxide, non-metallurgical</t>
        </is>
      </c>
    </row>
    <row r="2330">
      <c r="A2330" t="inlineStr">
        <is>
          <t>treatment of aluminium scrap, post-consumer, prepared for recycling, at refiner</t>
        </is>
      </c>
      <c r="B2330" t="n">
        <v>252000</v>
      </c>
      <c r="C2330" t="inlineStr">
        <is>
          <t>RER</t>
        </is>
      </c>
      <c r="D2330" t="inlineStr">
        <is>
          <t>kilogram</t>
        </is>
      </c>
      <c r="E2330" t="inlineStr">
        <is>
          <t>Materials/fuels</t>
        </is>
      </c>
      <c r="F2330" t="inlineStr">
        <is>
          <t>technosphere</t>
        </is>
      </c>
      <c r="G2330" t="n">
        <v>0</v>
      </c>
      <c r="H2330" t="n">
        <v>12.43718436649356</v>
      </c>
      <c r="I2330" t="n">
        <v>0</v>
      </c>
      <c r="L2330" t="n">
        <v>0</v>
      </c>
      <c r="M2330" t="inlineStr">
        <is>
          <t>aluminium, cast alloy</t>
        </is>
      </c>
    </row>
    <row r="2331"/>
    <row r="2332">
      <c r="A2332" s="1" t="inlineStr">
        <is>
          <t>Activity</t>
        </is>
      </c>
      <c r="B2332" s="1" t="inlineStr">
        <is>
          <t>construction, lignite IGCC power plant 450MW</t>
        </is>
      </c>
    </row>
    <row r="2333">
      <c r="A2333" t="inlineStr">
        <is>
          <t>location</t>
        </is>
      </c>
      <c r="B2333" t="inlineStr">
        <is>
          <t>RER</t>
        </is>
      </c>
    </row>
    <row r="2334">
      <c r="A2334" t="inlineStr">
        <is>
          <t>production amount</t>
        </is>
      </c>
      <c r="B2334" t="n">
        <v>1</v>
      </c>
    </row>
    <row r="2335">
      <c r="A2335" t="inlineStr">
        <is>
          <t>reference product</t>
        </is>
      </c>
      <c r="B2335" t="inlineStr">
        <is>
          <t>construction, lignite IGCC power plant 450MW</t>
        </is>
      </c>
    </row>
    <row r="2336">
      <c r="A2336" t="inlineStr">
        <is>
          <t>type</t>
        </is>
      </c>
      <c r="B2336" t="inlineStr">
        <is>
          <t>process</t>
        </is>
      </c>
    </row>
    <row r="2337">
      <c r="A2337" t="inlineStr">
        <is>
          <t>unit</t>
        </is>
      </c>
      <c r="B2337" t="inlineStr">
        <is>
          <t>unit</t>
        </is>
      </c>
    </row>
    <row r="2338">
      <c r="A2338" t="inlineStr">
        <is>
          <t>source</t>
        </is>
      </c>
      <c r="B2338" t="inlineStr">
        <is>
          <t>Life cycle assessment of carbon capture and storage in power generation and industry in Europe, Volkart et al., 2013, International Journal of Greenhouse Gas Control</t>
        </is>
      </c>
    </row>
    <row r="2339">
      <c r="A2339" s="1" t="inlineStr">
        <is>
          <t>Exchanges</t>
        </is>
      </c>
    </row>
    <row r="2340">
      <c r="A2340" t="inlineStr">
        <is>
          <t>name</t>
        </is>
      </c>
      <c r="B2340" t="inlineStr">
        <is>
          <t>amount</t>
        </is>
      </c>
      <c r="C2340" t="inlineStr">
        <is>
          <t>location</t>
        </is>
      </c>
      <c r="D2340" t="inlineStr">
        <is>
          <t>unit</t>
        </is>
      </c>
      <c r="E2340" t="inlineStr">
        <is>
          <t>categories</t>
        </is>
      </c>
      <c r="F2340" t="inlineStr">
        <is>
          <t>type</t>
        </is>
      </c>
      <c r="G2340" t="inlineStr">
        <is>
          <t>uncertainty type</t>
        </is>
      </c>
      <c r="H2340" t="inlineStr">
        <is>
          <t>loc</t>
        </is>
      </c>
      <c r="I2340" t="inlineStr">
        <is>
          <t>scale</t>
        </is>
      </c>
      <c r="J2340" t="inlineStr">
        <is>
          <t>allocation</t>
        </is>
      </c>
      <c r="K2340" t="inlineStr">
        <is>
          <t>comment</t>
        </is>
      </c>
      <c r="L2340" t="inlineStr">
        <is>
          <t>negative</t>
        </is>
      </c>
      <c r="M2340" t="inlineStr">
        <is>
          <t>reference product</t>
        </is>
      </c>
    </row>
    <row r="2341">
      <c r="A2341" t="inlineStr">
        <is>
          <t>Occupation, construction site</t>
        </is>
      </c>
      <c r="B2341" t="n">
        <v>2170000</v>
      </c>
      <c r="D2341" t="inlineStr">
        <is>
          <t>square meter-year</t>
        </is>
      </c>
      <c r="E2341" t="inlineStr">
        <is>
          <t>natural resource::land</t>
        </is>
      </c>
      <c r="F2341" t="inlineStr">
        <is>
          <t>biosphere</t>
        </is>
      </c>
      <c r="G2341" t="n">
        <v>0</v>
      </c>
      <c r="H2341" t="n">
        <v>14.59023772551664</v>
      </c>
      <c r="I2341" t="n">
        <v>0</v>
      </c>
      <c r="L2341" t="n">
        <v>0</v>
      </c>
    </row>
    <row r="2342">
      <c r="A2342" t="inlineStr">
        <is>
          <t>Transformation, from annual crop, non-irrigated</t>
        </is>
      </c>
      <c r="B2342" t="n">
        <v>136000</v>
      </c>
      <c r="D2342" t="inlineStr">
        <is>
          <t>square meter</t>
        </is>
      </c>
      <c r="E2342" t="inlineStr">
        <is>
          <t>natural resource::land</t>
        </is>
      </c>
      <c r="F2342" t="inlineStr">
        <is>
          <t>biosphere</t>
        </is>
      </c>
      <c r="G2342" t="n">
        <v>0</v>
      </c>
      <c r="H2342" t="n">
        <v>11.82041016471819</v>
      </c>
      <c r="I2342" t="n">
        <v>0</v>
      </c>
      <c r="L2342" t="n">
        <v>0</v>
      </c>
    </row>
    <row r="2343">
      <c r="A2343" t="inlineStr">
        <is>
          <t>Transformation, to industrial area</t>
        </is>
      </c>
      <c r="B2343" t="n">
        <v>271000</v>
      </c>
      <c r="D2343" t="inlineStr">
        <is>
          <t>square meter</t>
        </is>
      </c>
      <c r="E2343" t="inlineStr">
        <is>
          <t>natural resource::land</t>
        </is>
      </c>
      <c r="F2343" t="inlineStr">
        <is>
          <t>biosphere</t>
        </is>
      </c>
      <c r="G2343" t="n">
        <v>0</v>
      </c>
      <c r="H2343" t="n">
        <v>12.50987409986184</v>
      </c>
      <c r="I2343" t="n">
        <v>0</v>
      </c>
      <c r="L2343" t="n">
        <v>0</v>
      </c>
    </row>
    <row r="2344">
      <c r="A2344" t="inlineStr">
        <is>
          <t>Transformation, to industrial area</t>
        </is>
      </c>
      <c r="B2344" t="n">
        <v>109000</v>
      </c>
      <c r="D2344" t="inlineStr">
        <is>
          <t>square meter</t>
        </is>
      </c>
      <c r="E2344" t="inlineStr">
        <is>
          <t>natural resource::land</t>
        </is>
      </c>
      <c r="F2344" t="inlineStr">
        <is>
          <t>biosphere</t>
        </is>
      </c>
      <c r="G2344" t="n">
        <v>0</v>
      </c>
      <c r="H2344" t="n">
        <v>11.59910316121128</v>
      </c>
      <c r="I2344" t="n">
        <v>0</v>
      </c>
      <c r="L2344" t="n">
        <v>0</v>
      </c>
    </row>
    <row r="2345">
      <c r="A2345" t="inlineStr">
        <is>
          <t>Transformation, to industrial area</t>
        </is>
      </c>
      <c r="B2345" t="n">
        <v>81400</v>
      </c>
      <c r="D2345" t="inlineStr">
        <is>
          <t>square meter</t>
        </is>
      </c>
      <c r="E2345" t="inlineStr">
        <is>
          <t>natural resource::land</t>
        </is>
      </c>
      <c r="F2345" t="inlineStr">
        <is>
          <t>biosphere</t>
        </is>
      </c>
      <c r="G2345" t="n">
        <v>0</v>
      </c>
      <c r="H2345" t="n">
        <v>11.30713055199063</v>
      </c>
      <c r="I2345" t="n">
        <v>0</v>
      </c>
      <c r="L2345" t="n">
        <v>0</v>
      </c>
    </row>
    <row r="2346">
      <c r="A2346" t="inlineStr">
        <is>
          <t>Transformation, to traffic area, rail network</t>
        </is>
      </c>
      <c r="B2346" t="n">
        <v>27100</v>
      </c>
      <c r="D2346" t="inlineStr">
        <is>
          <t>square meter</t>
        </is>
      </c>
      <c r="E2346" t="inlineStr">
        <is>
          <t>natural resource::land</t>
        </is>
      </c>
      <c r="F2346" t="inlineStr">
        <is>
          <t>biosphere</t>
        </is>
      </c>
      <c r="G2346" t="n">
        <v>0</v>
      </c>
      <c r="H2346" t="n">
        <v>10.20728900686779</v>
      </c>
      <c r="I2346" t="n">
        <v>0</v>
      </c>
      <c r="L2346" t="n">
        <v>0</v>
      </c>
    </row>
    <row r="2347">
      <c r="A2347" t="inlineStr">
        <is>
          <t>Transformation, to traffic area, road network</t>
        </is>
      </c>
      <c r="B2347" t="n">
        <v>81400</v>
      </c>
      <c r="D2347" t="inlineStr">
        <is>
          <t>square meter</t>
        </is>
      </c>
      <c r="E2347" t="inlineStr">
        <is>
          <t>natural resource::land</t>
        </is>
      </c>
      <c r="F2347" t="inlineStr">
        <is>
          <t>biosphere</t>
        </is>
      </c>
      <c r="G2347" t="n">
        <v>0</v>
      </c>
      <c r="H2347" t="n">
        <v>11.30713055199063</v>
      </c>
      <c r="I2347" t="n">
        <v>0</v>
      </c>
      <c r="L2347" t="n">
        <v>0</v>
      </c>
    </row>
    <row r="2348">
      <c r="A2348" t="inlineStr">
        <is>
          <t>construction, lignite IGCC power plant 450MW</t>
        </is>
      </c>
      <c r="B2348" t="n">
        <v>1</v>
      </c>
      <c r="C2348" t="inlineStr">
        <is>
          <t>RER</t>
        </is>
      </c>
      <c r="D2348" t="inlineStr">
        <is>
          <t>unit</t>
        </is>
      </c>
      <c r="E2348" t="inlineStr">
        <is>
          <t>NEEDS_2000::Lignite::IGCC::Infrastructure</t>
        </is>
      </c>
      <c r="F2348" t="inlineStr">
        <is>
          <t>production</t>
        </is>
      </c>
      <c r="J2348" t="n">
        <v>100</v>
      </c>
      <c r="K2348" t="inlineStr">
        <is>
          <t>Europe</t>
        </is>
      </c>
    </row>
    <row r="2349">
      <c r="A2349" t="inlineStr">
        <is>
          <t>alkyd paint production, white, water-based, product in 60% solution state</t>
        </is>
      </c>
      <c r="B2349" t="n">
        <v>30200</v>
      </c>
      <c r="C2349" t="inlineStr">
        <is>
          <t>RER</t>
        </is>
      </c>
      <c r="D2349" t="inlineStr">
        <is>
          <t>kilogram</t>
        </is>
      </c>
      <c r="E2349" t="inlineStr">
        <is>
          <t>Materials/fuels</t>
        </is>
      </c>
      <c r="F2349" t="inlineStr">
        <is>
          <t>technosphere</t>
        </is>
      </c>
      <c r="G2349" t="n">
        <v>0</v>
      </c>
      <c r="H2349" t="n">
        <v>10.31559720336296</v>
      </c>
      <c r="I2349" t="n">
        <v>0</v>
      </c>
      <c r="L2349" t="n">
        <v>0</v>
      </c>
      <c r="M2349" t="inlineStr">
        <is>
          <t>alkyd paint, white, without water, in 60% solution state</t>
        </is>
      </c>
    </row>
    <row r="2350">
      <c r="A2350" t="inlineStr">
        <is>
          <t>ceramic tile production</t>
        </is>
      </c>
      <c r="B2350" t="n">
        <v>7330</v>
      </c>
      <c r="C2350" t="inlineStr">
        <is>
          <t>CH</t>
        </is>
      </c>
      <c r="D2350" t="inlineStr">
        <is>
          <t>kilogram</t>
        </is>
      </c>
      <c r="E2350" t="inlineStr">
        <is>
          <t>Materials/fuels</t>
        </is>
      </c>
      <c r="F2350" t="inlineStr">
        <is>
          <t>technosphere</t>
        </is>
      </c>
      <c r="G2350" t="n">
        <v>0</v>
      </c>
      <c r="H2350" t="n">
        <v>8.899730794880696</v>
      </c>
      <c r="I2350" t="n">
        <v>0</v>
      </c>
      <c r="L2350" t="n">
        <v>0</v>
      </c>
      <c r="M2350" t="inlineStr">
        <is>
          <t>ceramic tile</t>
        </is>
      </c>
    </row>
    <row r="2351">
      <c r="A2351" t="inlineStr">
        <is>
          <t>excavation, hydraulic digger</t>
        </is>
      </c>
      <c r="B2351" t="n">
        <v>976000</v>
      </c>
      <c r="C2351" t="inlineStr">
        <is>
          <t>RER</t>
        </is>
      </c>
      <c r="D2351" t="inlineStr">
        <is>
          <t>cubic meter</t>
        </is>
      </c>
      <c r="E2351" t="inlineStr">
        <is>
          <t>Materials/fuels</t>
        </is>
      </c>
      <c r="F2351" t="inlineStr">
        <is>
          <t>technosphere</t>
        </is>
      </c>
      <c r="G2351" t="n">
        <v>0</v>
      </c>
      <c r="H2351" t="n">
        <v>13.79121786539523</v>
      </c>
      <c r="I2351" t="n">
        <v>0</v>
      </c>
      <c r="L2351" t="n">
        <v>0</v>
      </c>
      <c r="M2351" t="inlineStr">
        <is>
          <t>excavation, hydraulic digger</t>
        </is>
      </c>
    </row>
    <row r="2352">
      <c r="A2352" t="inlineStr">
        <is>
          <t>flat glass production, uncoated</t>
        </is>
      </c>
      <c r="B2352" t="n">
        <v>14100</v>
      </c>
      <c r="C2352" t="inlineStr">
        <is>
          <t>RER</t>
        </is>
      </c>
      <c r="D2352" t="inlineStr">
        <is>
          <t>kilogram</t>
        </is>
      </c>
      <c r="E2352" t="inlineStr">
        <is>
          <t>Materials/fuels</t>
        </is>
      </c>
      <c r="F2352" t="inlineStr">
        <is>
          <t>technosphere</t>
        </is>
      </c>
      <c r="G2352" t="n">
        <v>0</v>
      </c>
      <c r="H2352" t="n">
        <v>9.55393007636626</v>
      </c>
      <c r="I2352" t="n">
        <v>0</v>
      </c>
      <c r="L2352" t="n">
        <v>0</v>
      </c>
      <c r="M2352" t="inlineStr">
        <is>
          <t>flat glass, uncoated</t>
        </is>
      </c>
    </row>
    <row r="2353">
      <c r="A2353" t="inlineStr">
        <is>
          <t>heat production, heavy fuel oil, at industrial furnace 1MW</t>
        </is>
      </c>
      <c r="B2353" t="n">
        <v>234000000</v>
      </c>
      <c r="C2353" t="inlineStr">
        <is>
          <t>Europe without Switzerland</t>
        </is>
      </c>
      <c r="D2353" t="inlineStr">
        <is>
          <t>megajoule</t>
        </is>
      </c>
      <c r="E2353" t="inlineStr">
        <is>
          <t>Materials/fuels</t>
        </is>
      </c>
      <c r="F2353" t="inlineStr">
        <is>
          <t>technosphere</t>
        </is>
      </c>
      <c r="G2353" t="n">
        <v>0</v>
      </c>
      <c r="H2353" t="n">
        <v>19.27083167332198</v>
      </c>
      <c r="I2353" t="n">
        <v>0</v>
      </c>
      <c r="L2353" t="n">
        <v>0</v>
      </c>
      <c r="M2353" t="inlineStr">
        <is>
          <t>heat, district or industrial, other than natural gas</t>
        </is>
      </c>
    </row>
    <row r="2354">
      <c r="A2354" t="inlineStr">
        <is>
          <t>market for aluminium, cast alloy</t>
        </is>
      </c>
      <c r="B2354" t="n">
        <v>1010000</v>
      </c>
      <c r="C2354" t="inlineStr">
        <is>
          <t>GLO</t>
        </is>
      </c>
      <c r="D2354" t="inlineStr">
        <is>
          <t>kilogram</t>
        </is>
      </c>
      <c r="E2354" t="inlineStr">
        <is>
          <t>Materials/fuels</t>
        </is>
      </c>
      <c r="F2354" t="inlineStr">
        <is>
          <t>technosphere</t>
        </is>
      </c>
      <c r="G2354" t="n">
        <v>0</v>
      </c>
      <c r="H2354" t="n">
        <v>13.82546088881744</v>
      </c>
      <c r="I2354" t="n">
        <v>0</v>
      </c>
      <c r="L2354" t="n">
        <v>0</v>
      </c>
      <c r="M2354" t="inlineStr">
        <is>
          <t>aluminium, cast alloy</t>
        </is>
      </c>
    </row>
    <row r="2355">
      <c r="A2355" t="inlineStr">
        <is>
          <t>market for cast iron</t>
        </is>
      </c>
      <c r="B2355" t="n">
        <v>656000</v>
      </c>
      <c r="C2355" t="inlineStr">
        <is>
          <t>GLO</t>
        </is>
      </c>
      <c r="D2355" t="inlineStr">
        <is>
          <t>kilogram</t>
        </is>
      </c>
      <c r="E2355" t="inlineStr">
        <is>
          <t>Materials/fuels</t>
        </is>
      </c>
      <c r="F2355" t="inlineStr">
        <is>
          <t>technosphere</t>
        </is>
      </c>
      <c r="G2355" t="n">
        <v>0</v>
      </c>
      <c r="H2355" t="n">
        <v>13.39391606792623</v>
      </c>
      <c r="I2355" t="n">
        <v>0</v>
      </c>
      <c r="L2355" t="n">
        <v>0</v>
      </c>
      <c r="M2355" t="inlineStr">
        <is>
          <t>cast iron</t>
        </is>
      </c>
    </row>
    <row r="2356">
      <c r="A2356" t="inlineStr">
        <is>
          <t>market for concrete, normal</t>
        </is>
      </c>
      <c r="B2356" t="n">
        <v>128000</v>
      </c>
      <c r="C2356" t="inlineStr">
        <is>
          <t>CH</t>
        </is>
      </c>
      <c r="D2356" t="inlineStr">
        <is>
          <t>cubic meter</t>
        </is>
      </c>
      <c r="E2356" t="inlineStr">
        <is>
          <t>Materials/fuels</t>
        </is>
      </c>
      <c r="F2356" t="inlineStr">
        <is>
          <t>technosphere</t>
        </is>
      </c>
      <c r="G2356" t="n">
        <v>0</v>
      </c>
      <c r="H2356" t="n">
        <v>11.75978554290175</v>
      </c>
      <c r="I2356" t="n">
        <v>0</v>
      </c>
      <c r="L2356" t="n">
        <v>0</v>
      </c>
      <c r="M2356" t="inlineStr">
        <is>
          <t>concrete, normal</t>
        </is>
      </c>
    </row>
    <row r="2357">
      <c r="A2357" t="inlineStr">
        <is>
          <t>market for copper</t>
        </is>
      </c>
      <c r="B2357" t="n">
        <v>1390000</v>
      </c>
      <c r="C2357" t="inlineStr">
        <is>
          <t>GLO</t>
        </is>
      </c>
      <c r="D2357" t="inlineStr">
        <is>
          <t>kilogram</t>
        </is>
      </c>
      <c r="E2357" t="inlineStr">
        <is>
          <t>Materials/fuels</t>
        </is>
      </c>
      <c r="F2357" t="inlineStr">
        <is>
          <t>technosphere</t>
        </is>
      </c>
      <c r="G2357" t="n">
        <v>0</v>
      </c>
      <c r="H2357" t="n">
        <v>14.14481430510688</v>
      </c>
      <c r="I2357" t="n">
        <v>0</v>
      </c>
      <c r="L2357" t="n">
        <v>0</v>
      </c>
      <c r="M2357" t="inlineStr">
        <is>
          <t>copper</t>
        </is>
      </c>
    </row>
    <row r="2358">
      <c r="A2358" t="inlineStr">
        <is>
          <t>market for lead</t>
        </is>
      </c>
      <c r="B2358" t="n">
        <v>1780</v>
      </c>
      <c r="C2358" t="inlineStr">
        <is>
          <t>GLO</t>
        </is>
      </c>
      <c r="D2358" t="inlineStr">
        <is>
          <t>kilogram</t>
        </is>
      </c>
      <c r="E2358" t="inlineStr">
        <is>
          <t>Materials/fuels</t>
        </is>
      </c>
      <c r="F2358" t="inlineStr">
        <is>
          <t>technosphere</t>
        </is>
      </c>
      <c r="G2358" t="n">
        <v>0</v>
      </c>
      <c r="H2358" t="n">
        <v>7.484368643286131</v>
      </c>
      <c r="I2358" t="n">
        <v>0</v>
      </c>
      <c r="L2358" t="n">
        <v>0</v>
      </c>
      <c r="M2358" t="inlineStr">
        <is>
          <t>lead</t>
        </is>
      </c>
    </row>
    <row r="2359">
      <c r="A2359" t="inlineStr">
        <is>
          <t>market for lubricating oil</t>
        </is>
      </c>
      <c r="B2359" t="n">
        <v>428000</v>
      </c>
      <c r="C2359" t="inlineStr">
        <is>
          <t>RER</t>
        </is>
      </c>
      <c r="D2359" t="inlineStr">
        <is>
          <t>kilogram</t>
        </is>
      </c>
      <c r="E2359" t="inlineStr">
        <is>
          <t>Materials/fuels</t>
        </is>
      </c>
      <c r="F2359" t="inlineStr">
        <is>
          <t>technosphere</t>
        </is>
      </c>
      <c r="G2359" t="n">
        <v>0</v>
      </c>
      <c r="H2359" t="n">
        <v>12.96687847456393</v>
      </c>
      <c r="I2359" t="n">
        <v>0</v>
      </c>
      <c r="L2359" t="n">
        <v>0</v>
      </c>
      <c r="M2359" t="inlineStr">
        <is>
          <t>lubricating oil</t>
        </is>
      </c>
    </row>
    <row r="2360">
      <c r="A2360" t="inlineStr">
        <is>
          <t>market for polyvinylfluoride</t>
        </is>
      </c>
      <c r="B2360" t="n">
        <v>806000</v>
      </c>
      <c r="C2360" t="inlineStr">
        <is>
          <t>GLO</t>
        </is>
      </c>
      <c r="D2360" t="inlineStr">
        <is>
          <t>kilogram</t>
        </is>
      </c>
      <c r="E2360" t="inlineStr">
        <is>
          <t>Materials/fuels</t>
        </is>
      </c>
      <c r="F2360" t="inlineStr">
        <is>
          <t>technosphere</t>
        </is>
      </c>
      <c r="G2360" t="n">
        <v>0</v>
      </c>
      <c r="H2360" t="n">
        <v>13.59983902148877</v>
      </c>
      <c r="I2360" t="n">
        <v>0</v>
      </c>
      <c r="L2360" t="n">
        <v>0</v>
      </c>
      <c r="M2360" t="inlineStr">
        <is>
          <t>polyvinylfluoride</t>
        </is>
      </c>
    </row>
    <row r="2361">
      <c r="A2361" t="inlineStr">
        <is>
          <t>market for reinforcing steel</t>
        </is>
      </c>
      <c r="B2361" t="n">
        <v>17300000</v>
      </c>
      <c r="C2361" t="inlineStr">
        <is>
          <t>GLO</t>
        </is>
      </c>
      <c r="D2361" t="inlineStr">
        <is>
          <t>kilogram</t>
        </is>
      </c>
      <c r="E2361" t="inlineStr">
        <is>
          <t>Materials/fuels</t>
        </is>
      </c>
      <c r="F2361" t="inlineStr">
        <is>
          <t>technosphere</t>
        </is>
      </c>
      <c r="G2361" t="n">
        <v>0</v>
      </c>
      <c r="H2361" t="n">
        <v>16.66621705946801</v>
      </c>
      <c r="I2361" t="n">
        <v>0</v>
      </c>
      <c r="L2361" t="n">
        <v>0</v>
      </c>
      <c r="M2361" t="inlineStr">
        <is>
          <t>reinforcing steel</t>
        </is>
      </c>
    </row>
    <row r="2362">
      <c r="A2362" t="inlineStr">
        <is>
          <t>market for steel, low-alloyed</t>
        </is>
      </c>
      <c r="B2362" t="n">
        <v>17200000</v>
      </c>
      <c r="C2362" t="inlineStr">
        <is>
          <t>GLO</t>
        </is>
      </c>
      <c r="D2362" t="inlineStr">
        <is>
          <t>kilogram</t>
        </is>
      </c>
      <c r="E2362" t="inlineStr">
        <is>
          <t>Materials/fuels</t>
        </is>
      </c>
      <c r="F2362" t="inlineStr">
        <is>
          <t>technosphere</t>
        </is>
      </c>
      <c r="G2362" t="n">
        <v>0</v>
      </c>
      <c r="H2362" t="n">
        <v>16.66041994178368</v>
      </c>
      <c r="I2362" t="n">
        <v>0</v>
      </c>
      <c r="L2362" t="n">
        <v>0</v>
      </c>
      <c r="M2362" t="inlineStr">
        <is>
          <t>steel, low-alloyed</t>
        </is>
      </c>
    </row>
    <row r="2363">
      <c r="A2363" t="inlineStr">
        <is>
          <t>market for stone wool, packed</t>
        </is>
      </c>
      <c r="B2363" t="n">
        <v>1200000</v>
      </c>
      <c r="C2363" t="inlineStr">
        <is>
          <t>GLO</t>
        </is>
      </c>
      <c r="D2363" t="inlineStr">
        <is>
          <t>kilogram</t>
        </is>
      </c>
      <c r="E2363" t="inlineStr">
        <is>
          <t>Materials/fuels</t>
        </is>
      </c>
      <c r="F2363" t="inlineStr">
        <is>
          <t>technosphere</t>
        </is>
      </c>
      <c r="G2363" t="n">
        <v>0</v>
      </c>
      <c r="H2363" t="n">
        <v>13.99783211475823</v>
      </c>
      <c r="I2363" t="n">
        <v>0</v>
      </c>
      <c r="L2363" t="n">
        <v>0</v>
      </c>
      <c r="M2363" t="inlineStr">
        <is>
          <t>stone wool, packed</t>
        </is>
      </c>
    </row>
    <row r="2364">
      <c r="A2364" t="inlineStr">
        <is>
          <t>market for transport, freight train</t>
        </is>
      </c>
      <c r="B2364" t="n">
        <v>17200000</v>
      </c>
      <c r="C2364" t="inlineStr">
        <is>
          <t>Europe without Switzerland</t>
        </is>
      </c>
      <c r="D2364" t="inlineStr">
        <is>
          <t>ton kilometer</t>
        </is>
      </c>
      <c r="E2364" t="inlineStr">
        <is>
          <t>Materials/fuels</t>
        </is>
      </c>
      <c r="F2364" t="inlineStr">
        <is>
          <t>technosphere</t>
        </is>
      </c>
      <c r="G2364" t="n">
        <v>0</v>
      </c>
      <c r="H2364" t="n">
        <v>16.66041994178368</v>
      </c>
      <c r="I2364" t="n">
        <v>0</v>
      </c>
      <c r="L2364" t="n">
        <v>0</v>
      </c>
      <c r="M2364" t="inlineStr">
        <is>
          <t>transport, freight train</t>
        </is>
      </c>
    </row>
    <row r="2365" ht="16" customHeight="1">
      <c r="A2365" t="inlineStr">
        <is>
          <t>market for transport, freight, lorry, unspecified</t>
        </is>
      </c>
      <c r="B2365" t="n">
        <v>28500000</v>
      </c>
      <c r="C2365" t="inlineStr">
        <is>
          <t>RER</t>
        </is>
      </c>
      <c r="D2365" t="inlineStr">
        <is>
          <t>ton kilometer</t>
        </is>
      </c>
      <c r="E2365" t="inlineStr">
        <is>
          <t>Materials/fuels</t>
        </is>
      </c>
      <c r="F2365" t="inlineStr">
        <is>
          <t>technosphere</t>
        </is>
      </c>
      <c r="G2365" t="n">
        <v>0</v>
      </c>
      <c r="H2365" t="n">
        <v>17.16541464523888</v>
      </c>
      <c r="I2365" t="n">
        <v>0</v>
      </c>
      <c r="L2365" t="n">
        <v>0</v>
      </c>
      <c r="M2365" t="inlineStr">
        <is>
          <t>transport, freight, lorry, unspecified</t>
        </is>
      </c>
    </row>
    <row r="2366">
      <c r="A2366" t="inlineStr">
        <is>
          <t>market group for electricity, medium voltage</t>
        </is>
      </c>
      <c r="B2366" t="n">
        <v>20100000</v>
      </c>
      <c r="C2366" t="inlineStr">
        <is>
          <t>ENTSO-E</t>
        </is>
      </c>
      <c r="D2366" t="inlineStr">
        <is>
          <t>kilowatt hour</t>
        </is>
      </c>
      <c r="E2366" t="inlineStr">
        <is>
          <t>Materials/fuels</t>
        </is>
      </c>
      <c r="F2366" t="inlineStr">
        <is>
          <t>technosphere</t>
        </is>
      </c>
      <c r="G2366" t="n">
        <v>0</v>
      </c>
      <c r="H2366" t="n">
        <v>16.8162303730293</v>
      </c>
      <c r="I2366" t="n">
        <v>0</v>
      </c>
      <c r="L2366" t="n">
        <v>0</v>
      </c>
      <c r="M2366" t="inlineStr">
        <is>
          <t>electricity, medium voltage</t>
        </is>
      </c>
    </row>
    <row r="2367">
      <c r="A2367" t="inlineStr">
        <is>
          <t>petroleum refinery operation</t>
        </is>
      </c>
      <c r="B2367" t="n">
        <v>267000</v>
      </c>
      <c r="C2367" t="inlineStr">
        <is>
          <t>CH</t>
        </is>
      </c>
      <c r="D2367" t="inlineStr">
        <is>
          <t>kilogram</t>
        </is>
      </c>
      <c r="E2367" t="inlineStr">
        <is>
          <t>Materials/fuels</t>
        </is>
      </c>
      <c r="F2367" t="inlineStr">
        <is>
          <t>technosphere</t>
        </is>
      </c>
      <c r="G2367" t="n">
        <v>0</v>
      </c>
      <c r="H2367" t="n">
        <v>12.49500393738239</v>
      </c>
      <c r="I2367" t="n">
        <v>0</v>
      </c>
      <c r="L2367" t="n">
        <v>0</v>
      </c>
      <c r="M2367" t="inlineStr">
        <is>
          <t>kerosene</t>
        </is>
      </c>
    </row>
    <row r="2368">
      <c r="A2368" t="inlineStr">
        <is>
          <t>plywood production, for outdoor use</t>
        </is>
      </c>
      <c r="B2368" t="n">
        <v>1.55</v>
      </c>
      <c r="C2368" t="inlineStr">
        <is>
          <t>RER</t>
        </is>
      </c>
      <c r="D2368" t="inlineStr">
        <is>
          <t>cubic meter</t>
        </is>
      </c>
      <c r="E2368" t="inlineStr">
        <is>
          <t>Materials/fuels</t>
        </is>
      </c>
      <c r="F2368" t="inlineStr">
        <is>
          <t>technosphere</t>
        </is>
      </c>
      <c r="G2368" t="n">
        <v>0</v>
      </c>
      <c r="H2368" t="n">
        <v>0.4382549309311553</v>
      </c>
      <c r="I2368" t="n">
        <v>0</v>
      </c>
      <c r="L2368" t="n">
        <v>0</v>
      </c>
      <c r="M2368" t="inlineStr">
        <is>
          <t>plywood, for outdoor use</t>
        </is>
      </c>
    </row>
    <row r="2369">
      <c r="A2369" t="inlineStr">
        <is>
          <t>polyethylene production, low density, granulate</t>
        </is>
      </c>
      <c r="B2369" t="n">
        <v>69100</v>
      </c>
      <c r="C2369" t="inlineStr">
        <is>
          <t>RER</t>
        </is>
      </c>
      <c r="D2369" t="inlineStr">
        <is>
          <t>kilogram</t>
        </is>
      </c>
      <c r="E2369" t="inlineStr">
        <is>
          <t>Materials/fuels</t>
        </is>
      </c>
      <c r="F2369" t="inlineStr">
        <is>
          <t>technosphere</t>
        </is>
      </c>
      <c r="G2369" t="n">
        <v>0</v>
      </c>
      <c r="H2369" t="n">
        <v>11.14331000975576</v>
      </c>
      <c r="I2369" t="n">
        <v>0</v>
      </c>
      <c r="L2369" t="n">
        <v>0</v>
      </c>
      <c r="M2369" t="inlineStr">
        <is>
          <t>polyethylene, low density, granulate</t>
        </is>
      </c>
    </row>
    <row r="2370">
      <c r="A2370" t="inlineStr">
        <is>
          <t>polypropylene production, granulate</t>
        </is>
      </c>
      <c r="B2370" t="n">
        <v>34600</v>
      </c>
      <c r="C2370" t="inlineStr">
        <is>
          <t>RER</t>
        </is>
      </c>
      <c r="D2370" t="inlineStr">
        <is>
          <t>kilogram</t>
        </is>
      </c>
      <c r="E2370" t="inlineStr">
        <is>
          <t>Materials/fuels</t>
        </is>
      </c>
      <c r="F2370" t="inlineStr">
        <is>
          <t>technosphere</t>
        </is>
      </c>
      <c r="G2370" t="n">
        <v>0</v>
      </c>
      <c r="H2370" t="n">
        <v>10.45160896104582</v>
      </c>
      <c r="I2370" t="n">
        <v>0</v>
      </c>
      <c r="L2370" t="n">
        <v>0</v>
      </c>
      <c r="M2370" t="inlineStr">
        <is>
          <t>polypropylene, granulate</t>
        </is>
      </c>
    </row>
    <row r="2371">
      <c r="A2371" t="inlineStr">
        <is>
          <t>polystyrene production, high impact</t>
        </is>
      </c>
      <c r="B2371" t="n">
        <v>242000</v>
      </c>
      <c r="C2371" t="inlineStr">
        <is>
          <t>RER</t>
        </is>
      </c>
      <c r="D2371" t="inlineStr">
        <is>
          <t>kilogram</t>
        </is>
      </c>
      <c r="E2371" t="inlineStr">
        <is>
          <t>Materials/fuels</t>
        </is>
      </c>
      <c r="F2371" t="inlineStr">
        <is>
          <t>technosphere</t>
        </is>
      </c>
      <c r="G2371" t="n">
        <v>0</v>
      </c>
      <c r="H2371" t="n">
        <v>12.39669300513882</v>
      </c>
      <c r="I2371" t="n">
        <v>0</v>
      </c>
      <c r="L2371" t="n">
        <v>0</v>
      </c>
      <c r="M2371" t="inlineStr">
        <is>
          <t>polystyrene, high impact</t>
        </is>
      </c>
    </row>
    <row r="2372" ht="16" customHeight="1">
      <c r="A2372" t="inlineStr">
        <is>
          <t>primary zinc production from concentrate</t>
        </is>
      </c>
      <c r="B2372" t="n">
        <v>7520</v>
      </c>
      <c r="C2372" t="inlineStr">
        <is>
          <t>RoW</t>
        </is>
      </c>
      <c r="D2372" t="inlineStr">
        <is>
          <t>kilogram</t>
        </is>
      </c>
      <c r="E2372" t="inlineStr">
        <is>
          <t>Materials/fuels</t>
        </is>
      </c>
      <c r="F2372" t="inlineStr">
        <is>
          <t>technosphere</t>
        </is>
      </c>
      <c r="G2372" t="n">
        <v>0</v>
      </c>
      <c r="H2372" t="n">
        <v>8.925321416943886</v>
      </c>
      <c r="I2372" t="n">
        <v>0</v>
      </c>
      <c r="L2372" t="n">
        <v>0</v>
      </c>
      <c r="M2372" t="inlineStr">
        <is>
          <t>indium rich leaching residues, from zinc production</t>
        </is>
      </c>
    </row>
    <row r="2373">
      <c r="A2373" t="inlineStr">
        <is>
          <t>steel production, chromium steel 18/8, hot rolled</t>
        </is>
      </c>
      <c r="B2373" t="n">
        <v>3860000</v>
      </c>
      <c r="C2373" t="inlineStr">
        <is>
          <t>RER</t>
        </is>
      </c>
      <c r="D2373" t="inlineStr">
        <is>
          <t>kilogram</t>
        </is>
      </c>
      <c r="E2373" t="inlineStr">
        <is>
          <t>Materials/fuels</t>
        </is>
      </c>
      <c r="F2373" t="inlineStr">
        <is>
          <t>technosphere</t>
        </is>
      </c>
      <c r="G2373" t="n">
        <v>0</v>
      </c>
      <c r="H2373" t="n">
        <v>15.16617774144101</v>
      </c>
      <c r="I2373" t="n">
        <v>0</v>
      </c>
      <c r="L2373" t="n">
        <v>0</v>
      </c>
      <c r="M2373" t="inlineStr">
        <is>
          <t>steel, chromium steel 18/8, hot rolled</t>
        </is>
      </c>
    </row>
    <row r="2374"/>
    <row r="2375">
      <c r="A2375" s="1" t="inlineStr">
        <is>
          <t>Activity</t>
        </is>
      </c>
      <c r="B2375" s="1" t="inlineStr">
        <is>
          <t>dismantling, hard coal IGCC power plant 450MW</t>
        </is>
      </c>
    </row>
    <row r="2376">
      <c r="A2376" t="inlineStr">
        <is>
          <t>location</t>
        </is>
      </c>
      <c r="B2376" t="inlineStr">
        <is>
          <t>RER</t>
        </is>
      </c>
    </row>
    <row r="2377">
      <c r="A2377" t="inlineStr">
        <is>
          <t>production amount</t>
        </is>
      </c>
      <c r="B2377" t="n">
        <v>1</v>
      </c>
    </row>
    <row r="2378">
      <c r="A2378" t="inlineStr">
        <is>
          <t>reference product</t>
        </is>
      </c>
      <c r="B2378" t="inlineStr">
        <is>
          <t>dismantling, hard coal IGCC power plant 450MW</t>
        </is>
      </c>
    </row>
    <row r="2379">
      <c r="A2379" t="inlineStr">
        <is>
          <t>type</t>
        </is>
      </c>
      <c r="B2379" t="inlineStr">
        <is>
          <t>process</t>
        </is>
      </c>
    </row>
    <row r="2380">
      <c r="A2380" t="inlineStr">
        <is>
          <t>unit</t>
        </is>
      </c>
      <c r="B2380" t="inlineStr">
        <is>
          <t>unit</t>
        </is>
      </c>
    </row>
    <row r="2381">
      <c r="A2381" t="inlineStr">
        <is>
          <t>source</t>
        </is>
      </c>
      <c r="B2381" t="inlineStr">
        <is>
          <t>Life cycle assessment of carbon capture and storage in power generation and industry in Europe, Volkart et al., 2013, International Journal of Greenhouse Gas Control</t>
        </is>
      </c>
    </row>
    <row r="2382">
      <c r="A2382" s="1" t="inlineStr">
        <is>
          <t>Exchanges</t>
        </is>
      </c>
    </row>
    <row r="2383">
      <c r="A2383" t="inlineStr">
        <is>
          <t>name</t>
        </is>
      </c>
      <c r="B2383" t="inlineStr">
        <is>
          <t>amount</t>
        </is>
      </c>
      <c r="C2383" t="inlineStr">
        <is>
          <t>location</t>
        </is>
      </c>
      <c r="D2383" t="inlineStr">
        <is>
          <t>unit</t>
        </is>
      </c>
      <c r="E2383" t="inlineStr">
        <is>
          <t>categories</t>
        </is>
      </c>
      <c r="F2383" t="inlineStr">
        <is>
          <t>type</t>
        </is>
      </c>
      <c r="G2383" t="inlineStr">
        <is>
          <t>uncertainty type</t>
        </is>
      </c>
      <c r="H2383" t="inlineStr">
        <is>
          <t>loc</t>
        </is>
      </c>
      <c r="I2383" t="inlineStr">
        <is>
          <t>scale</t>
        </is>
      </c>
      <c r="J2383" t="inlineStr">
        <is>
          <t>allocation</t>
        </is>
      </c>
      <c r="K2383" t="inlineStr">
        <is>
          <t>comment</t>
        </is>
      </c>
      <c r="L2383" t="inlineStr">
        <is>
          <t>negative</t>
        </is>
      </c>
      <c r="M2383" t="inlineStr">
        <is>
          <t>reference product</t>
        </is>
      </c>
    </row>
    <row r="2384">
      <c r="A2384" t="inlineStr">
        <is>
          <t>Occupation, construction site</t>
        </is>
      </c>
      <c r="B2384" t="n">
        <v>1090000</v>
      </c>
      <c r="D2384" t="inlineStr">
        <is>
          <t>square meter-year</t>
        </is>
      </c>
      <c r="E2384" t="inlineStr">
        <is>
          <t>natural resource::land</t>
        </is>
      </c>
      <c r="F2384" t="inlineStr">
        <is>
          <t>biosphere</t>
        </is>
      </c>
      <c r="G2384" t="n">
        <v>0</v>
      </c>
      <c r="H2384" t="n">
        <v>13.90168825420533</v>
      </c>
      <c r="I2384" t="n">
        <v>0</v>
      </c>
      <c r="L2384" t="n">
        <v>0</v>
      </c>
    </row>
    <row r="2385">
      <c r="A2385" t="inlineStr">
        <is>
          <t>Transformation, from industrial area</t>
        </is>
      </c>
      <c r="B2385" t="n">
        <v>81400</v>
      </c>
      <c r="D2385" t="inlineStr">
        <is>
          <t>square meter</t>
        </is>
      </c>
      <c r="E2385" t="inlineStr">
        <is>
          <t>natural resource::land</t>
        </is>
      </c>
      <c r="F2385" t="inlineStr">
        <is>
          <t>biosphere</t>
        </is>
      </c>
      <c r="G2385" t="n">
        <v>0</v>
      </c>
      <c r="H2385" t="n">
        <v>11.30713055199063</v>
      </c>
      <c r="I2385" t="n">
        <v>0</v>
      </c>
      <c r="L2385" t="n">
        <v>0</v>
      </c>
    </row>
    <row r="2386">
      <c r="A2386" t="inlineStr">
        <is>
          <t>Transformation, from industrial area</t>
        </is>
      </c>
      <c r="B2386" t="n">
        <v>271000</v>
      </c>
      <c r="D2386" t="inlineStr">
        <is>
          <t>square meter</t>
        </is>
      </c>
      <c r="E2386" t="inlineStr">
        <is>
          <t>natural resource::land</t>
        </is>
      </c>
      <c r="F2386" t="inlineStr">
        <is>
          <t>biosphere</t>
        </is>
      </c>
      <c r="G2386" t="n">
        <v>0</v>
      </c>
      <c r="H2386" t="n">
        <v>12.50987409986184</v>
      </c>
      <c r="I2386" t="n">
        <v>0</v>
      </c>
      <c r="L2386" t="n">
        <v>0</v>
      </c>
    </row>
    <row r="2387">
      <c r="A2387" t="inlineStr">
        <is>
          <t>Transformation, from industrial area</t>
        </is>
      </c>
      <c r="B2387" t="n">
        <v>109000</v>
      </c>
      <c r="D2387" t="inlineStr">
        <is>
          <t>square meter</t>
        </is>
      </c>
      <c r="E2387" t="inlineStr">
        <is>
          <t>natural resource::land</t>
        </is>
      </c>
      <c r="F2387" t="inlineStr">
        <is>
          <t>biosphere</t>
        </is>
      </c>
      <c r="G2387" t="n">
        <v>0</v>
      </c>
      <c r="H2387" t="n">
        <v>11.59910316121128</v>
      </c>
      <c r="I2387" t="n">
        <v>0</v>
      </c>
      <c r="L2387" t="n">
        <v>0</v>
      </c>
    </row>
    <row r="2388">
      <c r="A2388" t="inlineStr">
        <is>
          <t>Transformation, to annual crop, non-irrigated</t>
        </is>
      </c>
      <c r="B2388" t="n">
        <v>543000</v>
      </c>
      <c r="D2388" t="inlineStr">
        <is>
          <t>square meter</t>
        </is>
      </c>
      <c r="E2388" t="inlineStr">
        <is>
          <t>natural resource::land</t>
        </is>
      </c>
      <c r="F2388" t="inlineStr">
        <is>
          <t>biosphere</t>
        </is>
      </c>
      <c r="G2388" t="n">
        <v>0</v>
      </c>
      <c r="H2388" t="n">
        <v>13.20486459891607</v>
      </c>
      <c r="I2388" t="n">
        <v>0</v>
      </c>
      <c r="L2388" t="n">
        <v>0</v>
      </c>
    </row>
    <row r="2389">
      <c r="A2389" t="inlineStr">
        <is>
          <t>dismantling, hard coal IGCC power plant 450MW</t>
        </is>
      </c>
      <c r="B2389" t="n">
        <v>1</v>
      </c>
      <c r="C2389" t="inlineStr">
        <is>
          <t>RER</t>
        </is>
      </c>
      <c r="D2389" t="inlineStr">
        <is>
          <t>unit</t>
        </is>
      </c>
      <c r="E2389" t="inlineStr">
        <is>
          <t>NEEDS_2000::Hard_Coal::IGCC::infrastructure</t>
        </is>
      </c>
      <c r="F2389" t="inlineStr">
        <is>
          <t>production</t>
        </is>
      </c>
      <c r="J2389" t="n">
        <v>100</v>
      </c>
      <c r="K2389" t="inlineStr">
        <is>
          <t>Europe</t>
        </is>
      </c>
    </row>
    <row r="2390">
      <c r="A2390" t="inlineStr">
        <is>
          <t>treatment of inert waste, sanitary landfill</t>
        </is>
      </c>
      <c r="B2390" t="n">
        <v>-6550</v>
      </c>
      <c r="C2390" t="inlineStr">
        <is>
          <t>CH</t>
        </is>
      </c>
      <c r="D2390" t="inlineStr">
        <is>
          <t>kilogram</t>
        </is>
      </c>
      <c r="E2390" t="inlineStr">
        <is>
          <t>Waste to treatment</t>
        </is>
      </c>
      <c r="F2390" t="inlineStr">
        <is>
          <t>technosphere</t>
        </is>
      </c>
      <c r="G2390" t="n">
        <v>0</v>
      </c>
      <c r="H2390" t="n">
        <v>8.787220328629298</v>
      </c>
      <c r="I2390" t="n">
        <v>0</v>
      </c>
      <c r="L2390" t="n">
        <v>0</v>
      </c>
      <c r="M2390" t="inlineStr">
        <is>
          <t>inert waste</t>
        </is>
      </c>
    </row>
    <row r="2391">
      <c r="A2391" t="inlineStr">
        <is>
          <t>treatment of lead in car shredder residue, municipal incineration</t>
        </is>
      </c>
      <c r="B2391" t="n">
        <v>-1950</v>
      </c>
      <c r="C2391" t="inlineStr">
        <is>
          <t>CH</t>
        </is>
      </c>
      <c r="D2391" t="inlineStr">
        <is>
          <t>kilogram</t>
        </is>
      </c>
      <c r="E2391" t="inlineStr">
        <is>
          <t>Waste to treatment</t>
        </is>
      </c>
      <c r="F2391" t="inlineStr">
        <is>
          <t>technosphere</t>
        </is>
      </c>
      <c r="G2391" t="n">
        <v>0</v>
      </c>
      <c r="H2391" t="n">
        <v>7.575584651557793</v>
      </c>
      <c r="I2391" t="n">
        <v>0</v>
      </c>
      <c r="L2391" t="n">
        <v>0</v>
      </c>
      <c r="M2391" t="inlineStr">
        <is>
          <t>lead in car shredder residue</t>
        </is>
      </c>
    </row>
    <row r="2392">
      <c r="A2392" t="inlineStr">
        <is>
          <t>treatment of municipal solid waste, incineration</t>
        </is>
      </c>
      <c r="B2392" t="n">
        <v>-1500000</v>
      </c>
      <c r="C2392" t="inlineStr">
        <is>
          <t>CH</t>
        </is>
      </c>
      <c r="D2392" t="inlineStr">
        <is>
          <t>kilogram</t>
        </is>
      </c>
      <c r="E2392" t="inlineStr">
        <is>
          <t>Waste to treatment</t>
        </is>
      </c>
      <c r="F2392" t="inlineStr">
        <is>
          <t>technosphere</t>
        </is>
      </c>
      <c r="G2392" t="n">
        <v>0</v>
      </c>
      <c r="H2392" t="n">
        <v>14.22097566607244</v>
      </c>
      <c r="I2392" t="n">
        <v>0</v>
      </c>
      <c r="L2392" t="n">
        <v>0</v>
      </c>
      <c r="M2392" t="inlineStr">
        <is>
          <t>municipal solid waste</t>
        </is>
      </c>
    </row>
    <row r="2393">
      <c r="A2393" t="inlineStr">
        <is>
          <t>treatment of scrap aluminium, municipal incineration</t>
        </is>
      </c>
      <c r="B2393" t="n">
        <v>-407000</v>
      </c>
      <c r="C2393" t="inlineStr">
        <is>
          <t>CH</t>
        </is>
      </c>
      <c r="D2393" t="inlineStr">
        <is>
          <t>kilogram</t>
        </is>
      </c>
      <c r="E2393" t="inlineStr">
        <is>
          <t>Waste to treatment</t>
        </is>
      </c>
      <c r="F2393" t="inlineStr">
        <is>
          <t>technosphere</t>
        </is>
      </c>
      <c r="G2393" t="n">
        <v>0</v>
      </c>
      <c r="H2393" t="n">
        <v>12.91656846442473</v>
      </c>
      <c r="I2393" t="n">
        <v>0</v>
      </c>
      <c r="L2393" t="n">
        <v>0</v>
      </c>
      <c r="M2393" t="inlineStr">
        <is>
          <t>scrap aluminium</t>
        </is>
      </c>
    </row>
    <row r="2394">
      <c r="A2394" t="inlineStr">
        <is>
          <t>treatment of scrap copper, municipal incineration</t>
        </is>
      </c>
      <c r="B2394" t="n">
        <v>-1410000</v>
      </c>
      <c r="C2394" t="inlineStr">
        <is>
          <t>CH</t>
        </is>
      </c>
      <c r="D2394" t="inlineStr">
        <is>
          <t>kilogram</t>
        </is>
      </c>
      <c r="E2394" t="inlineStr">
        <is>
          <t>Waste to treatment</t>
        </is>
      </c>
      <c r="F2394" t="inlineStr">
        <is>
          <t>technosphere</t>
        </is>
      </c>
      <c r="G2394" t="n">
        <v>0</v>
      </c>
      <c r="H2394" t="n">
        <v>14.15910026235435</v>
      </c>
      <c r="I2394" t="n">
        <v>0</v>
      </c>
      <c r="L2394" t="n">
        <v>0</v>
      </c>
      <c r="M2394" t="inlineStr">
        <is>
          <t>scrap copper</t>
        </is>
      </c>
    </row>
    <row r="2395">
      <c r="A2395" t="inlineStr">
        <is>
          <t>treatment of scrap steel, inert material landfill</t>
        </is>
      </c>
      <c r="B2395" t="n">
        <v>-1960000</v>
      </c>
      <c r="C2395" t="inlineStr">
        <is>
          <t>CH</t>
        </is>
      </c>
      <c r="D2395" t="inlineStr">
        <is>
          <t>kilogram</t>
        </is>
      </c>
      <c r="E2395" t="inlineStr">
        <is>
          <t>Waste to treatment</t>
        </is>
      </c>
      <c r="F2395" t="inlineStr">
        <is>
          <t>technosphere</t>
        </is>
      </c>
      <c r="G2395" t="n">
        <v>0</v>
      </c>
      <c r="H2395" t="n">
        <v>14.4884550312067</v>
      </c>
      <c r="I2395" t="n">
        <v>0</v>
      </c>
      <c r="L2395" t="n">
        <v>0</v>
      </c>
      <c r="M2395" t="inlineStr">
        <is>
          <t>scrap steel</t>
        </is>
      </c>
    </row>
    <row r="2396">
      <c r="A2396" t="inlineStr">
        <is>
          <t>treatment of waste aluminium, sanitary landfill</t>
        </is>
      </c>
      <c r="B2396" t="n">
        <v>-102000</v>
      </c>
      <c r="C2396" t="inlineStr">
        <is>
          <t>CH</t>
        </is>
      </c>
      <c r="D2396" t="inlineStr">
        <is>
          <t>kilogram</t>
        </is>
      </c>
      <c r="E2396" t="inlineStr">
        <is>
          <t>Waste to treatment</t>
        </is>
      </c>
      <c r="F2396" t="inlineStr">
        <is>
          <t>technosphere</t>
        </is>
      </c>
      <c r="G2396" t="n">
        <v>0</v>
      </c>
      <c r="H2396" t="n">
        <v>11.53272809226641</v>
      </c>
      <c r="I2396" t="n">
        <v>0</v>
      </c>
      <c r="L2396" t="n">
        <v>0</v>
      </c>
      <c r="M2396" t="inlineStr">
        <is>
          <t>waste aluminium</t>
        </is>
      </c>
    </row>
    <row r="2397">
      <c r="A2397" t="inlineStr">
        <is>
          <t>treatment of waste bulk iron, excluding reinforcement, sorting plant</t>
        </is>
      </c>
      <c r="B2397" t="n">
        <v>-5870000</v>
      </c>
      <c r="C2397" t="inlineStr">
        <is>
          <t>CH</t>
        </is>
      </c>
      <c r="D2397" t="inlineStr">
        <is>
          <t>kilogram</t>
        </is>
      </c>
      <c r="E2397" t="inlineStr">
        <is>
          <t>Waste to treatment</t>
        </is>
      </c>
      <c r="F2397" t="inlineStr">
        <is>
          <t>technosphere</t>
        </is>
      </c>
      <c r="G2397" t="n">
        <v>0</v>
      </c>
      <c r="H2397" t="n">
        <v>15.58536519180428</v>
      </c>
      <c r="I2397" t="n">
        <v>0</v>
      </c>
      <c r="L2397" t="n">
        <v>0</v>
      </c>
      <c r="M2397" t="inlineStr">
        <is>
          <t>waste bulk iron, excluding reinforcement</t>
        </is>
      </c>
    </row>
    <row r="2398">
      <c r="A2398" t="inlineStr">
        <is>
          <t>treatment of waste concrete, not reinforced, collection for final disposal</t>
        </is>
      </c>
      <c r="B2398" t="n">
        <v>-212000000</v>
      </c>
      <c r="C2398" t="inlineStr">
        <is>
          <t>CH</t>
        </is>
      </c>
      <c r="D2398" t="inlineStr">
        <is>
          <t>kilogram</t>
        </is>
      </c>
      <c r="E2398" t="inlineStr">
        <is>
          <t>Waste to treatment</t>
        </is>
      </c>
      <c r="F2398" t="inlineStr">
        <is>
          <t>technosphere</t>
        </is>
      </c>
      <c r="G2398" t="n">
        <v>0</v>
      </c>
      <c r="H2398" t="n">
        <v>19.17209683263629</v>
      </c>
      <c r="I2398" t="n">
        <v>0</v>
      </c>
      <c r="L2398" t="n">
        <v>0</v>
      </c>
      <c r="M2398" t="inlineStr">
        <is>
          <t>waste concrete, not reinforced</t>
        </is>
      </c>
    </row>
    <row r="2399">
      <c r="A2399" t="inlineStr">
        <is>
          <t>treatment of waste concrete, not reinforced, recycling</t>
        </is>
      </c>
      <c r="B2399" t="n">
        <v>-90900000</v>
      </c>
      <c r="C2399" t="inlineStr">
        <is>
          <t>CH</t>
        </is>
      </c>
      <c r="D2399" t="inlineStr">
        <is>
          <t>kilogram</t>
        </is>
      </c>
      <c r="E2399" t="inlineStr">
        <is>
          <t>Waste to treatment</t>
        </is>
      </c>
      <c r="F2399" t="inlineStr">
        <is>
          <t>technosphere</t>
        </is>
      </c>
      <c r="G2399" t="n">
        <v>0</v>
      </c>
      <c r="H2399" t="n">
        <v>18.32527055914771</v>
      </c>
      <c r="I2399" t="n">
        <v>0</v>
      </c>
      <c r="L2399" t="n">
        <v>0</v>
      </c>
      <c r="M2399" t="inlineStr">
        <is>
          <t>waste concrete, not reinforced</t>
        </is>
      </c>
    </row>
    <row r="2400">
      <c r="A2400" t="inlineStr">
        <is>
          <t>treatment of waste emulsion paint on wall, collection for final disposal</t>
        </is>
      </c>
      <c r="B2400" t="n">
        <v>-35900</v>
      </c>
      <c r="C2400" t="inlineStr">
        <is>
          <t>CH</t>
        </is>
      </c>
      <c r="D2400" t="inlineStr">
        <is>
          <t>kilogram</t>
        </is>
      </c>
      <c r="E2400" t="inlineStr">
        <is>
          <t>Waste to treatment</t>
        </is>
      </c>
      <c r="F2400" t="inlineStr">
        <is>
          <t>technosphere</t>
        </is>
      </c>
      <c r="G2400" t="n">
        <v>0</v>
      </c>
      <c r="H2400" t="n">
        <v>10.48849257447637</v>
      </c>
      <c r="I2400" t="n">
        <v>0</v>
      </c>
      <c r="L2400" t="n">
        <v>0</v>
      </c>
      <c r="M2400" t="inlineStr">
        <is>
          <t>waste emulsion paint, on wall</t>
        </is>
      </c>
    </row>
    <row r="2401">
      <c r="A2401" t="inlineStr">
        <is>
          <t>treatment of waste glass, inert material landfill</t>
        </is>
      </c>
      <c r="B2401" t="n">
        <v>-8440</v>
      </c>
      <c r="C2401" t="inlineStr">
        <is>
          <t>CH</t>
        </is>
      </c>
      <c r="D2401" t="inlineStr">
        <is>
          <t>kilogram</t>
        </is>
      </c>
      <c r="E2401" t="inlineStr">
        <is>
          <t>Waste to treatment</t>
        </is>
      </c>
      <c r="F2401" t="inlineStr">
        <is>
          <t>technosphere</t>
        </is>
      </c>
      <c r="G2401" t="n">
        <v>0</v>
      </c>
      <c r="H2401" t="n">
        <v>9.040737587590003</v>
      </c>
      <c r="I2401" t="n">
        <v>0</v>
      </c>
      <c r="L2401" t="n">
        <v>0</v>
      </c>
      <c r="M2401" t="inlineStr">
        <is>
          <t>waste glass</t>
        </is>
      </c>
    </row>
    <row r="2402">
      <c r="A2402" t="inlineStr">
        <is>
          <t>treatment of waste glass, municipal incineration</t>
        </is>
      </c>
      <c r="B2402" t="n">
        <v>-5620</v>
      </c>
      <c r="C2402" t="inlineStr">
        <is>
          <t>CH</t>
        </is>
      </c>
      <c r="D2402" t="inlineStr">
        <is>
          <t>kilogram</t>
        </is>
      </c>
      <c r="E2402" t="inlineStr">
        <is>
          <t>Waste to treatment</t>
        </is>
      </c>
      <c r="F2402" t="inlineStr">
        <is>
          <t>technosphere</t>
        </is>
      </c>
      <c r="G2402" t="n">
        <v>0</v>
      </c>
      <c r="H2402" t="n">
        <v>8.634086942887738</v>
      </c>
      <c r="I2402" t="n">
        <v>0</v>
      </c>
      <c r="L2402" t="n">
        <v>0</v>
      </c>
      <c r="M2402" t="inlineStr">
        <is>
          <t>waste glass</t>
        </is>
      </c>
    </row>
    <row r="2403">
      <c r="A2403" t="inlineStr">
        <is>
          <t>treatment of waste mineral wool, collection for final disposal</t>
        </is>
      </c>
      <c r="B2403" t="n">
        <v>-504000</v>
      </c>
      <c r="C2403" t="inlineStr">
        <is>
          <t>CH</t>
        </is>
      </c>
      <c r="D2403" t="inlineStr">
        <is>
          <t>kilogram</t>
        </is>
      </c>
      <c r="E2403" t="inlineStr">
        <is>
          <t>Waste to treatment</t>
        </is>
      </c>
      <c r="F2403" t="inlineStr">
        <is>
          <t>technosphere</t>
        </is>
      </c>
      <c r="G2403" t="n">
        <v>0</v>
      </c>
      <c r="H2403" t="n">
        <v>13.13033154705351</v>
      </c>
      <c r="I2403" t="n">
        <v>0</v>
      </c>
      <c r="L2403" t="n">
        <v>0</v>
      </c>
      <c r="M2403" t="inlineStr">
        <is>
          <t>waste mineral wool</t>
        </is>
      </c>
    </row>
    <row r="2404">
      <c r="A2404" t="inlineStr">
        <is>
          <t>treatment of waste mineral wool, recycling</t>
        </is>
      </c>
      <c r="B2404" t="n">
        <v>-755000</v>
      </c>
      <c r="C2404" t="inlineStr">
        <is>
          <t>CH</t>
        </is>
      </c>
      <c r="D2404" t="inlineStr">
        <is>
          <t>kilogram</t>
        </is>
      </c>
      <c r="E2404" t="inlineStr">
        <is>
          <t>Waste to treatment</t>
        </is>
      </c>
      <c r="F2404" t="inlineStr">
        <is>
          <t>technosphere</t>
        </is>
      </c>
      <c r="G2404" t="n">
        <v>0</v>
      </c>
      <c r="H2404" t="n">
        <v>13.53447302823116</v>
      </c>
      <c r="I2404" t="n">
        <v>0</v>
      </c>
      <c r="L2404" t="n">
        <v>0</v>
      </c>
      <c r="M2404" t="inlineStr">
        <is>
          <t>waste mineral wool</t>
        </is>
      </c>
    </row>
    <row r="2405">
      <c r="A2405" t="inlineStr">
        <is>
          <t>treatment of waste polyethylene, municipal incineration</t>
        </is>
      </c>
      <c r="B2405" t="n">
        <v>-54600</v>
      </c>
      <c r="C2405" t="inlineStr">
        <is>
          <t>CH</t>
        </is>
      </c>
      <c r="D2405" t="inlineStr">
        <is>
          <t>kilogram</t>
        </is>
      </c>
      <c r="E2405" t="inlineStr">
        <is>
          <t>Waste to treatment</t>
        </is>
      </c>
      <c r="F2405" t="inlineStr">
        <is>
          <t>technosphere</t>
        </is>
      </c>
      <c r="G2405" t="n">
        <v>0</v>
      </c>
      <c r="H2405" t="n">
        <v>10.907789161733</v>
      </c>
      <c r="I2405" t="n">
        <v>0</v>
      </c>
      <c r="L2405" t="n">
        <v>0</v>
      </c>
      <c r="M2405" t="inlineStr">
        <is>
          <t>waste polyethylene</t>
        </is>
      </c>
    </row>
    <row r="2406">
      <c r="A2406" t="inlineStr">
        <is>
          <t>treatment of waste polyethylene, sanitary landfill</t>
        </is>
      </c>
      <c r="B2406" t="n">
        <v>-13700</v>
      </c>
      <c r="C2406" t="inlineStr">
        <is>
          <t>CH</t>
        </is>
      </c>
      <c r="D2406" t="inlineStr">
        <is>
          <t>kilogram</t>
        </is>
      </c>
      <c r="E2406" t="inlineStr">
        <is>
          <t>Waste to treatment</t>
        </is>
      </c>
      <c r="F2406" t="inlineStr">
        <is>
          <t>technosphere</t>
        </is>
      </c>
      <c r="G2406" t="n">
        <v>0</v>
      </c>
      <c r="H2406" t="n">
        <v>9.525151111816216</v>
      </c>
      <c r="I2406" t="n">
        <v>0</v>
      </c>
      <c r="L2406" t="n">
        <v>0</v>
      </c>
      <c r="M2406" t="inlineStr">
        <is>
          <t>waste polyethylene</t>
        </is>
      </c>
    </row>
    <row r="2407">
      <c r="A2407" t="inlineStr">
        <is>
          <t>treatment of waste polypropylene, municipal incineration</t>
        </is>
      </c>
      <c r="B2407" t="n">
        <v>-27300</v>
      </c>
      <c r="C2407" t="inlineStr">
        <is>
          <t>CH</t>
        </is>
      </c>
      <c r="D2407" t="inlineStr">
        <is>
          <t>kilogram</t>
        </is>
      </c>
      <c r="E2407" t="inlineStr">
        <is>
          <t>Waste to treatment</t>
        </is>
      </c>
      <c r="F2407" t="inlineStr">
        <is>
          <t>technosphere</t>
        </is>
      </c>
      <c r="G2407" t="n">
        <v>0</v>
      </c>
      <c r="H2407" t="n">
        <v>10.21464198117305</v>
      </c>
      <c r="I2407" t="n">
        <v>0</v>
      </c>
      <c r="L2407" t="n">
        <v>0</v>
      </c>
      <c r="M2407" t="inlineStr">
        <is>
          <t>waste polypropylene</t>
        </is>
      </c>
    </row>
    <row r="2408" ht="16" customHeight="1">
      <c r="A2408" t="inlineStr">
        <is>
          <t>treatment of waste polypropylene, sanitary landfill</t>
        </is>
      </c>
      <c r="B2408" t="n">
        <v>-6830</v>
      </c>
      <c r="C2408" t="inlineStr">
        <is>
          <t>CH</t>
        </is>
      </c>
      <c r="D2408" t="inlineStr">
        <is>
          <t>kilogram</t>
        </is>
      </c>
      <c r="E2408" t="inlineStr">
        <is>
          <t>Waste to treatment</t>
        </is>
      </c>
      <c r="F2408" t="inlineStr">
        <is>
          <t>technosphere</t>
        </is>
      </c>
      <c r="G2408" t="n">
        <v>0</v>
      </c>
      <c r="H2408" t="n">
        <v>8.829079952564836</v>
      </c>
      <c r="I2408" t="n">
        <v>0</v>
      </c>
      <c r="L2408" t="n">
        <v>0</v>
      </c>
      <c r="M2408" t="inlineStr">
        <is>
          <t>waste polypropylene</t>
        </is>
      </c>
    </row>
    <row r="2409">
      <c r="A2409" t="inlineStr">
        <is>
          <t>treatment of waste polystyrene, municipal incineration</t>
        </is>
      </c>
      <c r="B2409" t="n">
        <v>-189000</v>
      </c>
      <c r="C2409" t="inlineStr">
        <is>
          <t>CH</t>
        </is>
      </c>
      <c r="D2409" t="inlineStr">
        <is>
          <t>kilogram</t>
        </is>
      </c>
      <c r="E2409" t="inlineStr">
        <is>
          <t>Waste to treatment</t>
        </is>
      </c>
      <c r="F2409" t="inlineStr">
        <is>
          <t>technosphere</t>
        </is>
      </c>
      <c r="G2409" t="n">
        <v>0</v>
      </c>
      <c r="H2409" t="n">
        <v>12.14950229404178</v>
      </c>
      <c r="I2409" t="n">
        <v>0</v>
      </c>
      <c r="L2409" t="n">
        <v>0</v>
      </c>
      <c r="M2409" t="inlineStr">
        <is>
          <t>waste polystyrene</t>
        </is>
      </c>
    </row>
    <row r="2410">
      <c r="A2410" t="inlineStr">
        <is>
          <t>treatment of waste polystyrene, sanitary landfill</t>
        </is>
      </c>
      <c r="B2410" t="n">
        <v>-47300</v>
      </c>
      <c r="C2410" t="inlineStr">
        <is>
          <t>CH</t>
        </is>
      </c>
      <c r="D2410" t="inlineStr">
        <is>
          <t>kilogram</t>
        </is>
      </c>
      <c r="E2410" t="inlineStr">
        <is>
          <t>Waste to treatment</t>
        </is>
      </c>
      <c r="F2410" t="inlineStr">
        <is>
          <t>technosphere</t>
        </is>
      </c>
      <c r="G2410" t="n">
        <v>0</v>
      </c>
      <c r="H2410" t="n">
        <v>10.76426557448002</v>
      </c>
      <c r="I2410" t="n">
        <v>0</v>
      </c>
      <c r="L2410" t="n">
        <v>0</v>
      </c>
      <c r="M2410" t="inlineStr">
        <is>
          <t>waste polystyrene</t>
        </is>
      </c>
    </row>
    <row r="2411">
      <c r="A2411" t="inlineStr">
        <is>
          <t>treatment of waste polyvinylchloride, municipal incineration</t>
        </is>
      </c>
      <c r="B2411" t="n">
        <v>-289000</v>
      </c>
      <c r="C2411" t="inlineStr">
        <is>
          <t>CH</t>
        </is>
      </c>
      <c r="D2411" t="inlineStr">
        <is>
          <t>kilogram</t>
        </is>
      </c>
      <c r="E2411" t="inlineStr">
        <is>
          <t>Waste to treatment</t>
        </is>
      </c>
      <c r="F2411" t="inlineStr">
        <is>
          <t>technosphere</t>
        </is>
      </c>
      <c r="G2411" t="n">
        <v>0</v>
      </c>
      <c r="H2411" t="n">
        <v>12.57418196709457</v>
      </c>
      <c r="I2411" t="n">
        <v>0</v>
      </c>
      <c r="L2411" t="n">
        <v>0</v>
      </c>
      <c r="M2411" t="inlineStr">
        <is>
          <t>waste polyvinylchloride</t>
        </is>
      </c>
    </row>
    <row r="2412">
      <c r="A2412" t="inlineStr">
        <is>
          <t>treatment of waste polyvinylchloride, sanitary landfill</t>
        </is>
      </c>
      <c r="B2412" t="n">
        <v>-72300</v>
      </c>
      <c r="C2412" t="inlineStr">
        <is>
          <t>CH</t>
        </is>
      </c>
      <c r="D2412" t="inlineStr">
        <is>
          <t>kilogram</t>
        </is>
      </c>
      <c r="E2412" t="inlineStr">
        <is>
          <t>Waste to treatment</t>
        </is>
      </c>
      <c r="F2412" t="inlineStr">
        <is>
          <t>technosphere</t>
        </is>
      </c>
      <c r="G2412" t="n">
        <v>0</v>
      </c>
      <c r="H2412" t="n">
        <v>11.18857940814686</v>
      </c>
      <c r="I2412" t="n">
        <v>0</v>
      </c>
      <c r="L2412" t="n">
        <v>0</v>
      </c>
      <c r="M2412" t="inlineStr">
        <is>
          <t>waste polyvinylchloride</t>
        </is>
      </c>
    </row>
    <row r="2413">
      <c r="A2413" t="inlineStr">
        <is>
          <t>treatment of waste reinforcement steel, collection for final disposal</t>
        </is>
      </c>
      <c r="B2413" t="n">
        <v>-1960000</v>
      </c>
      <c r="C2413" t="inlineStr">
        <is>
          <t>CH</t>
        </is>
      </c>
      <c r="D2413" t="inlineStr">
        <is>
          <t>kilogram</t>
        </is>
      </c>
      <c r="E2413" t="inlineStr">
        <is>
          <t>Waste to treatment</t>
        </is>
      </c>
      <c r="F2413" t="inlineStr">
        <is>
          <t>technosphere</t>
        </is>
      </c>
      <c r="G2413" t="n">
        <v>0</v>
      </c>
      <c r="H2413" t="n">
        <v>14.4884550312067</v>
      </c>
      <c r="I2413" t="n">
        <v>0</v>
      </c>
      <c r="L2413" t="n">
        <v>0</v>
      </c>
      <c r="M2413" t="inlineStr">
        <is>
          <t>waste reinforcement steel</t>
        </is>
      </c>
    </row>
    <row r="2414">
      <c r="A2414" t="inlineStr">
        <is>
          <t>treatment of waste reinforcement steel, sorting plant</t>
        </is>
      </c>
      <c r="B2414" t="n">
        <v>-9780000</v>
      </c>
      <c r="C2414" t="inlineStr">
        <is>
          <t>CH</t>
        </is>
      </c>
      <c r="D2414" t="inlineStr">
        <is>
          <t>kilogram</t>
        </is>
      </c>
      <c r="E2414" t="inlineStr">
        <is>
          <t>Waste to treatment</t>
        </is>
      </c>
      <c r="F2414" t="inlineStr">
        <is>
          <t>technosphere</t>
        </is>
      </c>
      <c r="G2414" t="n">
        <v>0</v>
      </c>
      <c r="H2414" t="n">
        <v>16.095850042011</v>
      </c>
      <c r="I2414" t="n">
        <v>0</v>
      </c>
      <c r="L2414" t="n">
        <v>0</v>
      </c>
      <c r="M2414" t="inlineStr">
        <is>
          <t>waste reinforcement steel</t>
        </is>
      </c>
    </row>
    <row r="2415" ht="16" customHeight="1">
      <c r="A2415" t="inlineStr">
        <is>
          <t>treatment of waste wood, untreated, municipal incineration</t>
        </is>
      </c>
      <c r="B2415" t="n">
        <v>-1.55</v>
      </c>
      <c r="C2415" t="inlineStr">
        <is>
          <t>CH</t>
        </is>
      </c>
      <c r="D2415" t="inlineStr">
        <is>
          <t>kilogram</t>
        </is>
      </c>
      <c r="E2415" t="inlineStr">
        <is>
          <t>Waste to treatment</t>
        </is>
      </c>
      <c r="F2415" t="inlineStr">
        <is>
          <t>technosphere</t>
        </is>
      </c>
      <c r="G2415" t="n">
        <v>0</v>
      </c>
      <c r="H2415" t="n">
        <v>0.4382549309311553</v>
      </c>
      <c r="I2415" t="n">
        <v>0</v>
      </c>
      <c r="L2415" t="n">
        <v>0</v>
      </c>
      <c r="M2415" t="inlineStr">
        <is>
          <t>waste wood, untreated</t>
        </is>
      </c>
    </row>
    <row r="2416">
      <c r="A2416" t="inlineStr">
        <is>
          <t>treatment of zinc in car shredder residue, municipal incineration</t>
        </is>
      </c>
      <c r="B2416" t="n">
        <v>-7990</v>
      </c>
      <c r="C2416" t="inlineStr">
        <is>
          <t>CH</t>
        </is>
      </c>
      <c r="D2416" t="inlineStr">
        <is>
          <t>kilogram</t>
        </is>
      </c>
      <c r="E2416" t="inlineStr">
        <is>
          <t>Waste to treatment</t>
        </is>
      </c>
      <c r="F2416" t="inlineStr">
        <is>
          <t>technosphere</t>
        </is>
      </c>
      <c r="G2416" t="n">
        <v>0</v>
      </c>
      <c r="H2416" t="n">
        <v>8.98594603876032</v>
      </c>
      <c r="I2416" t="n">
        <v>0</v>
      </c>
      <c r="L2416" t="n">
        <v>0</v>
      </c>
      <c r="M2416" t="inlineStr">
        <is>
          <t>zinc in car shredder residue</t>
        </is>
      </c>
    </row>
    <row r="2417"/>
    <row r="2418">
      <c r="A2418" s="1" t="inlineStr">
        <is>
          <t>Activity</t>
        </is>
      </c>
      <c r="B2418" s="1" t="inlineStr">
        <is>
          <t>dismantling, lignite IGCC power plant 450MW</t>
        </is>
      </c>
    </row>
    <row r="2419">
      <c r="A2419" t="inlineStr">
        <is>
          <t>location</t>
        </is>
      </c>
      <c r="B2419" t="inlineStr">
        <is>
          <t>RER</t>
        </is>
      </c>
    </row>
    <row r="2420">
      <c r="A2420" t="inlineStr">
        <is>
          <t>production amount</t>
        </is>
      </c>
      <c r="B2420" t="n">
        <v>1</v>
      </c>
    </row>
    <row r="2421">
      <c r="A2421" t="inlineStr">
        <is>
          <t>reference product</t>
        </is>
      </c>
      <c r="B2421" t="inlineStr">
        <is>
          <t>dismantling, lignite IGCC power plant 450MW</t>
        </is>
      </c>
    </row>
    <row r="2422">
      <c r="A2422" t="inlineStr">
        <is>
          <t>type</t>
        </is>
      </c>
      <c r="B2422" t="inlineStr">
        <is>
          <t>process</t>
        </is>
      </c>
    </row>
    <row r="2423">
      <c r="A2423" t="inlineStr">
        <is>
          <t>unit</t>
        </is>
      </c>
      <c r="B2423" t="inlineStr">
        <is>
          <t>unit</t>
        </is>
      </c>
    </row>
    <row r="2424">
      <c r="A2424" t="inlineStr">
        <is>
          <t>source</t>
        </is>
      </c>
      <c r="B2424" t="inlineStr">
        <is>
          <t>Life cycle assessment of carbon capture and storage in power generation and industry in Europe, Volkart et al., 2013, International Journal of Greenhouse Gas Control</t>
        </is>
      </c>
    </row>
    <row r="2425">
      <c r="A2425" s="1" t="inlineStr">
        <is>
          <t>Exchanges</t>
        </is>
      </c>
    </row>
    <row r="2426">
      <c r="A2426" t="inlineStr">
        <is>
          <t>name</t>
        </is>
      </c>
      <c r="B2426" t="inlineStr">
        <is>
          <t>amount</t>
        </is>
      </c>
      <c r="C2426" t="inlineStr">
        <is>
          <t>location</t>
        </is>
      </c>
      <c r="D2426" t="inlineStr">
        <is>
          <t>unit</t>
        </is>
      </c>
      <c r="E2426" t="inlineStr">
        <is>
          <t>categories</t>
        </is>
      </c>
      <c r="F2426" t="inlineStr">
        <is>
          <t>type</t>
        </is>
      </c>
      <c r="G2426" t="inlineStr">
        <is>
          <t>uncertainty type</t>
        </is>
      </c>
      <c r="H2426" t="inlineStr">
        <is>
          <t>loc</t>
        </is>
      </c>
      <c r="I2426" t="inlineStr">
        <is>
          <t>scale</t>
        </is>
      </c>
      <c r="J2426" t="inlineStr">
        <is>
          <t>allocation</t>
        </is>
      </c>
      <c r="K2426" t="inlineStr">
        <is>
          <t>comment</t>
        </is>
      </c>
      <c r="L2426" t="inlineStr">
        <is>
          <t>negative</t>
        </is>
      </c>
      <c r="M2426" t="inlineStr">
        <is>
          <t>reference product</t>
        </is>
      </c>
    </row>
    <row r="2427">
      <c r="A2427" t="inlineStr">
        <is>
          <t>Occupation, construction site</t>
        </is>
      </c>
      <c r="B2427" t="n">
        <v>1090000</v>
      </c>
      <c r="D2427" t="inlineStr">
        <is>
          <t>square meter-year</t>
        </is>
      </c>
      <c r="E2427" t="inlineStr">
        <is>
          <t>natural resource::land</t>
        </is>
      </c>
      <c r="F2427" t="inlineStr">
        <is>
          <t>biosphere</t>
        </is>
      </c>
      <c r="G2427" t="n">
        <v>0</v>
      </c>
      <c r="H2427" t="n">
        <v>13.90168825420533</v>
      </c>
      <c r="I2427" t="n">
        <v>0</v>
      </c>
      <c r="L2427" t="n">
        <v>0</v>
      </c>
    </row>
    <row r="2428">
      <c r="A2428" t="inlineStr">
        <is>
          <t>Transformation, from industrial area</t>
        </is>
      </c>
      <c r="B2428" t="n">
        <v>81400</v>
      </c>
      <c r="D2428" t="inlineStr">
        <is>
          <t>square meter</t>
        </is>
      </c>
      <c r="E2428" t="inlineStr">
        <is>
          <t>natural resource::land</t>
        </is>
      </c>
      <c r="F2428" t="inlineStr">
        <is>
          <t>biosphere</t>
        </is>
      </c>
      <c r="G2428" t="n">
        <v>0</v>
      </c>
      <c r="H2428" t="n">
        <v>11.30713055199063</v>
      </c>
      <c r="I2428" t="n">
        <v>0</v>
      </c>
      <c r="L2428" t="n">
        <v>0</v>
      </c>
    </row>
    <row r="2429">
      <c r="A2429" t="inlineStr">
        <is>
          <t>Transformation, from industrial area</t>
        </is>
      </c>
      <c r="B2429" t="n">
        <v>271000</v>
      </c>
      <c r="D2429" t="inlineStr">
        <is>
          <t>square meter</t>
        </is>
      </c>
      <c r="E2429" t="inlineStr">
        <is>
          <t>natural resource::land</t>
        </is>
      </c>
      <c r="F2429" t="inlineStr">
        <is>
          <t>biosphere</t>
        </is>
      </c>
      <c r="G2429" t="n">
        <v>0</v>
      </c>
      <c r="H2429" t="n">
        <v>12.50987409986184</v>
      </c>
      <c r="I2429" t="n">
        <v>0</v>
      </c>
      <c r="L2429" t="n">
        <v>0</v>
      </c>
    </row>
    <row r="2430">
      <c r="A2430" t="inlineStr">
        <is>
          <t>Transformation, from industrial area</t>
        </is>
      </c>
      <c r="B2430" t="n">
        <v>109000</v>
      </c>
      <c r="D2430" t="inlineStr">
        <is>
          <t>square meter</t>
        </is>
      </c>
      <c r="E2430" t="inlineStr">
        <is>
          <t>natural resource::land</t>
        </is>
      </c>
      <c r="F2430" t="inlineStr">
        <is>
          <t>biosphere</t>
        </is>
      </c>
      <c r="G2430" t="n">
        <v>0</v>
      </c>
      <c r="H2430" t="n">
        <v>11.59910316121128</v>
      </c>
      <c r="I2430" t="n">
        <v>0</v>
      </c>
      <c r="L2430" t="n">
        <v>0</v>
      </c>
    </row>
    <row r="2431">
      <c r="A2431" t="inlineStr">
        <is>
          <t>Transformation, to annual crop, non-irrigated</t>
        </is>
      </c>
      <c r="B2431" t="n">
        <v>543000</v>
      </c>
      <c r="D2431" t="inlineStr">
        <is>
          <t>square meter</t>
        </is>
      </c>
      <c r="E2431" t="inlineStr">
        <is>
          <t>natural resource::land</t>
        </is>
      </c>
      <c r="F2431" t="inlineStr">
        <is>
          <t>biosphere</t>
        </is>
      </c>
      <c r="G2431" t="n">
        <v>0</v>
      </c>
      <c r="H2431" t="n">
        <v>13.20486459891607</v>
      </c>
      <c r="I2431" t="n">
        <v>0</v>
      </c>
      <c r="L2431" t="n">
        <v>0</v>
      </c>
    </row>
    <row r="2432">
      <c r="A2432" t="inlineStr">
        <is>
          <t>dismantling, lignite IGCC power plant 450MW</t>
        </is>
      </c>
      <c r="B2432" t="n">
        <v>1</v>
      </c>
      <c r="C2432" t="inlineStr">
        <is>
          <t>RER</t>
        </is>
      </c>
      <c r="D2432" t="inlineStr">
        <is>
          <t>unit</t>
        </is>
      </c>
      <c r="E2432" t="inlineStr">
        <is>
          <t>NEEDS_2000::Lignite::IGCC::Infrastructure</t>
        </is>
      </c>
      <c r="F2432" t="inlineStr">
        <is>
          <t>production</t>
        </is>
      </c>
      <c r="J2432" t="n">
        <v>100</v>
      </c>
      <c r="K2432" t="inlineStr">
        <is>
          <t>Europe</t>
        </is>
      </c>
    </row>
    <row r="2433">
      <c r="A2433" t="inlineStr">
        <is>
          <t>treatment of inert waste, sanitary landfill</t>
        </is>
      </c>
      <c r="B2433" t="n">
        <v>-7330</v>
      </c>
      <c r="C2433" t="inlineStr">
        <is>
          <t>CH</t>
        </is>
      </c>
      <c r="D2433" t="inlineStr">
        <is>
          <t>kilogram</t>
        </is>
      </c>
      <c r="E2433" t="inlineStr">
        <is>
          <t>Waste to treatment</t>
        </is>
      </c>
      <c r="F2433" t="inlineStr">
        <is>
          <t>technosphere</t>
        </is>
      </c>
      <c r="G2433" t="n">
        <v>0</v>
      </c>
      <c r="H2433" t="n">
        <v>8.899730794880696</v>
      </c>
      <c r="I2433" t="n">
        <v>0</v>
      </c>
      <c r="L2433" t="n">
        <v>0</v>
      </c>
      <c r="M2433" t="inlineStr">
        <is>
          <t>inert waste</t>
        </is>
      </c>
    </row>
    <row r="2434">
      <c r="A2434" t="inlineStr">
        <is>
          <t>treatment of municipal solid waste, incineration</t>
        </is>
      </c>
      <c r="B2434" t="n">
        <v>-70700</v>
      </c>
      <c r="C2434" t="inlineStr">
        <is>
          <t>CH</t>
        </is>
      </c>
      <c r="D2434" t="inlineStr">
        <is>
          <t>kilogram</t>
        </is>
      </c>
      <c r="E2434" t="inlineStr">
        <is>
          <t>Waste to treatment</t>
        </is>
      </c>
      <c r="F2434" t="inlineStr">
        <is>
          <t>technosphere</t>
        </is>
      </c>
      <c r="G2434" t="n">
        <v>0</v>
      </c>
      <c r="H2434" t="n">
        <v>11.16620085188466</v>
      </c>
      <c r="I2434" t="n">
        <v>0</v>
      </c>
      <c r="L2434" t="n">
        <v>0</v>
      </c>
      <c r="M2434" t="inlineStr">
        <is>
          <t>municipal solid waste</t>
        </is>
      </c>
    </row>
    <row r="2435">
      <c r="A2435" t="inlineStr">
        <is>
          <t>treatment of scrap aluminium, municipal incineration</t>
        </is>
      </c>
      <c r="B2435" t="n">
        <v>-40900</v>
      </c>
      <c r="C2435" t="inlineStr">
        <is>
          <t>CH</t>
        </is>
      </c>
      <c r="D2435" t="inlineStr">
        <is>
          <t>kilogram</t>
        </is>
      </c>
      <c r="E2435" t="inlineStr">
        <is>
          <t>Waste to treatment</t>
        </is>
      </c>
      <c r="F2435" t="inlineStr">
        <is>
          <t>technosphere</t>
        </is>
      </c>
      <c r="G2435" t="n">
        <v>0</v>
      </c>
      <c r="H2435" t="n">
        <v>10.61888534203089</v>
      </c>
      <c r="I2435" t="n">
        <v>0</v>
      </c>
      <c r="L2435" t="n">
        <v>0</v>
      </c>
      <c r="M2435" t="inlineStr">
        <is>
          <t>scrap aluminium</t>
        </is>
      </c>
    </row>
    <row r="2436">
      <c r="A2436" t="inlineStr">
        <is>
          <t>treatment of waste aluminium, sanitary landfill</t>
        </is>
      </c>
      <c r="B2436" t="n">
        <v>-10200</v>
      </c>
      <c r="C2436" t="inlineStr">
        <is>
          <t>CH</t>
        </is>
      </c>
      <c r="D2436" t="inlineStr">
        <is>
          <t>kilogram</t>
        </is>
      </c>
      <c r="E2436" t="inlineStr">
        <is>
          <t>Waste to treatment</t>
        </is>
      </c>
      <c r="F2436" t="inlineStr">
        <is>
          <t>technosphere</t>
        </is>
      </c>
      <c r="G2436" t="n">
        <v>0</v>
      </c>
      <c r="H2436" t="n">
        <v>9.230142999272362</v>
      </c>
      <c r="I2436" t="n">
        <v>0</v>
      </c>
      <c r="L2436" t="n">
        <v>0</v>
      </c>
      <c r="M2436" t="inlineStr">
        <is>
          <t>waste aluminium</t>
        </is>
      </c>
    </row>
    <row r="2437">
      <c r="A2437" t="inlineStr">
        <is>
          <t>treatment of waste bulk iron, excluding reinforcement, sorting plant</t>
        </is>
      </c>
      <c r="B2437" t="n">
        <v>-9850000</v>
      </c>
      <c r="C2437" t="inlineStr">
        <is>
          <t>CH</t>
        </is>
      </c>
      <c r="D2437" t="inlineStr">
        <is>
          <t>kilogram</t>
        </is>
      </c>
      <c r="E2437" t="inlineStr">
        <is>
          <t>Waste to treatment</t>
        </is>
      </c>
      <c r="F2437" t="inlineStr">
        <is>
          <t>technosphere</t>
        </is>
      </c>
      <c r="G2437" t="n">
        <v>0</v>
      </c>
      <c r="H2437" t="n">
        <v>16.10298201314827</v>
      </c>
      <c r="I2437" t="n">
        <v>0</v>
      </c>
      <c r="L2437" t="n">
        <v>0</v>
      </c>
      <c r="M2437" t="inlineStr">
        <is>
          <t>waste bulk iron, excluding reinforcement</t>
        </is>
      </c>
    </row>
    <row r="2438">
      <c r="A2438" t="inlineStr">
        <is>
          <t>treatment of waste concrete, not reinforced, sorting plant</t>
        </is>
      </c>
      <c r="B2438" t="n">
        <v>-305000000</v>
      </c>
      <c r="C2438" t="inlineStr">
        <is>
          <t>CH</t>
        </is>
      </c>
      <c r="D2438" t="inlineStr">
        <is>
          <t>kilogram</t>
        </is>
      </c>
      <c r="E2438" t="inlineStr">
        <is>
          <t>Waste to treatment</t>
        </is>
      </c>
      <c r="F2438" t="inlineStr">
        <is>
          <t>technosphere</t>
        </is>
      </c>
      <c r="G2438" t="n">
        <v>0</v>
      </c>
      <c r="H2438" t="n">
        <v>19.53582233457169</v>
      </c>
      <c r="I2438" t="n">
        <v>0</v>
      </c>
      <c r="L2438" t="n">
        <v>0</v>
      </c>
      <c r="M2438" t="inlineStr">
        <is>
          <t>waste concrete, not reinforced</t>
        </is>
      </c>
    </row>
    <row r="2439">
      <c r="A2439" t="inlineStr">
        <is>
          <t>treatment of waste emulsion paint on wall, collection for final disposal</t>
        </is>
      </c>
      <c r="B2439" t="n">
        <v>-30200</v>
      </c>
      <c r="C2439" t="inlineStr">
        <is>
          <t>CH</t>
        </is>
      </c>
      <c r="D2439" t="inlineStr">
        <is>
          <t>kilogram</t>
        </is>
      </c>
      <c r="E2439" t="inlineStr">
        <is>
          <t>Waste to treatment</t>
        </is>
      </c>
      <c r="F2439" t="inlineStr">
        <is>
          <t>technosphere</t>
        </is>
      </c>
      <c r="G2439" t="n">
        <v>0</v>
      </c>
      <c r="H2439" t="n">
        <v>10.31559720336296</v>
      </c>
      <c r="I2439" t="n">
        <v>0</v>
      </c>
      <c r="L2439" t="n">
        <v>0</v>
      </c>
      <c r="M2439" t="inlineStr">
        <is>
          <t>waste emulsion paint, on wall</t>
        </is>
      </c>
    </row>
    <row r="2440">
      <c r="A2440" t="inlineStr">
        <is>
          <t>treatment of waste glass, inert material landfill</t>
        </is>
      </c>
      <c r="B2440" t="n">
        <v>-5630</v>
      </c>
      <c r="C2440" t="inlineStr">
        <is>
          <t>CH</t>
        </is>
      </c>
      <c r="D2440" t="inlineStr">
        <is>
          <t>kilogram</t>
        </is>
      </c>
      <c r="E2440" t="inlineStr">
        <is>
          <t>Waste to treatment</t>
        </is>
      </c>
      <c r="F2440" t="inlineStr">
        <is>
          <t>technosphere</t>
        </is>
      </c>
      <c r="G2440" t="n">
        <v>0</v>
      </c>
      <c r="H2440" t="n">
        <v>8.635864721133736</v>
      </c>
      <c r="I2440" t="n">
        <v>0</v>
      </c>
      <c r="L2440" t="n">
        <v>0</v>
      </c>
      <c r="M2440" t="inlineStr">
        <is>
          <t>waste glass</t>
        </is>
      </c>
    </row>
    <row r="2441">
      <c r="A2441" t="inlineStr">
        <is>
          <t>treatment of waste glass, municipal incineration</t>
        </is>
      </c>
      <c r="B2441" t="n">
        <v>-8450</v>
      </c>
      <c r="C2441" t="inlineStr">
        <is>
          <t>CH</t>
        </is>
      </c>
      <c r="D2441" t="inlineStr">
        <is>
          <t>kilogram</t>
        </is>
      </c>
      <c r="E2441" t="inlineStr">
        <is>
          <t>Waste to treatment</t>
        </is>
      </c>
      <c r="F2441" t="inlineStr">
        <is>
          <t>technosphere</t>
        </is>
      </c>
      <c r="G2441" t="n">
        <v>0</v>
      </c>
      <c r="H2441" t="n">
        <v>9.041921720351219</v>
      </c>
      <c r="I2441" t="n">
        <v>0</v>
      </c>
      <c r="L2441" t="n">
        <v>0</v>
      </c>
      <c r="M2441" t="inlineStr">
        <is>
          <t>waste glass</t>
        </is>
      </c>
    </row>
    <row r="2442">
      <c r="A2442" t="inlineStr">
        <is>
          <t>treatment of waste mineral wool, collection for final disposal</t>
        </is>
      </c>
      <c r="B2442" t="n">
        <v>-484000</v>
      </c>
      <c r="C2442" t="inlineStr">
        <is>
          <t>CH</t>
        </is>
      </c>
      <c r="D2442" t="inlineStr">
        <is>
          <t>kilogram</t>
        </is>
      </c>
      <c r="E2442" t="inlineStr">
        <is>
          <t>Waste to treatment</t>
        </is>
      </c>
      <c r="F2442" t="inlineStr">
        <is>
          <t>technosphere</t>
        </is>
      </c>
      <c r="G2442" t="n">
        <v>0</v>
      </c>
      <c r="H2442" t="n">
        <v>13.08984018569877</v>
      </c>
      <c r="I2442" t="n">
        <v>0</v>
      </c>
      <c r="L2442" t="n">
        <v>0</v>
      </c>
      <c r="M2442" t="inlineStr">
        <is>
          <t>waste mineral wool</t>
        </is>
      </c>
    </row>
    <row r="2443">
      <c r="A2443" t="inlineStr">
        <is>
          <t>treatment of waste mineral wool, recycling</t>
        </is>
      </c>
      <c r="B2443" t="n">
        <v>-726000</v>
      </c>
      <c r="C2443" t="inlineStr">
        <is>
          <t>CH</t>
        </is>
      </c>
      <c r="D2443" t="inlineStr">
        <is>
          <t>kilogram</t>
        </is>
      </c>
      <c r="E2443" t="inlineStr">
        <is>
          <t>Waste to treatment</t>
        </is>
      </c>
      <c r="F2443" t="inlineStr">
        <is>
          <t>technosphere</t>
        </is>
      </c>
      <c r="G2443" t="n">
        <v>0</v>
      </c>
      <c r="H2443" t="n">
        <v>13.49530529380693</v>
      </c>
      <c r="I2443" t="n">
        <v>0</v>
      </c>
      <c r="L2443" t="n">
        <v>0</v>
      </c>
      <c r="M2443" t="inlineStr">
        <is>
          <t>waste mineral wool</t>
        </is>
      </c>
    </row>
    <row r="2444">
      <c r="A2444" t="inlineStr">
        <is>
          <t>treatment of waste polyethylene, municipal incineration</t>
        </is>
      </c>
      <c r="B2444" t="n">
        <v>-66200</v>
      </c>
      <c r="C2444" t="inlineStr">
        <is>
          <t>CH</t>
        </is>
      </c>
      <c r="D2444" t="inlineStr">
        <is>
          <t>kilogram</t>
        </is>
      </c>
      <c r="E2444" t="inlineStr">
        <is>
          <t>Waste to treatment</t>
        </is>
      </c>
      <c r="F2444" t="inlineStr">
        <is>
          <t>technosphere</t>
        </is>
      </c>
      <c r="G2444" t="n">
        <v>0</v>
      </c>
      <c r="H2444" t="n">
        <v>11.1004357419251</v>
      </c>
      <c r="I2444" t="n">
        <v>0</v>
      </c>
      <c r="L2444" t="n">
        <v>0</v>
      </c>
      <c r="M2444" t="inlineStr">
        <is>
          <t>waste polyethylene</t>
        </is>
      </c>
    </row>
    <row r="2445" ht="16" customHeight="1">
      <c r="A2445" t="inlineStr">
        <is>
          <t>treatment of waste polyethylene, sanitary landfill</t>
        </is>
      </c>
      <c r="B2445" t="n">
        <v>-3480</v>
      </c>
      <c r="C2445" t="inlineStr">
        <is>
          <t>CH</t>
        </is>
      </c>
      <c r="D2445" t="inlineStr">
        <is>
          <t>kilogram</t>
        </is>
      </c>
      <c r="E2445" t="inlineStr">
        <is>
          <t>Waste to treatment</t>
        </is>
      </c>
      <c r="F2445" t="inlineStr">
        <is>
          <t>technosphere</t>
        </is>
      </c>
      <c r="G2445" t="n">
        <v>0</v>
      </c>
      <c r="H2445" t="n">
        <v>8.15478757276852</v>
      </c>
      <c r="I2445" t="n">
        <v>0</v>
      </c>
      <c r="L2445" t="n">
        <v>0</v>
      </c>
      <c r="M2445" t="inlineStr">
        <is>
          <t>waste polyethylene</t>
        </is>
      </c>
    </row>
    <row r="2446">
      <c r="A2446" t="inlineStr">
        <is>
          <t>treatment of waste polypropylene, municipal incineration</t>
        </is>
      </c>
      <c r="B2446" t="n">
        <v>-33100</v>
      </c>
      <c r="C2446" t="inlineStr">
        <is>
          <t>CH</t>
        </is>
      </c>
      <c r="D2446" t="inlineStr">
        <is>
          <t>kilogram</t>
        </is>
      </c>
      <c r="E2446" t="inlineStr">
        <is>
          <t>Waste to treatment</t>
        </is>
      </c>
      <c r="F2446" t="inlineStr">
        <is>
          <t>technosphere</t>
        </is>
      </c>
      <c r="G2446" t="n">
        <v>0</v>
      </c>
      <c r="H2446" t="n">
        <v>10.40728856136515</v>
      </c>
      <c r="I2446" t="n">
        <v>0</v>
      </c>
      <c r="L2446" t="n">
        <v>0</v>
      </c>
      <c r="M2446" t="inlineStr">
        <is>
          <t>waste polypropylene</t>
        </is>
      </c>
    </row>
    <row r="2447">
      <c r="A2447" t="inlineStr">
        <is>
          <t>treatment of waste polypropylene, sanitary landfill</t>
        </is>
      </c>
      <c r="B2447" t="n">
        <v>-1740</v>
      </c>
      <c r="C2447" t="inlineStr">
        <is>
          <t>CH</t>
        </is>
      </c>
      <c r="D2447" t="inlineStr">
        <is>
          <t>kilogram</t>
        </is>
      </c>
      <c r="E2447" t="inlineStr">
        <is>
          <t>Waste to treatment</t>
        </is>
      </c>
      <c r="F2447" t="inlineStr">
        <is>
          <t>technosphere</t>
        </is>
      </c>
      <c r="G2447" t="n">
        <v>0</v>
      </c>
      <c r="H2447" t="n">
        <v>7.461640392208575</v>
      </c>
      <c r="I2447" t="n">
        <v>0</v>
      </c>
      <c r="L2447" t="n">
        <v>0</v>
      </c>
      <c r="M2447" t="inlineStr">
        <is>
          <t>waste polypropylene</t>
        </is>
      </c>
    </row>
    <row r="2448">
      <c r="A2448" t="inlineStr">
        <is>
          <t>treatment of waste polystyrene, municipal incineration</t>
        </is>
      </c>
      <c r="B2448" t="n">
        <v>-229000</v>
      </c>
      <c r="C2448" t="inlineStr">
        <is>
          <t>CH</t>
        </is>
      </c>
      <c r="D2448" t="inlineStr">
        <is>
          <t>kilogram</t>
        </is>
      </c>
      <c r="E2448" t="inlineStr">
        <is>
          <t>Waste to treatment</t>
        </is>
      </c>
      <c r="F2448" t="inlineStr">
        <is>
          <t>technosphere</t>
        </is>
      </c>
      <c r="G2448" t="n">
        <v>0</v>
      </c>
      <c r="H2448" t="n">
        <v>12.34147728253638</v>
      </c>
      <c r="I2448" t="n">
        <v>0</v>
      </c>
      <c r="L2448" t="n">
        <v>0</v>
      </c>
      <c r="M2448" t="inlineStr">
        <is>
          <t>waste polystyrene</t>
        </is>
      </c>
    </row>
    <row r="2449">
      <c r="A2449" t="inlineStr">
        <is>
          <t>treatment of waste polystyrene, sanitary landfill</t>
        </is>
      </c>
      <c r="B2449" t="n">
        <v>-12100</v>
      </c>
      <c r="C2449" t="inlineStr">
        <is>
          <t>CH</t>
        </is>
      </c>
      <c r="D2449" t="inlineStr">
        <is>
          <t>kilogram</t>
        </is>
      </c>
      <c r="E2449" t="inlineStr">
        <is>
          <t>Waste to treatment</t>
        </is>
      </c>
      <c r="F2449" t="inlineStr">
        <is>
          <t>technosphere</t>
        </is>
      </c>
      <c r="G2449" t="n">
        <v>0</v>
      </c>
      <c r="H2449" t="n">
        <v>9.400960731584833</v>
      </c>
      <c r="I2449" t="n">
        <v>0</v>
      </c>
      <c r="L2449" t="n">
        <v>0</v>
      </c>
      <c r="M2449" t="inlineStr">
        <is>
          <t>waste polystyrene</t>
        </is>
      </c>
    </row>
    <row r="2450">
      <c r="A2450" t="inlineStr">
        <is>
          <t>treatment of waste polyvinylchloride, municipal incineration</t>
        </is>
      </c>
      <c r="B2450" t="n">
        <v>-350000</v>
      </c>
      <c r="C2450" t="inlineStr">
        <is>
          <t>CH</t>
        </is>
      </c>
      <c r="D2450" t="inlineStr">
        <is>
          <t>kilogram</t>
        </is>
      </c>
      <c r="E2450" t="inlineStr">
        <is>
          <t>Waste to treatment</t>
        </is>
      </c>
      <c r="F2450" t="inlineStr">
        <is>
          <t>technosphere</t>
        </is>
      </c>
      <c r="G2450" t="n">
        <v>0</v>
      </c>
      <c r="H2450" t="n">
        <v>12.7656884334656</v>
      </c>
      <c r="I2450" t="n">
        <v>0</v>
      </c>
      <c r="L2450" t="n">
        <v>0</v>
      </c>
      <c r="M2450" t="inlineStr">
        <is>
          <t>waste polyvinylchloride</t>
        </is>
      </c>
    </row>
    <row r="2451">
      <c r="A2451" t="inlineStr">
        <is>
          <t>treatment of waste polyvinylchloride, sanitary landfill</t>
        </is>
      </c>
      <c r="B2451" t="n">
        <v>-18400</v>
      </c>
      <c r="C2451" t="inlineStr">
        <is>
          <t>CH</t>
        </is>
      </c>
      <c r="D2451" t="inlineStr">
        <is>
          <t>kilogram</t>
        </is>
      </c>
      <c r="E2451" t="inlineStr">
        <is>
          <t>Waste to treatment</t>
        </is>
      </c>
      <c r="F2451" t="inlineStr">
        <is>
          <t>technosphere</t>
        </is>
      </c>
      <c r="G2451" t="n">
        <v>0</v>
      </c>
      <c r="H2451" t="n">
        <v>9.820105943597078</v>
      </c>
      <c r="I2451" t="n">
        <v>0</v>
      </c>
      <c r="L2451" t="n">
        <v>0</v>
      </c>
      <c r="M2451" t="inlineStr">
        <is>
          <t>waste polyvinylchloride</t>
        </is>
      </c>
    </row>
    <row r="2452" ht="16" customHeight="1">
      <c r="A2452" t="inlineStr">
        <is>
          <t>treatment of waste reinforcement steel, sorting plant</t>
        </is>
      </c>
      <c r="B2452" t="n">
        <v>-13800000</v>
      </c>
      <c r="C2452" t="inlineStr">
        <is>
          <t>CH</t>
        </is>
      </c>
      <c r="D2452" t="inlineStr">
        <is>
          <t>kilogram</t>
        </is>
      </c>
      <c r="E2452" t="inlineStr">
        <is>
          <t>Waste to treatment</t>
        </is>
      </c>
      <c r="F2452" t="inlineStr">
        <is>
          <t>technosphere</t>
        </is>
      </c>
      <c r="G2452" t="n">
        <v>0</v>
      </c>
      <c r="H2452" t="n">
        <v>16.44017915012743</v>
      </c>
      <c r="I2452" t="n">
        <v>0</v>
      </c>
      <c r="L2452" t="n">
        <v>0</v>
      </c>
      <c r="M2452" t="inlineStr">
        <is>
          <t>waste reinforcement steel</t>
        </is>
      </c>
    </row>
    <row r="2453">
      <c r="A2453" t="inlineStr">
        <is>
          <t>treatment of waste wood, untreated, municipal incineration</t>
        </is>
      </c>
      <c r="B2453" t="n">
        <v>-1.55</v>
      </c>
      <c r="C2453" t="inlineStr">
        <is>
          <t>CH</t>
        </is>
      </c>
      <c r="D2453" t="inlineStr">
        <is>
          <t>kilogram</t>
        </is>
      </c>
      <c r="E2453" t="inlineStr">
        <is>
          <t>Waste to treatment</t>
        </is>
      </c>
      <c r="F2453" t="inlineStr">
        <is>
          <t>technosphere</t>
        </is>
      </c>
      <c r="G2453" t="n">
        <v>0</v>
      </c>
      <c r="H2453" t="n">
        <v>0.4382549309311553</v>
      </c>
      <c r="I2453" t="n">
        <v>0</v>
      </c>
      <c r="L2453" t="n">
        <v>0</v>
      </c>
      <c r="M2453" t="inlineStr">
        <is>
          <t>waste wood, untreated</t>
        </is>
      </c>
    </row>
    <row r="2454"/>
    <row r="2455">
      <c r="A2455" s="1" t="inlineStr">
        <is>
          <t>Activity</t>
        </is>
      </c>
      <c r="B2455" s="1" t="inlineStr">
        <is>
          <t>market for gas power plant, combined cycle, 400MW electrical</t>
        </is>
      </c>
    </row>
    <row r="2456">
      <c r="A2456" t="inlineStr">
        <is>
          <t>location</t>
        </is>
      </c>
      <c r="B2456" t="inlineStr">
        <is>
          <t>GLO</t>
        </is>
      </c>
    </row>
    <row r="2457">
      <c r="A2457" t="inlineStr">
        <is>
          <t>production amount</t>
        </is>
      </c>
      <c r="B2457" t="n">
        <v>1</v>
      </c>
    </row>
    <row r="2458">
      <c r="A2458" t="inlineStr">
        <is>
          <t>reference product</t>
        </is>
      </c>
      <c r="B2458" t="inlineStr">
        <is>
          <t>NGCC power plant, 400MWe</t>
        </is>
      </c>
    </row>
    <row r="2459">
      <c r="A2459" t="inlineStr">
        <is>
          <t>type</t>
        </is>
      </c>
      <c r="B2459" t="inlineStr">
        <is>
          <t>process</t>
        </is>
      </c>
    </row>
    <row r="2460">
      <c r="A2460" t="inlineStr">
        <is>
          <t>unit</t>
        </is>
      </c>
      <c r="B2460" t="inlineStr">
        <is>
          <t>unit</t>
        </is>
      </c>
    </row>
    <row r="2461">
      <c r="A2461" t="inlineStr">
        <is>
          <t>source</t>
        </is>
      </c>
      <c r="B2461" t="inlineStr">
        <is>
          <t>Life cycle assessment of carbon capture and storage in power generation and industry in Europe, Volkart et al., 2013, International Journal of Greenhouse Gas Control</t>
        </is>
      </c>
    </row>
    <row r="2462">
      <c r="A2462" s="1" t="inlineStr">
        <is>
          <t>Exchanges</t>
        </is>
      </c>
    </row>
    <row r="2463">
      <c r="A2463" t="inlineStr">
        <is>
          <t>name</t>
        </is>
      </c>
      <c r="B2463" t="inlineStr">
        <is>
          <t>amount</t>
        </is>
      </c>
      <c r="C2463" t="inlineStr">
        <is>
          <t>location</t>
        </is>
      </c>
      <c r="D2463" t="inlineStr">
        <is>
          <t>unit</t>
        </is>
      </c>
      <c r="E2463" t="inlineStr">
        <is>
          <t>categories</t>
        </is>
      </c>
      <c r="F2463" t="inlineStr">
        <is>
          <t>type</t>
        </is>
      </c>
      <c r="G2463" t="inlineStr">
        <is>
          <t>uncertainty type</t>
        </is>
      </c>
      <c r="H2463" t="inlineStr">
        <is>
          <t>loc</t>
        </is>
      </c>
      <c r="I2463" t="inlineStr">
        <is>
          <t>scale</t>
        </is>
      </c>
      <c r="J2463" t="inlineStr">
        <is>
          <t>allocation</t>
        </is>
      </c>
      <c r="K2463" t="inlineStr">
        <is>
          <t>comment</t>
        </is>
      </c>
      <c r="L2463" t="inlineStr">
        <is>
          <t>negative</t>
        </is>
      </c>
      <c r="M2463" t="inlineStr">
        <is>
          <t>reference product</t>
        </is>
      </c>
    </row>
    <row r="2464">
      <c r="A2464" t="inlineStr">
        <is>
          <t>Heat, waste</t>
        </is>
      </c>
      <c r="B2464" t="n">
        <v>10900000</v>
      </c>
      <c r="D2464" t="inlineStr">
        <is>
          <t>megajoule</t>
        </is>
      </c>
      <c r="E2464" t="inlineStr">
        <is>
          <t>air::urban air close to ground</t>
        </is>
      </c>
      <c r="F2464" t="inlineStr">
        <is>
          <t>biosphere</t>
        </is>
      </c>
      <c r="G2464" t="n">
        <v>0</v>
      </c>
      <c r="H2464" t="n">
        <v>16.20427334719937</v>
      </c>
      <c r="I2464" t="n">
        <v>0.752038698388137</v>
      </c>
      <c r="K2464" t="inlineStr">
        <is>
          <t>uncertainty of electricity consumed (see exchange "electricity, medium voltage, production UCTE, at grid")</t>
        </is>
      </c>
      <c r="L2464" t="n">
        <v>0</v>
      </c>
    </row>
    <row r="2465">
      <c r="A2465" t="inlineStr">
        <is>
          <t>Occupation, industrial area</t>
        </is>
      </c>
      <c r="B2465" t="n">
        <v>1440000</v>
      </c>
      <c r="D2465" t="inlineStr">
        <is>
          <t>square meter-year</t>
        </is>
      </c>
      <c r="E2465" t="inlineStr">
        <is>
          <t>natural resource::land</t>
        </is>
      </c>
      <c r="F2465" t="inlineStr">
        <is>
          <t>biosphere</t>
        </is>
      </c>
      <c r="G2465" t="n">
        <v>0</v>
      </c>
      <c r="H2465" t="n">
        <v>14.18015367155218</v>
      </c>
      <c r="I2465" t="n">
        <v>0.6931471805599453</v>
      </c>
      <c r="K2465" t="inlineStr">
        <is>
          <t>uncertainty of land use and life time</t>
        </is>
      </c>
      <c r="L2465" t="n">
        <v>0</v>
      </c>
    </row>
    <row r="2466">
      <c r="A2466" t="inlineStr">
        <is>
          <t>Transformation, from unspecified</t>
        </is>
      </c>
      <c r="B2466" t="n">
        <v>40000</v>
      </c>
      <c r="D2466" t="inlineStr">
        <is>
          <t>square meter</t>
        </is>
      </c>
      <c r="E2466" t="inlineStr">
        <is>
          <t>natural resource::land</t>
        </is>
      </c>
      <c r="F2466" t="inlineStr">
        <is>
          <t>biosphere</t>
        </is>
      </c>
      <c r="G2466" t="n">
        <v>0</v>
      </c>
      <c r="H2466" t="n">
        <v>10.59663473309607</v>
      </c>
      <c r="I2466" t="n">
        <v>0.5493061443340548</v>
      </c>
      <c r="K2466" t="inlineStr">
        <is>
          <t>estimated from range of values in literature</t>
        </is>
      </c>
      <c r="L2466" t="n">
        <v>0</v>
      </c>
    </row>
    <row r="2467">
      <c r="A2467" t="inlineStr">
        <is>
          <t>Transformation, to industrial area</t>
        </is>
      </c>
      <c r="B2467" t="n">
        <v>40000</v>
      </c>
      <c r="D2467" t="inlineStr">
        <is>
          <t>square meter</t>
        </is>
      </c>
      <c r="E2467" t="inlineStr">
        <is>
          <t>natural resource::land</t>
        </is>
      </c>
      <c r="F2467" t="inlineStr">
        <is>
          <t>biosphere</t>
        </is>
      </c>
      <c r="G2467" t="n">
        <v>0</v>
      </c>
      <c r="H2467" t="n">
        <v>10.59663473309607</v>
      </c>
      <c r="I2467" t="n">
        <v>0.5493061443340548</v>
      </c>
      <c r="K2467" t="inlineStr">
        <is>
          <t>estimated from range of values in literature</t>
        </is>
      </c>
      <c r="L2467" t="n">
        <v>0</v>
      </c>
    </row>
    <row r="2468">
      <c r="A2468" t="inlineStr">
        <is>
          <t>market for gas power plant, combined cycle, 400MW electrical</t>
        </is>
      </c>
      <c r="B2468" t="n">
        <v>1</v>
      </c>
      <c r="C2468" t="inlineStr">
        <is>
          <t>GLO</t>
        </is>
      </c>
      <c r="D2468" t="inlineStr">
        <is>
          <t>unit</t>
        </is>
      </c>
      <c r="E2468" t="inlineStr">
        <is>
          <t>CCS Europe 2025::Infrastructure&amp;Background</t>
        </is>
      </c>
      <c r="F2468" t="inlineStr">
        <is>
          <t>production</t>
        </is>
      </c>
      <c r="J2468" t="n">
        <v>100</v>
      </c>
    </row>
    <row r="2469">
      <c r="A2469" t="inlineStr">
        <is>
          <t>ceramic tile production</t>
        </is>
      </c>
      <c r="B2469" t="n">
        <v>4200</v>
      </c>
      <c r="C2469" t="inlineStr">
        <is>
          <t>CH</t>
        </is>
      </c>
      <c r="D2469" t="inlineStr">
        <is>
          <t>kilogram</t>
        </is>
      </c>
      <c r="E2469" t="inlineStr">
        <is>
          <t>Materials/fuels</t>
        </is>
      </c>
      <c r="F2469" t="inlineStr">
        <is>
          <t>technosphere</t>
        </is>
      </c>
      <c r="G2469" t="n">
        <v>0</v>
      </c>
      <c r="H2469" t="n">
        <v>8.34283980427146</v>
      </c>
      <c r="I2469" t="n">
        <v>0.5493061443340548</v>
      </c>
      <c r="K2469" t="inlineStr">
        <is>
          <t>basic uncertainty</t>
        </is>
      </c>
      <c r="L2469" t="n">
        <v>0</v>
      </c>
      <c r="M2469" t="inlineStr">
        <is>
          <t>ceramic tile</t>
        </is>
      </c>
    </row>
    <row r="2470">
      <c r="A2470" t="inlineStr">
        <is>
          <t>cobalt production</t>
        </is>
      </c>
      <c r="B2470" t="n">
        <v>720</v>
      </c>
      <c r="C2470" t="inlineStr">
        <is>
          <t>GLO</t>
        </is>
      </c>
      <c r="D2470" t="inlineStr">
        <is>
          <t>kilogram</t>
        </is>
      </c>
      <c r="E2470" t="inlineStr">
        <is>
          <t>Materials/fuels</t>
        </is>
      </c>
      <c r="F2470" t="inlineStr">
        <is>
          <t>technosphere</t>
        </is>
      </c>
      <c r="G2470" t="n">
        <v>0</v>
      </c>
      <c r="H2470" t="n">
        <v>6.579251212010101</v>
      </c>
      <c r="I2470" t="n">
        <v>0.5493061443340548</v>
      </c>
      <c r="K2470" t="inlineStr">
        <is>
          <t>basic uncertainty</t>
        </is>
      </c>
      <c r="L2470" t="n">
        <v>0</v>
      </c>
      <c r="M2470" t="inlineStr">
        <is>
          <t>cobalt</t>
        </is>
      </c>
    </row>
    <row r="2471">
      <c r="A2471" t="inlineStr">
        <is>
          <t>heavy fuel oil, burned in refinery furnace</t>
        </is>
      </c>
      <c r="B2471" t="n">
        <v>148000000</v>
      </c>
      <c r="C2471" t="inlineStr">
        <is>
          <t>RoW</t>
        </is>
      </c>
      <c r="D2471" t="inlineStr">
        <is>
          <t>megajoule</t>
        </is>
      </c>
      <c r="E2471" t="inlineStr">
        <is>
          <t>Materials/fuels</t>
        </is>
      </c>
      <c r="F2471" t="inlineStr">
        <is>
          <t>technosphere</t>
        </is>
      </c>
      <c r="G2471" t="n">
        <v>0</v>
      </c>
      <c r="H2471" t="n">
        <v>18.81272283172839</v>
      </c>
      <c r="I2471" t="n">
        <v>0.752038698388137</v>
      </c>
      <c r="K2471" t="inlineStr">
        <is>
          <t>uncertainty of amount of material and of energy needed</t>
        </is>
      </c>
      <c r="L2471" t="n">
        <v>0</v>
      </c>
      <c r="M2471" t="inlineStr">
        <is>
          <t>heavy fuel oil, burned in refinery furnace</t>
        </is>
      </c>
    </row>
    <row r="2472">
      <c r="A2472" t="inlineStr">
        <is>
          <t>market for aluminium, cast alloy</t>
        </is>
      </c>
      <c r="B2472" t="n">
        <v>440000</v>
      </c>
      <c r="C2472" t="inlineStr">
        <is>
          <t>GLO</t>
        </is>
      </c>
      <c r="D2472" t="inlineStr">
        <is>
          <t>kilogram</t>
        </is>
      </c>
      <c r="E2472" t="inlineStr">
        <is>
          <t>Materials/fuels</t>
        </is>
      </c>
      <c r="F2472" t="inlineStr">
        <is>
          <t>technosphere</t>
        </is>
      </c>
      <c r="G2472" t="n">
        <v>0</v>
      </c>
      <c r="H2472" t="n">
        <v>12.99453000589444</v>
      </c>
      <c r="I2472" t="n">
        <v>0.5493061443340548</v>
      </c>
      <c r="K2472" t="inlineStr">
        <is>
          <t>basic uncertainty</t>
        </is>
      </c>
      <c r="L2472" t="n">
        <v>0</v>
      </c>
      <c r="M2472" t="inlineStr">
        <is>
          <t>aluminium, cast alloy</t>
        </is>
      </c>
    </row>
    <row r="2473">
      <c r="A2473" t="inlineStr">
        <is>
          <t>market for chromium</t>
        </is>
      </c>
      <c r="B2473" t="n">
        <v>976</v>
      </c>
      <c r="C2473" t="inlineStr">
        <is>
          <t>GLO</t>
        </is>
      </c>
      <c r="D2473" t="inlineStr">
        <is>
          <t>kilogram</t>
        </is>
      </c>
      <c r="E2473" t="inlineStr">
        <is>
          <t>Materials/fuels</t>
        </is>
      </c>
      <c r="F2473" t="inlineStr">
        <is>
          <t>technosphere</t>
        </is>
      </c>
      <c r="G2473" t="n">
        <v>0</v>
      </c>
      <c r="H2473" t="n">
        <v>6.883462586413092</v>
      </c>
      <c r="I2473" t="n">
        <v>0.5493061443340548</v>
      </c>
      <c r="K2473" t="inlineStr">
        <is>
          <t>basic uncertainty</t>
        </is>
      </c>
      <c r="L2473" t="n">
        <v>0</v>
      </c>
      <c r="M2473" t="inlineStr">
        <is>
          <t>chromium</t>
        </is>
      </c>
    </row>
    <row r="2474" ht="16" customHeight="1">
      <c r="A2474" t="inlineStr">
        <is>
          <t>market for concrete, normal</t>
        </is>
      </c>
      <c r="B2474" t="n">
        <v>6000</v>
      </c>
      <c r="C2474" t="inlineStr">
        <is>
          <t>CH</t>
        </is>
      </c>
      <c r="D2474" t="inlineStr">
        <is>
          <t>cubic meter</t>
        </is>
      </c>
      <c r="E2474" t="inlineStr">
        <is>
          <t>Materials/fuels</t>
        </is>
      </c>
      <c r="F2474" t="inlineStr">
        <is>
          <t>technosphere</t>
        </is>
      </c>
      <c r="G2474" t="n">
        <v>0</v>
      </c>
      <c r="H2474" t="n">
        <v>8.699514748210191</v>
      </c>
      <c r="I2474" t="n">
        <v>0.5493061443340548</v>
      </c>
      <c r="K2474" t="inlineStr">
        <is>
          <t>basic uncertainty</t>
        </is>
      </c>
      <c r="L2474" t="n">
        <v>0</v>
      </c>
      <c r="M2474" t="inlineStr">
        <is>
          <t>concrete, normal</t>
        </is>
      </c>
    </row>
    <row r="2475">
      <c r="A2475" t="inlineStr">
        <is>
          <t>market for copper</t>
        </is>
      </c>
      <c r="B2475" t="n">
        <v>440000</v>
      </c>
      <c r="C2475" t="inlineStr">
        <is>
          <t>GLO</t>
        </is>
      </c>
      <c r="D2475" t="inlineStr">
        <is>
          <t>kilogram</t>
        </is>
      </c>
      <c r="E2475" t="inlineStr">
        <is>
          <t>Materials/fuels</t>
        </is>
      </c>
      <c r="F2475" t="inlineStr">
        <is>
          <t>technosphere</t>
        </is>
      </c>
      <c r="G2475" t="n">
        <v>0</v>
      </c>
      <c r="H2475" t="n">
        <v>12.99453000589444</v>
      </c>
      <c r="I2475" t="n">
        <v>0.5493061443340548</v>
      </c>
      <c r="K2475" t="inlineStr">
        <is>
          <t>basic uncertainty</t>
        </is>
      </c>
      <c r="L2475" t="n">
        <v>0</v>
      </c>
      <c r="M2475" t="inlineStr">
        <is>
          <t>copper</t>
        </is>
      </c>
    </row>
    <row r="2476">
      <c r="A2476" t="inlineStr">
        <is>
          <t>market for diesel, burned in building machine</t>
        </is>
      </c>
      <c r="B2476" t="n">
        <v>148000000</v>
      </c>
      <c r="C2476" t="inlineStr">
        <is>
          <t>GLO</t>
        </is>
      </c>
      <c r="D2476" t="inlineStr">
        <is>
          <t>megajoule</t>
        </is>
      </c>
      <c r="E2476" t="inlineStr">
        <is>
          <t>Materials/fuels</t>
        </is>
      </c>
      <c r="F2476" t="inlineStr">
        <is>
          <t>technosphere</t>
        </is>
      </c>
      <c r="G2476" t="n">
        <v>0</v>
      </c>
      <c r="H2476" t="n">
        <v>18.81272283172839</v>
      </c>
      <c r="I2476" t="n">
        <v>0.752038698388137</v>
      </c>
      <c r="K2476" t="inlineStr">
        <is>
          <t>uncertainty of amount of material and of energy needed</t>
        </is>
      </c>
      <c r="L2476" t="n">
        <v>0</v>
      </c>
      <c r="M2476" t="inlineStr">
        <is>
          <t>diesel, burned in building machine</t>
        </is>
      </c>
    </row>
    <row r="2477">
      <c r="A2477" t="inlineStr">
        <is>
          <t>market for reinforcing steel</t>
        </is>
      </c>
      <c r="B2477" t="n">
        <v>8800000</v>
      </c>
      <c r="C2477" t="inlineStr">
        <is>
          <t>GLO</t>
        </is>
      </c>
      <c r="D2477" t="inlineStr">
        <is>
          <t>kilogram</t>
        </is>
      </c>
      <c r="E2477" t="inlineStr">
        <is>
          <t>Materials/fuels</t>
        </is>
      </c>
      <c r="F2477" t="inlineStr">
        <is>
          <t>technosphere</t>
        </is>
      </c>
      <c r="G2477" t="n">
        <v>0</v>
      </c>
      <c r="H2477" t="n">
        <v>15.99026227944844</v>
      </c>
      <c r="I2477" t="n">
        <v>0.5493061443340548</v>
      </c>
      <c r="K2477" t="inlineStr">
        <is>
          <t>basic uncertainty</t>
        </is>
      </c>
      <c r="L2477" t="n">
        <v>0</v>
      </c>
      <c r="M2477" t="inlineStr">
        <is>
          <t>reinforcing steel</t>
        </is>
      </c>
    </row>
    <row r="2478">
      <c r="A2478" t="inlineStr">
        <is>
          <t>market for stone wool, packed</t>
        </is>
      </c>
      <c r="B2478" t="n">
        <v>660000</v>
      </c>
      <c r="C2478" t="inlineStr">
        <is>
          <t>GLO</t>
        </is>
      </c>
      <c r="D2478" t="inlineStr">
        <is>
          <t>kilogram</t>
        </is>
      </c>
      <c r="E2478" t="inlineStr">
        <is>
          <t>Materials/fuels</t>
        </is>
      </c>
      <c r="F2478" t="inlineStr">
        <is>
          <t>technosphere</t>
        </is>
      </c>
      <c r="G2478" t="n">
        <v>0</v>
      </c>
      <c r="H2478" t="n">
        <v>13.39999511400261</v>
      </c>
      <c r="I2478" t="n">
        <v>0.5493061443340548</v>
      </c>
      <c r="K2478" t="inlineStr">
        <is>
          <t>basic uncertainty</t>
        </is>
      </c>
      <c r="L2478" t="n">
        <v>0</v>
      </c>
      <c r="M2478" t="inlineStr">
        <is>
          <t>stone wool, packed</t>
        </is>
      </c>
    </row>
    <row r="2479">
      <c r="A2479" t="inlineStr">
        <is>
          <t>market group for electricity, medium voltage</t>
        </is>
      </c>
      <c r="B2479" t="n">
        <v>3020000</v>
      </c>
      <c r="C2479" t="inlineStr">
        <is>
          <t>ENTSO-E</t>
        </is>
      </c>
      <c r="D2479" t="inlineStr">
        <is>
          <t>kilowatt hour</t>
        </is>
      </c>
      <c r="E2479" t="inlineStr">
        <is>
          <t>Materials/fuels</t>
        </is>
      </c>
      <c r="F2479" t="inlineStr">
        <is>
          <t>technosphere</t>
        </is>
      </c>
      <c r="G2479" t="n">
        <v>0</v>
      </c>
      <c r="H2479" t="n">
        <v>14.92076738935105</v>
      </c>
      <c r="I2479" t="n">
        <v>0.752038698388137</v>
      </c>
      <c r="K2479" t="inlineStr">
        <is>
          <t>uncertainty of amount of material and of energy needed</t>
        </is>
      </c>
      <c r="L2479" t="n">
        <v>0</v>
      </c>
      <c r="M2479" t="inlineStr">
        <is>
          <t>electricity, medium voltage</t>
        </is>
      </c>
    </row>
    <row r="2480">
      <c r="A2480" t="inlineStr">
        <is>
          <t>nickel mine operation, sulfidic ore</t>
        </is>
      </c>
      <c r="B2480" t="n">
        <v>6300</v>
      </c>
      <c r="C2480" t="inlineStr">
        <is>
          <t>GLO</t>
        </is>
      </c>
      <c r="D2480" t="inlineStr">
        <is>
          <t>kilogram</t>
        </is>
      </c>
      <c r="E2480" t="inlineStr">
        <is>
          <t>Materials/fuels</t>
        </is>
      </c>
      <c r="F2480" t="inlineStr">
        <is>
          <t>technosphere</t>
        </is>
      </c>
      <c r="G2480" t="n">
        <v>0</v>
      </c>
      <c r="H2480" t="n">
        <v>8.748304912379623</v>
      </c>
      <c r="I2480" t="n">
        <v>0.5493061443340548</v>
      </c>
      <c r="K2480" t="inlineStr">
        <is>
          <t>basic uncertainty</t>
        </is>
      </c>
      <c r="L2480" t="n">
        <v>0</v>
      </c>
      <c r="M2480" t="inlineStr">
        <is>
          <t>nickel, 99.5%</t>
        </is>
      </c>
    </row>
    <row r="2481" ht="16" customHeight="1">
      <c r="A2481" t="inlineStr">
        <is>
          <t>polyethylene production, low density, granulate</t>
        </is>
      </c>
      <c r="B2481" t="n">
        <v>1300000</v>
      </c>
      <c r="C2481" t="inlineStr">
        <is>
          <t>RER</t>
        </is>
      </c>
      <c r="D2481" t="inlineStr">
        <is>
          <t>kilogram</t>
        </is>
      </c>
      <c r="E2481" t="inlineStr">
        <is>
          <t>Materials/fuels</t>
        </is>
      </c>
      <c r="F2481" t="inlineStr">
        <is>
          <t>technosphere</t>
        </is>
      </c>
      <c r="G2481" t="n">
        <v>0</v>
      </c>
      <c r="H2481" t="n">
        <v>14.07787482243176</v>
      </c>
      <c r="I2481" t="n">
        <v>0.5493061443340548</v>
      </c>
      <c r="K2481" t="inlineStr">
        <is>
          <t>basic uncertainty</t>
        </is>
      </c>
      <c r="L2481" t="n">
        <v>0</v>
      </c>
      <c r="M2481" t="inlineStr">
        <is>
          <t>polyethylene, low density, granulate</t>
        </is>
      </c>
    </row>
    <row r="2482">
      <c r="A2482" t="inlineStr">
        <is>
          <t>steel production, chromium steel 18/8, hot rolled</t>
        </is>
      </c>
      <c r="B2482" t="n">
        <v>1800000</v>
      </c>
      <c r="C2482" t="inlineStr">
        <is>
          <t>RER</t>
        </is>
      </c>
      <c r="D2482" t="inlineStr">
        <is>
          <t>kilogram</t>
        </is>
      </c>
      <c r="E2482" t="inlineStr">
        <is>
          <t>Materials/fuels</t>
        </is>
      </c>
      <c r="F2482" t="inlineStr">
        <is>
          <t>technosphere</t>
        </is>
      </c>
      <c r="G2482" t="n">
        <v>0</v>
      </c>
      <c r="H2482" t="n">
        <v>14.40329722286639</v>
      </c>
      <c r="I2482" t="n">
        <v>0.5493061443340548</v>
      </c>
      <c r="K2482" t="inlineStr">
        <is>
          <t>basic uncertainty</t>
        </is>
      </c>
      <c r="L2482" t="n">
        <v>0</v>
      </c>
      <c r="M2482" t="inlineStr">
        <is>
          <t>steel, chromium steel 18/8, hot rolled</t>
        </is>
      </c>
    </row>
    <row r="2483"/>
    <row r="2484">
      <c r="A2484" s="1" t="inlineStr">
        <is>
          <t>Activity</t>
        </is>
      </c>
      <c r="B2484" s="1" t="inlineStr">
        <is>
          <t>market for hard coal power plant</t>
        </is>
      </c>
    </row>
    <row r="2485">
      <c r="A2485" t="inlineStr">
        <is>
          <t>location</t>
        </is>
      </c>
      <c r="B2485" t="inlineStr">
        <is>
          <t>GLO</t>
        </is>
      </c>
    </row>
    <row r="2486">
      <c r="A2486" t="inlineStr">
        <is>
          <t>production amount</t>
        </is>
      </c>
      <c r="B2486" t="n">
        <v>1</v>
      </c>
    </row>
    <row r="2487">
      <c r="A2487" t="inlineStr">
        <is>
          <t>reference product</t>
        </is>
      </c>
      <c r="B2487" t="inlineStr">
        <is>
          <t>Hard coal pulverised power plant 500MW</t>
        </is>
      </c>
    </row>
    <row r="2488">
      <c r="A2488" t="inlineStr">
        <is>
          <t>type</t>
        </is>
      </c>
      <c r="B2488" t="inlineStr">
        <is>
          <t>process</t>
        </is>
      </c>
    </row>
    <row r="2489">
      <c r="A2489" t="inlineStr">
        <is>
          <t>unit</t>
        </is>
      </c>
      <c r="B2489" t="inlineStr">
        <is>
          <t>unit</t>
        </is>
      </c>
    </row>
    <row r="2490">
      <c r="A2490" t="inlineStr">
        <is>
          <t>source</t>
        </is>
      </c>
      <c r="B2490" t="inlineStr">
        <is>
          <t>Life cycle assessment of carbon capture and storage in power generation and industry in Europe, Volkart et al., 2013, International Journal of Greenhouse Gas Control</t>
        </is>
      </c>
    </row>
    <row r="2491">
      <c r="A2491" s="1" t="inlineStr">
        <is>
          <t>Exchanges</t>
        </is>
      </c>
    </row>
    <row r="2492">
      <c r="A2492" t="inlineStr">
        <is>
          <t>name</t>
        </is>
      </c>
      <c r="B2492" t="inlineStr">
        <is>
          <t>amount</t>
        </is>
      </c>
      <c r="C2492" t="inlineStr">
        <is>
          <t>location</t>
        </is>
      </c>
      <c r="D2492" t="inlineStr">
        <is>
          <t>unit</t>
        </is>
      </c>
      <c r="E2492" t="inlineStr">
        <is>
          <t>categories</t>
        </is>
      </c>
      <c r="F2492" t="inlineStr">
        <is>
          <t>type</t>
        </is>
      </c>
      <c r="G2492" t="inlineStr">
        <is>
          <t>uncertainty type</t>
        </is>
      </c>
      <c r="H2492" t="inlineStr">
        <is>
          <t>loc</t>
        </is>
      </c>
      <c r="I2492" t="inlineStr">
        <is>
          <t>scale</t>
        </is>
      </c>
      <c r="J2492" t="inlineStr">
        <is>
          <t>allocation</t>
        </is>
      </c>
      <c r="K2492" t="inlineStr">
        <is>
          <t>comment</t>
        </is>
      </c>
      <c r="L2492" t="inlineStr">
        <is>
          <t>negative</t>
        </is>
      </c>
      <c r="M2492" t="inlineStr">
        <is>
          <t>reference product</t>
        </is>
      </c>
    </row>
    <row r="2493">
      <c r="A2493" t="inlineStr">
        <is>
          <t>Heat, waste</t>
        </is>
      </c>
      <c r="B2493" t="n">
        <v>18900000</v>
      </c>
      <c r="D2493" t="inlineStr">
        <is>
          <t>megajoule</t>
        </is>
      </c>
      <c r="E2493" t="inlineStr">
        <is>
          <t>air::non-urban air or from high stacks</t>
        </is>
      </c>
      <c r="F2493" t="inlineStr">
        <is>
          <t>biosphere</t>
        </is>
      </c>
      <c r="G2493" t="n">
        <v>0</v>
      </c>
      <c r="H2493" t="n">
        <v>16.75467248002987</v>
      </c>
      <c r="I2493" t="n">
        <v>0.3465735902799727</v>
      </c>
      <c r="K2493" t="inlineStr">
        <is>
          <t>own assumption</t>
        </is>
      </c>
      <c r="L2493" t="n">
        <v>0</v>
      </c>
    </row>
    <row r="2494">
      <c r="A2494" t="inlineStr">
        <is>
          <t>Occupation, construction site</t>
        </is>
      </c>
      <c r="B2494" t="n">
        <v>250000</v>
      </c>
      <c r="D2494" t="inlineStr">
        <is>
          <t>square meter-year</t>
        </is>
      </c>
      <c r="E2494" t="inlineStr">
        <is>
          <t>natural resource::land</t>
        </is>
      </c>
      <c r="F2494" t="inlineStr">
        <is>
          <t>biosphere</t>
        </is>
      </c>
      <c r="G2494" t="n">
        <v>0</v>
      </c>
      <c r="H2494" t="n">
        <v>12.42921619684438</v>
      </c>
      <c r="I2494" t="n">
        <v>0.3465735902799727</v>
      </c>
      <c r="K2494" t="inlineStr">
        <is>
          <t>own assumption, based on range of literature data</t>
        </is>
      </c>
      <c r="L2494" t="n">
        <v>0</v>
      </c>
    </row>
    <row r="2495">
      <c r="A2495" t="inlineStr">
        <is>
          <t>Occupation, industrial area</t>
        </is>
      </c>
      <c r="B2495" t="n">
        <v>1170000</v>
      </c>
      <c r="D2495" t="inlineStr">
        <is>
          <t>square meter-year</t>
        </is>
      </c>
      <c r="E2495" t="inlineStr">
        <is>
          <t>natural resource::land</t>
        </is>
      </c>
      <c r="F2495" t="inlineStr">
        <is>
          <t>biosphere</t>
        </is>
      </c>
      <c r="G2495" t="n">
        <v>0</v>
      </c>
      <c r="H2495" t="n">
        <v>13.97251430677394</v>
      </c>
      <c r="I2495" t="n">
        <v>0.3465735902799727</v>
      </c>
      <c r="K2495" t="inlineStr">
        <is>
          <t>own assumption, based on range of literature data</t>
        </is>
      </c>
      <c r="L2495" t="n">
        <v>0</v>
      </c>
    </row>
    <row r="2496">
      <c r="A2496" t="inlineStr">
        <is>
          <t>Occupation, industrial area</t>
        </is>
      </c>
      <c r="B2496" t="n">
        <v>1040000</v>
      </c>
      <c r="D2496" t="inlineStr">
        <is>
          <t>square meter-year</t>
        </is>
      </c>
      <c r="E2496" t="inlineStr">
        <is>
          <t>natural resource::land</t>
        </is>
      </c>
      <c r="F2496" t="inlineStr">
        <is>
          <t>biosphere</t>
        </is>
      </c>
      <c r="G2496" t="n">
        <v>0</v>
      </c>
      <c r="H2496" t="n">
        <v>13.85473127111756</v>
      </c>
      <c r="I2496" t="n">
        <v>0.3465735902799727</v>
      </c>
      <c r="K2496" t="inlineStr">
        <is>
          <t>own assumption, based on range of literature data</t>
        </is>
      </c>
      <c r="L2496" t="n">
        <v>0</v>
      </c>
    </row>
    <row r="2497">
      <c r="A2497" t="inlineStr">
        <is>
          <t>Occupation, traffic area, road network</t>
        </is>
      </c>
      <c r="B2497" t="n">
        <v>1040000</v>
      </c>
      <c r="D2497" t="inlineStr">
        <is>
          <t>square meter-year</t>
        </is>
      </c>
      <c r="E2497" t="inlineStr">
        <is>
          <t>natural resource::land</t>
        </is>
      </c>
      <c r="F2497" t="inlineStr">
        <is>
          <t>biosphere</t>
        </is>
      </c>
      <c r="G2497" t="n">
        <v>0</v>
      </c>
      <c r="H2497" t="n">
        <v>13.85473127111756</v>
      </c>
      <c r="I2497" t="n">
        <v>0.3465735902799727</v>
      </c>
      <c r="K2497" t="inlineStr">
        <is>
          <t>own assumption, based on range of literature data</t>
        </is>
      </c>
      <c r="L2497" t="n">
        <v>0</v>
      </c>
    </row>
    <row r="2498">
      <c r="A2498" t="inlineStr">
        <is>
          <t>Transformation, from unspecified</t>
        </is>
      </c>
      <c r="B2498" t="n">
        <v>125000</v>
      </c>
      <c r="D2498" t="inlineStr">
        <is>
          <t>square meter</t>
        </is>
      </c>
      <c r="E2498" t="inlineStr">
        <is>
          <t>natural resource::land</t>
        </is>
      </c>
      <c r="F2498" t="inlineStr">
        <is>
          <t>biosphere</t>
        </is>
      </c>
      <c r="G2498" t="n">
        <v>0</v>
      </c>
      <c r="H2498" t="n">
        <v>11.73606901628444</v>
      </c>
      <c r="I2498" t="n">
        <v>0.3465735902799727</v>
      </c>
      <c r="K2498" t="inlineStr">
        <is>
          <t>own assumption, based on range of literature data</t>
        </is>
      </c>
      <c r="L2498" t="n">
        <v>0</v>
      </c>
    </row>
    <row r="2499">
      <c r="A2499" t="inlineStr">
        <is>
          <t>Transformation, to industrial area</t>
        </is>
      </c>
      <c r="B2499" t="n">
        <v>45000</v>
      </c>
      <c r="D2499" t="inlineStr">
        <is>
          <t>square meter</t>
        </is>
      </c>
      <c r="E2499" t="inlineStr">
        <is>
          <t>natural resource::land</t>
        </is>
      </c>
      <c r="F2499" t="inlineStr">
        <is>
          <t>biosphere</t>
        </is>
      </c>
      <c r="G2499" t="n">
        <v>0</v>
      </c>
      <c r="H2499" t="n">
        <v>10.71441776875246</v>
      </c>
      <c r="I2499" t="n">
        <v>0.3465735902799727</v>
      </c>
      <c r="K2499" t="inlineStr">
        <is>
          <t>own assumption, based on range of literature data</t>
        </is>
      </c>
      <c r="L2499" t="n">
        <v>0</v>
      </c>
    </row>
    <row r="2500">
      <c r="A2500" t="inlineStr">
        <is>
          <t>Transformation, to industrial area</t>
        </is>
      </c>
      <c r="B2500" t="n">
        <v>40000</v>
      </c>
      <c r="D2500" t="inlineStr">
        <is>
          <t>square meter</t>
        </is>
      </c>
      <c r="E2500" t="inlineStr">
        <is>
          <t>natural resource::land</t>
        </is>
      </c>
      <c r="F2500" t="inlineStr">
        <is>
          <t>biosphere</t>
        </is>
      </c>
      <c r="G2500" t="n">
        <v>0</v>
      </c>
      <c r="H2500" t="n">
        <v>10.59663473309607</v>
      </c>
      <c r="I2500" t="n">
        <v>0.3465735902799727</v>
      </c>
      <c r="K2500" t="inlineStr">
        <is>
          <t>own assumption, based on range of literature data</t>
        </is>
      </c>
      <c r="L2500" t="n">
        <v>0</v>
      </c>
    </row>
    <row r="2501">
      <c r="A2501" t="inlineStr">
        <is>
          <t>Transformation, to traffic area, road network</t>
        </is>
      </c>
      <c r="B2501" t="n">
        <v>40000</v>
      </c>
      <c r="D2501" t="inlineStr">
        <is>
          <t>square meter</t>
        </is>
      </c>
      <c r="E2501" t="inlineStr">
        <is>
          <t>natural resource::land</t>
        </is>
      </c>
      <c r="F2501" t="inlineStr">
        <is>
          <t>biosphere</t>
        </is>
      </c>
      <c r="G2501" t="n">
        <v>0</v>
      </c>
      <c r="H2501" t="n">
        <v>10.59663473309607</v>
      </c>
      <c r="I2501" t="n">
        <v>0.3465735902799727</v>
      </c>
      <c r="K2501" t="inlineStr">
        <is>
          <t>own assumption, based on range of literature data</t>
        </is>
      </c>
      <c r="L2501" t="n">
        <v>0</v>
      </c>
    </row>
    <row r="2502">
      <c r="A2502" t="inlineStr">
        <is>
          <t>market for hard coal power plant</t>
        </is>
      </c>
      <c r="B2502" t="n">
        <v>1</v>
      </c>
      <c r="C2502" t="inlineStr">
        <is>
          <t>GLO</t>
        </is>
      </c>
      <c r="D2502" t="inlineStr">
        <is>
          <t>unit</t>
        </is>
      </c>
      <c r="E2502" t="inlineStr">
        <is>
          <t>CCS Europe 2025::Infrastructure&amp;Background</t>
        </is>
      </c>
      <c r="F2502" t="inlineStr">
        <is>
          <t>production</t>
        </is>
      </c>
      <c r="J2502" t="n">
        <v>100</v>
      </c>
    </row>
    <row r="2503">
      <c r="A2503" t="inlineStr">
        <is>
          <t>heat production, heavy fuel oil, at industrial furnace 1MW</t>
        </is>
      </c>
      <c r="B2503" t="n">
        <v>81000000</v>
      </c>
      <c r="C2503" t="inlineStr">
        <is>
          <t>Europe without Switzerland</t>
        </is>
      </c>
      <c r="D2503" t="inlineStr">
        <is>
          <t>megajoule</t>
        </is>
      </c>
      <c r="E2503" t="inlineStr">
        <is>
          <t>Materials/fuels</t>
        </is>
      </c>
      <c r="F2503" t="inlineStr">
        <is>
          <t>technosphere</t>
        </is>
      </c>
      <c r="G2503" t="n">
        <v>0</v>
      </c>
      <c r="H2503" t="n">
        <v>18.20995971263671</v>
      </c>
      <c r="I2503" t="n">
        <v>0.3465735902799727</v>
      </c>
      <c r="K2503" t="inlineStr">
        <is>
          <t>own assumption, based on range of literature data</t>
        </is>
      </c>
      <c r="L2503" t="n">
        <v>0</v>
      </c>
      <c r="M2503" t="inlineStr">
        <is>
          <t>heat, district or industrial, other than natural gas</t>
        </is>
      </c>
    </row>
    <row r="2504">
      <c r="A2504" t="inlineStr">
        <is>
          <t>market for aluminium, cast alloy</t>
        </is>
      </c>
      <c r="B2504" t="n">
        <v>300000</v>
      </c>
      <c r="C2504" t="inlineStr">
        <is>
          <t>GLO</t>
        </is>
      </c>
      <c r="D2504" t="inlineStr">
        <is>
          <t>kilogram</t>
        </is>
      </c>
      <c r="E2504" t="inlineStr">
        <is>
          <t>Materials/fuels</t>
        </is>
      </c>
      <c r="F2504" t="inlineStr">
        <is>
          <t>technosphere</t>
        </is>
      </c>
      <c r="G2504" t="n">
        <v>0</v>
      </c>
      <c r="H2504" t="n">
        <v>12.61153775363834</v>
      </c>
      <c r="I2504" t="n">
        <v>0.3465735902799727</v>
      </c>
      <c r="K2504" t="inlineStr">
        <is>
          <t>own assumption, based on range of literature data</t>
        </is>
      </c>
      <c r="L2504" t="n">
        <v>0</v>
      </c>
      <c r="M2504" t="inlineStr">
        <is>
          <t>aluminium, cast alloy</t>
        </is>
      </c>
    </row>
    <row r="2505">
      <c r="A2505" t="inlineStr">
        <is>
          <t>market for concrete, normal</t>
        </is>
      </c>
      <c r="B2505" t="n">
        <v>52500</v>
      </c>
      <c r="C2505" t="inlineStr">
        <is>
          <t>CH</t>
        </is>
      </c>
      <c r="D2505" t="inlineStr">
        <is>
          <t>cubic meter</t>
        </is>
      </c>
      <c r="E2505" t="inlineStr">
        <is>
          <t>Materials/fuels</t>
        </is>
      </c>
      <c r="F2505" t="inlineStr">
        <is>
          <t>technosphere</t>
        </is>
      </c>
      <c r="G2505" t="n">
        <v>0</v>
      </c>
      <c r="H2505" t="n">
        <v>10.86856844857972</v>
      </c>
      <c r="I2505" t="n">
        <v>0.3465735902799727</v>
      </c>
      <c r="K2505" t="inlineStr">
        <is>
          <t>own assumption, based on range of literature data</t>
        </is>
      </c>
      <c r="L2505" t="n">
        <v>0</v>
      </c>
      <c r="M2505" t="inlineStr">
        <is>
          <t>concrete, normal</t>
        </is>
      </c>
    </row>
    <row r="2506">
      <c r="A2506" t="inlineStr">
        <is>
          <t>market for copper</t>
        </is>
      </c>
      <c r="B2506" t="n">
        <v>650000</v>
      </c>
      <c r="C2506" t="inlineStr">
        <is>
          <t>GLO</t>
        </is>
      </c>
      <c r="D2506" t="inlineStr">
        <is>
          <t>kilogram</t>
        </is>
      </c>
      <c r="E2506" t="inlineStr">
        <is>
          <t>Materials/fuels</t>
        </is>
      </c>
      <c r="F2506" t="inlineStr">
        <is>
          <t>technosphere</t>
        </is>
      </c>
      <c r="G2506" t="n">
        <v>0</v>
      </c>
      <c r="H2506" t="n">
        <v>13.38472764187182</v>
      </c>
      <c r="I2506" t="n">
        <v>0.3465735902799727</v>
      </c>
      <c r="K2506" t="inlineStr">
        <is>
          <t>own assumption, based on range of literature data</t>
        </is>
      </c>
      <c r="L2506" t="n">
        <v>0</v>
      </c>
      <c r="M2506" t="inlineStr">
        <is>
          <t>copper</t>
        </is>
      </c>
    </row>
    <row r="2507">
      <c r="A2507" t="inlineStr">
        <is>
          <t>market for diesel, burned in building machine</t>
        </is>
      </c>
      <c r="B2507" t="n">
        <v>81000000</v>
      </c>
      <c r="C2507" t="inlineStr">
        <is>
          <t>GLO</t>
        </is>
      </c>
      <c r="D2507" t="inlineStr">
        <is>
          <t>megajoule</t>
        </is>
      </c>
      <c r="E2507" t="inlineStr">
        <is>
          <t>Materials/fuels</t>
        </is>
      </c>
      <c r="F2507" t="inlineStr">
        <is>
          <t>technosphere</t>
        </is>
      </c>
      <c r="G2507" t="n">
        <v>0</v>
      </c>
      <c r="H2507" t="n">
        <v>18.20995971263671</v>
      </c>
      <c r="I2507" t="n">
        <v>0.3465735902799727</v>
      </c>
      <c r="K2507" t="inlineStr">
        <is>
          <t>own assumption, based on range of literature data</t>
        </is>
      </c>
      <c r="L2507" t="n">
        <v>0</v>
      </c>
      <c r="M2507" t="inlineStr">
        <is>
          <t>diesel, burned in building machine</t>
        </is>
      </c>
    </row>
    <row r="2508">
      <c r="A2508" t="inlineStr">
        <is>
          <t>market for reinforcing steel</t>
        </is>
      </c>
      <c r="B2508" t="n">
        <v>42200000</v>
      </c>
      <c r="C2508" t="inlineStr">
        <is>
          <t>GLO</t>
        </is>
      </c>
      <c r="D2508" t="inlineStr">
        <is>
          <t>kilogram</t>
        </is>
      </c>
      <c r="E2508" t="inlineStr">
        <is>
          <t>Materials/fuels</t>
        </is>
      </c>
      <c r="F2508" t="inlineStr">
        <is>
          <t>technosphere</t>
        </is>
      </c>
      <c r="G2508" t="n">
        <v>0</v>
      </c>
      <c r="H2508" t="n">
        <v>17.55793077900624</v>
      </c>
      <c r="I2508" t="n">
        <v>0.3465735902799727</v>
      </c>
      <c r="K2508" t="inlineStr">
        <is>
          <t>own assumption, based on range of literature data</t>
        </is>
      </c>
      <c r="L2508" t="n">
        <v>0</v>
      </c>
      <c r="M2508" t="inlineStr">
        <is>
          <t>reinforcing steel</t>
        </is>
      </c>
    </row>
    <row r="2509">
      <c r="A2509" t="inlineStr">
        <is>
          <t>market for steel, low-alloyed</t>
        </is>
      </c>
      <c r="B2509" t="n">
        <v>3600000</v>
      </c>
      <c r="C2509" t="inlineStr">
        <is>
          <t>GLO</t>
        </is>
      </c>
      <c r="D2509" t="inlineStr">
        <is>
          <t>kilogram</t>
        </is>
      </c>
      <c r="E2509" t="inlineStr">
        <is>
          <t>Materials/fuels</t>
        </is>
      </c>
      <c r="F2509" t="inlineStr">
        <is>
          <t>technosphere</t>
        </is>
      </c>
      <c r="G2509" t="n">
        <v>0</v>
      </c>
      <c r="H2509" t="n">
        <v>15.09644440342634</v>
      </c>
      <c r="I2509" t="n">
        <v>0.3465735902799727</v>
      </c>
      <c r="K2509" t="inlineStr">
        <is>
          <t>own assumption, based on range of literature data</t>
        </is>
      </c>
      <c r="L2509" t="n">
        <v>0</v>
      </c>
      <c r="M2509" t="inlineStr">
        <is>
          <t>steel, low-alloyed</t>
        </is>
      </c>
    </row>
    <row r="2510" ht="16" customHeight="1">
      <c r="A2510" t="inlineStr">
        <is>
          <t>market for stone wool</t>
        </is>
      </c>
      <c r="B2510" t="n">
        <v>375000</v>
      </c>
      <c r="C2510" t="inlineStr">
        <is>
          <t>GLO</t>
        </is>
      </c>
      <c r="D2510" t="inlineStr">
        <is>
          <t>kilogram</t>
        </is>
      </c>
      <c r="E2510" t="inlineStr">
        <is>
          <t>Materials/fuels</t>
        </is>
      </c>
      <c r="F2510" t="inlineStr">
        <is>
          <t>technosphere</t>
        </is>
      </c>
      <c r="G2510" t="n">
        <v>0</v>
      </c>
      <c r="H2510" t="n">
        <v>12.83468130495255</v>
      </c>
      <c r="I2510" t="n">
        <v>0.3465735902799727</v>
      </c>
      <c r="K2510" t="inlineStr">
        <is>
          <t>own assumption, based on range of literature data</t>
        </is>
      </c>
      <c r="L2510" t="n">
        <v>0</v>
      </c>
      <c r="M2510" t="inlineStr">
        <is>
          <t>stone wool</t>
        </is>
      </c>
    </row>
    <row r="2511">
      <c r="A2511" t="inlineStr">
        <is>
          <t>market for transport, freight train</t>
        </is>
      </c>
      <c r="B2511" t="n">
        <v>9620000</v>
      </c>
      <c r="C2511" t="inlineStr">
        <is>
          <t>Europe without Switzerland</t>
        </is>
      </c>
      <c r="D2511" t="inlineStr">
        <is>
          <t>ton kilometer</t>
        </is>
      </c>
      <c r="E2511" t="inlineStr">
        <is>
          <t>Materials/fuels</t>
        </is>
      </c>
      <c r="F2511" t="inlineStr">
        <is>
          <t>technosphere</t>
        </is>
      </c>
      <c r="G2511" t="n">
        <v>0</v>
      </c>
      <c r="H2511" t="n">
        <v>16.07935482264189</v>
      </c>
      <c r="I2511" t="n">
        <v>0.3709686723646887</v>
      </c>
      <c r="K2511" t="inlineStr">
        <is>
          <t>standard for transports</t>
        </is>
      </c>
      <c r="L2511" t="n">
        <v>0</v>
      </c>
      <c r="M2511" t="inlineStr">
        <is>
          <t>transport, freight train</t>
        </is>
      </c>
    </row>
    <row r="2512">
      <c r="A2512" t="inlineStr">
        <is>
          <t>market for transport, freight, lorry, unspecified</t>
        </is>
      </c>
      <c r="B2512" t="n">
        <v>11200000</v>
      </c>
      <c r="C2512" t="inlineStr">
        <is>
          <t>RER</t>
        </is>
      </c>
      <c r="D2512" t="inlineStr">
        <is>
          <t>ton kilometer</t>
        </is>
      </c>
      <c r="E2512" t="inlineStr">
        <is>
          <t>Materials/fuels</t>
        </is>
      </c>
      <c r="F2512" t="inlineStr">
        <is>
          <t>technosphere</t>
        </is>
      </c>
      <c r="G2512" t="n">
        <v>0</v>
      </c>
      <c r="H2512" t="n">
        <v>16.23142433626532</v>
      </c>
      <c r="I2512" t="n">
        <v>0.3709686723646887</v>
      </c>
      <c r="K2512" t="inlineStr">
        <is>
          <t>standard for transports</t>
        </is>
      </c>
      <c r="L2512" t="n">
        <v>0</v>
      </c>
      <c r="M2512" t="inlineStr">
        <is>
          <t>transport, freight, lorry, unspecified</t>
        </is>
      </c>
    </row>
    <row r="2513">
      <c r="A2513" t="inlineStr">
        <is>
          <t>market group for electricity, medium voltage</t>
        </is>
      </c>
      <c r="B2513" t="n">
        <v>5250000</v>
      </c>
      <c r="C2513" t="inlineStr">
        <is>
          <t>ENTSO-E</t>
        </is>
      </c>
      <c r="D2513" t="inlineStr">
        <is>
          <t>kilowatt hour</t>
        </is>
      </c>
      <c r="E2513" t="inlineStr">
        <is>
          <t>Materials/fuels</t>
        </is>
      </c>
      <c r="F2513" t="inlineStr">
        <is>
          <t>technosphere</t>
        </is>
      </c>
      <c r="G2513" t="n">
        <v>0</v>
      </c>
      <c r="H2513" t="n">
        <v>15.47373863456781</v>
      </c>
      <c r="I2513" t="n">
        <v>0.3465735902799727</v>
      </c>
      <c r="K2513" t="inlineStr">
        <is>
          <t>own assumption, based on range of literature data</t>
        </is>
      </c>
      <c r="L2513" t="n">
        <v>0</v>
      </c>
      <c r="M2513" t="inlineStr">
        <is>
          <t>electricity, medium voltage</t>
        </is>
      </c>
    </row>
    <row r="2514">
      <c r="A2514" t="inlineStr">
        <is>
          <t>polyethylene production, high density, granulate</t>
        </is>
      </c>
      <c r="B2514" t="n">
        <v>500000</v>
      </c>
      <c r="C2514" t="inlineStr">
        <is>
          <t>RER</t>
        </is>
      </c>
      <c r="D2514" t="inlineStr">
        <is>
          <t>kilogram</t>
        </is>
      </c>
      <c r="E2514" t="inlineStr">
        <is>
          <t>Materials/fuels</t>
        </is>
      </c>
      <c r="F2514" t="inlineStr">
        <is>
          <t>technosphere</t>
        </is>
      </c>
      <c r="G2514" t="n">
        <v>0</v>
      </c>
      <c r="H2514" t="n">
        <v>13.12236337740433</v>
      </c>
      <c r="I2514" t="n">
        <v>0.3465735902799727</v>
      </c>
      <c r="K2514" t="inlineStr">
        <is>
          <t>own assumption, based on range of literature data</t>
        </is>
      </c>
      <c r="L2514" t="n">
        <v>0</v>
      </c>
      <c r="M2514" t="inlineStr">
        <is>
          <t>polyethylene, high density, granulate</t>
        </is>
      </c>
    </row>
    <row r="2515">
      <c r="A2515" t="inlineStr">
        <is>
          <t>steel production, chromium steel 18/8, hot rolled</t>
        </is>
      </c>
      <c r="B2515" t="n">
        <v>400000</v>
      </c>
      <c r="C2515" t="inlineStr">
        <is>
          <t>RER</t>
        </is>
      </c>
      <c r="D2515" t="inlineStr">
        <is>
          <t>kilogram</t>
        </is>
      </c>
      <c r="E2515" t="inlineStr">
        <is>
          <t>Materials/fuels</t>
        </is>
      </c>
      <c r="F2515" t="inlineStr">
        <is>
          <t>technosphere</t>
        </is>
      </c>
      <c r="G2515" t="n">
        <v>0</v>
      </c>
      <c r="H2515" t="n">
        <v>12.89921982609012</v>
      </c>
      <c r="I2515" t="n">
        <v>0.3465735902799727</v>
      </c>
      <c r="K2515" t="inlineStr">
        <is>
          <t>own assumption, based on range of literature data</t>
        </is>
      </c>
      <c r="L2515" t="n">
        <v>0</v>
      </c>
      <c r="M2515" t="inlineStr">
        <is>
          <t>steel, chromium steel 18/8, hot rolled</t>
        </is>
      </c>
    </row>
    <row r="2516">
      <c r="A2516" t="inlineStr">
        <is>
          <t>treatment of waste mineral wool, sorting plant</t>
        </is>
      </c>
      <c r="B2516" t="n">
        <v>-375000</v>
      </c>
      <c r="C2516" t="inlineStr">
        <is>
          <t>CH</t>
        </is>
      </c>
      <c r="D2516" t="inlineStr">
        <is>
          <t>kilogram</t>
        </is>
      </c>
      <c r="E2516" t="inlineStr">
        <is>
          <t>Waste to treatment</t>
        </is>
      </c>
      <c r="F2516" t="inlineStr">
        <is>
          <t>technosphere</t>
        </is>
      </c>
      <c r="G2516" t="n">
        <v>0</v>
      </c>
      <c r="H2516" t="n">
        <v>12.83468130495255</v>
      </c>
      <c r="I2516" t="n">
        <v>0.3465735902799727</v>
      </c>
      <c r="K2516" t="inlineStr">
        <is>
          <t>own assumption, based on range of literature data</t>
        </is>
      </c>
      <c r="L2516" t="n">
        <v>0</v>
      </c>
      <c r="M2516" t="inlineStr">
        <is>
          <t>waste mineral wool</t>
        </is>
      </c>
    </row>
    <row r="2517" ht="16" customHeight="1">
      <c r="A2517" t="inlineStr">
        <is>
          <t>treatment of waste polyethylene/polypropylene product, collection for final disposal</t>
        </is>
      </c>
      <c r="B2517" t="n">
        <v>-500000</v>
      </c>
      <c r="C2517" t="inlineStr">
        <is>
          <t>CH</t>
        </is>
      </c>
      <c r="D2517" t="inlineStr">
        <is>
          <t>kilogram</t>
        </is>
      </c>
      <c r="E2517" t="inlineStr">
        <is>
          <t>Waste to treatment</t>
        </is>
      </c>
      <c r="F2517" t="inlineStr">
        <is>
          <t>technosphere</t>
        </is>
      </c>
      <c r="G2517" t="n">
        <v>0</v>
      </c>
      <c r="H2517" t="n">
        <v>13.12236337740433</v>
      </c>
      <c r="I2517" t="n">
        <v>0.3465735902799727</v>
      </c>
      <c r="K2517" t="inlineStr">
        <is>
          <t>own assumption, based on range of literature data</t>
        </is>
      </c>
      <c r="L2517" t="n">
        <v>0</v>
      </c>
      <c r="M2517" t="inlineStr">
        <is>
          <t>waste polyethylene/polypropylene product</t>
        </is>
      </c>
    </row>
    <row r="2518">
      <c r="A2518" t="inlineStr">
        <is>
          <t>treatment of waste reinforced concrete, collection for final disposal</t>
        </is>
      </c>
      <c r="B2518" t="n">
        <v>-131000000</v>
      </c>
      <c r="C2518" t="inlineStr">
        <is>
          <t>CH</t>
        </is>
      </c>
      <c r="D2518" t="inlineStr">
        <is>
          <t>kilogram</t>
        </is>
      </c>
      <c r="E2518" t="inlineStr">
        <is>
          <t>Waste to treatment</t>
        </is>
      </c>
      <c r="F2518" t="inlineStr">
        <is>
          <t>technosphere</t>
        </is>
      </c>
      <c r="G2518" t="n">
        <v>0</v>
      </c>
      <c r="H2518" t="n">
        <v>18.69070788116543</v>
      </c>
      <c r="I2518" t="n">
        <v>0.3465735902799727</v>
      </c>
      <c r="K2518" t="inlineStr">
        <is>
          <t>own assumption, based on range of literature data</t>
        </is>
      </c>
      <c r="L2518" t="n">
        <v>0</v>
      </c>
      <c r="M2518" t="inlineStr">
        <is>
          <t>waste reinforced concrete</t>
        </is>
      </c>
    </row>
    <row r="2519"/>
    <row r="2520">
      <c r="A2520" s="1" t="inlineStr">
        <is>
          <t>Activity</t>
        </is>
      </c>
      <c r="B2520" s="1" t="inlineStr">
        <is>
          <t>transport, pipeline, supercritical carbon dioxide, 200km with recompression</t>
        </is>
      </c>
    </row>
    <row r="2521">
      <c r="A2521" t="inlineStr">
        <is>
          <t>location</t>
        </is>
      </c>
      <c r="B2521" t="inlineStr">
        <is>
          <t>RER</t>
        </is>
      </c>
    </row>
    <row r="2522">
      <c r="A2522" t="inlineStr">
        <is>
          <t>production amount</t>
        </is>
      </c>
      <c r="B2522" t="n">
        <v>1</v>
      </c>
    </row>
    <row r="2523">
      <c r="A2523" t="inlineStr">
        <is>
          <t>reference product</t>
        </is>
      </c>
      <c r="B2523" t="inlineStr">
        <is>
          <t>transport, pipeline, supercritical carbon dioxide, 200km with recompression</t>
        </is>
      </c>
    </row>
    <row r="2524">
      <c r="A2524" t="inlineStr">
        <is>
          <t>type</t>
        </is>
      </c>
      <c r="B2524" t="inlineStr">
        <is>
          <t>process</t>
        </is>
      </c>
    </row>
    <row r="2525" ht="16" customHeight="1">
      <c r="A2525" t="inlineStr">
        <is>
          <t>unit</t>
        </is>
      </c>
      <c r="B2525" t="inlineStr">
        <is>
          <t>ton kilometer</t>
        </is>
      </c>
    </row>
    <row r="2526">
      <c r="A2526" t="inlineStr">
        <is>
          <t>source</t>
        </is>
      </c>
      <c r="B2526" t="inlineStr">
        <is>
          <t>Life cycle assessment of carbon capture and storage in power generation and industry in Europe, Volkart et al., 2013, International Journal of Greenhouse Gas Control</t>
        </is>
      </c>
    </row>
    <row r="2527">
      <c r="A2527" s="1" t="inlineStr">
        <is>
          <t>Exchanges</t>
        </is>
      </c>
    </row>
    <row r="2528">
      <c r="A2528" t="inlineStr">
        <is>
          <t>name</t>
        </is>
      </c>
      <c r="B2528" t="inlineStr">
        <is>
          <t>amount</t>
        </is>
      </c>
      <c r="C2528" t="inlineStr">
        <is>
          <t>location</t>
        </is>
      </c>
      <c r="D2528" t="inlineStr">
        <is>
          <t>unit</t>
        </is>
      </c>
      <c r="E2528" t="inlineStr">
        <is>
          <t>categories</t>
        </is>
      </c>
      <c r="F2528" t="inlineStr">
        <is>
          <t>type</t>
        </is>
      </c>
      <c r="G2528" t="inlineStr">
        <is>
          <t>uncertainty type</t>
        </is>
      </c>
      <c r="H2528" t="inlineStr">
        <is>
          <t>loc</t>
        </is>
      </c>
      <c r="I2528" t="inlineStr">
        <is>
          <t>scale</t>
        </is>
      </c>
      <c r="J2528" t="inlineStr">
        <is>
          <t>negative</t>
        </is>
      </c>
      <c r="K2528" t="inlineStr">
        <is>
          <t>comment</t>
        </is>
      </c>
      <c r="L2528" t="inlineStr">
        <is>
          <t>reference product</t>
        </is>
      </c>
    </row>
    <row r="2529">
      <c r="A2529" t="inlineStr">
        <is>
          <t>Carbon dioxide, fossil</t>
        </is>
      </c>
      <c r="B2529" t="n">
        <v>0.00026</v>
      </c>
      <c r="D2529" t="inlineStr">
        <is>
          <t>kilogram</t>
        </is>
      </c>
      <c r="E2529" t="inlineStr">
        <is>
          <t>air::urban air close to ground</t>
        </is>
      </c>
      <c r="F2529" t="inlineStr">
        <is>
          <t>biosphere</t>
        </is>
      </c>
      <c r="G2529" t="n">
        <v>0</v>
      </c>
      <c r="H2529" t="n">
        <v>-8.254828926948747</v>
      </c>
      <c r="I2529" t="n">
        <v>0</v>
      </c>
    </row>
    <row r="2530">
      <c r="A2530" t="inlineStr">
        <is>
          <t>transport, pipeline, supercritical carbon dioxide, 200km with recompression</t>
        </is>
      </c>
      <c r="B2530" t="n">
        <v>1</v>
      </c>
      <c r="C2530" t="inlineStr">
        <is>
          <t>RER</t>
        </is>
      </c>
      <c r="D2530" t="inlineStr">
        <is>
          <t>ton kilometer</t>
        </is>
      </c>
      <c r="E2530" t="inlineStr">
        <is>
          <t>NEEDS_2000::CCS</t>
        </is>
      </c>
      <c r="F2530" t="inlineStr">
        <is>
          <t>production</t>
        </is>
      </c>
      <c r="K2530" t="inlineStr">
        <is>
          <t>Europe</t>
        </is>
      </c>
    </row>
    <row r="2531">
      <c r="A2531" t="inlineStr">
        <is>
          <t>market for gas turbine, 10MW electrical</t>
        </is>
      </c>
      <c r="B2531" t="n">
        <v>4.22e-11</v>
      </c>
      <c r="C2531" t="inlineStr">
        <is>
          <t>GLO</t>
        </is>
      </c>
      <c r="D2531" t="inlineStr">
        <is>
          <t>unit</t>
        </is>
      </c>
      <c r="E2531" t="inlineStr">
        <is>
          <t>Materials/fuels</t>
        </is>
      </c>
      <c r="F2531" t="inlineStr">
        <is>
          <t>technosphere</t>
        </is>
      </c>
      <c r="G2531" t="n">
        <v>0</v>
      </c>
      <c r="H2531" t="n">
        <v>-23.88860089488658</v>
      </c>
      <c r="I2531" t="n">
        <v>0</v>
      </c>
      <c r="L2531" t="inlineStr">
        <is>
          <t>gas turbine, 10MW electrical</t>
        </is>
      </c>
    </row>
    <row r="2532" ht="16" customHeight="1">
      <c r="A2532" t="inlineStr">
        <is>
          <t>market group for electricity, medium voltage</t>
        </is>
      </c>
      <c r="B2532" t="n">
        <v>0.0389</v>
      </c>
      <c r="C2532" t="inlineStr">
        <is>
          <t>ENTSO-E</t>
        </is>
      </c>
      <c r="D2532" t="inlineStr">
        <is>
          <t>kilowatt hour</t>
        </is>
      </c>
      <c r="E2532" t="inlineStr">
        <is>
          <t>Materials/fuels</t>
        </is>
      </c>
      <c r="F2532" t="inlineStr">
        <is>
          <t>technosphere</t>
        </is>
      </c>
      <c r="G2532" t="n">
        <v>0</v>
      </c>
      <c r="H2532" t="n">
        <v>-3.246761028357736</v>
      </c>
      <c r="I2532" t="n">
        <v>0</v>
      </c>
      <c r="L2532" t="inlineStr">
        <is>
          <t>electricity, medium voltage</t>
        </is>
      </c>
    </row>
    <row r="2533">
      <c r="A2533" t="inlineStr">
        <is>
          <t>pipeline, supercritical carbon dioxide</t>
        </is>
      </c>
      <c r="B2533" t="n">
        <v>4.22e-09</v>
      </c>
      <c r="C2533" t="inlineStr">
        <is>
          <t>RER</t>
        </is>
      </c>
      <c r="D2533" t="inlineStr">
        <is>
          <t>kilometer</t>
        </is>
      </c>
      <c r="E2533" t="inlineStr">
        <is>
          <t>Materials/fuels</t>
        </is>
      </c>
      <c r="F2533" t="inlineStr">
        <is>
          <t>technosphere</t>
        </is>
      </c>
      <c r="G2533" t="n">
        <v>0</v>
      </c>
      <c r="H2533" t="n">
        <v>4.22e-06</v>
      </c>
      <c r="I2533" t="n">
        <v>0</v>
      </c>
    </row>
    <row r="2534"/>
    <row r="2535">
      <c r="A2535" s="1" t="inlineStr">
        <is>
          <t>Activity</t>
        </is>
      </c>
      <c r="B2535" s="1" t="inlineStr">
        <is>
          <t>carbon dioxide storage at hydrogen production plant, pre, pipeline 200km, storage 1000m</t>
        </is>
      </c>
    </row>
    <row r="2536">
      <c r="A2536" t="inlineStr">
        <is>
          <t>location</t>
        </is>
      </c>
      <c r="B2536" t="inlineStr">
        <is>
          <t>RER</t>
        </is>
      </c>
    </row>
    <row r="2537">
      <c r="A2537" t="inlineStr">
        <is>
          <t>production amount</t>
        </is>
      </c>
      <c r="B2537" t="n">
        <v>1</v>
      </c>
    </row>
    <row r="2538">
      <c r="A2538" t="inlineStr">
        <is>
          <t>reference product</t>
        </is>
      </c>
      <c r="B2538" t="inlineStr">
        <is>
          <t>carbon dioxide storage at hydrogen production plant, pre, pipeline 200km, storage 1000m</t>
        </is>
      </c>
    </row>
    <row r="2539">
      <c r="A2539" t="inlineStr">
        <is>
          <t>type</t>
        </is>
      </c>
      <c r="B2539" t="inlineStr">
        <is>
          <t>process</t>
        </is>
      </c>
    </row>
    <row r="2540" ht="16" customHeight="1">
      <c r="A2540" t="inlineStr">
        <is>
          <t>unit</t>
        </is>
      </c>
      <c r="B2540" t="inlineStr">
        <is>
          <t>kilogram</t>
        </is>
      </c>
    </row>
    <row r="2541">
      <c r="A2541" t="inlineStr">
        <is>
          <t>source</t>
        </is>
      </c>
      <c r="B2541" t="inlineStr">
        <is>
          <t>Life cycle assessment of carbon capture and storage in power generation and industry in Europe, Volkart et al., 2013, International Journal of Greenhouse Gas Control</t>
        </is>
      </c>
    </row>
    <row r="2542">
      <c r="A2542" s="1" t="inlineStr">
        <is>
          <t>Exchanges</t>
        </is>
      </c>
    </row>
    <row r="2543">
      <c r="A2543" t="inlineStr">
        <is>
          <t>name</t>
        </is>
      </c>
      <c r="B2543" t="inlineStr">
        <is>
          <t>amount</t>
        </is>
      </c>
      <c r="C2543" t="inlineStr">
        <is>
          <t>location</t>
        </is>
      </c>
      <c r="D2543" t="inlineStr">
        <is>
          <t>unit</t>
        </is>
      </c>
      <c r="E2543" t="inlineStr">
        <is>
          <t>categories</t>
        </is>
      </c>
      <c r="F2543" t="inlineStr">
        <is>
          <t>type</t>
        </is>
      </c>
      <c r="G2543" t="inlineStr">
        <is>
          <t>uncertainty type</t>
        </is>
      </c>
      <c r="H2543" t="inlineStr">
        <is>
          <t>loc</t>
        </is>
      </c>
      <c r="I2543" t="inlineStr">
        <is>
          <t>scale</t>
        </is>
      </c>
      <c r="J2543" t="inlineStr">
        <is>
          <t>negative</t>
        </is>
      </c>
      <c r="K2543" t="inlineStr">
        <is>
          <t>comment</t>
        </is>
      </c>
      <c r="L2543" t="inlineStr">
        <is>
          <t>reference product</t>
        </is>
      </c>
    </row>
    <row r="2544">
      <c r="A2544" t="inlineStr">
        <is>
          <t>carbon dioxide storage at hydrogen production plant, pre, pipeline 200km, storage 1000m</t>
        </is>
      </c>
      <c r="B2544" t="n">
        <v>1</v>
      </c>
      <c r="C2544" t="inlineStr">
        <is>
          <t>RER</t>
        </is>
      </c>
      <c r="D2544" t="inlineStr">
        <is>
          <t>kilogram</t>
        </is>
      </c>
      <c r="E2544" t="inlineStr">
        <is>
          <t>CCS Europe 2025::Wood::Geological storage::BIGCC</t>
        </is>
      </c>
      <c r="F2544" t="inlineStr">
        <is>
          <t>production</t>
        </is>
      </c>
    </row>
    <row r="2545">
      <c r="A2545" t="inlineStr">
        <is>
          <t>drilling, deep borehole</t>
        </is>
      </c>
      <c r="B2545" t="n">
        <v>1.69e-08</v>
      </c>
      <c r="C2545" t="inlineStr">
        <is>
          <t>RER</t>
        </is>
      </c>
      <c r="D2545" t="inlineStr">
        <is>
          <t>meter</t>
        </is>
      </c>
      <c r="E2545" t="inlineStr">
        <is>
          <t>Materials/fuels</t>
        </is>
      </c>
      <c r="F2545" t="inlineStr">
        <is>
          <t>technosphere</t>
        </is>
      </c>
      <c r="G2545" t="n">
        <v>0</v>
      </c>
      <c r="H2545" t="n">
        <v>1.69e-08</v>
      </c>
      <c r="K2545" t="inlineStr">
        <is>
          <t>l_drilling = (n_injection wells+n_monitoring wells)*storage depth/(lifetime*annual_m_flow)</t>
        </is>
      </c>
    </row>
    <row r="2546">
      <c r="A2546" t="inlineStr">
        <is>
          <t>market for gas turbine, 10MW electrical</t>
        </is>
      </c>
      <c r="B2546" t="n">
        <v>2.54e-11</v>
      </c>
      <c r="C2546" t="inlineStr">
        <is>
          <t>GLO</t>
        </is>
      </c>
      <c r="D2546" t="inlineStr">
        <is>
          <t>unit</t>
        </is>
      </c>
      <c r="E2546" t="inlineStr">
        <is>
          <t>Materials/fuels</t>
        </is>
      </c>
      <c r="F2546" t="inlineStr">
        <is>
          <t>technosphere</t>
        </is>
      </c>
      <c r="G2546" t="n">
        <v>0</v>
      </c>
      <c r="H2546" t="n">
        <v>-24.39627194190406</v>
      </c>
      <c r="I2546" t="n">
        <v>0</v>
      </c>
      <c r="K2546" t="inlineStr">
        <is>
          <t>n_turbine = n_injection wells/(lifetime*annual m_flow)</t>
        </is>
      </c>
      <c r="L2546" t="inlineStr">
        <is>
          <t>gas turbine, 10MW electrical</t>
        </is>
      </c>
    </row>
    <row r="2547" ht="16" customHeight="1">
      <c r="A2547" t="inlineStr">
        <is>
          <t>market group for electricity, medium voltage</t>
        </is>
      </c>
      <c r="B2547" t="n">
        <v>0.009480000000000001</v>
      </c>
      <c r="C2547" t="inlineStr">
        <is>
          <t>ENTSO-E</t>
        </is>
      </c>
      <c r="D2547" t="inlineStr">
        <is>
          <t>kilowatt hour</t>
        </is>
      </c>
      <c r="E2547" t="inlineStr">
        <is>
          <t>Materials/fuels</t>
        </is>
      </c>
      <c r="F2547" t="inlineStr">
        <is>
          <t>technosphere</t>
        </is>
      </c>
      <c r="G2547" t="n">
        <v>0</v>
      </c>
      <c r="H2547" t="n">
        <v>-4.658570962715206</v>
      </c>
      <c r="I2547" t="n">
        <v>0</v>
      </c>
      <c r="K2547" t="inlineStr">
        <is>
          <t>E = 87,85*ln((p_hydrostat+p_over)_pipeline)*(m_flow_project*8760h/a)/annual_m_flow</t>
        </is>
      </c>
      <c r="L2547" t="inlineStr">
        <is>
          <t>electricity, medium voltage</t>
        </is>
      </c>
    </row>
    <row r="2548">
      <c r="A2548" t="inlineStr">
        <is>
          <t>transport, pipeline, supercritical carbon dioxide, 200km without recompression</t>
        </is>
      </c>
      <c r="B2548" t="n">
        <v>0.00152</v>
      </c>
      <c r="C2548" t="inlineStr">
        <is>
          <t>RER</t>
        </is>
      </c>
      <c r="D2548" t="inlineStr">
        <is>
          <t>ton kilometer</t>
        </is>
      </c>
      <c r="E2548" t="inlineStr">
        <is>
          <t>Materials/fuels</t>
        </is>
      </c>
      <c r="F2548" t="inlineStr">
        <is>
          <t>technosphere</t>
        </is>
      </c>
      <c r="G2548" t="n">
        <v>0</v>
      </c>
      <c r="H2548" t="n">
        <v>-6.489044944123952</v>
      </c>
      <c r="I2548" t="n">
        <v>0</v>
      </c>
      <c r="K2548" t="inlineStr">
        <is>
          <t>tkm = l_no comp*m_flow_project/(m_flow_dataset*1000kg/t)</t>
        </is>
      </c>
    </row>
    <row r="2549"/>
    <row r="2550">
      <c r="A2550" s="1" t="inlineStr">
        <is>
          <t>Activity</t>
        </is>
      </c>
      <c r="B2550" s="1" t="inlineStr">
        <is>
          <t>transport, pipeline, supercritical carbon dioxide, 200km without recompression</t>
        </is>
      </c>
    </row>
    <row r="2551">
      <c r="A2551" t="inlineStr">
        <is>
          <t>location</t>
        </is>
      </c>
      <c r="B2551" t="inlineStr">
        <is>
          <t>RER</t>
        </is>
      </c>
    </row>
    <row r="2552">
      <c r="A2552" t="inlineStr">
        <is>
          <t>production amount</t>
        </is>
      </c>
      <c r="B2552" t="n">
        <v>1</v>
      </c>
    </row>
    <row r="2553" ht="16" customHeight="1">
      <c r="A2553" t="inlineStr">
        <is>
          <t>reference product</t>
        </is>
      </c>
      <c r="B2553" t="inlineStr">
        <is>
          <t>transport, pipeline, supercritical carbon dioxide, 200km without recompression</t>
        </is>
      </c>
    </row>
    <row r="2554">
      <c r="A2554" t="inlineStr">
        <is>
          <t>type</t>
        </is>
      </c>
      <c r="B2554" t="inlineStr">
        <is>
          <t>process</t>
        </is>
      </c>
    </row>
    <row r="2555">
      <c r="A2555" t="inlineStr">
        <is>
          <t>unit</t>
        </is>
      </c>
      <c r="B2555" t="inlineStr">
        <is>
          <t>ton kilometer</t>
        </is>
      </c>
    </row>
    <row r="2556">
      <c r="A2556" t="inlineStr">
        <is>
          <t>source</t>
        </is>
      </c>
      <c r="B2556" t="inlineStr">
        <is>
          <t>Life cycle assessment of carbon capture and storage in power generation and industry in Europe, Volkart et al., 2013, International Journal of Greenhouse Gas Control</t>
        </is>
      </c>
    </row>
    <row r="2557">
      <c r="A2557" s="1" t="inlineStr">
        <is>
          <t>Exchanges</t>
        </is>
      </c>
    </row>
    <row r="2558">
      <c r="A2558" t="inlineStr">
        <is>
          <t>name</t>
        </is>
      </c>
      <c r="B2558" t="inlineStr">
        <is>
          <t>amount</t>
        </is>
      </c>
      <c r="C2558" t="inlineStr">
        <is>
          <t>location</t>
        </is>
      </c>
      <c r="D2558" t="inlineStr">
        <is>
          <t>unit</t>
        </is>
      </c>
      <c r="E2558" t="inlineStr">
        <is>
          <t>categories</t>
        </is>
      </c>
      <c r="F2558" t="inlineStr">
        <is>
          <t>type</t>
        </is>
      </c>
      <c r="G2558" t="inlineStr">
        <is>
          <t>uncertainty type</t>
        </is>
      </c>
      <c r="H2558" t="inlineStr">
        <is>
          <t>loc</t>
        </is>
      </c>
      <c r="I2558" t="inlineStr">
        <is>
          <t>scale</t>
        </is>
      </c>
      <c r="J2558" t="inlineStr">
        <is>
          <t>negative</t>
        </is>
      </c>
      <c r="K2558" t="inlineStr">
        <is>
          <t>comment</t>
        </is>
      </c>
      <c r="L2558" t="inlineStr">
        <is>
          <t>reference product</t>
        </is>
      </c>
    </row>
    <row r="2559">
      <c r="A2559" t="inlineStr">
        <is>
          <t>Carbon dioxide, fossil</t>
        </is>
      </c>
      <c r="B2559" t="n">
        <v>0.00026</v>
      </c>
      <c r="D2559" t="inlineStr">
        <is>
          <t>kilogram</t>
        </is>
      </c>
      <c r="E2559" t="inlineStr">
        <is>
          <t>air::urban air close to ground</t>
        </is>
      </c>
      <c r="F2559" t="inlineStr">
        <is>
          <t>biosphere</t>
        </is>
      </c>
      <c r="G2559" t="n">
        <v>0</v>
      </c>
      <c r="H2559" t="n">
        <v>-8.254828926948747</v>
      </c>
    </row>
    <row r="2560" ht="16" customHeight="1">
      <c r="A2560" t="inlineStr">
        <is>
          <t>transport, pipeline, supercritical carbon dioxide, 200km without recompression</t>
        </is>
      </c>
      <c r="B2560" t="n">
        <v>1</v>
      </c>
      <c r="C2560" t="inlineStr">
        <is>
          <t>RER</t>
        </is>
      </c>
      <c r="D2560" t="inlineStr">
        <is>
          <t>ton kilometer</t>
        </is>
      </c>
      <c r="E2560" t="inlineStr">
        <is>
          <t>NEEDS_2000::CCS</t>
        </is>
      </c>
      <c r="F2560" t="inlineStr">
        <is>
          <t>production</t>
        </is>
      </c>
      <c r="K2560" t="inlineStr">
        <is>
          <t>Europe</t>
        </is>
      </c>
    </row>
    <row r="2561">
      <c r="A2561" t="inlineStr">
        <is>
          <t>pipeline, supercritical carbon dioxide</t>
        </is>
      </c>
      <c r="B2561" t="n">
        <v>4.22e-09</v>
      </c>
      <c r="C2561" t="inlineStr">
        <is>
          <t>RER</t>
        </is>
      </c>
      <c r="D2561" t="inlineStr">
        <is>
          <t>kilometer</t>
        </is>
      </c>
      <c r="E2561" t="inlineStr">
        <is>
          <t>Materials/fuels</t>
        </is>
      </c>
      <c r="F2561" t="inlineStr">
        <is>
          <t>technosphere</t>
        </is>
      </c>
      <c r="G2561" t="n">
        <v>0</v>
      </c>
      <c r="H2561" t="n">
        <v>4.22e-06</v>
      </c>
    </row>
    <row r="2562"/>
    <row r="2563">
      <c r="A2563" s="1" t="inlineStr">
        <is>
          <t>Activity</t>
        </is>
      </c>
      <c r="B2563" s="1" t="inlineStr">
        <is>
          <t>pipeline, supercritical carbon dioxide</t>
        </is>
      </c>
    </row>
    <row r="2564">
      <c r="A2564" t="inlineStr">
        <is>
          <t>location</t>
        </is>
      </c>
      <c r="B2564" t="inlineStr">
        <is>
          <t>RER</t>
        </is>
      </c>
    </row>
    <row r="2565">
      <c r="A2565" t="inlineStr">
        <is>
          <t>production amount</t>
        </is>
      </c>
      <c r="B2565" t="n">
        <v>1</v>
      </c>
    </row>
    <row r="2566">
      <c r="A2566" t="inlineStr">
        <is>
          <t>reference product</t>
        </is>
      </c>
      <c r="B2566" t="inlineStr">
        <is>
          <t>pipeline, supercritical carbon dioxide</t>
        </is>
      </c>
    </row>
    <row r="2567">
      <c r="A2567" t="inlineStr">
        <is>
          <t>type</t>
        </is>
      </c>
      <c r="B2567" t="inlineStr">
        <is>
          <t>process</t>
        </is>
      </c>
    </row>
    <row r="2568">
      <c r="A2568" t="inlineStr">
        <is>
          <t>unit</t>
        </is>
      </c>
      <c r="B2568" t="inlineStr">
        <is>
          <t>kilometer</t>
        </is>
      </c>
    </row>
    <row r="2569">
      <c r="A2569" t="inlineStr">
        <is>
          <t>source</t>
        </is>
      </c>
      <c r="B2569" t="inlineStr">
        <is>
          <t>Life cycle assessment of carbon capture and storage in power generation and industry in Europe, Volkart et al., 2013, International Journal of Greenhouse Gas Control</t>
        </is>
      </c>
    </row>
    <row r="2570">
      <c r="A2570" s="1" t="inlineStr">
        <is>
          <t>Exchanges</t>
        </is>
      </c>
    </row>
    <row r="2571">
      <c r="A2571" t="inlineStr">
        <is>
          <t>name</t>
        </is>
      </c>
      <c r="B2571" t="inlineStr">
        <is>
          <t>amount</t>
        </is>
      </c>
      <c r="C2571" t="inlineStr">
        <is>
          <t>location</t>
        </is>
      </c>
      <c r="D2571" t="inlineStr">
        <is>
          <t>unit</t>
        </is>
      </c>
      <c r="E2571" t="inlineStr">
        <is>
          <t>categories</t>
        </is>
      </c>
      <c r="F2571" t="inlineStr">
        <is>
          <t>type</t>
        </is>
      </c>
      <c r="G2571" t="inlineStr">
        <is>
          <t>uncertainty type</t>
        </is>
      </c>
      <c r="H2571" t="inlineStr">
        <is>
          <t>loc</t>
        </is>
      </c>
      <c r="I2571" t="inlineStr">
        <is>
          <t>scale</t>
        </is>
      </c>
      <c r="J2571" t="inlineStr">
        <is>
          <t>negative</t>
        </is>
      </c>
      <c r="K2571" t="inlineStr">
        <is>
          <t>comment</t>
        </is>
      </c>
      <c r="L2571" t="inlineStr">
        <is>
          <t>reference product</t>
        </is>
      </c>
    </row>
    <row r="2572">
      <c r="A2572" t="inlineStr">
        <is>
          <t>Occupation, construction site</t>
        </is>
      </c>
      <c r="B2572" t="n">
        <v>3330</v>
      </c>
      <c r="D2572" t="inlineStr">
        <is>
          <t>square meter-year</t>
        </is>
      </c>
      <c r="E2572" t="inlineStr">
        <is>
          <t>natural resource::land</t>
        </is>
      </c>
      <c r="F2572" t="inlineStr">
        <is>
          <t>biosphere</t>
        </is>
      </c>
      <c r="G2572" t="n">
        <v>0</v>
      </c>
      <c r="H2572" t="n">
        <v>8.110727582974489</v>
      </c>
      <c r="I2572" t="n">
        <v>0</v>
      </c>
    </row>
    <row r="2573">
      <c r="A2573" t="inlineStr">
        <is>
          <t>Transformation, from forest, unspecified</t>
        </is>
      </c>
      <c r="B2573" t="n">
        <v>2000</v>
      </c>
      <c r="D2573" t="inlineStr">
        <is>
          <t>square meter</t>
        </is>
      </c>
      <c r="E2573" t="inlineStr">
        <is>
          <t>natural resource::land</t>
        </is>
      </c>
      <c r="F2573" t="inlineStr">
        <is>
          <t>biosphere</t>
        </is>
      </c>
      <c r="G2573" t="n">
        <v>0</v>
      </c>
      <c r="H2573" t="n">
        <v>7.600902459542082</v>
      </c>
      <c r="I2573" t="n">
        <v>0</v>
      </c>
    </row>
    <row r="2574">
      <c r="A2574" t="inlineStr">
        <is>
          <t>Transformation, to heterogeneous, agricultural</t>
        </is>
      </c>
      <c r="B2574" t="n">
        <v>2000</v>
      </c>
      <c r="D2574" t="inlineStr">
        <is>
          <t>square meter</t>
        </is>
      </c>
      <c r="E2574" t="inlineStr">
        <is>
          <t>natural resource::land</t>
        </is>
      </c>
      <c r="F2574" t="inlineStr">
        <is>
          <t>biosphere</t>
        </is>
      </c>
      <c r="G2574" t="n">
        <v>0</v>
      </c>
      <c r="H2574" t="n">
        <v>7.600902459542082</v>
      </c>
      <c r="I2574" t="n">
        <v>0</v>
      </c>
    </row>
    <row r="2575">
      <c r="A2575" t="inlineStr">
        <is>
          <t>Water, unspecified natural origin</t>
        </is>
      </c>
      <c r="B2575" t="n">
        <v>187</v>
      </c>
      <c r="D2575" t="inlineStr">
        <is>
          <t>cubic meter</t>
        </is>
      </c>
      <c r="E2575" t="inlineStr">
        <is>
          <t>natural resource::in water</t>
        </is>
      </c>
      <c r="F2575" t="inlineStr">
        <is>
          <t>biosphere</t>
        </is>
      </c>
      <c r="G2575" t="n">
        <v>0</v>
      </c>
      <c r="H2575" t="n">
        <v>5.231108616854587</v>
      </c>
      <c r="I2575" t="n">
        <v>0</v>
      </c>
    </row>
    <row r="2576">
      <c r="A2576" t="inlineStr">
        <is>
          <t>pipeline, supercritical carbon dioxide</t>
        </is>
      </c>
      <c r="B2576" t="n">
        <v>1</v>
      </c>
      <c r="C2576" t="inlineStr">
        <is>
          <t>RER</t>
        </is>
      </c>
      <c r="D2576" t="inlineStr">
        <is>
          <t>kilometer</t>
        </is>
      </c>
      <c r="E2576" t="inlineStr">
        <is>
          <t>NEEDS_2000::CCS</t>
        </is>
      </c>
      <c r="F2576" t="inlineStr">
        <is>
          <t>production</t>
        </is>
      </c>
      <c r="H2576" t="n">
        <v>1000</v>
      </c>
      <c r="K2576" t="inlineStr">
        <is>
          <t>Europe</t>
        </is>
      </c>
    </row>
    <row r="2577">
      <c r="A2577" t="inlineStr">
        <is>
          <t>drawing of pipe, steel</t>
        </is>
      </c>
      <c r="B2577" t="n">
        <v>270000</v>
      </c>
      <c r="C2577" t="inlineStr">
        <is>
          <t>RER</t>
        </is>
      </c>
      <c r="D2577" t="inlineStr">
        <is>
          <t>kilogram</t>
        </is>
      </c>
      <c r="E2577" t="inlineStr">
        <is>
          <t>Materials/fuels</t>
        </is>
      </c>
      <c r="F2577" t="inlineStr">
        <is>
          <t>technosphere</t>
        </is>
      </c>
      <c r="G2577" t="n">
        <v>0</v>
      </c>
      <c r="H2577" t="n">
        <v>12.50617723798051</v>
      </c>
      <c r="I2577" t="n">
        <v>0</v>
      </c>
    </row>
    <row r="2578">
      <c r="A2578" t="inlineStr">
        <is>
          <t>gravel and sand quarry operation</t>
        </is>
      </c>
      <c r="B2578" t="n">
        <v>4400000</v>
      </c>
      <c r="C2578" t="inlineStr">
        <is>
          <t>CH</t>
        </is>
      </c>
      <c r="D2578" t="inlineStr">
        <is>
          <t>kilogram</t>
        </is>
      </c>
      <c r="E2578" t="inlineStr">
        <is>
          <t>Materials/fuels</t>
        </is>
      </c>
      <c r="F2578" t="inlineStr">
        <is>
          <t>technosphere</t>
        </is>
      </c>
      <c r="G2578" t="n">
        <v>0</v>
      </c>
      <c r="H2578" t="n">
        <v>15.29711509888849</v>
      </c>
      <c r="I2578" t="n">
        <v>0</v>
      </c>
      <c r="L2578" t="inlineStr">
        <is>
          <t>sand</t>
        </is>
      </c>
    </row>
    <row r="2579">
      <c r="A2579" t="inlineStr">
        <is>
          <t>market for diesel, burned in building machine</t>
        </is>
      </c>
      <c r="B2579" t="n">
        <v>3310000</v>
      </c>
      <c r="C2579" t="inlineStr">
        <is>
          <t>GLO</t>
        </is>
      </c>
      <c r="D2579" t="inlineStr">
        <is>
          <t>megajoule</t>
        </is>
      </c>
      <c r="E2579" t="inlineStr">
        <is>
          <t>Materials/fuels</t>
        </is>
      </c>
      <c r="F2579" t="inlineStr">
        <is>
          <t>technosphere</t>
        </is>
      </c>
      <c r="G2579" t="n">
        <v>0</v>
      </c>
      <c r="H2579" t="n">
        <v>15.01245874735325</v>
      </c>
      <c r="I2579" t="n">
        <v>0</v>
      </c>
      <c r="L2579" t="inlineStr">
        <is>
          <t>diesel, burned in building machine</t>
        </is>
      </c>
    </row>
    <row r="2580" ht="16" customHeight="1">
      <c r="A2580" t="inlineStr">
        <is>
          <t>market for steel, low-alloyed</t>
        </is>
      </c>
      <c r="B2580" t="n">
        <v>270000</v>
      </c>
      <c r="C2580" t="inlineStr">
        <is>
          <t>GLO</t>
        </is>
      </c>
      <c r="D2580" t="inlineStr">
        <is>
          <t>kilogram</t>
        </is>
      </c>
      <c r="E2580" t="inlineStr">
        <is>
          <t>Materials/fuels</t>
        </is>
      </c>
      <c r="F2580" t="inlineStr">
        <is>
          <t>technosphere</t>
        </is>
      </c>
      <c r="G2580" t="n">
        <v>0</v>
      </c>
      <c r="H2580" t="n">
        <v>12.50617723798051</v>
      </c>
      <c r="I2580" t="n">
        <v>0</v>
      </c>
      <c r="L2580" t="inlineStr">
        <is>
          <t>steel, low-alloyed</t>
        </is>
      </c>
    </row>
    <row r="2581">
      <c r="A2581" t="inlineStr">
        <is>
          <t>market for stone wool, packed</t>
        </is>
      </c>
      <c r="B2581" t="n">
        <v>5120</v>
      </c>
      <c r="C2581" t="inlineStr">
        <is>
          <t>GLO</t>
        </is>
      </c>
      <c r="D2581" t="inlineStr">
        <is>
          <t>kilogram</t>
        </is>
      </c>
      <c r="E2581" t="inlineStr">
        <is>
          <t>Materials/fuels</t>
        </is>
      </c>
      <c r="F2581" t="inlineStr">
        <is>
          <t>technosphere</t>
        </is>
      </c>
      <c r="G2581" t="n">
        <v>0</v>
      </c>
      <c r="H2581" t="n">
        <v>8.540909718033554</v>
      </c>
      <c r="I2581" t="n">
        <v>0</v>
      </c>
      <c r="L2581" t="inlineStr">
        <is>
          <t>stone wool, packed</t>
        </is>
      </c>
    </row>
    <row r="2582">
      <c r="A2582" t="inlineStr">
        <is>
          <t>market for transport, freight train</t>
        </is>
      </c>
      <c r="B2582" t="n">
        <v>55100</v>
      </c>
      <c r="C2582" t="inlineStr">
        <is>
          <t>Europe without Switzerland</t>
        </is>
      </c>
      <c r="D2582" t="inlineStr">
        <is>
          <t>ton kilometer</t>
        </is>
      </c>
      <c r="E2582" t="inlineStr">
        <is>
          <t>Materials/fuels</t>
        </is>
      </c>
      <c r="F2582" t="inlineStr">
        <is>
          <t>technosphere</t>
        </is>
      </c>
      <c r="G2582" t="n">
        <v>0</v>
      </c>
      <c r="H2582" t="n">
        <v>10.91690499514101</v>
      </c>
      <c r="I2582" t="n">
        <v>0</v>
      </c>
      <c r="L2582" t="inlineStr">
        <is>
          <t>transport, freight train</t>
        </is>
      </c>
    </row>
    <row r="2583">
      <c r="A2583" t="inlineStr">
        <is>
          <t>market for transport, freight, lorry, unspecified</t>
        </is>
      </c>
      <c r="B2583" t="n">
        <v>315000</v>
      </c>
      <c r="C2583" t="inlineStr">
        <is>
          <t>RER</t>
        </is>
      </c>
      <c r="D2583" t="inlineStr">
        <is>
          <t>ton kilometer</t>
        </is>
      </c>
      <c r="E2583" t="inlineStr">
        <is>
          <t>Materials/fuels</t>
        </is>
      </c>
      <c r="F2583" t="inlineStr">
        <is>
          <t>technosphere</t>
        </is>
      </c>
      <c r="G2583" t="n">
        <v>0</v>
      </c>
      <c r="H2583" t="n">
        <v>12.66032791780777</v>
      </c>
      <c r="I2583" t="n">
        <v>0</v>
      </c>
      <c r="L2583" t="inlineStr">
        <is>
          <t>transport, freight, lorry, unspecified</t>
        </is>
      </c>
    </row>
    <row r="2584">
      <c r="A2584" t="inlineStr">
        <is>
          <t>transport, helicopter</t>
        </is>
      </c>
      <c r="B2584" t="n">
        <v>26</v>
      </c>
      <c r="C2584" t="inlineStr">
        <is>
          <t>GLO</t>
        </is>
      </c>
      <c r="D2584" t="inlineStr">
        <is>
          <t>hour</t>
        </is>
      </c>
      <c r="E2584" t="inlineStr">
        <is>
          <t>Materials/fuels</t>
        </is>
      </c>
      <c r="F2584" t="inlineStr">
        <is>
          <t>technosphere</t>
        </is>
      </c>
      <c r="G2584" t="n">
        <v>0</v>
      </c>
      <c r="H2584" t="n">
        <v>3.258096538021482</v>
      </c>
      <c r="I2584" t="n">
        <v>0</v>
      </c>
      <c r="L2584" t="inlineStr">
        <is>
          <t>transport, helicopter</t>
        </is>
      </c>
    </row>
    <row r="2585">
      <c r="A2585" t="inlineStr">
        <is>
          <t>transport, helicopter, LTO cycle</t>
        </is>
      </c>
      <c r="B2585" t="n">
        <v>10.4</v>
      </c>
      <c r="C2585" t="inlineStr">
        <is>
          <t>GLO</t>
        </is>
      </c>
      <c r="D2585" t="inlineStr">
        <is>
          <t>unit</t>
        </is>
      </c>
      <c r="E2585" t="inlineStr">
        <is>
          <t>Materials/fuels</t>
        </is>
      </c>
      <c r="F2585" t="inlineStr">
        <is>
          <t>technosphere</t>
        </is>
      </c>
      <c r="G2585" t="n">
        <v>0</v>
      </c>
      <c r="H2585" t="n">
        <v>2.341805806147327</v>
      </c>
      <c r="I2585" t="n">
        <v>0</v>
      </c>
      <c r="L2585" t="inlineStr">
        <is>
          <t>transport, helicopter, LTO cycle</t>
        </is>
      </c>
    </row>
    <row r="2586">
      <c r="A2586" t="inlineStr">
        <is>
          <t>treatment of inert waste, inert material landfill</t>
        </is>
      </c>
      <c r="B2586" t="n">
        <v>-4400000</v>
      </c>
      <c r="C2586" t="inlineStr">
        <is>
          <t>CH</t>
        </is>
      </c>
      <c r="D2586" t="inlineStr">
        <is>
          <t>kilogram</t>
        </is>
      </c>
      <c r="E2586" t="inlineStr">
        <is>
          <t>Waste to treatment</t>
        </is>
      </c>
      <c r="F2586" t="inlineStr">
        <is>
          <t>technosphere</t>
        </is>
      </c>
      <c r="G2586" t="n">
        <v>0</v>
      </c>
      <c r="H2586" t="n">
        <v>15.29711509888849</v>
      </c>
      <c r="I2586" t="n">
        <v>0</v>
      </c>
      <c r="L2586" t="inlineStr">
        <is>
          <t>inert waste, for final disposal</t>
        </is>
      </c>
    </row>
    <row r="2587" ht="16" customHeight="1">
      <c r="A2587" t="inlineStr">
        <is>
          <t>treatment of scrap steel, inert material landfill</t>
        </is>
      </c>
      <c r="B2587" t="n">
        <v>-135000</v>
      </c>
      <c r="C2587" t="inlineStr">
        <is>
          <t>CH</t>
        </is>
      </c>
      <c r="D2587" t="inlineStr">
        <is>
          <t>kilogram</t>
        </is>
      </c>
      <c r="E2587" t="inlineStr">
        <is>
          <t>Waste to treatment</t>
        </is>
      </c>
      <c r="F2587" t="inlineStr">
        <is>
          <t>technosphere</t>
        </is>
      </c>
      <c r="G2587" t="n">
        <v>0</v>
      </c>
      <c r="H2587" t="n">
        <v>11.81303005742057</v>
      </c>
      <c r="I2587" t="n">
        <v>0</v>
      </c>
      <c r="L2587" t="inlineStr">
        <is>
          <t>scrap steel</t>
        </is>
      </c>
    </row>
    <row r="2588">
      <c r="A2588" t="inlineStr">
        <is>
          <t>treatment of waste mineral wool, inert material landfill</t>
        </is>
      </c>
      <c r="B2588" t="n">
        <v>-5120</v>
      </c>
      <c r="C2588" t="inlineStr">
        <is>
          <t>CH</t>
        </is>
      </c>
      <c r="D2588" t="inlineStr">
        <is>
          <t>kilogram</t>
        </is>
      </c>
      <c r="E2588" t="inlineStr">
        <is>
          <t>Waste to treatment</t>
        </is>
      </c>
      <c r="F2588" t="inlineStr">
        <is>
          <t>technosphere</t>
        </is>
      </c>
      <c r="G2588" t="n">
        <v>0</v>
      </c>
      <c r="H2588" t="n">
        <v>8.540909718033554</v>
      </c>
      <c r="I2588" t="n">
        <v>0</v>
      </c>
    </row>
    <row r="2589"/>
    <row r="2590">
      <c r="A2590" s="1" t="inlineStr">
        <is>
          <t>Activity</t>
        </is>
      </c>
      <c r="B2590" s="1" t="inlineStr">
        <is>
          <t>drilling, deep borehole</t>
        </is>
      </c>
    </row>
    <row r="2591">
      <c r="A2591" t="inlineStr">
        <is>
          <t>location</t>
        </is>
      </c>
      <c r="B2591" t="inlineStr">
        <is>
          <t>RER</t>
        </is>
      </c>
    </row>
    <row r="2592">
      <c r="A2592" t="inlineStr">
        <is>
          <t>production amount</t>
        </is>
      </c>
      <c r="B2592" t="n">
        <v>1</v>
      </c>
    </row>
    <row r="2593">
      <c r="A2593" t="inlineStr">
        <is>
          <t>reference product</t>
        </is>
      </c>
      <c r="B2593" t="inlineStr">
        <is>
          <t>drilling, deep borehole</t>
        </is>
      </c>
    </row>
    <row r="2594">
      <c r="A2594" t="inlineStr">
        <is>
          <t>type</t>
        </is>
      </c>
      <c r="B2594" t="inlineStr">
        <is>
          <t>process</t>
        </is>
      </c>
    </row>
    <row r="2595">
      <c r="A2595" t="inlineStr">
        <is>
          <t>unit</t>
        </is>
      </c>
      <c r="B2595" t="inlineStr">
        <is>
          <t>meter</t>
        </is>
      </c>
    </row>
    <row r="2596">
      <c r="A2596" t="inlineStr">
        <is>
          <t>source</t>
        </is>
      </c>
      <c r="B2596" t="inlineStr">
        <is>
          <t>Life cycle assessment of carbon capture and storage in power generation and industry in Europe, Volkart et al., 2013, International Journal of Greenhouse Gas Control</t>
        </is>
      </c>
    </row>
    <row r="2597">
      <c r="A2597" s="1" t="inlineStr">
        <is>
          <t>Exchanges</t>
        </is>
      </c>
    </row>
    <row r="2598">
      <c r="A2598" t="inlineStr">
        <is>
          <t>name</t>
        </is>
      </c>
      <c r="B2598" t="inlineStr">
        <is>
          <t>amount</t>
        </is>
      </c>
      <c r="C2598" t="inlineStr">
        <is>
          <t>location</t>
        </is>
      </c>
      <c r="D2598" t="inlineStr">
        <is>
          <t>unit</t>
        </is>
      </c>
      <c r="E2598" t="inlineStr">
        <is>
          <t>categories</t>
        </is>
      </c>
      <c r="F2598" t="inlineStr">
        <is>
          <t>type</t>
        </is>
      </c>
      <c r="G2598" t="inlineStr">
        <is>
          <t>uncertainty type</t>
        </is>
      </c>
      <c r="H2598" t="inlineStr">
        <is>
          <t>loc</t>
        </is>
      </c>
      <c r="I2598" t="inlineStr">
        <is>
          <t>scale</t>
        </is>
      </c>
      <c r="J2598" t="inlineStr">
        <is>
          <t>negative</t>
        </is>
      </c>
      <c r="K2598" t="inlineStr">
        <is>
          <t>comment</t>
        </is>
      </c>
      <c r="L2598" t="inlineStr">
        <is>
          <t>reference product</t>
        </is>
      </c>
    </row>
    <row r="2599">
      <c r="A2599" t="inlineStr">
        <is>
          <t>AOX, Adsorbable Organic Halogen as Cl</t>
        </is>
      </c>
      <c r="B2599" t="n">
        <v>4.78e-07</v>
      </c>
      <c r="D2599" t="inlineStr">
        <is>
          <t>kilogram</t>
        </is>
      </c>
      <c r="E2599" t="inlineStr">
        <is>
          <t>water::surface water</t>
        </is>
      </c>
      <c r="F2599" t="inlineStr">
        <is>
          <t>biosphere</t>
        </is>
      </c>
      <c r="G2599" t="n">
        <v>0</v>
      </c>
      <c r="H2599" t="n">
        <v>-14.55365510445496</v>
      </c>
      <c r="I2599" t="n">
        <v>0</v>
      </c>
    </row>
    <row r="2600">
      <c r="A2600" t="inlineStr">
        <is>
          <t>Aluminium</t>
        </is>
      </c>
      <c r="B2600" t="n">
        <v>0.06</v>
      </c>
      <c r="D2600" t="inlineStr">
        <is>
          <t>kilogram</t>
        </is>
      </c>
      <c r="E2600" t="inlineStr">
        <is>
          <t>water::surface water</t>
        </is>
      </c>
      <c r="F2600" t="inlineStr">
        <is>
          <t>biosphere</t>
        </is>
      </c>
      <c r="G2600" t="n">
        <v>0</v>
      </c>
      <c r="H2600" t="n">
        <v>-2.813410716760036</v>
      </c>
      <c r="I2600" t="n">
        <v>0</v>
      </c>
    </row>
    <row r="2601">
      <c r="A2601" t="inlineStr">
        <is>
          <t>Arsenic, ion</t>
        </is>
      </c>
      <c r="B2601" t="n">
        <v>0.00042</v>
      </c>
      <c r="D2601" t="inlineStr">
        <is>
          <t>kilogram</t>
        </is>
      </c>
      <c r="E2601" t="inlineStr">
        <is>
          <t>water::surface water</t>
        </is>
      </c>
      <c r="F2601" t="inlineStr">
        <is>
          <t>biosphere</t>
        </is>
      </c>
      <c r="G2601" t="n">
        <v>0</v>
      </c>
      <c r="H2601" t="n">
        <v>-7.77525584668686</v>
      </c>
      <c r="I2601" t="n">
        <v>0</v>
      </c>
    </row>
    <row r="2602">
      <c r="A2602" t="inlineStr">
        <is>
          <t>BOD5, Biological Oxygen Demand</t>
        </is>
      </c>
      <c r="B2602" t="n">
        <v>0.3</v>
      </c>
      <c r="D2602" t="inlineStr">
        <is>
          <t>kilogram</t>
        </is>
      </c>
      <c r="E2602" t="inlineStr">
        <is>
          <t>water::surface water</t>
        </is>
      </c>
      <c r="F2602" t="inlineStr">
        <is>
          <t>biosphere</t>
        </is>
      </c>
      <c r="G2602" t="n">
        <v>0</v>
      </c>
      <c r="H2602" t="n">
        <v>-1.203972804325936</v>
      </c>
      <c r="I2602" t="n">
        <v>0</v>
      </c>
    </row>
    <row r="2603">
      <c r="A2603" t="inlineStr">
        <is>
          <t>Barium</t>
        </is>
      </c>
      <c r="B2603" t="n">
        <v>0.006</v>
      </c>
      <c r="D2603" t="inlineStr">
        <is>
          <t>kilogram</t>
        </is>
      </c>
      <c r="E2603" t="inlineStr">
        <is>
          <t>water::surface water</t>
        </is>
      </c>
      <c r="F2603" t="inlineStr">
        <is>
          <t>biosphere</t>
        </is>
      </c>
      <c r="G2603" t="n">
        <v>0</v>
      </c>
      <c r="H2603" t="n">
        <v>-5.115995809754082</v>
      </c>
      <c r="I2603" t="n">
        <v>0</v>
      </c>
    </row>
    <row r="2604">
      <c r="A2604" t="inlineStr">
        <is>
          <t>Boron</t>
        </is>
      </c>
      <c r="B2604" t="n">
        <v>0.008999999999999999</v>
      </c>
      <c r="D2604" t="inlineStr">
        <is>
          <t>kilogram</t>
        </is>
      </c>
      <c r="E2604" t="inlineStr">
        <is>
          <t>water::surface water</t>
        </is>
      </c>
      <c r="F2604" t="inlineStr">
        <is>
          <t>biosphere</t>
        </is>
      </c>
      <c r="G2604" t="n">
        <v>0</v>
      </c>
      <c r="H2604" t="n">
        <v>-4.710530701645918</v>
      </c>
      <c r="I2604" t="n">
        <v>0</v>
      </c>
    </row>
    <row r="2605">
      <c r="A2605" t="inlineStr">
        <is>
          <t>COD, Chemical Oxygen Demand</t>
        </is>
      </c>
      <c r="B2605" t="n">
        <v>3</v>
      </c>
      <c r="D2605" t="inlineStr">
        <is>
          <t>kilogram</t>
        </is>
      </c>
      <c r="E2605" t="inlineStr">
        <is>
          <t>water::surface water</t>
        </is>
      </c>
      <c r="F2605" t="inlineStr">
        <is>
          <t>biosphere</t>
        </is>
      </c>
      <c r="G2605" t="n">
        <v>0</v>
      </c>
      <c r="H2605" t="n">
        <v>1.09861228866811</v>
      </c>
      <c r="I2605" t="n">
        <v>0</v>
      </c>
    </row>
    <row r="2606">
      <c r="A2606" t="inlineStr">
        <is>
          <t>Calcium, ion</t>
        </is>
      </c>
      <c r="B2606" t="n">
        <v>0.6</v>
      </c>
      <c r="D2606" t="inlineStr">
        <is>
          <t>kilogram</t>
        </is>
      </c>
      <c r="E2606" t="inlineStr">
        <is>
          <t>water::surface water</t>
        </is>
      </c>
      <c r="F2606" t="inlineStr">
        <is>
          <t>biosphere</t>
        </is>
      </c>
      <c r="G2606" t="n">
        <v>0</v>
      </c>
      <c r="H2606" t="n">
        <v>-0.5108256237659907</v>
      </c>
      <c r="I2606" t="n">
        <v>0</v>
      </c>
    </row>
    <row r="2607">
      <c r="A2607" t="inlineStr">
        <is>
          <t>Chloride</t>
        </is>
      </c>
      <c r="B2607" t="n">
        <v>6</v>
      </c>
      <c r="D2607" t="inlineStr">
        <is>
          <t>kilogram</t>
        </is>
      </c>
      <c r="E2607" t="inlineStr">
        <is>
          <t>water::surface water</t>
        </is>
      </c>
      <c r="F2607" t="inlineStr">
        <is>
          <t>biosphere</t>
        </is>
      </c>
      <c r="G2607" t="n">
        <v>0</v>
      </c>
      <c r="H2607" t="n">
        <v>1.791759469228055</v>
      </c>
      <c r="I2607" t="n">
        <v>0</v>
      </c>
    </row>
    <row r="2608">
      <c r="A2608" t="inlineStr">
        <is>
          <t>Chromium, ion</t>
        </is>
      </c>
      <c r="B2608" t="n">
        <v>0.0005999999999999999</v>
      </c>
      <c r="D2608" t="inlineStr">
        <is>
          <t>kilogram</t>
        </is>
      </c>
      <c r="E2608" t="inlineStr">
        <is>
          <t>water::surface water</t>
        </is>
      </c>
      <c r="F2608" t="inlineStr">
        <is>
          <t>biosphere</t>
        </is>
      </c>
      <c r="G2608" t="n">
        <v>0</v>
      </c>
      <c r="H2608" t="n">
        <v>-7.418580902748128</v>
      </c>
      <c r="I2608" t="n">
        <v>0</v>
      </c>
    </row>
    <row r="2609">
      <c r="A2609" t="inlineStr">
        <is>
          <t>DOC, Dissolved Organic Carbon</t>
        </is>
      </c>
      <c r="B2609" t="n">
        <v>0.3</v>
      </c>
      <c r="D2609" t="inlineStr">
        <is>
          <t>kilogram</t>
        </is>
      </c>
      <c r="E2609" t="inlineStr">
        <is>
          <t>water::surface water</t>
        </is>
      </c>
      <c r="F2609" t="inlineStr">
        <is>
          <t>biosphere</t>
        </is>
      </c>
      <c r="G2609" t="n">
        <v>0</v>
      </c>
      <c r="H2609" t="n">
        <v>-1.203972804325936</v>
      </c>
      <c r="I2609" t="n">
        <v>0</v>
      </c>
    </row>
    <row r="2610">
      <c r="A2610" t="inlineStr">
        <is>
          <t>Fluoride</t>
        </is>
      </c>
      <c r="B2610" t="n">
        <v>0.003</v>
      </c>
      <c r="D2610" t="inlineStr">
        <is>
          <t>kilogram</t>
        </is>
      </c>
      <c r="E2610" t="inlineStr">
        <is>
          <t>water::surface water</t>
        </is>
      </c>
      <c r="F2610" t="inlineStr">
        <is>
          <t>biosphere</t>
        </is>
      </c>
      <c r="G2610" t="n">
        <v>0</v>
      </c>
      <c r="H2610" t="n">
        <v>-5.809142990314028</v>
      </c>
      <c r="I2610" t="n">
        <v>0</v>
      </c>
    </row>
    <row r="2611">
      <c r="A2611" t="inlineStr">
        <is>
          <t>Hydrocarbons, aromatic</t>
        </is>
      </c>
      <c r="B2611" t="n">
        <v>0.003</v>
      </c>
      <c r="D2611" t="inlineStr">
        <is>
          <t>kilogram</t>
        </is>
      </c>
      <c r="E2611" t="inlineStr">
        <is>
          <t>water::surface water</t>
        </is>
      </c>
      <c r="F2611" t="inlineStr">
        <is>
          <t>biosphere</t>
        </is>
      </c>
      <c r="G2611" t="n">
        <v>0</v>
      </c>
      <c r="H2611" t="n">
        <v>-5.809142990314028</v>
      </c>
      <c r="I2611" t="n">
        <v>0</v>
      </c>
    </row>
    <row r="2612">
      <c r="A2612" t="inlineStr">
        <is>
          <t>Iron, ion</t>
        </is>
      </c>
      <c r="B2612" t="n">
        <v>0.18</v>
      </c>
      <c r="D2612" t="inlineStr">
        <is>
          <t>kilogram</t>
        </is>
      </c>
      <c r="E2612" t="inlineStr">
        <is>
          <t>water::surface water</t>
        </is>
      </c>
      <c r="F2612" t="inlineStr">
        <is>
          <t>biosphere</t>
        </is>
      </c>
      <c r="G2612" t="n">
        <v>0</v>
      </c>
      <c r="H2612" t="n">
        <v>-1.714798428091927</v>
      </c>
      <c r="I2612" t="n">
        <v>0</v>
      </c>
    </row>
    <row r="2613">
      <c r="A2613" t="inlineStr">
        <is>
          <t>Magnesium</t>
        </is>
      </c>
      <c r="B2613" t="n">
        <v>0.12</v>
      </c>
      <c r="D2613" t="inlineStr">
        <is>
          <t>kilogram</t>
        </is>
      </c>
      <c r="E2613" t="inlineStr">
        <is>
          <t>water::surface water</t>
        </is>
      </c>
      <c r="F2613" t="inlineStr">
        <is>
          <t>biosphere</t>
        </is>
      </c>
      <c r="G2613" t="n">
        <v>0</v>
      </c>
      <c r="H2613" t="n">
        <v>-2.120263536200091</v>
      </c>
      <c r="I2613" t="n">
        <v>0</v>
      </c>
    </row>
    <row r="2614">
      <c r="A2614" t="inlineStr">
        <is>
          <t>Manganese</t>
        </is>
      </c>
      <c r="B2614" t="n">
        <v>0.003</v>
      </c>
      <c r="D2614" t="inlineStr">
        <is>
          <t>kilogram</t>
        </is>
      </c>
      <c r="E2614" t="inlineStr">
        <is>
          <t>water::surface water</t>
        </is>
      </c>
      <c r="F2614" t="inlineStr">
        <is>
          <t>biosphere</t>
        </is>
      </c>
      <c r="G2614" t="n">
        <v>0</v>
      </c>
      <c r="H2614" t="n">
        <v>-5.809142990314028</v>
      </c>
      <c r="I2614" t="n">
        <v>0</v>
      </c>
    </row>
    <row r="2615">
      <c r="A2615" t="inlineStr">
        <is>
          <t>Methane, dichloro-, HCC-30</t>
        </is>
      </c>
      <c r="B2615" t="n">
        <v>0.06</v>
      </c>
      <c r="D2615" t="inlineStr">
        <is>
          <t>kilogram</t>
        </is>
      </c>
      <c r="E2615" t="inlineStr">
        <is>
          <t>water::surface water</t>
        </is>
      </c>
      <c r="F2615" t="inlineStr">
        <is>
          <t>biosphere</t>
        </is>
      </c>
      <c r="G2615" t="n">
        <v>0</v>
      </c>
      <c r="H2615" t="n">
        <v>-2.813410716760036</v>
      </c>
      <c r="I2615" t="n">
        <v>0</v>
      </c>
    </row>
    <row r="2616">
      <c r="A2616" t="inlineStr">
        <is>
          <t>Particulates, &gt; 10 um</t>
        </is>
      </c>
      <c r="B2616" t="n">
        <v>0.0148</v>
      </c>
      <c r="D2616" t="inlineStr">
        <is>
          <t>kilogram</t>
        </is>
      </c>
      <c r="E2616" t="inlineStr">
        <is>
          <t>air::non-urban air or from high stacks</t>
        </is>
      </c>
      <c r="F2616" t="inlineStr">
        <is>
          <t>biosphere</t>
        </is>
      </c>
      <c r="G2616" t="n">
        <v>0</v>
      </c>
      <c r="H2616" t="n">
        <v>-4.213128098212068</v>
      </c>
      <c r="I2616" t="n">
        <v>0</v>
      </c>
    </row>
    <row r="2617">
      <c r="A2617" t="inlineStr">
        <is>
          <t>Phosphorus</t>
        </is>
      </c>
      <c r="B2617" t="n">
        <v>0.0012</v>
      </c>
      <c r="D2617" t="inlineStr">
        <is>
          <t>kilogram</t>
        </is>
      </c>
      <c r="E2617" t="inlineStr">
        <is>
          <t>water::surface water</t>
        </is>
      </c>
      <c r="F2617" t="inlineStr">
        <is>
          <t>biosphere</t>
        </is>
      </c>
      <c r="G2617" t="n">
        <v>0</v>
      </c>
      <c r="H2617" t="n">
        <v>-6.725433722188183</v>
      </c>
      <c r="I2617" t="n">
        <v>0</v>
      </c>
    </row>
    <row r="2618">
      <c r="A2618" t="inlineStr">
        <is>
          <t>Potassium, ion</t>
        </is>
      </c>
      <c r="B2618" t="n">
        <v>0.9</v>
      </c>
      <c r="D2618" t="inlineStr">
        <is>
          <t>kilogram</t>
        </is>
      </c>
      <c r="E2618" t="inlineStr">
        <is>
          <t>water::surface water</t>
        </is>
      </c>
      <c r="F2618" t="inlineStr">
        <is>
          <t>biosphere</t>
        </is>
      </c>
      <c r="G2618" t="n">
        <v>0</v>
      </c>
      <c r="H2618" t="n">
        <v>-0.1053605156578263</v>
      </c>
      <c r="I2618" t="n">
        <v>0</v>
      </c>
    </row>
    <row r="2619">
      <c r="A2619" t="inlineStr">
        <is>
          <t>Silicon</t>
        </is>
      </c>
      <c r="B2619" t="n">
        <v>0.03</v>
      </c>
      <c r="D2619" t="inlineStr">
        <is>
          <t>kilogram</t>
        </is>
      </c>
      <c r="E2619" t="inlineStr">
        <is>
          <t>water::surface water</t>
        </is>
      </c>
      <c r="F2619" t="inlineStr">
        <is>
          <t>biosphere</t>
        </is>
      </c>
      <c r="G2619" t="n">
        <v>0</v>
      </c>
      <c r="H2619" t="n">
        <v>-3.506557897319982</v>
      </c>
      <c r="I2619" t="n">
        <v>0</v>
      </c>
    </row>
    <row r="2620">
      <c r="A2620" t="inlineStr">
        <is>
          <t>Sodium, ion</t>
        </is>
      </c>
      <c r="B2620" t="n">
        <v>6</v>
      </c>
      <c r="D2620" t="inlineStr">
        <is>
          <t>kilogram</t>
        </is>
      </c>
      <c r="E2620" t="inlineStr">
        <is>
          <t>water::surface water</t>
        </is>
      </c>
      <c r="F2620" t="inlineStr">
        <is>
          <t>biosphere</t>
        </is>
      </c>
      <c r="G2620" t="n">
        <v>0</v>
      </c>
      <c r="H2620" t="n">
        <v>1.791759469228055</v>
      </c>
      <c r="I2620" t="n">
        <v>0</v>
      </c>
    </row>
    <row r="2621">
      <c r="A2621" t="inlineStr">
        <is>
          <t>Strontium</t>
        </is>
      </c>
      <c r="B2621" t="n">
        <v>0.018</v>
      </c>
      <c r="D2621" t="inlineStr">
        <is>
          <t>kilogram</t>
        </is>
      </c>
      <c r="E2621" t="inlineStr">
        <is>
          <t>water::surface water</t>
        </is>
      </c>
      <c r="F2621" t="inlineStr">
        <is>
          <t>biosphere</t>
        </is>
      </c>
      <c r="G2621" t="n">
        <v>0</v>
      </c>
      <c r="H2621" t="n">
        <v>-4.017383521085972</v>
      </c>
      <c r="I2621" t="n">
        <v>0</v>
      </c>
    </row>
    <row r="2622">
      <c r="A2622" t="inlineStr">
        <is>
          <t>Sulfur</t>
        </is>
      </c>
      <c r="B2622" t="n">
        <v>0.12</v>
      </c>
      <c r="D2622" t="inlineStr">
        <is>
          <t>kilogram</t>
        </is>
      </c>
      <c r="E2622" t="inlineStr">
        <is>
          <t>water::surface water</t>
        </is>
      </c>
      <c r="F2622" t="inlineStr">
        <is>
          <t>biosphere</t>
        </is>
      </c>
      <c r="G2622" t="n">
        <v>0</v>
      </c>
      <c r="H2622" t="n">
        <v>-2.120263536200091</v>
      </c>
      <c r="I2622" t="n">
        <v>0</v>
      </c>
    </row>
    <row r="2623">
      <c r="A2623" t="inlineStr">
        <is>
          <t>TOC, Total Organic Carbon</t>
        </is>
      </c>
      <c r="B2623" t="n">
        <v>0.3</v>
      </c>
      <c r="D2623" t="inlineStr">
        <is>
          <t>kilogram</t>
        </is>
      </c>
      <c r="E2623" t="inlineStr">
        <is>
          <t>water::surface water</t>
        </is>
      </c>
      <c r="F2623" t="inlineStr">
        <is>
          <t>biosphere</t>
        </is>
      </c>
      <c r="G2623" t="n">
        <v>0</v>
      </c>
      <c r="H2623" t="n">
        <v>-1.203972804325936</v>
      </c>
      <c r="I2623" t="n">
        <v>0</v>
      </c>
    </row>
    <row r="2624">
      <c r="A2624" t="inlineStr">
        <is>
          <t>Water, well, in ground</t>
        </is>
      </c>
      <c r="B2624" t="n">
        <v>3.34</v>
      </c>
      <c r="D2624" t="inlineStr">
        <is>
          <t>cubic meter</t>
        </is>
      </c>
      <c r="E2624" t="inlineStr">
        <is>
          <t>natural resource::in water</t>
        </is>
      </c>
      <c r="F2624" t="inlineStr">
        <is>
          <t>biosphere</t>
        </is>
      </c>
      <c r="G2624" t="n">
        <v>0</v>
      </c>
      <c r="H2624" t="n">
        <v>1.205970806988609</v>
      </c>
      <c r="I2624" t="n">
        <v>0</v>
      </c>
    </row>
    <row r="2625">
      <c r="A2625" t="inlineStr">
        <is>
          <t>Zinc, ion</t>
        </is>
      </c>
      <c r="B2625" t="n">
        <v>0.0012</v>
      </c>
      <c r="D2625" t="inlineStr">
        <is>
          <t>kilogram</t>
        </is>
      </c>
      <c r="E2625" t="inlineStr">
        <is>
          <t>water::surface water</t>
        </is>
      </c>
      <c r="F2625" t="inlineStr">
        <is>
          <t>biosphere</t>
        </is>
      </c>
      <c r="G2625" t="n">
        <v>0</v>
      </c>
      <c r="H2625" t="n">
        <v>-6.725433722188183</v>
      </c>
      <c r="I2625" t="n">
        <v>0</v>
      </c>
    </row>
    <row r="2626">
      <c r="A2626" t="inlineStr">
        <is>
          <t>drilling, deep borehole</t>
        </is>
      </c>
      <c r="B2626" t="n">
        <v>1</v>
      </c>
      <c r="C2626" t="inlineStr">
        <is>
          <t>RER</t>
        </is>
      </c>
      <c r="D2626" t="inlineStr">
        <is>
          <t>meter</t>
        </is>
      </c>
      <c r="E2626" t="inlineStr">
        <is>
          <t>NEEDS_2000::CCS</t>
        </is>
      </c>
      <c r="F2626" t="inlineStr">
        <is>
          <t>production</t>
        </is>
      </c>
      <c r="K2626" t="inlineStr">
        <is>
          <t>Europe</t>
        </is>
      </c>
    </row>
    <row r="2627">
      <c r="A2627" t="inlineStr">
        <is>
          <t>activated bentonite production</t>
        </is>
      </c>
      <c r="B2627" t="n">
        <v>20</v>
      </c>
      <c r="C2627" t="inlineStr">
        <is>
          <t>DE</t>
        </is>
      </c>
      <c r="D2627" t="inlineStr">
        <is>
          <t>kilogram</t>
        </is>
      </c>
      <c r="E2627" t="inlineStr">
        <is>
          <t>Materials/fuels</t>
        </is>
      </c>
      <c r="F2627" t="inlineStr">
        <is>
          <t>technosphere</t>
        </is>
      </c>
      <c r="G2627" t="n">
        <v>0</v>
      </c>
      <c r="H2627" t="n">
        <v>2.995732273553991</v>
      </c>
      <c r="I2627" t="n">
        <v>0</v>
      </c>
    </row>
    <row r="2628">
      <c r="A2628" t="inlineStr">
        <is>
          <t>barite production</t>
        </is>
      </c>
      <c r="B2628" t="n">
        <v>270</v>
      </c>
      <c r="C2628" t="inlineStr">
        <is>
          <t>RER</t>
        </is>
      </c>
      <c r="D2628" t="inlineStr">
        <is>
          <t>kilogram</t>
        </is>
      </c>
      <c r="E2628" t="inlineStr">
        <is>
          <t>Materials/fuels</t>
        </is>
      </c>
      <c r="F2628" t="inlineStr">
        <is>
          <t>technosphere</t>
        </is>
      </c>
      <c r="G2628" t="n">
        <v>0</v>
      </c>
      <c r="H2628" t="n">
        <v>5.598421958998375</v>
      </c>
      <c r="I2628" t="n">
        <v>0</v>
      </c>
    </row>
    <row r="2629">
      <c r="A2629" t="inlineStr">
        <is>
          <t>cement production, Portland</t>
        </is>
      </c>
      <c r="B2629" t="n">
        <v>200</v>
      </c>
      <c r="C2629" t="inlineStr">
        <is>
          <t>CH</t>
        </is>
      </c>
      <c r="D2629" t="inlineStr">
        <is>
          <t>kilogram</t>
        </is>
      </c>
      <c r="E2629" t="inlineStr">
        <is>
          <t>Materials/fuels</t>
        </is>
      </c>
      <c r="F2629" t="inlineStr">
        <is>
          <t>technosphere</t>
        </is>
      </c>
      <c r="G2629" t="n">
        <v>0</v>
      </c>
      <c r="H2629" t="n">
        <v>5.298317366548036</v>
      </c>
      <c r="I2629" t="n">
        <v>0</v>
      </c>
    </row>
    <row r="2630">
      <c r="A2630" t="inlineStr">
        <is>
          <t>diesel, burned in diesel-electric generating set, 18.5kW</t>
        </is>
      </c>
      <c r="B2630" t="n">
        <v>6300</v>
      </c>
      <c r="C2630" t="inlineStr">
        <is>
          <t>GLO</t>
        </is>
      </c>
      <c r="D2630" t="inlineStr">
        <is>
          <t>megajoule</t>
        </is>
      </c>
      <c r="E2630" t="inlineStr">
        <is>
          <t>Materials/fuels</t>
        </is>
      </c>
      <c r="F2630" t="inlineStr">
        <is>
          <t>technosphere</t>
        </is>
      </c>
      <c r="G2630" t="n">
        <v>0</v>
      </c>
      <c r="H2630" t="n">
        <v>8.748304912379623</v>
      </c>
      <c r="I2630" t="n">
        <v>0</v>
      </c>
    </row>
    <row r="2631">
      <c r="A2631" t="inlineStr">
        <is>
          <t>market for lignite</t>
        </is>
      </c>
      <c r="B2631" t="n">
        <v>0.2</v>
      </c>
      <c r="C2631" t="inlineStr">
        <is>
          <t>RER</t>
        </is>
      </c>
      <c r="D2631" t="inlineStr">
        <is>
          <t>kilogram</t>
        </is>
      </c>
      <c r="E2631" t="inlineStr">
        <is>
          <t>Materials/fuels</t>
        </is>
      </c>
      <c r="F2631" t="inlineStr">
        <is>
          <t>technosphere</t>
        </is>
      </c>
      <c r="G2631" t="n">
        <v>0</v>
      </c>
      <c r="H2631" t="n">
        <v>-1.6094379124341</v>
      </c>
      <c r="I2631" t="n">
        <v>0</v>
      </c>
      <c r="L2631" t="inlineStr">
        <is>
          <t>lignite</t>
        </is>
      </c>
    </row>
    <row r="2632">
      <c r="A2632" t="inlineStr">
        <is>
          <t>market for chemical, organic</t>
        </is>
      </c>
      <c r="B2632" t="n">
        <v>9.050000000000001</v>
      </c>
      <c r="C2632" t="inlineStr">
        <is>
          <t>GLO</t>
        </is>
      </c>
      <c r="D2632" t="inlineStr">
        <is>
          <t>kilogram</t>
        </is>
      </c>
      <c r="E2632" t="inlineStr">
        <is>
          <t>Materials/fuels</t>
        </is>
      </c>
      <c r="F2632" t="inlineStr">
        <is>
          <t>technosphere</t>
        </is>
      </c>
      <c r="G2632" t="n">
        <v>0</v>
      </c>
      <c r="H2632" t="n">
        <v>2.202764757711835</v>
      </c>
      <c r="I2632" t="n">
        <v>0</v>
      </c>
      <c r="L2632" t="inlineStr">
        <is>
          <t>chemical, organic</t>
        </is>
      </c>
    </row>
    <row r="2633">
      <c r="A2633" t="inlineStr">
        <is>
          <t>market for chemicals, inorganic</t>
        </is>
      </c>
      <c r="B2633" t="n">
        <v>42.2</v>
      </c>
      <c r="C2633" t="inlineStr">
        <is>
          <t>GLO</t>
        </is>
      </c>
      <c r="D2633" t="inlineStr">
        <is>
          <t>kilogram</t>
        </is>
      </c>
      <c r="E2633" t="inlineStr">
        <is>
          <t>Materials/fuels</t>
        </is>
      </c>
      <c r="F2633" t="inlineStr">
        <is>
          <t>technosphere</t>
        </is>
      </c>
      <c r="G2633" t="n">
        <v>0</v>
      </c>
      <c r="H2633" t="n">
        <v>3.742420221041966</v>
      </c>
      <c r="I2633" t="n">
        <v>0</v>
      </c>
      <c r="L2633" t="inlineStr">
        <is>
          <t>chemical, inorganic</t>
        </is>
      </c>
    </row>
    <row r="2634">
      <c r="A2634" t="inlineStr">
        <is>
          <t>market for lubricating oil</t>
        </is>
      </c>
      <c r="B2634" t="n">
        <v>60</v>
      </c>
      <c r="C2634" t="inlineStr">
        <is>
          <t>RER</t>
        </is>
      </c>
      <c r="D2634" t="inlineStr">
        <is>
          <t>kilogram</t>
        </is>
      </c>
      <c r="E2634" t="inlineStr">
        <is>
          <t>Materials/fuels</t>
        </is>
      </c>
      <c r="F2634" t="inlineStr">
        <is>
          <t>technosphere</t>
        </is>
      </c>
      <c r="G2634" t="n">
        <v>0</v>
      </c>
      <c r="H2634" t="n">
        <v>4.0943445622221</v>
      </c>
      <c r="I2634" t="n">
        <v>0</v>
      </c>
      <c r="L2634" t="inlineStr">
        <is>
          <t>lubricating oil</t>
        </is>
      </c>
    </row>
    <row r="2635">
      <c r="A2635" t="inlineStr">
        <is>
          <t>market for steel, low-alloyed</t>
        </is>
      </c>
      <c r="B2635" t="n">
        <v>210</v>
      </c>
      <c r="C2635" t="inlineStr">
        <is>
          <t>GLO</t>
        </is>
      </c>
      <c r="D2635" t="inlineStr">
        <is>
          <t>kilogram</t>
        </is>
      </c>
      <c r="E2635" t="inlineStr">
        <is>
          <t>Materials/fuels</t>
        </is>
      </c>
      <c r="F2635" t="inlineStr">
        <is>
          <t>technosphere</t>
        </is>
      </c>
      <c r="G2635" t="n">
        <v>0</v>
      </c>
      <c r="H2635" t="n">
        <v>5.347107530717468</v>
      </c>
      <c r="I2635" t="n">
        <v>0</v>
      </c>
      <c r="L2635" t="inlineStr">
        <is>
          <t>steel, low-alloyed</t>
        </is>
      </c>
    </row>
    <row r="2636">
      <c r="A2636" t="inlineStr">
        <is>
          <t>market for transport, freight train</t>
        </is>
      </c>
      <c r="B2636" t="n">
        <v>487</v>
      </c>
      <c r="C2636" t="inlineStr">
        <is>
          <t>Europe without Switzerland</t>
        </is>
      </c>
      <c r="D2636" t="inlineStr">
        <is>
          <t>ton kilometer</t>
        </is>
      </c>
      <c r="E2636" t="inlineStr">
        <is>
          <t>Materials/fuels</t>
        </is>
      </c>
      <c r="F2636" t="inlineStr">
        <is>
          <t>technosphere</t>
        </is>
      </c>
      <c r="G2636" t="n">
        <v>0</v>
      </c>
      <c r="H2636" t="n">
        <v>6.18826412308259</v>
      </c>
      <c r="I2636" t="n">
        <v>0</v>
      </c>
      <c r="L2636" t="inlineStr">
        <is>
          <t>transport, freight train</t>
        </is>
      </c>
    </row>
    <row r="2637">
      <c r="A2637" t="inlineStr">
        <is>
          <t>market for transport, freight, lorry, unspecified</t>
        </is>
      </c>
      <c r="B2637" t="n">
        <v>81.09999999999999</v>
      </c>
      <c r="C2637" t="inlineStr">
        <is>
          <t>RER</t>
        </is>
      </c>
      <c r="D2637" t="inlineStr">
        <is>
          <t>ton kilometer</t>
        </is>
      </c>
      <c r="E2637" t="inlineStr">
        <is>
          <t>Materials/fuels</t>
        </is>
      </c>
      <c r="F2637" t="inlineStr">
        <is>
          <t>technosphere</t>
        </is>
      </c>
      <c r="G2637" t="n">
        <v>0</v>
      </c>
      <c r="H2637" t="n">
        <v>4.395682961121367</v>
      </c>
      <c r="I2637" t="n">
        <v>0</v>
      </c>
      <c r="L2637" t="inlineStr">
        <is>
          <t>transport, freight, lorry, unspecified</t>
        </is>
      </c>
    </row>
    <row r="2638">
      <c r="A2638" t="inlineStr">
        <is>
          <t>treatment of drilling waste, landfarming</t>
        </is>
      </c>
      <c r="B2638" t="n">
        <v>-237</v>
      </c>
      <c r="C2638" t="inlineStr">
        <is>
          <t>CH</t>
        </is>
      </c>
      <c r="D2638" t="inlineStr">
        <is>
          <t>kilogram</t>
        </is>
      </c>
      <c r="E2638" t="inlineStr">
        <is>
          <t>Waste to treatment</t>
        </is>
      </c>
      <c r="F2638" t="inlineStr">
        <is>
          <t>technosphere</t>
        </is>
      </c>
      <c r="G2638" t="n">
        <v>0</v>
      </c>
      <c r="H2638" t="n">
        <v>5.468060141135132</v>
      </c>
      <c r="I2638" t="n">
        <v>0</v>
      </c>
    </row>
    <row r="2639">
      <c r="A2639" t="inlineStr">
        <is>
          <t>treatment of drilling waste, residual material landfill</t>
        </is>
      </c>
      <c r="B2639" t="n">
        <v>-158</v>
      </c>
      <c r="C2639" t="inlineStr">
        <is>
          <t>CH</t>
        </is>
      </c>
      <c r="D2639" t="inlineStr">
        <is>
          <t>kilogram</t>
        </is>
      </c>
      <c r="E2639" t="inlineStr">
        <is>
          <t>Waste to treatment</t>
        </is>
      </c>
      <c r="F2639" t="inlineStr">
        <is>
          <t>technosphere</t>
        </is>
      </c>
      <c r="G2639" t="n">
        <v>0</v>
      </c>
      <c r="H2639" t="n">
        <v>5.062595033026967</v>
      </c>
      <c r="I2639" t="n">
        <v>0</v>
      </c>
    </row>
    <row r="2640">
      <c r="A2640" t="inlineStr">
        <is>
          <t>treatment of hazardous waste, hazardous waste incineration</t>
        </is>
      </c>
      <c r="B2640" t="n">
        <v>-5</v>
      </c>
      <c r="C2640" t="inlineStr">
        <is>
          <t>CH</t>
        </is>
      </c>
      <c r="D2640" t="inlineStr">
        <is>
          <t>kilogram</t>
        </is>
      </c>
      <c r="E2640" t="inlineStr">
        <is>
          <t>Waste to treatment</t>
        </is>
      </c>
      <c r="F2640" t="inlineStr">
        <is>
          <t>technosphere</t>
        </is>
      </c>
      <c r="G2640" t="n">
        <v>0</v>
      </c>
      <c r="H2640" t="n">
        <v>1.6094379124341</v>
      </c>
      <c r="I2640" t="n">
        <v>0</v>
      </c>
      <c r="L2640" t="inlineStr">
        <is>
          <t>hazardous waste, for incineration</t>
        </is>
      </c>
    </row>
  </sheetData>
  <autoFilter ref="A1:N2630"/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Sacchi Romain</dc:creator>
  <dcterms:created xmlns:dcterms="http://purl.org/dc/terms/" xmlns:xsi="http://www.w3.org/2001/XMLSchema-instance" xsi:type="dcterms:W3CDTF">2017-11-15T10:09:52Z</dcterms:created>
  <dcterms:modified xmlns:dcterms="http://purl.org/dc/terms/" xmlns:xsi="http://www.w3.org/2001/XMLSchema-instance" xsi:type="dcterms:W3CDTF">2026-07-07T15:39:50Z</dcterms:modified>
  <cp:lastModifiedBy>Romain Sacchi</cp:lastModifiedBy>
</cp:coreProperties>
</file>