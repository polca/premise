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680" yWindow="1140" windowWidth="25800" windowHeight="18880" tabRatio="600" firstSheet="0" activeTab="0" autoFilterDateGrouping="1"/>
  </bookViews>
  <sheets>
    <sheet xmlns:r="http://schemas.openxmlformats.org/officeDocument/2006/relationships" name="Sheet1" sheetId="1" state="visible" r:id="rId1"/>
    <sheet xmlns:r="http://schemas.openxmlformats.org/officeDocument/2006/relationships" name="vanadium" sheetId="2" state="visible" r:id="rId2"/>
    <sheet xmlns:r="http://schemas.openxmlformats.org/officeDocument/2006/relationships" name="Allocation titanium-vanadium" sheetId="3" state="visible" r:id="rId3"/>
    <sheet xmlns:r="http://schemas.openxmlformats.org/officeDocument/2006/relationships" name="Allocation 2.5.4" sheetId="4" state="visible" r:id="rId4"/>
  </sheets>
  <definedNames>
    <definedName name="_xlnm._FilterDatabase" localSheetId="0" hidden="1">'Sheet1'!$A$1:$T$518</definedName>
    <definedName name="_xlnm._FilterDatabase" localSheetId="1" hidden="1">'vanadium'!$A$4:$I$273</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i val="1"/>
      <color theme="1"/>
      <sz val="11"/>
      <scheme val="minor"/>
    </font>
  </fonts>
  <fills count="2">
    <fill>
      <patternFill/>
    </fill>
    <fill>
      <patternFill patternType="gray125"/>
    </fill>
  </fills>
  <borders count="1">
    <border>
      <left/>
      <right/>
      <top/>
      <bottom/>
      <diagonal/>
    </border>
  </borders>
  <cellStyleXfs count="4">
    <xf numFmtId="0" fontId="3" fillId="0" borderId="0"/>
    <xf numFmtId="0" fontId="1" fillId="0" borderId="0"/>
    <xf numFmtId="9" fontId="1" fillId="0" borderId="0"/>
    <xf numFmtId="9" fontId="3" fillId="0" borderId="0"/>
  </cellStyleXfs>
  <cellXfs count="5">
    <xf numFmtId="0" fontId="0" fillId="0" borderId="0" pivotButton="0" quotePrefix="0" xfId="0"/>
    <xf numFmtId="0" fontId="2" fillId="0" borderId="0" pivotButton="0" quotePrefix="0" xfId="0"/>
    <xf numFmtId="0" fontId="0" fillId="0" borderId="0" applyAlignment="1" pivotButton="0" quotePrefix="0" xfId="0">
      <alignment vertical="center" wrapText="1"/>
    </xf>
    <xf numFmtId="9" fontId="0" fillId="0" borderId="0" pivotButton="0" quotePrefix="0" xfId="3"/>
    <xf numFmtId="11" fontId="0" fillId="0" borderId="0" pivotButton="0" quotePrefix="0" xfId="0"/>
  </cellXfs>
  <cellStyles count="4">
    <cellStyle name="Normal" xfId="0" builtinId="0"/>
    <cellStyle name="Normal 2" xfId="1"/>
    <cellStyle name="Per cent 2" xfId="2"/>
    <cellStyle name="Per cent" xfId="3"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ns0:worksheet xmlns:ns0="http://schemas.openxmlformats.org/spreadsheetml/2006/main">
  <ns0:sheetPr>
    <ns0:outlinePr summaryBelow="1" summaryRight="1"/>
    <ns0:pageSetUpPr/>
  </ns0:sheetPr>
  <ns0:dimension ref="A1:S516"/>
  <ns0:sheetViews>
    <ns0:sheetView tabSelected="1" topLeftCell="A377" workbookViewId="0">
      <ns0:selection activeCell="B414" sqref="B414"/>
    </ns0:sheetView>
  </ns0:sheetViews>
  <ns0:sheetFormatPr baseColWidth="10" defaultColWidth="8.83203125" defaultRowHeight="15"/>
  <ns0:cols>
    <ns0:col width="54.5" customWidth="1" min="1" max="1"/>
    <ns0:col width="12" bestFit="1" customWidth="1" min="2" max="2"/>
    <ns0:col width="36.5" customWidth="1" min="3" max="3"/>
    <ns0:col width="29.5" bestFit="1" customWidth="1" min="6" max="6"/>
  </ns0:cols>
  <ns0:sheetData>
    <ns0:row r="1">
      <ns0:c r="A1" t="inlineStr">
        <ns0:is>
          <ns0:t>Database</ns0:t>
        </ns0:is>
      </ns0:c>
      <ns0:c r="B1" t="inlineStr">
        <ns0:is>
          <ns0:t>vanadium</ns0:t>
        </ns0:is>
      </ns0:c>
    </ns0:row>
    <ns0:row r="2">
      <ns0:c r="A2" t="inlineStr">
        <ns0:is>
          <ns0:t>format</ns0:t>
        </ns0:is>
      </ns0:c>
      <ns0:c r="B2" t="inlineStr">
        <ns0:is>
          <ns0:t>Excel</ns0:t>
        </ns0:is>
      </ns0:c>
    </ns0:row>
    <ns0:row r="3"/>
    <ns0:row r="4">
      <ns0:c r="A4" s="1" t="inlineStr">
        <ns0:is>
          <ns0:t>Activity</ns0:t>
        </ns0:is>
      </ns0:c>
      <ns0:c r="B4" s="1" t="inlineStr">
        <ns0:is>
          <ns0:t>vanadium pentoxide production</ns0:t>
        </ns0:is>
      </ns0:c>
    </ns0:row>
    <ns0:row r="5">
      <ns0:c r="A5" t="inlineStr">
        <ns0:is>
          <ns0:t>comment</ns0:t>
        </ns0:is>
      </ns0:c>
      <ns0:c r="B5" t="inlineStr">
        <ns0:is>
          <ns0:t>Premise 2.5.4: normalized to 1 kg reference product from an output of 1 kg; all non-production exchanges divided by that output. Attributional co-product allocation, Weber et al. (2018), doi:10.1021/acs.est.8b02073, supporting information, Table S14: 1 kg V2O5 and 1 kg sodium sulfate output; 0.5 kg sodium sulfate remains an input. The sodium-sulfate substitution credit is removed. V2O5 economic share = 6.46 / (6.46 + 140 / 2000) = 0.9892802450229708. USGS prices, both 2010 USD: V2O5 6.46 USD/lb (Mineral Commodity Summaries 2014, vanadium); sodium sulfate 140 USD/short ton (Mineral Commodity Summaries 2011, sodium sulfate). US prices are geographic proxies for the South African refinery. Iron scrap is a recyclable output under cut-off, with no substitution benefit; its existing recycling exchange and waste-treatment directions are retained. Lognormal uncertainties of changed exchanges are centered on the corrected absolute amount (loc = ln(abs(amount))); relative scale is retained. 
Original source notes: Source: Weber et al. (2018). Life cycle assessment of a vanadium redox flow battery. Environmental science &amp; technology, 52(18), 10864-10873. https://doi.org/10.1021/acs.est.8b02073</ns0:t>
        </ns0:is>
      </ns0:c>
    </ns0:row>
    <ns0:row r="6">
      <ns0:c r="A6" t="inlineStr">
        <ns0:is>
          <ns0:t>location</ns0:t>
        </ns0:is>
      </ns0:c>
      <ns0:c r="B6" t="inlineStr">
        <ns0:is>
          <ns0:t>ZA</ns0:t>
        </ns0:is>
      </ns0:c>
    </ns0:row>
    <ns0:row r="7">
      <ns0:c r="A7" t="inlineStr">
        <ns0:is>
          <ns0:t>reference product</ns0:t>
        </ns0:is>
      </ns0:c>
      <ns0:c r="B7" t="inlineStr">
        <ns0:is>
          <ns0:t>vanadium pentoxide</ns0:t>
        </ns0:is>
      </ns0:c>
    </ns0:row>
    <ns0:row r="8">
      <ns0:c r="A8" t="inlineStr">
        <ns0:is>
          <ns0:t>type</ns0:t>
        </ns0:is>
      </ns0:c>
      <ns0:c r="B8" t="inlineStr">
        <ns0:is>
          <ns0:t>process</ns0:t>
        </ns0:is>
      </ns0:c>
    </ns0:row>
    <ns0:row r="9">
      <ns0:c r="A9" t="inlineStr">
        <ns0:is>
          <ns0:t>unit</ns0:t>
        </ns0:is>
      </ns0:c>
      <ns0:c r="B9" t="inlineStr">
        <ns0:is>
          <ns0:t>kilogram</ns0:t>
        </ns0:is>
      </ns0:c>
    </ns0:row>
    <ns0:row r="10">
      <ns0:c r="A10" t="inlineStr">
        <ns0:is>
          <ns0:t>source</ns0:t>
        </ns0:is>
      </ns0:c>
      <ns0:c r="B10" t="inlineStr">
        <ns0:is>
          <ns0:t>Originally from Weber et al. (2018). Life cycle assessment of a vanadium redox flow battery. Environmental science &amp; technology, 52(18), 10864-10873. https://doi.org/10.1021/acs.est.8b02073</ns0:t>
        </ns0:is>
      </ns0:c>
    </ns0:row>
    <ns0:row r="11">
      <ns0:c r="A11" s="1" t="inlineStr">
        <ns0:is>
          <ns0:t>Exchanges</ns0:t>
        </ns0:is>
      </ns0:c>
    </ns0:row>
    <ns0:row r="12">
      <ns0:c r="A12" t="inlineStr">
        <ns0:is>
          <ns0:t>name</ns0:t>
        </ns0:is>
      </ns0:c>
      <ns0:c r="B12" t="inlineStr">
        <ns0:is>
          <ns0:t>amount</ns0:t>
        </ns0:is>
      </ns0:c>
      <ns0:c r="C12" t="inlineStr">
        <ns0:is>
          <ns0:t>location</ns0:t>
        </ns0:is>
      </ns0:c>
      <ns0:c r="D12" t="inlineStr">
        <ns0:is>
          <ns0:t>unit</ns0:t>
        </ns0:is>
      </ns0:c>
      <ns0:c r="E12" t="inlineStr">
        <ns0:is>
          <ns0:t>categories</ns0:t>
        </ns0:is>
      </ns0:c>
      <ns0:c r="F12" t="inlineStr">
        <ns0:is>
          <ns0:t>type</ns0:t>
        </ns0:is>
      </ns0:c>
      <ns0:c r="G12" t="inlineStr">
        <ns0:is>
          <ns0:t>reference product</ns0:t>
        </ns0:is>
      </ns0:c>
      <ns0:c r="H12" t="inlineStr">
        <ns0:is>
          <ns0:t>comment</ns0:t>
        </ns0:is>
      </ns0:c>
    </ns0:row>
    <ns0:row r="13">
      <ns0:c r="A13" t="inlineStr">
        <ns0:is>
          <ns0:t>Carbon dioxide, fossil</ns0:t>
        </ns0:is>
      </ns0:c>
      <ns0:c r="B13" t="n">
        <ns0:v>0.1582848392036753</ns0:v>
      </ns0:c>
      <ns0:c r="D13" t="inlineStr">
        <ns0:is>
          <ns0:t>kilogram</ns0:t>
        </ns0:is>
      </ns0:c>
      <ns0:c r="E13" t="inlineStr">
        <ns0:is>
          <ns0:t>air</ns0:t>
        </ns0:is>
      </ns0:c>
      <ns0:c r="F13" t="inlineStr">
        <ns0:is>
          <ns0:t>biosphere</ns0:t>
        </ns0:is>
      </ns0:c>
      <ns0:c r="H13" t="inlineStr">
        <ns0:is>
          <ns0:t>Premise 2.5.4: Original amount 0.16; scale 0.9892802450229708.</ns0:t>
        </ns0:is>
      </ns0:c>
    </ns0:row>
    <ns0:row r="14">
      <ns0:c r="A14" t="inlineStr">
        <ns0:is>
          <ns0:t>Oxygen</ns0:t>
        </ns0:is>
      </ns0:c>
      <ns0:c r="B14" t="n">
        <ns0:v>0.05579540581929555</ns0:v>
      </ns0:c>
      <ns0:c r="D14" t="inlineStr">
        <ns0:is>
          <ns0:t>kilogram</ns0:t>
        </ns0:is>
      </ns0:c>
      <ns0:c r="E14" t="inlineStr">
        <ns0:is>
          <ns0:t>air</ns0:t>
        </ns0:is>
      </ns0:c>
      <ns0:c r="F14" t="inlineStr">
        <ns0:is>
          <ns0:t>biosphere</ns0:t>
        </ns0:is>
      </ns0:c>
      <ns0:c r="H14" t="inlineStr">
        <ns0:is>
          <ns0:t>Premise 2.5.4: Original amount 0.0564; scale 0.9892802450229708.</ns0:t>
        </ns0:is>
      </ns0:c>
    </ns0:row>
    <ns0:row r="15">
      <ns0:c r="A15" t="inlineStr">
        <ns0:is>
          <ns0:t>Sulfur dioxide</ns0:t>
        </ns0:is>
      </ns0:c>
      <ns0:c r="B15" t="n">
        <ns0:v>0.2275344563552833</ns0:v>
      </ns0:c>
      <ns0:c r="D15" t="inlineStr">
        <ns0:is>
          <ns0:t>kilogram</ns0:t>
        </ns0:is>
      </ns0:c>
      <ns0:c r="E15" t="inlineStr">
        <ns0:is>
          <ns0:t>air</ns0:t>
        </ns0:is>
      </ns0:c>
      <ns0:c r="F15" t="inlineStr">
        <ns0:is>
          <ns0:t>biosphere</ns0:t>
        </ns0:is>
      </ns0:c>
      <ns0:c r="H15" t="inlineStr">
        <ns0:is>
          <ns0:t>Premise 2.5.4: Original amount 0.23; scale 0.9892802450229708.</ns0:t>
        </ns0:is>
      </ns0:c>
    </ns0:row>
    <ns0:row r="16">
      <ns0:c r="A16" t="inlineStr">
        <ns0:is>
          <ns0:t>Transformation, from dump site, slag compartment</ns0:t>
        </ns0:is>
      </ns0:c>
      <ns0:c r="B16" t="n">
        <ns0:v>0.4649617151607963</ns0:v>
      </ns0:c>
      <ns0:c r="D16" t="inlineStr">
        <ns0:is>
          <ns0:t>square meter</ns0:t>
        </ns0:is>
      </ns0:c>
      <ns0:c r="E16" t="inlineStr">
        <ns0:is>
          <ns0:t>natural resource::land</ns0:t>
        </ns0:is>
      </ns0:c>
      <ns0:c r="F16" t="inlineStr">
        <ns0:is>
          <ns0:t>biosphere</ns0:t>
        </ns0:is>
      </ns0:c>
      <ns0:c r="H16" t="inlineStr">
        <ns0:is>
          <ns0:t>Premise 2.5.4: Original amount 0.47; scale 0.9892802450229708.</ns0:t>
        </ns0:is>
      </ns0:c>
    </ns0:row>
    <ns0:row r="17">
      <ns0:c r="A17" t="inlineStr">
        <ns0:is>
          <ns0:t>Water</ns0:t>
        </ns0:is>
      </ns0:c>
      <ns0:c r="B17" t="n">
        <ns0:v>8.359418070444103e-05</ns0:v>
      </ns0:c>
      <ns0:c r="D17" t="inlineStr">
        <ns0:is>
          <ns0:t>cubic meter</ns0:t>
        </ns0:is>
      </ns0:c>
      <ns0:c r="E17" t="inlineStr">
        <ns0:is>
          <ns0:t>air</ns0:t>
        </ns0:is>
      </ns0:c>
      <ns0:c r="F17" t="inlineStr">
        <ns0:is>
          <ns0:t>biosphere</ns0:t>
        </ns0:is>
      </ns0:c>
      <ns0:c r="H17" t="inlineStr">
        <ns0:is>
          <ns0:t>Premise 2.5.4: Original amount 8.449999999999999e-05; scale 0.9892802450229708.</ns0:t>
        </ns0:is>
      </ns0:c>
    </ns0:row>
    <ns0:row r="18">
      <ns0:c r="A18" t="inlineStr">
        <ns0:is>
          <ns0:t>vanadium pentoxide production</ns0:t>
        </ns0:is>
      </ns0:c>
      <ns0:c r="B18" t="n">
        <ns0:v>1</ns0:v>
      </ns0:c>
      <ns0:c r="C18" t="inlineStr">
        <ns0:is>
          <ns0:t>ZA</ns0:t>
        </ns0:is>
      </ns0:c>
      <ns0:c r="D18" t="inlineStr">
        <ns0:is>
          <ns0:t>kilogram</ns0:t>
        </ns0:is>
      </ns0:c>
      <ns0:c r="F18" t="inlineStr">
        <ns0:is>
          <ns0:t>production</ns0:t>
        </ns0:is>
      </ns0:c>
      <ns0:c r="G18" t="inlineStr">
        <ns0:is>
          <ns0:t>vanadium pentoxide</ns0:t>
        </ns0:is>
      </ns0:c>
      <ns0:c r="H18" t="inlineStr">
        <ns0:is>
          <ns0:t>Premise 2.5.4: Original amount 1; scale 0.9892802450229708.</ns0:t>
        </ns0:is>
      </ns0:c>
    </ns0:row>
    <ns0:row r="19">
      <ns0:c r="A19" t="inlineStr">
        <ns0:is>
          <ns0:t>market for iron scrap, unsorted</ns0:t>
        </ns0:is>
      </ns0:c>
      <ns0:c r="B19" t="n">
        <ns0:v>-0.0643032159264931</ns0:v>
      </ns0:c>
      <ns0:c r="C19" t="inlineStr">
        <ns0:is>
          <ns0:t>GLO</ns0:t>
        </ns0:is>
      </ns0:c>
      <ns0:c r="D19" t="inlineStr">
        <ns0:is>
          <ns0:t>kilogram</ns0:t>
        </ns0:is>
      </ns0:c>
      <ns0:c r="F19" t="inlineStr">
        <ns0:is>
          <ns0:t>technosphere</ns0:t>
        </ns0:is>
      </ns0:c>
      <ns0:c r="G19" t="inlineStr">
        <ns0:is>
          <ns0:t>iron scrap, unsorted</ns0:t>
        </ns0:is>
      </ns0:c>
      <ns0:c r="H19" t="inlineStr">
        <ns0:is>
          <ns0:t>Premise 2.5.4: Original amount -0.065; scale 0.9892802450229708.</ns0:t>
        </ns0:is>
      </ns0:c>
    </ns0:row>
    <ns0:row r="20">
      <ns0:c r="A20" t="inlineStr">
        <ns0:is>
          <ns0:t>market for ammonium sulfate</ns0:t>
        </ns0:is>
      </ns0:c>
      <ns0:c r="B20" t="n">
        <ns0:v>0.306676875957121</ns0:v>
      </ns0:c>
      <ns0:c r="C20" t="inlineStr">
        <ns0:is>
          <ns0:t>RoW</ns0:t>
        </ns0:is>
      </ns0:c>
      <ns0:c r="D20" t="inlineStr">
        <ns0:is>
          <ns0:t>kilogram</ns0:t>
        </ns0:is>
      </ns0:c>
      <ns0:c r="F20" t="inlineStr">
        <ns0:is>
          <ns0:t>technosphere</ns0:t>
        </ns0:is>
      </ns0:c>
      <ns0:c r="G20" t="inlineStr">
        <ns0:is>
          <ns0:t>ammonium sulfate</ns0:t>
        </ns0:is>
      </ns0:c>
      <ns0:c r="H20" t="inlineStr">
        <ns0:is>
          <ns0:t>Premise 2.5.4: Original amount 0.31; scale 0.9892802450229708.</ns0:t>
        </ns0:is>
      </ns0:c>
    </ns0:row>
    <ns0:row r="21">
      <ns0:c r="A21" t="inlineStr">
        <ns0:is>
          <ns0:t>market for electricity, medium voltage</ns0:t>
        </ns0:is>
      </ns0:c>
      <ns0:c r="B21" t="n">
        <ns0:v>0.1978560490045942</ns0:v>
      </ns0:c>
      <ns0:c r="C21" t="inlineStr">
        <ns0:is>
          <ns0:t>ZA</ns0:t>
        </ns0:is>
      </ns0:c>
      <ns0:c r="D21" t="inlineStr">
        <ns0:is>
          <ns0:t>kilowatt hour</ns0:t>
        </ns0:is>
      </ns0:c>
      <ns0:c r="F21" t="inlineStr">
        <ns0:is>
          <ns0:t>technosphere</ns0:t>
        </ns0:is>
      </ns0:c>
      <ns0:c r="G21" t="inlineStr">
        <ns0:is>
          <ns0:t>electricity, medium voltage</ns0:t>
        </ns0:is>
      </ns0:c>
      <ns0:c r="H21" t="inlineStr">
        <ns0:is>
          <ns0:t>Premise 2.5.4: Original amount 0.2; scale 0.9892802450229708.</ns0:t>
        </ns0:is>
      </ns0:c>
    </ns0:row>
    <ns0:row r="22">
      <ns0:c r="A22" t="inlineStr">
        <ns0:is>
          <ns0:t>market for soda ash, dense</ns0:t>
        </ns0:is>
      </ns0:c>
      <ns0:c r="B22" t="n">
        <ns0:v>0.3660336906584992</ns0:v>
      </ns0:c>
      <ns0:c r="C22" t="inlineStr">
        <ns0:is>
          <ns0:t>GLO</ns0:t>
        </ns0:is>
      </ns0:c>
      <ns0:c r="D22" t="inlineStr">
        <ns0:is>
          <ns0:t>kilogram</ns0:t>
        </ns0:is>
      </ns0:c>
      <ns0:c r="F22" t="inlineStr">
        <ns0:is>
          <ns0:t>technosphere</ns0:t>
        </ns0:is>
      </ns0:c>
      <ns0:c r="G22" t="inlineStr">
        <ns0:is>
          <ns0:t>soda ash, dense</ns0:t>
        </ns0:is>
      </ns0:c>
      <ns0:c r="H22" t="inlineStr">
        <ns0:is>
          <ns0:t>Premise 2.5.4: Original amount 0.37; scale 0.9892802450229708.</ns0:t>
        </ns0:is>
      </ns0:c>
    </ns0:row>
    <ns0:row r="23">
      <ns0:c r="A23" t="inlineStr">
        <ns0:is>
          <ns0:t>market for sodium sulfate, anhydrite</ns0:t>
        </ns0:is>
      </ns0:c>
      <ns0:c r="B23" t="n">
        <ns0:v>0.4946401225114854</ns0:v>
      </ns0:c>
      <ns0:c r="C23" t="inlineStr">
        <ns0:is>
          <ns0:t>RER</ns0:t>
        </ns0:is>
      </ns0:c>
      <ns0:c r="D23" t="inlineStr">
        <ns0:is>
          <ns0:t>kilogram</ns0:t>
        </ns0:is>
      </ns0:c>
      <ns0:c r="F23" t="inlineStr">
        <ns0:is>
          <ns0:t>technosphere</ns0:t>
        </ns0:is>
      </ns0:c>
      <ns0:c r="G23" t="inlineStr">
        <ns0:is>
          <ns0:t>sodium sulfate, anhydrite</ns0:t>
        </ns0:is>
      </ns0:c>
      <ns0:c r="H23" t="inlineStr">
        <ns0:is>
          <ns0:t>Premise 2.5.4: Original amount 0.5; scale 0.9892802450229708.</ns0:t>
        </ns0:is>
      </ns0:c>
    </ns0:row>
    <ns0:row r="24">
      <ns0:c r="A24" t="inlineStr">
        <ns0:is>
          <ns0:t>market for sulfuric acid</ns0:t>
        </ns0:is>
      </ns0:c>
      <ns0:c r="B24" t="n">
        <ns0:v>0.4550689127105666</ns0:v>
      </ns0:c>
      <ns0:c r="C24" t="inlineStr">
        <ns0:is>
          <ns0:t>RoW</ns0:t>
        </ns0:is>
      </ns0:c>
      <ns0:c r="D24" t="inlineStr">
        <ns0:is>
          <ns0:t>kilogram</ns0:t>
        </ns0:is>
      </ns0:c>
      <ns0:c r="F24" t="inlineStr">
        <ns0:is>
          <ns0:t>technosphere</ns0:t>
        </ns0:is>
      </ns0:c>
      <ns0:c r="G24" t="inlineStr">
        <ns0:is>
          <ns0:t>sulfuric acid</ns0:t>
        </ns0:is>
      </ns0:c>
      <ns0:c r="H24" t="inlineStr">
        <ns0:is>
          <ns0:t>Premise 2.5.4: Original amount 0.46; scale 0.9892802450229708.</ns0:t>
        </ns0:is>
      </ns0:c>
    </ns0:row>
    <ns0:row r="25">
      <ns0:c r="A25" t="inlineStr">
        <ns0:is>
          <ns0:t>market for transport, freight, lorry, unspecified</ns0:t>
        </ns0:is>
      </ns0:c>
      <ns0:c r="B25" t="n">
        <ns0:v>0.07627350689127105</ns0:v>
      </ns0:c>
      <ns0:c r="C25" t="inlineStr">
        <ns0:is>
          <ns0:t>RER</ns0:t>
        </ns0:is>
      </ns0:c>
      <ns0:c r="D25" t="inlineStr">
        <ns0:is>
          <ns0:t>ton kilometer</ns0:t>
        </ns0:is>
      </ns0:c>
      <ns0:c r="F25" t="inlineStr">
        <ns0:is>
          <ns0:t>technosphere</ns0:t>
        </ns0:is>
      </ns0:c>
      <ns0:c r="G25" t="inlineStr">
        <ns0:is>
          <ns0:t>transport, freight, lorry, unspecified</ns0:t>
        </ns0:is>
      </ns0:c>
      <ns0:c r="H25" t="inlineStr">
        <ns0:is>
          <ns0:t>Premise 2.5.4: Original amount 0.0771; scale 0.9892802450229708.</ns0:t>
        </ns0:is>
      </ns0:c>
    </ns0:row>
    <ns0:row r="26">
      <ns0:c r="A26" t="inlineStr">
        <ns0:is>
          <ns0:t>market for water, deionised</ns0:t>
        </ns0:is>
      </ns0:c>
      <ns0:c r="B26" t="n">
        <ns0:v>3.126125574272588</ns0:v>
      </ns0:c>
      <ns0:c r="C26" t="inlineStr">
        <ns0:is>
          <ns0:t>Europe without Switzerland</ns0:t>
        </ns0:is>
      </ns0:c>
      <ns0:c r="D26" t="inlineStr">
        <ns0:is>
          <ns0:t>kilogram</ns0:t>
        </ns0:is>
      </ns0:c>
      <ns0:c r="F26" t="inlineStr">
        <ns0:is>
          <ns0:t>technosphere</ns0:t>
        </ns0:is>
      </ns0:c>
      <ns0:c r="G26" t="inlineStr">
        <ns0:is>
          <ns0:t>water, deionised</ns0:t>
        </ns0:is>
      </ns0:c>
      <ns0:c r="H26" t="inlineStr">
        <ns0:is>
          <ns0:t>Premise 2.5.4: Original amount 3.16; scale 0.9892802450229708.</ns0:t>
        </ns0:is>
      </ns0:c>
    </ns0:row>
    <ns0:row r="27">
      <ns0:c r="A27" t="inlineStr">
        <ns0:is>
          <ns0:t>market group for heat, district or industrial, natural gas</ns0:t>
        </ns0:is>
      </ns0:c>
      <ns0:c r="B27" t="n">
        <ns0:v>0.9200306278713629</ns0:v>
      </ns0:c>
      <ns0:c r="C27" t="inlineStr">
        <ns0:is>
          <ns0:t>GLO</ns0:t>
        </ns0:is>
      </ns0:c>
      <ns0:c r="D27" t="inlineStr">
        <ns0:is>
          <ns0:t>megajoule</ns0:t>
        </ns0:is>
      </ns0:c>
      <ns0:c r="F27" t="inlineStr">
        <ns0:is>
          <ns0:t>technosphere</ns0:t>
        </ns0:is>
      </ns0:c>
      <ns0:c r="G27" t="inlineStr">
        <ns0:is>
          <ns0:t>heat, district or industrial, natural gas</ns0:t>
        </ns0:is>
      </ns0:c>
      <ns0:c r="H27" t="inlineStr">
        <ns0:is>
          <ns0:t>Premise 2.5.4: Original amount 0.93; scale 0.9892802450229708.</ns0:t>
        </ns0:is>
      </ns0:c>
    </ns0:row>
    <ns0:row r="28">
      <ns0:c r="A28" t="inlineStr">
        <ns0:is>
          <ns0:t>market group for transport, freight train</ns0:t>
        </ns0:is>
      </ns0:c>
      <ns0:c r="B28" t="n">
        <ns0:v>0.4550689127105666</ns0:v>
      </ns0:c>
      <ns0:c r="C28" t="inlineStr">
        <ns0:is>
          <ns0:t>GLO</ns0:t>
        </ns0:is>
      </ns0:c>
      <ns0:c r="D28" t="inlineStr">
        <ns0:is>
          <ns0:t>ton kilometer</ns0:t>
        </ns0:is>
      </ns0:c>
      <ns0:c r="F28" t="inlineStr">
        <ns0:is>
          <ns0:t>technosphere</ns0:t>
        </ns0:is>
      </ns0:c>
      <ns0:c r="G28" t="inlineStr">
        <ns0:is>
          <ns0:t>transport, freight train</ns0:t>
        </ns0:is>
      </ns0:c>
      <ns0:c r="H28" t="inlineStr">
        <ns0:is>
          <ns0:t>Premise 2.5.4: Original amount 0.46; scale 0.9892802450229708.</ns0:t>
        </ns0:is>
      </ns0:c>
    </ns0:row>
    <ns0:row r="29">
      <ns0:c r="A29" t="inlineStr">
        <ns0:is>
          <ns0:t>market group for transport, freight, lorry, unspecified</ns0:t>
        </ns0:is>
      </ns0:c>
      <ns0:c r="B29" t="n">
        <ns0:v>0.07627350689127105</ns0:v>
      </ns0:c>
      <ns0:c r="C29" t="inlineStr">
        <ns0:is>
          <ns0:t>GLO</ns0:t>
        </ns0:is>
      </ns0:c>
      <ns0:c r="D29" t="inlineStr">
        <ns0:is>
          <ns0:t>ton kilometer</ns0:t>
        </ns0:is>
      </ns0:c>
      <ns0:c r="F29" t="inlineStr">
        <ns0:is>
          <ns0:t>technosphere</ns0:t>
        </ns0:is>
      </ns0:c>
      <ns0:c r="G29" t="inlineStr">
        <ns0:is>
          <ns0:t>transport, freight, lorry, unspecified</ns0:t>
        </ns0:is>
      </ns0:c>
      <ns0:c r="H29" t="inlineStr">
        <ns0:is>
          <ns0:t>Premise 2.5.4: Original amount 0.0771; scale 0.9892802450229708.</ns0:t>
        </ns0:is>
      </ns0:c>
    </ns0:row>
    <ns0:row r="30">
      <ns0:c r="A30" t="inlineStr">
        <ns0:is>
          <ns0:t>treatment of spent solvent mixture, hazardous waste incineration, with energy recovery</ns0:t>
        </ns0:is>
      </ns0:c>
      <ns0:c r="B30" t="n">
        <ns0:v>-0.06252251148545176</ns0:v>
      </ns0:c>
      <ns0:c r="C30" t="inlineStr">
        <ns0:is>
          <ns0:t>RoW</ns0:t>
        </ns0:is>
      </ns0:c>
      <ns0:c r="D30" t="inlineStr">
        <ns0:is>
          <ns0:t>kilogram</ns0:t>
        </ns0:is>
      </ns0:c>
      <ns0:c r="F30" t="inlineStr">
        <ns0:is>
          <ns0:t>technosphere</ns0:t>
        </ns0:is>
      </ns0:c>
      <ns0:c r="G30" t="inlineStr">
        <ns0:is>
          <ns0:t>spent solvent mixture</ns0:t>
        </ns0:is>
      </ns0:c>
      <ns0:c r="H30" t="inlineStr">
        <ns0:is>
          <ns0:t>Premise 2.5.4: Original amount -0.06320000000000001; scale 0.9892802450229708.</ns0:t>
        </ns0:is>
      </ns0:c>
    </ns0:row>
    <ns0:row r="31">
      <ns0:c r="A31" t="inlineStr">
        <ns0:is>
          <ns0:t>vanadium slag production</ns0:t>
        </ns0:is>
      </ns0:c>
      <ns0:c r="B31" t="n">
        <ns0:v>1.335528330781011</ns0:v>
      </ns0:c>
      <ns0:c r="C31" t="inlineStr">
        <ns0:is>
          <ns0:t>ZA</ns0:t>
        </ns0:is>
      </ns0:c>
      <ns0:c r="D31" t="inlineStr">
        <ns0:is>
          <ns0:t>kilogram</ns0:t>
        </ns0:is>
      </ns0:c>
      <ns0:c r="F31" t="inlineStr">
        <ns0:is>
          <ns0:t>technosphere</ns0:t>
        </ns0:is>
      </ns0:c>
      <ns0:c r="G31" t="inlineStr">
        <ns0:is>
          <ns0:t>vanadium slag</ns0:t>
        </ns0:is>
      </ns0:c>
      <ns0:c r="H31" t="inlineStr">
        <ns0:is>
          <ns0:t>Premise 2.5.4: Original amount 1.35; scale 0.9892802450229708.</ns0:t>
        </ns0:is>
      </ns0:c>
    </ns0:row>
    <ns0:row r="32"/>
    <ns0:row r="33">
      <ns0:c r="A33" s="1" t="inlineStr">
        <ns0:is>
          <ns0:t>Activity</ns0:t>
        </ns0:is>
      </ns0:c>
      <ns0:c r="B33" s="1" t="inlineStr">
        <ns0:is>
          <ns0:t>vanadium pentoxide and unalloyed steel production</ns0:t>
        </ns0:is>
      </ns0:c>
    </ns0:row>
    <ns0:row r="34">
      <ns0:c r="A34" t="inlineStr">
        <ns0:is>
          <ns0:t>comment</ns0:t>
        </ns0:is>
      </ns0:c>
      <ns0:c r="B34" t="inlineStr">
        <ns0:is>
          <ns0:t>Source: Chen, S.Y., Fu, X.J., Chu, M.S., Liu, Z.G., Tang, J., 2015. Life cycle assessment of the comprehensive utilisation of vanadium titano-magnetite. J. Clean. Prod. 101, 122–128. https://doi.org/10.1016/j.jclepro.2015.03.076. Inventory provided by Zhang et al. (2024).</ns0:t>
        </ns0:is>
      </ns0:c>
    </ns0:row>
    <ns0:row r="35">
      <ns0:c r="A35" t="inlineStr">
        <ns0:is>
          <ns0:t>comment</ns0:t>
        </ns0:is>
      </ns0:c>
      <ns0:c r="B35" t="inlineStr">
        <ns0:is>
          <ns0:t xml:space="preserve">Update on 16th of March: pig iron input will only be from pig iron produced based on pellet and sinter iron production; change product amount and alllocation to: 1 kg unalloyed steel, 0.01926525 kg V2O5, 0.00319 kg cast iron. the allocation factors are unalloyed steel (0.552428457870102), V2O5 (0.443822080894567), cast iron (0.00374946123533111)
pig iron 0.074*0.86 kg =63.87 kg is from  "VT ore operation and beneficiation_V2O5" activity, and 0.796 is from "pig iron production_V2O5" activity. 
modeled based on data provided from Gao et al., 2015, this process produces three products: 1 kg unalloyed steel, 0.013145 kg V2O5, 0.002874 kg cast iron. the allocation factors are unalloyed steel (0.64), V2O5 (0.35), cast iron (0.1)
References:
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"Background:
This activity represents the production of primary steel (carbon; unalloyed) in a basic oxygen furnace (BOF), a discontinuous process involving the following steps: 1) pretreatment of hot metal (pig iron) from the blast furnace (desulphurisation, deslagging, etc.); 2) mixing of charge, weighing, transfer and reladling ; 3) oxidation in the BOF (decarburisation and oxidation of impurities); 4) secondary metallurgical treatment in a ladle furnace; and 5) casting (continuous and/or ingot).
Modelling approach:
Data on were mostly taken from the IPPC Best Available Technology report from the European Commission (Remus et al., 2013); note that where only data ranges were provided, the geometric mean of reported values was used here. The proportion of each by-product that is recycled internally (i.e. returned as an input to the process after it has been produced) is based on measured data from plants worldwide reported by worldsteel (2010): slag (including desulphurisation slag, BOF slag, slag from secondary metallurgy and slag from continuous casting), 14%; spittings, 100%; dust and sludge, 22%; and mill scale, 89%.
The ratio of pig iron to iron scrap inputs was based on average data from European steelmakers. The values were then adjusted to ensure Fe balance. This ratio is, however, highly variable among regions, globally, and the value used may not be representative of a) the average global situation or b) the situation in other regions. We advise caution when appliying these data elsewhere. 
Geography:  Data are taken from basic oxygen furnace plants across Europe and are considered representative of the average situation globally. 
Technology:  Represents average European technology; LD converter and secondary metallurgy
Time period:  Data are mostly compiled from reports published between 2005 and 2010 but are considered representative of modern operations. </ns0:t>
        </ns0:is>
      </ns0:c>
    </ns0:row>
    <ns0:row r="36">
      <ns0:c r="A36" t="inlineStr">
        <ns0:is>
          <ns0:t>location</ns0:t>
        </ns0:is>
      </ns0:c>
      <ns0:c r="B36" t="inlineStr">
        <ns0:is>
          <ns0:t>CN</ns0:t>
        </ns0:is>
      </ns0:c>
    </ns0:row>
    <ns0:row r="37">
      <ns0:c r="A37" t="inlineStr">
        <ns0:is>
          <ns0:t>reference product</ns0:t>
        </ns0:is>
      </ns0:c>
      <ns0:c r="B37" t="inlineStr">
        <ns0:is>
          <ns0:t>vanadium pentoxide and unalloyed steel</ns0:t>
        </ns0:is>
      </ns0:c>
    </ns0:row>
    <ns0:row r="38">
      <ns0:c r="A38" t="inlineStr">
        <ns0:is>
          <ns0:t>unit</ns0:t>
        </ns0:is>
      </ns0:c>
      <ns0:c r="B38" t="inlineStr">
        <ns0:is>
          <ns0:t>unit</ns0:t>
        </ns0:is>
      </ns0:c>
    </ns0:row>
    <ns0:row r="39">
      <ns0:c r="A39" t="inlineStr">
        <ns0:is>
          <ns0:t>source</ns0:t>
        </ns0:is>
      </ns0:c>
      <ns0:c r="B39" t="inlineStr">
        <ns0:is>
          <ns0:t>Inventory provided by Zhang et al. (2024). Originally from Weber et al. (2018). Life cycle assessment of a vanadium redox flow battery. Environmental science &amp; technology, 52(18), 10864-10873. https://doi.org/10.1021/acs.est.8b02073</ns0:t>
        </ns0:is>
      </ns0:c>
    </ns0:row>
    <ns0:row r="40">
      <ns0:c r="A40" s="1" t="inlineStr">
        <ns0:is>
          <ns0:t>Exchanges</ns0:t>
        </ns0:is>
      </ns0:c>
    </ns0:row>
    <ns0:row r="41">
      <ns0:c r="A41" s="1" t="inlineStr">
        <ns0:is>
          <ns0:t>name</ns0:t>
        </ns0:is>
      </ns0:c>
      <ns0:c r="B41" s="1" t="inlineStr">
        <ns0:is>
          <ns0:t>amount</ns0:t>
        </ns0:is>
      </ns0:c>
      <ns0:c r="C41" s="1" t="inlineStr">
        <ns0:is>
          <ns0:t>reference product</ns0:t>
        </ns0:is>
      </ns0:c>
      <ns0:c r="D41" s="1" t="inlineStr">
        <ns0:is>
          <ns0:t>location</ns0:t>
        </ns0:is>
      </ns0:c>
      <ns0:c r="E41" s="1" t="inlineStr">
        <ns0:is>
          <ns0:t>unit</ns0:t>
        </ns0:is>
      </ns0:c>
      <ns0:c r="F41" s="1" t="inlineStr">
        <ns0:is>
          <ns0:t>categories</ns0:t>
        </ns0:is>
      </ns0:c>
      <ns0:c r="G41" s="1" t="inlineStr">
        <ns0:is>
          <ns0:t>type</ns0:t>
        </ns0:is>
      </ns0:c>
      <ns0:c r="H41" s="1" t="inlineStr">
        <ns0:is>
          <ns0:t>formula</ns0:t>
        </ns0:is>
      </ns0:c>
      <ns0:c r="I41" s="1" t="inlineStr">
        <ns0:is>
          <ns0:t>uncertainty type</ns0:t>
        </ns0:is>
      </ns0:c>
      <ns0:c r="J41" s="1" t="inlineStr">
        <ns0:is>
          <ns0:t>loc</ns0:t>
        </ns0:is>
      </ns0:c>
      <ns0:c r="K41" s="1" t="inlineStr">
        <ns0:is>
          <ns0:t>scale</ns0:t>
        </ns0:is>
      </ns0:c>
      <ns0:c r="L41" s="1" t="inlineStr">
        <ns0:is>
          <ns0:t>comment</ns0:t>
        </ns0:is>
      </ns0:c>
      <ns0:c r="M41" s="1" t="inlineStr">
        <ns0:is>
          <ns0:t>production volume</ns0:t>
        </ns0:is>
      </ns0:c>
      <ns0:c r="N41" s="1" t="inlineStr">
        <ns0:is>
          <ns0:t>negative</ns0:t>
        </ns0:is>
      </ns0:c>
    </ns0:row>
    <ns0:row r="42">
      <ns0:c r="A42" t="inlineStr">
        <ns0:is>
          <ns0:t>Carbon dioxide, fossil</ns0:t>
        </ns0:is>
      </ns0:c>
      <ns0:c r="B42" t="n">
        <ns0:v>0.0627088510499116</ns0:v>
      </ns0:c>
      <ns0:c r="E42" t="inlineStr">
        <ns0:is>
          <ns0:t>kilogram</ns0:t>
        </ns0:is>
      </ns0:c>
      <ns0:c r="F42" t="inlineStr">
        <ns0:is>
          <ns0:t>air</ns0:t>
        </ns0:is>
      </ns0:c>
      <ns0:c r="G42" t="inlineStr">
        <ns0:is>
          <ns0:t>biosphere</ns0:t>
        </ns0:is>
      </ns0:c>
      <ns0:c r="H42" t="inlineStr">
        <ns0:is>
          <ns0:t>CO2</ns0:t>
        </ns0:is>
      </ns0:c>
      <ns0:c r="I42" t="n">
        <ns0:v>2</ns0:v>
      </ns0:c>
      <ns0:c r="J42" t="n">
        <ns0:f>LN(B42)</ns0:f>
        <ns0:v>-2.7692526762357526</ns0:v>
      </ns0:c>
      <ns0:c r="K42" t="n">
        <ns0:v>0.058309518948453</ns0:v>
      </ns0:c>
      <ns0:c r="L42" t="inlineStr">
        <ns0:is>
          <ns0:t>geometric mean of Remus et al. (2013) data range</ns0:t>
        </ns0:is>
      </ns0:c>
    </ns0:row>
    <ns0:row r="43">
      <ns0:c r="A43" t="inlineStr">
        <ns0:is>
          <ns0:t>Carbon monoxide, fossil</ns0:t>
        </ns0:is>
      </ns0:c>
      <ns0:c r="B43" t="n">
        <ns0:v>0.00168214149226514</ns0:v>
      </ns0:c>
      <ns0:c r="E43" t="inlineStr">
        <ns0:is>
          <ns0:t>kilogram</ns0:t>
        </ns0:is>
      </ns0:c>
      <ns0:c r="F43" t="inlineStr">
        <ns0:is>
          <ns0:t>air</ns0:t>
        </ns0:is>
      </ns0:c>
      <ns0:c r="G43" t="inlineStr">
        <ns0:is>
          <ns0:t>biosphere</ns0:t>
        </ns0:is>
      </ns0:c>
      <ns0:c r="H43" t="inlineStr">
        <ns0:is>
          <ns0:t>CO</ns0:t>
        </ns0:is>
      </ns0:c>
      <ns0:c r="I43" t="n">
        <ns0:v>2</ns0:v>
      </ns0:c>
      <ns0:c r="J43" t="n">
        <ns0:f>LN(B43)</ns0:f>
        <ns0:v>-6.387687599527571</ns0:v>
      </ns0:c>
      <ns0:c r="K43" t="n">
        <ns0:v>0.8083316151184488</ns0:v>
      </ns0:c>
      <ns0:c r="L43" t="inlineStr">
        <ns0:is>
          <ns0:t>geometric mean of Remus et al. (2013) data range</ns0:t>
        </ns0:is>
      </ns0:c>
    </ns0:row>
    <ns0:row r="44">
      <ns0:c r="A44" t="inlineStr">
        <ns0:is>
          <ns0:t>Chromium III</ns0:t>
        </ns0:is>
      </ns0:c>
      <ns0:c r="B44" t="n">
        <ns0:v>2.73861278752583e-08</ns0:v>
      </ns0:c>
      <ns0:c r="E44" t="inlineStr">
        <ns0:is>
          <ns0:t>kilogram</ns0:t>
        </ns0:is>
      </ns0:c>
      <ns0:c r="F44" t="inlineStr">
        <ns0:is>
          <ns0:t>air</ns0:t>
        </ns0:is>
      </ns0:c>
      <ns0:c r="G44" t="inlineStr">
        <ns0:is>
          <ns0:t>biosphere</ns0:t>
        </ns0:is>
      </ns0:c>
      <ns0:c r="H44" t="inlineStr">
        <ns0:is>
          <ns0:t>Cr</ns0:t>
        </ns0:is>
      </ns0:c>
      <ns0:c r="I44" t="n">
        <ns0:v>2</ns0:v>
      </ns0:c>
      <ns0:c r="J44" t="n">
        <ns0:f>LN(B44)</ns0:f>
        <ns0:v>-17.413229233681232</ns0:v>
      </ns0:c>
      <ns0:c r="K44" t="n">
        <ns0:v>0.8083316151184488</ns0:v>
      </ns0:c>
      <ns0:c r="L44" t="inlineStr">
        <ns0:is>
          <ns0:t>geometric mean of Remus et al. (2013) data range</ns0:t>
        </ns0:is>
      </ns0:c>
    </ns0:row>
    <ns0:row r="45">
      <ns0:c r="A45" t="inlineStr">
        <ns0:is>
          <ns0:t>Copper ion</ns0:t>
        </ns0:is>
      </ns0:c>
      <ns0:c r="B45" t="n">
        <ns0:v>1.38684189611773e-07</ns0:v>
      </ns0:c>
      <ns0:c r="E45" t="inlineStr">
        <ns0:is>
          <ns0:t>kilogram</ns0:t>
        </ns0:is>
      </ns0:c>
      <ns0:c r="F45" t="inlineStr">
        <ns0:is>
          <ns0:t>air</ns0:t>
        </ns0:is>
      </ns0:c>
      <ns0:c r="G45" t="inlineStr">
        <ns0:is>
          <ns0:t>biosphere</ns0:t>
        </ns0:is>
      </ns0:c>
      <ns0:c r="H45" t="inlineStr">
        <ns0:is>
          <ns0:t>Cu</ns0:t>
        </ns0:is>
      </ns0:c>
      <ns0:c r="I45" t="n">
        <ns0:v>2</ns0:v>
      </ns0:c>
      <ns0:c r="J45" t="n">
        <ns0:f>LN(B45)</ns0:f>
        <ns0:v>-15.79106650594435</ns0:v>
      </ns0:c>
      <ns0:c r="K45" t="n">
        <ns0:v>0.8083316151184488</ns0:v>
      </ns0:c>
      <ns0:c r="L45" t="inlineStr">
        <ns0:is>
          <ns0:t>geometric mean of Remus et al. (2013) data range</ns0:t>
        </ns0:is>
      </ns0:c>
    </ns0:row>
    <ns0:row r="46">
      <ns0:c r="A46" t="inlineStr">
        <ns0:is>
          <ns0:t>Dioxins, measured as 2,3,7,8-tetrachlorodibenzo-p-dioxin</ns0:t>
        </ns0:is>
      </ns0:c>
      <ns0:c r="B46" t="n">
        <ns0:v>6.35767253010093e-14</ns0:v>
      </ns0:c>
      <ns0:c r="E46" t="inlineStr">
        <ns0:is>
          <ns0:t>kilogram</ns0:t>
        </ns0:is>
      </ns0:c>
      <ns0:c r="F46" t="inlineStr">
        <ns0:is>
          <ns0:t>air</ns0:t>
        </ns0:is>
      </ns0:c>
      <ns0:c r="G46" t="inlineStr">
        <ns0:is>
          <ns0:t>biosphere</ns0:t>
        </ns0:is>
      </ns0:c>
      <ns0:c r="H46" t="inlineStr">
        <ns0:is>
          <ns0:t>C12H4Cl4O2</ns0:t>
        </ns0:is>
      </ns0:c>
      <ns0:c r="I46" t="n">
        <ns0:v>2</ns0:v>
      </ns0:c>
      <ns0:c r="J46" t="n">
        <ns0:f>LN(B46)</ns0:f>
        <ns0:v>-30.3865289459289</ns0:v>
      </ns0:c>
      <ns0:c r="K46" t="n">
        <ns0:v>0.5508175741568164</ns0:v>
      </ns0:c>
      <ns0:c r="L46" t="inlineStr">
        <ns0:is>
          <ns0:t>geometric mean of Remus et al. (2013) data range</ns0:t>
        </ns0:is>
      </ns0:c>
    </ns0:row>
    <ns0:row r="47">
      <ns0:c r="A47" t="inlineStr">
        <ns0:is>
          <ns0:t>Heat, waste</ns0:t>
        </ns0:is>
      </ns0:c>
      <ns0:c r="B47" t="n">
        <ns0:v>0.204696179355145</ns0:v>
      </ns0:c>
      <ns0:c r="E47" t="inlineStr">
        <ns0:is>
          <ns0:t>megajoule</ns0:t>
        </ns0:is>
      </ns0:c>
      <ns0:c r="F47" t="inlineStr">
        <ns0:is>
          <ns0:t>air</ns0:t>
        </ns0:is>
      </ns0:c>
      <ns0:c r="G47" t="inlineStr">
        <ns0:is>
          <ns0:t>biosphere</ns0:t>
        </ns0:is>
      </ns0:c>
      <ns0:c r="I47" t="n">
        <ns0:v>2</ns0:v>
      </ns0:c>
      <ns0:c r="J47" t="n">
        <ns0:f>LN(B47)</ns0:f>
        <ns0:v>-1.5862284510951123</ns0:v>
      </ns0:c>
      <ns0:c r="K47" t="n">
        <ns0:v>0.30199337741083</ns0:v>
      </ns0:c>
      <ns0:c r="L47" t="inlineStr">
        <ns0:is>
          <ns0:t>Calculated from energy balanced model</ns0:t>
        </ns0:is>
      </ns0:c>
    </ns0:row>
    <ns0:row r="48">
      <ns0:c r="A48" t="inlineStr">
        <ns0:is>
          <ns0:t>Iron ion</ns0:t>
        </ns0:is>
      </ns0:c>
      <ns0:c r="B48" t="n">
        <ns0:v>4.115e-05</ns0:v>
      </ns0:c>
      <ns0:c r="E48" t="inlineStr">
        <ns0:is>
          <ns0:t>kilogram</ns0:t>
        </ns0:is>
      </ns0:c>
      <ns0:c r="F48" t="inlineStr">
        <ns0:is>
          <ns0:t>air</ns0:t>
        </ns0:is>
      </ns0:c>
      <ns0:c r="G48" t="inlineStr">
        <ns0:is>
          <ns0:t>biosphere</ns0:t>
        </ns0:is>
      </ns0:c>
      <ns0:c r="H48" t="inlineStr">
        <ns0:is>
          <ns0:t>Fe</ns0:t>
        </ns0:is>
      </ns0:c>
      <ns0:c r="I48" t="n">
        <ns0:v>2</ns0:v>
      </ns0:c>
      <ns0:c r="J48" t="n">
        <ns0:f>LN(B48)</ns0:f>
        <ns0:v>-10.098286630841196</ns0:v>
      </ns0:c>
      <ns0:c r="K48" t="n">
        <ns0:v>0.8373768566183329</ns0:v>
      </ns0:c>
      <ns0:c r="L48" t="inlineStr">
        <ns0:is>
          <ns0:t>geometric mean of Remus et al. (2013) data range</ns0:t>
        </ns0:is>
      </ns0:c>
    </ns0:row>
    <ns0:row r="49">
      <ns0:c r="A49" t="inlineStr">
        <ns0:is>
          <ns0:t>Lead II</ns0:t>
        </ns0:is>
      </ns0:c>
      <ns0:c r="B49" t="n">
        <ns0:v>4.08166632639171e-07</ns0:v>
      </ns0:c>
      <ns0:c r="E49" t="inlineStr">
        <ns0:is>
          <ns0:t>kilogram</ns0:t>
        </ns0:is>
      </ns0:c>
      <ns0:c r="F49" t="inlineStr">
        <ns0:is>
          <ns0:t>air</ns0:t>
        </ns0:is>
      </ns0:c>
      <ns0:c r="G49" t="inlineStr">
        <ns0:is>
          <ns0:t>biosphere</ns0:t>
        </ns0:is>
      </ns0:c>
      <ns0:c r="H49" t="inlineStr">
        <ns0:is>
          <ns0:t>Pb</ns0:t>
        </ns0:is>
      </ns0:c>
      <ns0:c r="I49" t="n">
        <ns0:v>2</ns0:v>
      </ns0:c>
      <ns0:c r="J49" t="n">
        <ns0:f>LN(B49)</ns0:f>
        <ns0:v>-14.71159033258897</ns0:v>
      </ns0:c>
      <ns0:c r="K49" t="n">
        <ns0:v>0.8083316151184488</ns0:v>
      </ns0:c>
      <ns0:c r="L49" t="inlineStr">
        <ns0:is>
          <ns0:t>geometric mean of Remus et al. (2013) data range</ns0:t>
        </ns0:is>
      </ns0:c>
    </ns0:row>
    <ns0:row r="50">
      <ns0:c r="A50" t="inlineStr">
        <ns0:is>
          <ns0:t>Manganese II</ns0:t>
        </ns0:is>
      </ns0:c>
      <ns0:c r="B50" t="n">
        <ns0:v>6.84105255059483e-07</ns0:v>
      </ns0:c>
      <ns0:c r="E50" t="inlineStr">
        <ns0:is>
          <ns0:t>kilogram</ns0:t>
        </ns0:is>
      </ns0:c>
      <ns0:c r="F50" t="inlineStr">
        <ns0:is>
          <ns0:t>air</ns0:t>
        </ns0:is>
      </ns0:c>
      <ns0:c r="G50" t="inlineStr">
        <ns0:is>
          <ns0:t>biosphere</ns0:t>
        </ns0:is>
      </ns0:c>
      <ns0:c r="H50" t="inlineStr">
        <ns0:is>
          <ns0:t>Mn</ns0:t>
        </ns0:is>
      </ns0:c>
      <ns0:c r="I50" t="n">
        <ns0:v>2</ns0:v>
      </ns0:c>
      <ns0:c r="J50" t="n">
        <ns0:f>LN(B50)</ns0:f>
        <ns0:v>-14.19515404949652</ns0:v>
      </ns0:c>
      <ns0:c r="K50" t="n">
        <ns0:v>0.8083316151184488</ns0:v>
      </ns0:c>
      <ns0:c r="L50" t="inlineStr">
        <ns0:is>
          <ns0:t>geometric mean of Remus et al. (2013) data range</ns0:t>
        </ns0:is>
      </ns0:c>
    </ns0:row>
    <ns0:row r="51">
      <ns0:c r="A51" t="inlineStr">
        <ns0:is>
          <ns0:t>Nitrogen oxides</ns0:t>
        </ns0:is>
      </ns0:c>
      <ns0:c r="B51" t="n">
        <ns0:v>2.12367605815953e-05</ns0:v>
      </ns0:c>
      <ns0:c r="E51" t="inlineStr">
        <ns0:is>
          <ns0:t>kilogram</ns0:t>
        </ns0:is>
      </ns0:c>
      <ns0:c r="F51" t="inlineStr">
        <ns0:is>
          <ns0:t>air</ns0:t>
        </ns0:is>
      </ns0:c>
      <ns0:c r="G51" t="inlineStr">
        <ns0:is>
          <ns0:t>biosphere</ns0:t>
        </ns0:is>
      </ns0:c>
      <ns0:c r="H51" t="inlineStr">
        <ns0:is>
          <ns0:t>H3NO</ns0:t>
        </ns0:is>
      </ns0:c>
      <ns0:c r="I51" t="n">
        <ns0:v>2</ns0:v>
      </ns0:c>
      <ns0:c r="J51" t="n">
        <ns0:f>LN(B51)</ns0:f>
        <ns0:v>-10.759776888212935</ns0:v>
      </ns0:c>
      <ns0:c r="K51" t="n">
        <ns0:v>0.2083266665599966</ns0:v>
      </ns0:c>
      <ns0:c r="L51" t="inlineStr">
        <ns0:is>
          <ns0:t>geometric mean of Remus et al. (2013) data range</ns0:t>
        </ns0:is>
      </ns0:c>
    </ns0:row>
    <ns0:row r="52">
      <ns0:c r="A52" t="inlineStr">
        <ns0:is>
          <ns0:t>PAH, polycyclic aromatic hydrocarbons</ns0:t>
        </ns0:is>
      </ns0:c>
      <ns0:c r="B52" t="n">
        <ns0:v>1e-08</ns0:v>
      </ns0:c>
      <ns0:c r="E52" t="inlineStr">
        <ns0:is>
          <ns0:t>kilogram</ns0:t>
        </ns0:is>
      </ns0:c>
      <ns0:c r="F52" t="inlineStr">
        <ns0:is>
          <ns0:t>air</ns0:t>
        </ns0:is>
      </ns0:c>
      <ns0:c r="G52" t="inlineStr">
        <ns0:is>
          <ns0:t>biosphere</ns0:t>
        </ns0:is>
      </ns0:c>
      <ns0:c r="I52" t="n">
        <ns0:v>2</ns0:v>
      </ns0:c>
      <ns0:c r="J52" t="n">
        <ns0:f>LN(B52)</ns0:f>
        <ns0:v>-18.420680743952367</ns0:v>
      </ns0:c>
      <ns0:c r="K52" t="n">
        <ns0:v>0.5508175741568164</ns0:v>
      </ns0:c>
      <ns0:c r="L52" t="inlineStr">
        <ns0:is>
          <ns0:t>geometric mean of Remus et al. (2013) data range</ns0:t>
        </ns0:is>
      </ns0:c>
    </ns0:row>
    <ns0:row r="53">
      <ns0:c r="A53" t="inlineStr">
        <ns0:is>
          <ns0:t>Particulate Matter, &lt; 2.5 um</ns0:t>
        </ns0:is>
      </ns0:c>
      <ns0:c r="B53" t="n">
        <ns0:v>4.47437146423942e-05</ns0:v>
      </ns0:c>
      <ns0:c r="E53" t="inlineStr">
        <ns0:is>
          <ns0:t>kilogram</ns0:t>
        </ns0:is>
      </ns0:c>
      <ns0:c r="F53" t="inlineStr">
        <ns0:is>
          <ns0:t>air</ns0:t>
        </ns0:is>
      </ns0:c>
      <ns0:c r="G53" t="inlineStr">
        <ns0:is>
          <ns0:t>biosphere</ns0:t>
        </ns0:is>
      </ns0:c>
      <ns0:c r="I53" t="n">
        <ns0:v>2</ns0:v>
      </ns0:c>
      <ns0:c r="J53" t="n">
        <ns0:f>LN(B53)</ns0:f>
        <ns0:v>-10.014559578026692</ns0:v>
      </ns0:c>
      <ns0:c r="K53" t="n">
        <ns0:v>0.5508175741568164</ns0:v>
      </ns0:c>
      <ns0:c r="L53" t="inlineStr">
        <ns0:is>
          <ns0:t>geometric mean of Remus et al. (2013) data range</ns0:t>
        </ns0:is>
      </ns0:c>
    </ns0:row>
    <ns0:row r="54">
      <ns0:c r="A54" t="inlineStr">
        <ns0:is>
          <ns0:t>Water</ns0:t>
        </ns0:is>
      </ns0:c>
      <ns0:c r="B54" t="n">
        <ns0:v>0.00611840858706497</ns0:v>
      </ns0:c>
      <ns0:c r="E54" t="inlineStr">
        <ns0:is>
          <ns0:t>cubic meter</ns0:t>
        </ns0:is>
      </ns0:c>
      <ns0:c r="F54" t="inlineStr">
        <ns0:is>
          <ns0:t>air</ns0:t>
        </ns0:is>
      </ns0:c>
      <ns0:c r="G54" t="inlineStr">
        <ns0:is>
          <ns0:t>biosphere</ns0:t>
        </ns0:is>
      </ns0:c>
      <ns0:c r="H54" t="inlineStr">
        <ns0:is>
          <ns0:t>H2O</ns0:t>
        </ns0:is>
      </ns0:c>
      <ns0:c r="I54" t="n">
        <ns0:v>2</ns0:v>
      </ns0:c>
      <ns0:c r="J54" t="n">
        <ns0:f>LN(B54)</ns0:f>
        <ns0:v>-5.096453251066117</ns0:v>
      </ns0:c>
      <ns0:c r="K54" t="n">
        <ns0:v>0.2066397831977183</ns0:v>
      </ns0:c>
      <ns0:c r="L54" t="inlineStr">
        <ns0:is>
          <ns0:t>Source: Classen et al. (2009)</ns0:t>
        </ns0:is>
      </ns0:c>
    </ns0:row>
    <ns0:row r="55">
      <ns0:c r="A55" t="inlineStr">
        <ns0:is>
          <ns0:t>Water, cooling, unspecified natural origin</ns0:t>
        </ns0:is>
      </ns0:c>
      <ns0:c r="B55" t="n">
        <ns0:v>0.00577581163127746</ns0:v>
      </ns0:c>
      <ns0:c r="E55" t="inlineStr">
        <ns0:is>
          <ns0:t>cubic meter</ns0:t>
        </ns0:is>
      </ns0:c>
      <ns0:c r="F55" t="inlineStr">
        <ns0:is>
          <ns0:t>natural resource::in water</ns0:t>
        </ns0:is>
      </ns0:c>
      <ns0:c r="G55" t="inlineStr">
        <ns0:is>
          <ns0:t>biosphere</ns0:t>
        </ns0:is>
      </ns0:c>
      <ns0:c r="H55" t="inlineStr">
        <ns0:is>
          <ns0:t>H2O</ns0:t>
        </ns0:is>
      </ns0:c>
      <ns0:c r="I55" t="n">
        <ns0:v>2</ns0:v>
      </ns0:c>
      <ns0:c r="J55" t="n">
        <ns0:f>LN(B55)</ns0:f>
        <ns0:v>-5.154076490236864</ns0:v>
      </ns0:c>
      <ns0:c r="K55" t="n">
        <ns0:v>0.1232882800593795</ns0:v>
      </ns0:c>
      <ns0:c r="L55" t="inlineStr">
        <ns0:is>
          <ns0:t>geometric mean of Remus et al. (2013) data range</ns0:t>
        </ns0:is>
      </ns0:c>
    </ns0:row>
    <ns0:row r="56">
      <ns0:c r="A56" t="inlineStr">
        <ns0:is>
          <ns0:t>vanadium pentoxide and unalloyed steel production</ns0:t>
        </ns0:is>
      </ns0:c>
      <ns0:c r="B56" t="n">
        <ns0:v>1</ns0:v>
      </ns0:c>
      <ns0:c r="C56" t="inlineStr">
        <ns0:is>
          <ns0:t>vanadium pentoxide and unalloyed steel</ns0:t>
        </ns0:is>
      </ns0:c>
      <ns0:c r="D56" t="inlineStr">
        <ns0:is>
          <ns0:t>CN</ns0:t>
        </ns0:is>
      </ns0:c>
      <ns0:c r="E56" t="inlineStr">
        <ns0:is>
          <ns0:t>unit</ns0:t>
        </ns0:is>
      </ns0:c>
      <ns0:c r="G56" t="inlineStr">
        <ns0:is>
          <ns0:t>production</ns0:t>
        </ns0:is>
      </ns0:c>
      <ns0:c r="I56" t="n">
        <ns0:v>0</ns0:v>
      </ns0:c>
      <ns0:c r="J56" t="n">
        <ns0:v>1</ns0:v>
      </ns0:c>
      <ns0:c r="M56" t="n">
        <ns0:v>1137179252766.38</ns0:v>
      </ns0:c>
    </ns0:row>
    <ns0:row r="57">
      <ns0:c r="A57" t="inlineStr">
        <ns0:is>
          <ns0:t>market for blast furnace gas</ns0:t>
        </ns0:is>
      </ns0:c>
      <ns0:c r="B57" t="n">
        <ns0:v>-0.0199</ns0:v>
      </ns0:c>
      <ns0:c r="C57" t="inlineStr">
        <ns0:is>
          <ns0:t>blast furnace gas</ns0:t>
        </ns0:is>
      </ns0:c>
      <ns0:c r="D57" t="inlineStr">
        <ns0:is>
          <ns0:t>GLO</ns0:t>
        </ns0:is>
      </ns0:c>
      <ns0:c r="E57" t="inlineStr">
        <ns0:is>
          <ns0:t>megajoule</ns0:t>
        </ns0:is>
      </ns0:c>
      <ns0:c r="G57" t="inlineStr">
        <ns0:is>
          <ns0:t>technosphere</ns0:t>
        </ns0:is>
      </ns0:c>
    </ns0:row>
    <ns0:row r="58">
      <ns0:c r="A58" t="inlineStr">
        <ns0:is>
          <ns0:t>market for ammonium sulfate</ns0:t>
        </ns0:is>
      </ns0:c>
      <ns0:c r="B58" t="n">
        <ns0:v>0.001868</ns0:v>
      </ns0:c>
      <ns0:c r="C58" t="inlineStr">
        <ns0:is>
          <ns0:t>ammonium sulfate</ns0:t>
        </ns0:is>
      </ns0:c>
      <ns0:c r="D58" t="inlineStr">
        <ns0:is>
          <ns0:t>RoW</ns0:t>
        </ns0:is>
      </ns0:c>
      <ns0:c r="E58" t="inlineStr">
        <ns0:is>
          <ns0:t>kilogram</ns0:t>
        </ns0:is>
      </ns0:c>
      <ns0:c r="G58" t="inlineStr">
        <ns0:is>
          <ns0:t>technosphere</ns0:t>
        </ns0:is>
      </ns0:c>
    </ns0:row>
    <ns0:row r="59">
      <ns0:c r="A59" t="inlineStr">
        <ns0:is>
          <ns0:t>market for basic oxygen furnace dust</ns0:t>
        </ns0:is>
      </ns0:c>
      <ns0:c r="B59" t="n">
        <ns0:v>-0.008141829997365889</ns0:v>
      </ns0:c>
      <ns0:c r="C59" t="inlineStr">
        <ns0:is>
          <ns0:t>basic oxygen furnace dust</ns0:t>
        </ns0:is>
      </ns0:c>
      <ns0:c r="D59" t="inlineStr">
        <ns0:is>
          <ns0:t>IN</ns0:t>
        </ns0:is>
      </ns0:c>
      <ns0:c r="E59" t="inlineStr">
        <ns0:is>
          <ns0:t>kilogram</ns0:t>
        </ns0:is>
      </ns0:c>
      <ns0:c r="G59" t="inlineStr">
        <ns0:is>
          <ns0:t>technosphere</ns0:t>
        </ns0:is>
      </ns0:c>
      <ns0:c r="I59" t="n">
        <ns0:v>2</ns0:v>
      </ns0:c>
      <ns0:c r="J59" t="n">
        <ns0:f>LN(B59*-1)</ns0:f>
        <ns0:v>-4.810740308833669</ns0:v>
      </ns0:c>
      <ns0:c r="K59" t="n">
        <ns0:v>0.06652067347825036</ns0:v>
      </ns0:c>
      <ns0:c r="L59" t="inlineStr">
        <ns0:is>
          <ns0:t>Amount reported by worldsteel (2010) and is representative of the average global situation in 2009. Also based on worldsteel (2010), an internal recovery (recycling) rate of 22% is assumed. Source: Worldsteel (2010). Steel industry by-products. World Steel Association: Brussels, Belgium.</ns0:t>
        </ns0:is>
      </ns0:c>
      <ns0:c r="N59" t="b">
        <ns0:v>1</ns0:v>
      </ns0:c>
    </ns0:row>
    <ns0:row r="60">
      <ns0:c r="A60" t="inlineStr">
        <ns0:is>
          <ns0:t>market for basic oxygen furnace dust</ns0:t>
        </ns0:is>
      </ns0:c>
      <ns0:c r="B60" t="n">
        <ns0:v>-0.0112541700026341</ns0:v>
      </ns0:c>
      <ns0:c r="C60" t="inlineStr">
        <ns0:is>
          <ns0:t>basic oxygen furnace dust</ns0:t>
        </ns0:is>
      </ns0:c>
      <ns0:c r="D60" t="inlineStr">
        <ns0:is>
          <ns0:t>RoW</ns0:t>
        </ns0:is>
      </ns0:c>
      <ns0:c r="E60" t="inlineStr">
        <ns0:is>
          <ns0:t>kilogram</ns0:t>
        </ns0:is>
      </ns0:c>
      <ns0:c r="G60" t="inlineStr">
        <ns0:is>
          <ns0:t>technosphere</ns0:t>
        </ns0:is>
      </ns0:c>
      <ns0:c r="I60" t="n">
        <ns0:v>2</ns0:v>
      </ns0:c>
      <ns0:c r="J60" t="n">
        <ns0:f>LN(B60*-1)</ns0:f>
        <ns0:v>-4.487016552110903</ns0:v>
      </ns0:c>
      <ns0:c r="K60" t="n">
        <ns0:v>0.06652067347825036</ns0:v>
      </ns0:c>
      <ns0:c r="L60" t="inlineStr">
        <ns0:is>
          <ns0:t>Amount reported by worldsteel (2010) and is representative of the average global situation in 2009. Also based on worldsteel (2010), an internal recovery (recycling) rate of 22% is assumed. Source: Worldsteel (2010). Steel industry by-products. World Steel Association: Brussels, Belgium.</ns0:t>
        </ns0:is>
      </ns0:c>
      <ns0:c r="N60" t="b">
        <ns0:v>1</ns0:v>
      </ns0:c>
    </ns0:row>
    <ns0:row r="61">
      <ns0:c r="A61" t="inlineStr">
        <ns0:is>
          <ns0:t>market for basic oxygen furnace secondary metallurgy slag</ns0:t>
        </ns0:is>
      </ns0:c>
      <ns0:c r="B61" t="n">
        <ns0:v>-0.0003008</ns0:v>
      </ns0:c>
      <ns0:c r="C61" t="inlineStr">
        <ns0:is>
          <ns0:t>basic oxygen furnace secondary metallurgy slag</ns0:t>
        </ns0:is>
      </ns0:c>
      <ns0:c r="D61" t="inlineStr">
        <ns0:is>
          <ns0:t>RoW</ns0:t>
        </ns0:is>
      </ns0:c>
      <ns0:c r="E61" t="inlineStr">
        <ns0:is>
          <ns0:t>kilogram</ns0:t>
        </ns0:is>
      </ns0:c>
      <ns0:c r="G61" t="inlineStr">
        <ns0:is>
          <ns0:t>technosphere</ns0:t>
        </ns0:is>
      </ns0:c>
      <ns0:c r="I61" t="n">
        <ns0:v>2</ns0:v>
      </ns0:c>
      <ns0:c r="J61" t="n">
        <ns0:f>LN(B61*-1)</ns0:f>
        <ns0:v>-8.109064965888589</ns0:v>
      </ns0:c>
      <ns0:c r="K61" t="n">
        <ns0:v>0.06652067347825036</ns0:v>
      </ns0:c>
      <ns0:c r="L61" t="inlineStr">
        <ns0:is>
          <ns0:t>Amount reported by worldsteel (2010) and is representative of the average global situation in 2009. Also based on worldsteel (2010), an internal recovery (recycling) rate of 14% is assumed. Source: Worldsteel (2010). Steel industry by-products. World Steel Association: Brussels, Belgium.</ns0:t>
        </ns0:is>
      </ns0:c>
      <ns0:c r="N61" t="b">
        <ns0:v>1</ns0:v>
      </ns0:c>
    </ns0:row>
    <ns0:row r="62">
      <ns0:c r="A62" t="inlineStr">
        <ns0:is>
          <ns0:t>market for basic oxygen furnace slag</ns0:t>
        </ns0:is>
      </ns0:c>
      <ns0:c r="B62" t="n">
        <ns0:v>-0.1048976</ns0:v>
      </ns0:c>
      <ns0:c r="C62" t="inlineStr">
        <ns0:is>
          <ns0:t>basic oxygen furnace slag</ns0:t>
        </ns0:is>
      </ns0:c>
      <ns0:c r="D62" t="inlineStr">
        <ns0:is>
          <ns0:t>RoW</ns0:t>
        </ns0:is>
      </ns0:c>
      <ns0:c r="E62" t="inlineStr">
        <ns0:is>
          <ns0:t>kilogram</ns0:t>
        </ns0:is>
      </ns0:c>
      <ns0:c r="G62" t="inlineStr">
        <ns0:is>
          <ns0:t>technosphere</ns0:t>
        </ns0:is>
      </ns0:c>
      <ns0:c r="I62" t="n">
        <ns0:v>2</ns0:v>
      </ns0:c>
      <ns0:c r="J62" t="n">
        <ns0:f>LN(B62*-1)</ns0:f>
        <ns0:v>-2.254770642773929</ns0:v>
      </ns0:c>
      <ns0:c r="K62" t="n">
        <ns0:v>0.06652067347825036</ns0:v>
      </ns0:c>
      <ns0:c r="L62" t="inlineStr">
        <ns0:is>
          <ns0:t>Amount reported by worldsteel (2010) and is representative of the average global situation in 2009. Also based on worldsteel (2010), an internal recovery (recycling) rate of 14% is assumed. Source: Worldsteel (2010). Steel industry by-products. World Steel Association: Brussels, Belgium.</ns0:t>
        </ns0:is>
      </ns0:c>
      <ns0:c r="N62" t="b">
        <ns0:v>1</ns0:v>
      </ns0:c>
    </ns0:row>
    <ns0:row r="63">
      <ns0:c r="A63" t="inlineStr">
        <ns0:is>
          <ns0:t>market for basic oxygen furnace sludge</ns0:t>
        </ns0:is>
      </ns0:c>
      <ns0:c r="B63" t="n">
        <ns0:v>-0.0003008</ns0:v>
      </ns0:c>
      <ns0:c r="C63" t="inlineStr">
        <ns0:is>
          <ns0:t>basic oxygen furnace sludge</ns0:t>
        </ns0:is>
      </ns0:c>
      <ns0:c r="D63" t="inlineStr">
        <ns0:is>
          <ns0:t>RoW</ns0:t>
        </ns0:is>
      </ns0:c>
      <ns0:c r="E63" t="inlineStr">
        <ns0:is>
          <ns0:t>kilogram</ns0:t>
        </ns0:is>
      </ns0:c>
      <ns0:c r="G63" t="inlineStr">
        <ns0:is>
          <ns0:t>technosphere</ns0:t>
        </ns0:is>
      </ns0:c>
      <ns0:c r="I63" t="n">
        <ns0:v>2</ns0:v>
      </ns0:c>
      <ns0:c r="J63" t="n">
        <ns0:f>LN(B63*-1)</ns0:f>
        <ns0:v>-8.109064965888589</ns0:v>
      </ns0:c>
      <ns0:c r="K63" t="n">
        <ns0:v>0.06652067347825036</ns0:v>
      </ns0:c>
      <ns0:c r="L63" t="inlineStr">
        <ns0:is>
          <ns0:t>Amount reported by worldsteel (2010) and is representative of the average global situation in 2009. Also based on worldsteel (2010), an internal recovery (recycling) rate of 22% is assumed. Source: Worldsteel (2010). Steel industry by-products. World Steel Association: Brussels, Belgium.</ns0:t>
        </ns0:is>
      </ns0:c>
      <ns0:c r="N63" t="b">
        <ns0:v>1</ns0:v>
      </ns0:c>
    </ns0:row>
    <ns0:row r="64">
      <ns0:c r="A64" t="inlineStr">
        <ns0:is>
          <ns0:t>market for blast oxygen furnace converter</ns0:t>
        </ns0:is>
      </ns0:c>
      <ns0:c r="B64" t="n">
        <ns0:v>1.3333e-11</ns0:v>
      </ns0:c>
      <ns0:c r="C64" t="inlineStr">
        <ns0:is>
          <ns0:t>blast oxygen furnace converter</ns0:t>
        </ns0:is>
      </ns0:c>
      <ns0:c r="D64" t="inlineStr">
        <ns0:is>
          <ns0:t>GLO</ns0:t>
        </ns0:is>
      </ns0:c>
      <ns0:c r="E64" t="inlineStr">
        <ns0:is>
          <ns0:t>unit</ns0:t>
        </ns0:is>
      </ns0:c>
      <ns0:c r="G64" t="inlineStr">
        <ns0:is>
          <ns0:t>technosphere</ns0:t>
        </ns0:is>
      </ns0:c>
      <ns0:c r="I64" t="n">
        <ns0:v>2</ns0:v>
      </ns0:c>
      <ns0:c r="J64" t="n">
        <ns0:f>LN(B64)</ns0:f>
        <ns0:v>-25.040778950795225</ns0:v>
      </ns0:c>
      <ns0:c r="K64" t="n">
        <ns0:v>0.7071067811865476</ns0:v>
      </ns0:c>
      <ns0:c r="L64" t="inlineStr">
        <ns0:is>
          <ns0:t>Source: Classen et al. (2009)</ns0:t>
        </ns0:is>
      </ns0:c>
    </ns0:row>
    <ns0:row r="65">
      <ns0:c r="A65" t="inlineStr">
        <ns0:is>
          <ns0:t>market for compressed air, 600 kPa gauge</ns0:t>
        </ns0:is>
      </ns0:c>
      <ns0:c r="B65" t="n">
        <ns0:v>0.014422205101856</ns0:v>
      </ns0:c>
      <ns0:c r="C65" t="inlineStr">
        <ns0:is>
          <ns0:t>compressed air, 600 kPa gauge</ns0:t>
        </ns0:is>
      </ns0:c>
      <ns0:c r="D65" t="inlineStr">
        <ns0:is>
          <ns0:t>RoW</ns0:t>
        </ns0:is>
      </ns0:c>
      <ns0:c r="E65" t="inlineStr">
        <ns0:is>
          <ns0:t>cubic meter</ns0:t>
        </ns0:is>
      </ns0:c>
      <ns0:c r="G65" t="inlineStr">
        <ns0:is>
          <ns0:t>technosphere</ns0:t>
        </ns0:is>
      </ns0:c>
      <ns0:c r="I65" t="n">
        <ns0:v>2</ns0:v>
      </ns0:c>
      <ns0:c r="J65" t="n">
        <ns0:f>LN(B65)</ns0:f>
        <ns0:v>-4.238986239131475</ns0:v>
      </ns0:c>
      <ns0:c r="K65" t="n">
        <ns0:v>0.239165214862028</ns0:v>
      </ns0:c>
      <ns0:c r="L65" t="inlineStr">
        <ns0:is>
          <ns0:t>geometric mean of Remus et al. (2013) data range</ns0:t>
        </ns0:is>
      </ns0:c>
    </ns0:row>
    <ns0:row r="66">
      <ns0:c r="A66" t="inlineStr">
        <ns0:is>
          <ns0:t>market for ferromanganese, high-coal, 74.5% Mn</ns0:t>
        </ns0:is>
      </ns0:c>
      <ns0:c r="B66" t="n">
        <ns0:v>0.006</ns0:v>
      </ns0:c>
      <ns0:c r="C66" t="inlineStr">
        <ns0:is>
          <ns0:t>ferromanganese, high-coal, 74.5% Mn</ns0:t>
        </ns0:is>
      </ns0:c>
      <ns0:c r="D66" t="inlineStr">
        <ns0:is>
          <ns0:t>GLO</ns0:t>
        </ns0:is>
      </ns0:c>
      <ns0:c r="E66" t="inlineStr">
        <ns0:is>
          <ns0:t>kilogram</ns0:t>
        </ns0:is>
      </ns0:c>
      <ns0:c r="G66" t="inlineStr">
        <ns0:is>
          <ns0:t>technosphere</ns0:t>
        </ns0:is>
      </ns0:c>
      <ns0:c r="I66" t="n">
        <ns0:v>2</ns0:v>
      </ns0:c>
      <ns0:c r="J66" t="n">
        <ns0:f>LN(B66)</ns0:f>
        <ns0:v>-5.115995809754082</ns0:v>
      </ns0:c>
      <ns0:c r="K66" t="n">
        <ns0:v>0.058309518948453</ns0:v>
      </ns0:c>
      <ns0:c r="L66" t="inlineStr">
        <ns0:is>
          <ns0:t>Source: Classen et al. (2009)</ns0:t>
        </ns0:is>
      </ns0:c>
    </ns0:row>
    <ns0:row r="67">
      <ns0:c r="A67" t="inlineStr">
        <ns0:is>
          <ns0:t>market for inert waste, for final disposal</ns0:t>
        </ns0:is>
      </ns0:c>
      <ns0:c r="B67" t="n">
        <ns0:v>-0.000565685</ns0:v>
      </ns0:c>
      <ns0:c r="C67" t="inlineStr">
        <ns0:is>
          <ns0:t>inert waste, for final disposal</ns0:t>
        </ns0:is>
      </ns0:c>
      <ns0:c r="D67" t="inlineStr">
        <ns0:is>
          <ns0:t>RoW</ns0:t>
        </ns0:is>
      </ns0:c>
      <ns0:c r="E67" t="inlineStr">
        <ns0:is>
          <ns0:t>kilogram</ns0:t>
        </ns0:is>
      </ns0:c>
      <ns0:c r="G67" t="inlineStr">
        <ns0:is>
          <ns0:t>technosphere</ns0:t>
        </ns0:is>
      </ns0:c>
      <ns0:c r="I67" t="n">
        <ns0:v>2</ns0:v>
      </ns0:c>
      <ns0:c r="J67" t="n">
        <ns0:f>LN(B67*-1)</ns0:f>
        <ns0:v>-7.477473171787821</ns0:v>
      </ns0:c>
      <ns0:c r="K67" t="n">
        <ns0:v>0.06652067347825036</ns0:v>
      </ns0:c>
      <ns0:c r="L67" t="inlineStr">
        <ns0:is>
          <ns0:t>Represents used refractories, etc.</ns0:t>
        </ns0:is>
      </ns0:c>
      <ns0:c r="N67" t="b">
        <ns0:v>1</ns0:v>
      </ns0:c>
    </ns0:row>
    <ns0:row r="68">
      <ns0:c r="A68" t="inlineStr">
        <ns0:is>
          <ns0:t>market for mill scale</ns0:t>
        </ns0:is>
      </ns0:c>
      <ns0:c r="B68" t="n">
        <ns0:v>-6.63e-05</ns0:v>
      </ns0:c>
      <ns0:c r="C68" t="inlineStr">
        <ns0:is>
          <ns0:t>mill scale</ns0:t>
        </ns0:is>
      </ns0:c>
      <ns0:c r="D68" t="inlineStr">
        <ns0:is>
          <ns0:t>RoW</ns0:t>
        </ns0:is>
      </ns0:c>
      <ns0:c r="E68" t="inlineStr">
        <ns0:is>
          <ns0:t>kilogram</ns0:t>
        </ns0:is>
      </ns0:c>
      <ns0:c r="G68" t="inlineStr">
        <ns0:is>
          <ns0:t>technosphere</ns0:t>
        </ns0:is>
      </ns0:c>
      <ns0:c r="I68" t="n">
        <ns0:v>2</ns0:v>
      </ns0:c>
      <ns0:c r="J68" t="n">
        <ns0:f>LN(B68*-1)</ns0:f>
        <ns0:v>-9.621320660772458</ns0:v>
      </ns0:c>
      <ns0:c r="K68" t="n">
        <ns0:v>0.06652067347825036</ns0:v>
      </ns0:c>
      <ns0:c r="L68" t="inlineStr">
        <ns0:is>
          <ns0:t>Amount reported by worldsteel (2010) and is representative of the average global situation in 2009. Also based on worldsteel (2010), an internal recovery (recycling) rate of 89% is assumed. Source: Worldsteel (2010). Steel industry by-products. World Steel Association: Brussels, Belgium.</ns0:t>
        </ns0:is>
      </ns0:c>
      <ns0:c r="N68" t="b">
        <ns0:v>1</ns0:v>
      </ns0:c>
    </ns0:row>
    <ns0:row r="69">
      <ns0:c r="A69" t="inlineStr">
        <ns0:is>
          <ns0:t>market for oxygen, liquid</ns0:t>
        </ns0:is>
      </ns0:c>
      <ns0:c r="B69" t="n">
        <ns0:v>0.0780539963102467</ns0:v>
      </ns0:c>
      <ns0:c r="C69" t="inlineStr">
        <ns0:is>
          <ns0:t>oxygen, liquid</ns0:t>
        </ns0:is>
      </ns0:c>
      <ns0:c r="D69" t="inlineStr">
        <ns0:is>
          <ns0:t>RoW</ns0:t>
        </ns0:is>
      </ns0:c>
      <ns0:c r="E69" t="inlineStr">
        <ns0:is>
          <ns0:t>kilogram</ns0:t>
        </ns0:is>
      </ns0:c>
      <ns0:c r="G69" t="inlineStr">
        <ns0:is>
          <ns0:t>technosphere</ns0:t>
        </ns0:is>
      </ns0:c>
      <ns0:c r="I69" t="n">
        <ns0:v>2</ns0:v>
      </ns0:c>
      <ns0:c r="J69" t="n">
        <ns0:f>LN(B69)</ns0:f>
        <ns0:v>-2.550354431406464</ns0:v>
      </ns0:c>
      <ns0:c r="K69" t="n">
        <ns0:v>0.058309518948453</ns0:v>
      </ns0:c>
      <ns0:c r="L69" t="inlineStr">
        <ns0:is>
          <ns0:t>geometric mean of Remus et al. (2013) data range</ns0:t>
        </ns0:is>
      </ns0:c>
    </ns0:row>
    <ns0:row r="70">
      <ns0:c r="A70" t="inlineStr">
        <ns0:is>
          <ns0:t>market for quicklime, in pieces, loose</ns0:t>
        </ns0:is>
      </ns0:c>
      <ns0:c r="B70" t="n">
        <ns0:v>0.0448330235429198</ns0:v>
      </ns0:c>
      <ns0:c r="C70" t="inlineStr">
        <ns0:is>
          <ns0:t>quicklime, in pieces, loose</ns0:t>
        </ns0:is>
      </ns0:c>
      <ns0:c r="D70" t="inlineStr">
        <ns0:is>
          <ns0:t>RoW</ns0:t>
        </ns0:is>
      </ns0:c>
      <ns0:c r="E70" t="inlineStr">
        <ns0:is>
          <ns0:t>kilogram</ns0:t>
        </ns0:is>
      </ns0:c>
      <ns0:c r="G70" t="inlineStr">
        <ns0:is>
          <ns0:t>technosphere</ns0:t>
        </ns0:is>
      </ns0:c>
      <ns0:c r="I70" t="n">
        <ns0:v>2</ns0:v>
      </ns0:c>
      <ns0:c r="J70" t="n">
        <ns0:f>LN(B70)</ns0:f>
        <ns0:v>-3.104810278455576</ns0:v>
      </ns0:c>
      <ns0:c r="K70" t="n">
        <ns0:v>0.058309518948453</ns0:v>
      </ns0:c>
      <ns0:c r="L70" t="inlineStr">
        <ns0:is>
          <ns0:t>geometric mean of Remus et al. (2013) data range</ns0:t>
        </ns0:is>
      </ns0:c>
    </ns0:row>
    <ns0:row r="71">
      <ns0:c r="A71" t="inlineStr">
        <ns0:is>
          <ns0:t>market for soda ash, dense</ns0:t>
        </ns0:is>
      </ns0:c>
      <ns0:c r="B71" t="n">
        <ns0:v>0.003569</ns0:v>
      </ns0:c>
      <ns0:c r="C71" t="inlineStr">
        <ns0:is>
          <ns0:t>soda ash, dense</ns0:t>
        </ns0:is>
      </ns0:c>
      <ns0:c r="D71" t="inlineStr">
        <ns0:is>
          <ns0:t>GLO</ns0:t>
        </ns0:is>
      </ns0:c>
      <ns0:c r="E71" t="inlineStr">
        <ns0:is>
          <ns0:t>kilogram</ns0:t>
        </ns0:is>
      </ns0:c>
      <ns0:c r="G71" t="inlineStr">
        <ns0:is>
          <ns0:t>technosphere</ns0:t>
        </ns0:is>
      </ns0:c>
    </ns0:row>
    <ns0:row r="72">
      <ns0:c r="A72" t="inlineStr">
        <ns0:is>
          <ns0:t>market for sodium sulfate, anhydrite</ns0:t>
        </ns0:is>
      </ns0:c>
      <ns0:c r="B72" t="n">
        <ns0:v>0.001389</ns0:v>
      </ns0:c>
      <ns0:c r="C72" t="inlineStr">
        <ns0:is>
          <ns0:t>sodium sulfate, anhydrite</ns0:t>
        </ns0:is>
      </ns0:c>
      <ns0:c r="D72" t="inlineStr">
        <ns0:is>
          <ns0:t>RoW</ns0:t>
        </ns0:is>
      </ns0:c>
      <ns0:c r="E72" t="inlineStr">
        <ns0:is>
          <ns0:t>kilogram</ns0:t>
        </ns0:is>
      </ns0:c>
      <ns0:c r="G72" t="inlineStr">
        <ns0:is>
          <ns0:t>technosphere</ns0:t>
        </ns0:is>
      </ns0:c>
    </ns0:row>
    <ns0:row r="73">
      <ns0:c r="A73" t="inlineStr">
        <ns0:is>
          <ns0:t>market for sulfuric acid</ns0:t>
        </ns0:is>
      </ns0:c>
      <ns0:c r="B73" t="n">
        <ns0:v>0.001653</ns0:v>
      </ns0:c>
      <ns0:c r="C73" t="inlineStr">
        <ns0:is>
          <ns0:t>sulfuric acid</ns0:t>
        </ns0:is>
      </ns0:c>
      <ns0:c r="D73" t="inlineStr">
        <ns0:is>
          <ns0:t>RoW</ns0:t>
        </ns0:is>
      </ns0:c>
      <ns0:c r="E73" t="inlineStr">
        <ns0:is>
          <ns0:t>kilogram</ns0:t>
        </ns0:is>
      </ns0:c>
      <ns0:c r="G73" t="inlineStr">
        <ns0:is>
          <ns0:t>technosphere</ns0:t>
        </ns0:is>
      </ns0:c>
    </ns0:row>
    <ns0:row r="74">
      <ns0:c r="A74" t="inlineStr">
        <ns0:is>
          <ns0:t>market for wastewater from pig iron production</ns0:t>
        </ns0:is>
      </ns0:c>
      <ns0:c r="B74" t="n">
        <ns0:v>-0.00134164078649987</ns0:v>
      </ns0:c>
      <ns0:c r="C74" t="inlineStr">
        <ns0:is>
          <ns0:t>wastewater from pig iron production</ns0:t>
        </ns0:is>
      </ns0:c>
      <ns0:c r="D74" t="inlineStr">
        <ns0:is>
          <ns0:t>RoW</ns0:t>
        </ns0:is>
      </ns0:c>
      <ns0:c r="E74" t="inlineStr">
        <ns0:is>
          <ns0:t>cubic meter</ns0:t>
        </ns0:is>
      </ns0:c>
      <ns0:c r="G74" t="inlineStr">
        <ns0:is>
          <ns0:t>technosphere</ns0:t>
        </ns0:is>
      </ns0:c>
      <ns0:c r="I74" t="n">
        <ns0:v>2</ns0:v>
      </ns0:c>
      <ns0:c r="J74" t="n">
        <ns0:f>LN(B74*-1)</ns0:f>
        <ns0:v>-6.61386194653108</ns0:v>
      </ns0:c>
      <ns0:c r="K74" t="n">
        <ns0:v>0.30199337741083</ns0:v>
      </ns0:c>
      <ns0:c r="L74" t="inlineStr">
        <ns0:is>
          <ns0:t>geometric mean of Remus et al. (2013) data range</ns0:t>
        </ns0:is>
      </ns0:c>
      <ns0:c r="N74" t="b">
        <ns0:v>1</ns0:v>
      </ns0:c>
    </ns0:row>
    <ns0:row r="75">
      <ns0:c r="A75" t="inlineStr">
        <ns0:is>
          <ns0:t>market group for electricity, medium voltage</ns0:t>
        </ns0:is>
      </ns0:c>
      <ns0:c r="B75" t="n">
        <ns0:v>0.02086</ns0:v>
      </ns0:c>
      <ns0:c r="C75" t="inlineStr">
        <ns0:is>
          <ns0:t>electricity, medium voltage</ns0:t>
        </ns0:is>
      </ns0:c>
      <ns0:c r="D75" t="inlineStr">
        <ns0:is>
          <ns0:t>CN</ns0:t>
        </ns0:is>
      </ns0:c>
      <ns0:c r="E75" t="inlineStr">
        <ns0:is>
          <ns0:t>kilowatt hour</ns0:t>
        </ns0:is>
      </ns0:c>
      <ns0:c r="G75" t="inlineStr">
        <ns0:is>
          <ns0:t>technosphere</ns0:t>
        </ns0:is>
      </ns0:c>
    </ns0:row>
    <ns0:row r="76">
      <ns0:c r="A76" t="inlineStr">
        <ns0:is>
          <ns0:t>vanadium bearing magnetite production</ns0:t>
        </ns0:is>
      </ns0:c>
      <ns0:c r="B76" t="n">
        <ns0:v>0.86</ns0:v>
      </ns0:c>
      <ns0:c r="C76" t="inlineStr">
        <ns0:is>
          <ns0:t>vanadium bearing magnetite</ns0:t>
        </ns0:is>
      </ns0:c>
      <ns0:c r="D76" t="inlineStr">
        <ns0:is>
          <ns0:t>CN</ns0:t>
        </ns0:is>
      </ns0:c>
      <ns0:c r="E76" t="inlineStr">
        <ns0:is>
          <ns0:t>kilogram</ns0:t>
        </ns0:is>
      </ns0:c>
      <ns0:c r="G76" t="inlineStr">
        <ns0:is>
          <ns0:t>technosphere</ns0:t>
        </ns0:is>
      </ns0:c>
    </ns0:row>
    <ns0:row r="77"/>
    <ns0:row r="78">
      <ns0:c r="A78" s="1" t="inlineStr">
        <ns0:is>
          <ns0:t>Activity</ns0:t>
        </ns0:is>
      </ns0:c>
      <ns0:c r="B78" s="1" t="inlineStr">
        <ns0:is>
          <ns0:t>vanadium pentoxide bearing cast iron, production</ns0:t>
        </ns0:is>
      </ns0:c>
    </ns0:row>
    <ns0:row r="79">
      <ns0:c r="A79" t="inlineStr">
        <ns0:is>
          <ns0:t>comment</ns0:t>
        </ns0:is>
      </ns0:c>
      <ns0:c r="B79" t="inlineStr">
        <ns0:is>
          <ns0:t>Premise 2.5.4: normalized to 1 kg reference product from an output of 1.32 kg; all non-production exchanges divided by that output. Published process yields are retained. Lognormal uncertainties of changed exchanges are centered on the corrected absolute amount (loc = ln(abs(amount))); relative scale is retained. 
Original source notes: Source: Weber et al. (2018). Life cycle assessment of a vanadium redox flow battery. Environmental science &amp; technology, 52(18), 10864-10873. https://doi.org/10.1021/acs.est.8b02073.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35% scrap and 65% pig iron assumed as iron input
Geography:  Data relate to plants in the EU
Technology:  Electric arc furnace for melting. Energy consumption and emissions from EAF steel making</ns0:t>
        </ns0:is>
      </ns0:c>
    </ns0:row>
    <ns0:row r="80">
      <ns0:c r="A80" t="inlineStr">
        <ns0:is>
          <ns0:t>location</ns0:t>
        </ns0:is>
      </ns0:c>
      <ns0:c r="B80" t="inlineStr">
        <ns0:is>
          <ns0:t>ZA</ns0:t>
        </ns0:is>
      </ns0:c>
    </ns0:row>
    <ns0:row r="81">
      <ns0:c r="A81" t="inlineStr">
        <ns0:is>
          <ns0:t>reference product</ns0:t>
        </ns0:is>
      </ns0:c>
      <ns0:c r="B81" t="inlineStr">
        <ns0:is>
          <ns0:t>vanadium pentoxide bearing cast iron</ns0:t>
        </ns0:is>
      </ns0:c>
    </ns0:row>
    <ns0:row r="82">
      <ns0:c r="A82" t="inlineStr">
        <ns0:is>
          <ns0:t>unit</ns0:t>
        </ns0:is>
      </ns0:c>
      <ns0:c r="B82" t="inlineStr">
        <ns0:is>
          <ns0:t>kilogram</ns0:t>
        </ns0:is>
      </ns0:c>
    </ns0:row>
    <ns0:row r="83">
      <ns0:c r="A83" t="inlineStr">
        <ns0:is>
          <ns0:t>source</ns0:t>
        </ns0:is>
      </ns0:c>
      <ns0:c r="B83" t="inlineStr">
        <ns0:is>
          <ns0:t>Inventory provided by Zhang et al. (2024). Originally from Weber et al. (2018). Life cycle assessment of a vanadium redox flow battery. Environmental science &amp; technology, 52(18), 10864-10873. https://doi.org/10.1021/acs.est.8b02073</ns0:t>
        </ns0:is>
      </ns0:c>
    </ns0:row>
    <ns0:row r="84">
      <ns0:c r="A84" s="1" t="inlineStr">
        <ns0:is>
          <ns0:t>Exchanges</ns0:t>
        </ns0:is>
      </ns0:c>
    </ns0:row>
    <ns0:row r="85">
      <ns0:c r="A85" s="1" t="inlineStr">
        <ns0:is>
          <ns0:t>name</ns0:t>
        </ns0:is>
      </ns0:c>
      <ns0:c r="B85" s="1" t="inlineStr">
        <ns0:is>
          <ns0:t>amount</ns0:t>
        </ns0:is>
      </ns0:c>
      <ns0:c r="C85" s="1" t="inlineStr">
        <ns0:is>
          <ns0:t>reference product</ns0:t>
        </ns0:is>
      </ns0:c>
      <ns0:c r="D85" s="1" t="inlineStr">
        <ns0:is>
          <ns0:t>location</ns0:t>
        </ns0:is>
      </ns0:c>
      <ns0:c r="E85" s="1" t="inlineStr">
        <ns0:is>
          <ns0:t>unit</ns0:t>
        </ns0:is>
      </ns0:c>
      <ns0:c r="F85" s="1" t="inlineStr">
        <ns0:is>
          <ns0:t>categories</ns0:t>
        </ns0:is>
      </ns0:c>
      <ns0:c r="G85" s="1" t="inlineStr">
        <ns0:is>
          <ns0:t>type</ns0:t>
        </ns0:is>
      </ns0:c>
      <ns0:c r="H85" s="1" t="inlineStr">
        <ns0:is>
          <ns0:t>formula</ns0:t>
        </ns0:is>
      </ns0:c>
      <ns0:c r="I85" s="1" t="inlineStr">
        <ns0:is>
          <ns0:t>uncertainty type</ns0:t>
        </ns0:is>
      </ns0:c>
      <ns0:c r="J85" s="1" t="inlineStr">
        <ns0:is>
          <ns0:t>loc</ns0:t>
        </ns0:is>
      </ns0:c>
      <ns0:c r="K85" s="1" t="inlineStr">
        <ns0:is>
          <ns0:t>scale</ns0:t>
        </ns0:is>
      </ns0:c>
      <ns0:c r="L85" s="1" t="inlineStr">
        <ns0:is>
          <ns0:t>comment</ns0:t>
        </ns0:is>
      </ns0:c>
      <ns0:c r="M85" s="1" t="inlineStr">
        <ns0:is>
          <ns0:t>production volume</ns0:t>
        </ns0:is>
      </ns0:c>
      <ns0:c r="N85" s="1" t="inlineStr">
        <ns0:is>
          <ns0:t>negative</ns0:t>
        </ns0:is>
      </ns0:c>
    </ns0:row>
    <ns0:row r="86">
      <ns0:c r="A86" t="inlineStr">
        <ns0:is>
          <ns0:t>Benzene</ns0:t>
        </ns0:is>
      </ns0:c>
      <ns0:c r="B86" t="n">
        <ns0:v>1.731060606060606e-06</ns0:v>
      </ns0:c>
      <ns0:c r="E86" t="inlineStr">
        <ns0:is>
          <ns0:t>kilogram</ns0:t>
        </ns0:is>
      </ns0:c>
      <ns0:c r="F86" t="inlineStr">
        <ns0:is>
          <ns0:t>air</ns0:t>
        </ns0:is>
      </ns0:c>
      <ns0:c r="G86" t="inlineStr">
        <ns0:is>
          <ns0:t>biosphere</ns0:t>
        </ns0:is>
      </ns0:c>
      <ns0:c r="H86" t="inlineStr">
        <ns0:is>
          <ns0:t>C6H6</ns0:t>
        </ns0:is>
      </ns0:c>
      <ns0:c r="I86" t="n">
        <ns0:v>2</ns0:v>
      </ns0:c>
      <ns0:c r="J86" t="n">
        <ns0:v>-13.26677627021639</ns0:v>
      </ns0:c>
      <ns0:c r="K86" t="n">
        <ns0:v>0.4256759330758553</ns0:v>
      </ns0:c>
      <ns0:c r="L86" t="inlineStr">
        <ns0:is>
          <ns0:t>Premise 2.5.4: Original amount 2.285e-06; scale 0.7575757575757576.</ns0:t>
        </ns0:is>
      </ns0:c>
      <ns0:c r="N86" t="b">
        <ns0:v>0</ns0:v>
      </ns0:c>
    </ns0:row>
    <ns0:row r="87">
      <ns0:c r="A87" t="inlineStr">
        <ns0:is>
          <ns0:t>Benzene, hexachloro-</ns0:t>
        </ns0:is>
      </ns0:c>
      <ns0:c r="B87" t="n">
        <ns0:v>1.515151515151515e-08</ns0:v>
      </ns0:c>
      <ns0:c r="E87" t="inlineStr">
        <ns0:is>
          <ns0:t>kilogram</ns0:t>
        </ns0:is>
      </ns0:c>
      <ns0:c r="F87" t="inlineStr">
        <ns0:is>
          <ns0:t>air</ns0:t>
        </ns0:is>
      </ns0:c>
      <ns0:c r="G87" t="inlineStr">
        <ns0:is>
          <ns0:t>biosphere</ns0:t>
        </ns0:is>
      </ns0:c>
      <ns0:c r="H87" t="inlineStr">
        <ns0:is>
          <ns0:t>C6Cl6</ns0:t>
        </ns0:is>
      </ns0:c>
      <ns0:c r="I87" t="n">
        <ns0:v>2</ns0:v>
      </ns0:c>
      <ns0:c r="J87" t="n">
        <ns0:v>-18.0051652999907</ns0:v>
      </ns0:c>
      <ns0:c r="K87" t="n">
        <ns0:v>0.4256759330758553</ns0:v>
      </ns0:c>
      <ns0:c r="L87" t="inlineStr">
        <ns0:is>
          <ns0:t>Premise 2.5.4: Original amount 2e-08; scale 0.7575757575757576.</ns0:t>
        </ns0:is>
      </ns0:c>
      <ns0:c r="N87" t="b">
        <ns0:v>0</ns0:v>
      </ns0:c>
    </ns0:row>
    <ns0:row r="88">
      <ns0:c r="A88" t="inlineStr">
        <ns0:is>
          <ns0:t>Cadmium II</ns0:t>
        </ns0:is>
      </ns0:c>
      <ns0:c r="B88" t="n">
        <ns0:v>2.765151515151515e-08</ns0:v>
      </ns0:c>
      <ns0:c r="E88" t="inlineStr">
        <ns0:is>
          <ns0:t>kilogram</ns0:t>
        </ns0:is>
      </ns0:c>
      <ns0:c r="F88" t="inlineStr">
        <ns0:is>
          <ns0:t>air</ns0:t>
        </ns0:is>
      </ns0:c>
      <ns0:c r="G88" t="inlineStr">
        <ns0:is>
          <ns0:t>biosphere</ns0:t>
        </ns0:is>
      </ns0:c>
      <ns0:c r="H88" t="inlineStr">
        <ns0:is>
          <ns0:t>Cd</ns0:t>
        </ns0:is>
      </ns0:c>
      <ns0:c r="I88" t="n">
        <ns0:v>2</ns0:v>
      </ns0:c>
      <ns0:c r="J88" t="n">
        <ns0:v>-17.40358531295625</ns0:v>
      </ns0:c>
      <ns0:c r="K88" t="n">
        <ns0:v>0.8433267456923207</ns0:v>
      </ns0:c>
      <ns0:c r="L88" t="inlineStr">
        <ns0:is>
          <ns0:t>Premise 2.5.4: Original amount 3.65e-08; scale 0.7575757575757576.</ns0:t>
        </ns0:is>
      </ns0:c>
      <ns0:c r="N88" t="b">
        <ns0:v>0</ns0:v>
      </ns0:c>
    </ns0:row>
    <ns0:row r="89">
      <ns0:c r="A89" t="inlineStr">
        <ns0:is>
          <ns0:t>Carbon monoxide, fossil</ns0:t>
        </ns0:is>
      </ns0:c>
      <ns0:c r="B89" t="n">
        <ns0:v>0.001757575757575757</ns0:v>
      </ns0:c>
      <ns0:c r="E89" t="inlineStr">
        <ns0:is>
          <ns0:t>kilogram</ns0:t>
        </ns0:is>
      </ns0:c>
      <ns0:c r="F89" t="inlineStr">
        <ns0:is>
          <ns0:t>air</ns0:t>
        </ns0:is>
      </ns0:c>
      <ns0:c r="G89" t="inlineStr">
        <ns0:is>
          <ns0:t>biosphere</ns0:t>
        </ns0:is>
      </ns0:c>
      <ns0:c r="H89" t="inlineStr">
        <ns0:is>
          <ns0:t>CO</ns0:t>
        </ns0:is>
      </ns0:c>
      <ns0:c r="I89" t="n">
        <ns0:v>2</ns0:v>
      </ns0:c>
      <ns0:c r="J89" t="n">
        <ns0:v>-6.343819829902198</ns0:v>
      </ns0:c>
      <ns0:c r="K89" t="n">
        <ns0:v>0.8433267456923207</ns0:v>
      </ns0:c>
      <ns0:c r="L89" t="inlineStr">
        <ns0:is>
          <ns0:t>Premise 2.5.4: Original amount 0.00232; scale 0.7575757575757576.</ns0:t>
        </ns0:is>
      </ns0:c>
      <ns0:c r="N89" t="b">
        <ns0:v>0</ns0:v>
      </ns0:c>
    </ns0:row>
    <ns0:row r="90">
      <ns0:c r="A90" t="inlineStr">
        <ns0:is>
          <ns0:t>Chromium III</ns0:t>
        </ns0:is>
      </ns0:c>
      <ns0:c r="B90" t="n">
        <ns0:v>9.5e-07</ns0:v>
      </ns0:c>
      <ns0:c r="E90" t="inlineStr">
        <ns0:is>
          <ns0:t>kilogram</ns0:t>
        </ns0:is>
      </ns0:c>
      <ns0:c r="F90" t="inlineStr">
        <ns0:is>
          <ns0:t>air</ns0:t>
        </ns0:is>
      </ns0:c>
      <ns0:c r="G90" t="inlineStr">
        <ns0:is>
          <ns0:t>biosphere</ns0:t>
        </ns0:is>
      </ns0:c>
      <ns0:c r="H90" t="inlineStr">
        <ns0:is>
          <ns0:t>Cr</ns0:t>
        </ns0:is>
      </ns0:c>
      <ns0:c r="I90" t="n">
        <ns0:v>2</ns0:v>
      </ns0:c>
      <ns0:c r="J90" t="n">
        <ns0:v>-13.86680385235182</ns0:v>
      </ns0:c>
      <ns0:c r="K90" t="n">
        <ns0:v>0.8433267456923207</ns0:v>
      </ns0:c>
      <ns0:c r="L90" t="inlineStr">
        <ns0:is>
          <ns0:t>Premise 2.5.4: Original amount 1.254e-06; scale 0.7575757575757576.</ns0:t>
        </ns0:is>
      </ns0:c>
      <ns0:c r="N90" t="b">
        <ns0:v>0</ns0:v>
      </ns0:c>
    </ns0:row>
    <ns0:row r="91">
      <ns0:c r="A91" t="inlineStr">
        <ns0:is>
          <ns0:t>Copper ion</ns0:t>
        </ns0:is>
      </ns0:c>
      <ns0:c r="B91" t="n">
        <ns0:v>1.746212121212121e-07</ns0:v>
      </ns0:c>
      <ns0:c r="E91" t="inlineStr">
        <ns0:is>
          <ns0:t>kilogram</ns0:t>
        </ns0:is>
      </ns0:c>
      <ns0:c r="F91" t="inlineStr">
        <ns0:is>
          <ns0:t>air</ns0:t>
        </ns0:is>
      </ns0:c>
      <ns0:c r="G91" t="inlineStr">
        <ns0:is>
          <ns0:t>biosphere</ns0:t>
        </ns0:is>
      </ns0:c>
      <ns0:c r="H91" t="inlineStr">
        <ns0:is>
          <ns0:t>Cu</ns0:t>
        </ns0:is>
      </ns0:c>
      <ns0:c r="I91" t="n">
        <ns0:v>2</ns0:v>
      </ns0:c>
      <ns0:c r="J91" t="n">
        <ns0:v>-15.56064671110799</ns0:v>
      </ns0:c>
      <ns0:c r="K91" t="n">
        <ns0:v>0.8433267456923207</ns0:v>
      </ns0:c>
      <ns0:c r="L91" t="inlineStr">
        <ns0:is>
          <ns0:t>Premise 2.5.4: Original amount 2.305e-07; scale 0.7575757575757576.</ns0:t>
        </ns0:is>
      </ns0:c>
      <ns0:c r="N91" t="b">
        <ns0:v>0</ns0:v>
      </ns0:c>
    </ns0:row>
    <ns0:row r="92">
      <ns0:c r="A92" t="inlineStr">
        <ns0:is>
          <ns0:t>Dioxins, measured as 2,3,7,8-tetrachlorodibenzo-p-dioxin</ns0:t>
        </ns0:is>
      </ns0:c>
      <ns0:c r="B92" t="n">
        <ns0:v>3.435606060606061e-12</ns0:v>
      </ns0:c>
      <ns0:c r="E92" t="inlineStr">
        <ns0:is>
          <ns0:t>kilogram</ns0:t>
        </ns0:is>
      </ns0:c>
      <ns0:c r="F92" t="inlineStr">
        <ns0:is>
          <ns0:t>air</ns0:t>
        </ns0:is>
      </ns0:c>
      <ns0:c r="G92" t="inlineStr">
        <ns0:is>
          <ns0:t>biosphere</ns0:t>
        </ns0:is>
      </ns0:c>
      <ns0:c r="H92" t="inlineStr">
        <ns0:is>
          <ns0:t>C12H4Cl4O2</ns0:t>
        </ns0:is>
      </ns0:c>
      <ns0:c r="I92" t="n">
        <ns0:v>2</ns0:v>
      </ns0:c>
      <ns0:c r="J92" t="n">
        <ns0:v>-26.39682776895973</ns0:v>
      </ns0:c>
      <ns0:c r="K92" t="n">
        <ns0:v>0.6009991680526688</ns0:v>
      </ns0:c>
      <ns0:c r="L92" t="inlineStr">
        <ns0:is>
          <ns0:t>Premise 2.5.4: Original amount 4.535e-12; scale 0.7575757575757576.</ns0:t>
        </ns0:is>
      </ns0:c>
      <ns0:c r="N92" t="b">
        <ns0:v>0</ns0:v>
      </ns0:c>
    </ns0:row>
    <ns0:row r="93">
      <ns0:c r="A93" t="inlineStr">
        <ns0:is>
          <ns0:t>Hydrocarbons, aromatic</ns0:t>
        </ns0:is>
      </ns0:c>
      <ns0:c r="B93" t="n">
        <ns0:v>5.833939393939394e-05</ns0:v>
      </ns0:c>
      <ns0:c r="E93" t="inlineStr">
        <ns0:is>
          <ns0:t>kilogram</ns0:t>
        </ns0:is>
      </ns0:c>
      <ns0:c r="F93" t="inlineStr">
        <ns0:is>
          <ns0:t>air</ns0:t>
        </ns0:is>
      </ns0:c>
      <ns0:c r="G93" t="inlineStr">
        <ns0:is>
          <ns0:t>biosphere</ns0:t>
        </ns0:is>
      </ns0:c>
      <ns0:c r="I93" t="n">
        <ns0:v>2</ns0:v>
      </ns0:c>
      <ns0:c r="J93" t="n">
        <ns0:v>-9.7492329820018</ns0:v>
      </ns0:c>
      <ns0:c r="K93" t="n">
        <ns0:v>0.3181194744117373</ns0:v>
      </ns0:c>
      <ns0:c r="L93" t="inlineStr">
        <ns0:is>
          <ns0:t>Premise 2.5.4: Original amount 7.700800000000001e-05; scale 0.7575757575757576.</ns0:t>
        </ns0:is>
      </ns0:c>
      <ns0:c r="N93" t="b">
        <ns0:v>0</ns0:v>
      </ns0:c>
    </ns0:row>
    <ns0:row r="94">
      <ns0:c r="A94" t="inlineStr">
        <ns0:is>
          <ns0:t>Hydrochloric acid</ns0:t>
        </ns0:is>
      </ns0:c>
      <ns0:c r="B94" t="n">
        <ns0:v>3.93939393939394e-06</ns0:v>
      </ns0:c>
      <ns0:c r="E94" t="inlineStr">
        <ns0:is>
          <ns0:t>kilogram</ns0:t>
        </ns0:is>
      </ns0:c>
      <ns0:c r="F94" t="inlineStr">
        <ns0:is>
          <ns0:t>air</ns0:t>
        </ns0:is>
      </ns0:c>
      <ns0:c r="G94" t="inlineStr">
        <ns0:is>
          <ns0:t>biosphere</ns0:t>
        </ns0:is>
      </ns0:c>
      <ns0:c r="H94" t="inlineStr">
        <ns0:is>
          <ns0:t>ClH</ns0:t>
        </ns0:is>
      </ns0:c>
      <ns0:c r="I94" t="n">
        <ns0:v>2</ns0:v>
      </ns0:c>
      <ns0:c r="J94" t="n">
        <ns0:v>-12.44448366897517</ns0:v>
      </ns0:c>
      <ns0:c r="K94" t="n">
        <ns0:v>0.3181194744117373</ns0:v>
      </ns0:c>
      <ns0:c r="L94" t="inlineStr">
        <ns0:is>
          <ns0:t>Premise 2.5.4: Original amount 5.2e-06; scale 0.7575757575757576.</ns0:t>
        </ns0:is>
      </ns0:c>
      <ns0:c r="N94" t="b">
        <ns0:v>0</ns0:v>
      </ns0:c>
    </ns0:row>
    <ns0:row r="95">
      <ns0:c r="A95" t="inlineStr">
        <ns0:is>
          <ns0:t>Hydrogen fluoride</ns0:t>
        </ns0:is>
      </ns0:c>
      <ns0:c r="B95" t="n">
        <ns0:v>1.78030303030303e-06</ns0:v>
      </ns0:c>
      <ns0:c r="E95" t="inlineStr">
        <ns0:is>
          <ns0:t>kilogram</ns0:t>
        </ns0:is>
      </ns0:c>
      <ns0:c r="F95" t="inlineStr">
        <ns0:is>
          <ns0:t>air</ns0:t>
        </ns0:is>
      </ns0:c>
      <ns0:c r="G95" t="inlineStr">
        <ns0:is>
          <ns0:t>biosphere</ns0:t>
        </ns0:is>
      </ns0:c>
      <ns0:c r="H95" t="inlineStr">
        <ns0:is>
          <ns0:t>FH</ns0:t>
        </ns0:is>
      </ns0:c>
      <ns0:c r="I95" t="n">
        <ns0:v>2</ns0:v>
      </ns0:c>
      <ns0:c r="J95" t="n">
        <ns0:v>-13.23872696640649</ns0:v>
      </ns0:c>
      <ns0:c r="K95" t="n">
        <ns0:v>0.3181194744117373</ns0:v>
      </ns0:c>
      <ns0:c r="L95" t="inlineStr">
        <ns0:is>
          <ns0:t>Premise 2.5.4: Original amount 2.35e-06; scale 0.7575757575757576.</ns0:t>
        </ns0:is>
      </ns0:c>
      <ns0:c r="N95" t="b">
        <ns0:v>0</ns0:v>
      </ns0:c>
    </ns0:row>
    <ns0:row r="96">
      <ns0:c r="A96" t="inlineStr">
        <ns0:is>
          <ns0:t>Lead II</ns0:t>
        </ns0:is>
      </ns0:c>
      <ns0:c r="B96" t="n">
        <ns0:v>1.36969696969697e-06</ns0:v>
      </ns0:c>
      <ns0:c r="E96" t="inlineStr">
        <ns0:is>
          <ns0:t>kilogram</ns0:t>
        </ns0:is>
      </ns0:c>
      <ns0:c r="F96" t="inlineStr">
        <ns0:is>
          <ns0:t>air</ns0:t>
        </ns0:is>
      </ns0:c>
      <ns0:c r="G96" t="inlineStr">
        <ns0:is>
          <ns0:t>biosphere</ns0:t>
        </ns0:is>
      </ns0:c>
      <ns0:c r="H96" t="inlineStr">
        <ns0:is>
          <ns0:t>Pb</ns0:t>
        </ns0:is>
      </ns0:c>
      <ns0:c r="I96" t="n">
        <ns0:v>2</ns0:v>
      </ns0:c>
      <ns0:c r="J96" t="n">
        <ns0:v>-13.50092103259257</ns0:v>
      </ns0:c>
      <ns0:c r="K96" t="n">
        <ns0:v>0.8433267456923207</ns0:v>
      </ns0:c>
      <ns0:c r="L96" t="inlineStr">
        <ns0:is>
          <ns0:t>Premise 2.5.4: Original amount 1.808e-06; scale 0.7575757575757576.</ns0:t>
        </ns0:is>
      </ns0:c>
      <ns0:c r="N96" t="b">
        <ns0:v>0</ns0:v>
      </ns0:c>
    </ns0:row>
    <ns0:row r="97">
      <ns0:c r="A97" t="inlineStr">
        <ns0:is>
          <ns0:t>Mercury II</ns0:t>
        </ns0:is>
      </ns0:c>
      <ns0:c r="B97" t="n">
        <ns0:v>1.695454545454545e-06</ns0:v>
      </ns0:c>
      <ns0:c r="E97" t="inlineStr">
        <ns0:is>
          <ns0:t>kilogram</ns0:t>
        </ns0:is>
      </ns0:c>
      <ns0:c r="F97" t="inlineStr">
        <ns0:is>
          <ns0:t>air</ns0:t>
        </ns0:is>
      </ns0:c>
      <ns0:c r="G97" t="inlineStr">
        <ns0:is>
          <ns0:t>biosphere</ns0:t>
        </ns0:is>
      </ns0:c>
      <ns0:c r="H97" t="inlineStr">
        <ns0:is>
          <ns0:t>Hg</ns0:t>
        </ns0:is>
      </ns0:c>
      <ns0:c r="I97" t="n">
        <ns0:v>2</ns0:v>
      </ns0:c>
      <ns0:c r="J97" t="n">
        <ns0:v>-13.28755968467282</ns0:v>
      </ns0:c>
      <ns0:c r="K97" t="n">
        <ns0:v>0.8433267456923207</ns0:v>
      </ns0:c>
      <ns0:c r="L97" t="inlineStr">
        <ns0:is>
          <ns0:t>Premise 2.5.4: Original amount 2.238e-06; scale 0.7575757575757576.</ns0:t>
        </ns0:is>
      </ns0:c>
      <ns0:c r="N97" t="b">
        <ns0:v>0</ns0:v>
      </ns0:c>
    </ns0:row>
    <ns0:row r="98">
      <ns0:c r="A98" t="inlineStr">
        <ns0:is>
          <ns0:t>Nickel II</ns0:t>
        </ns0:is>
      </ns0:c>
      <ns0:c r="B98" t="n">
        <ns0:v>5.306818181818182e-07</ns0:v>
      </ns0:c>
      <ns0:c r="E98" t="inlineStr">
        <ns0:is>
          <ns0:t>kilogram</ns0:t>
        </ns0:is>
      </ns0:c>
      <ns0:c r="F98" t="inlineStr">
        <ns0:is>
          <ns0:t>air</ns0:t>
        </ns0:is>
      </ns0:c>
      <ns0:c r="G98" t="inlineStr">
        <ns0:is>
          <ns0:t>biosphere</ns0:t>
        </ns0:is>
      </ns0:c>
      <ns0:c r="H98" t="inlineStr">
        <ns0:is>
          <ns0:t>Ni</ns0:t>
        </ns0:is>
      </ns0:c>
      <ns0:c r="I98" t="n">
        <ns0:v>2</ns0:v>
      </ns0:c>
      <ns0:c r="J98" t="n">
        <ns0:v>-14.44910320776763</ns0:v>
      </ns0:c>
      <ns0:c r="K98" t="n">
        <ns0:v>0.8433267456923207</ns0:v>
      </ns0:c>
      <ns0:c r="L98" t="inlineStr">
        <ns0:is>
          <ns0:t>Premise 2.5.4: Original amount 7.005e-07; scale 0.7575757575757576.</ns0:t>
        </ns0:is>
      </ns0:c>
      <ns0:c r="N98" t="b">
        <ns0:v>0</ns0:v>
      </ns0:c>
    </ns0:row>
    <ns0:row r="99">
      <ns0:c r="A99" t="inlineStr">
        <ns0:is>
          <ns0:t>Nitrogen oxides</ns0:t>
        </ns0:is>
      </ns0:c>
      <ns0:c r="B99" t="n">
        <ns0:v>0.0001363636363636364</ns0:v>
      </ns0:c>
      <ns0:c r="E99" t="inlineStr">
        <ns0:is>
          <ns0:t>kilogram</ns0:t>
        </ns0:is>
      </ns0:c>
      <ns0:c r="F99" t="inlineStr">
        <ns0:is>
          <ns0:t>air</ns0:t>
        </ns0:is>
      </ns0:c>
      <ns0:c r="G99" t="inlineStr">
        <ns0:is>
          <ns0:t>biosphere</ns0:t>
        </ns0:is>
      </ns0:c>
      <ns0:c r="H99" t="inlineStr">
        <ns0:is>
          <ns0:t>H3NO</ns0:t>
        </ns0:is>
      </ns0:c>
      <ns0:c r="I99" t="n">
        <ns0:v>2</ns0:v>
      </ns0:c>
      <ns0:c r="J99" t="n">
        <ns0:v>-8.900185443672344</ns0:v>
      </ns0:c>
      <ns0:c r="K99" t="n">
        <ns0:v>0.3181194744117373</ns0:v>
      </ns0:c>
      <ns0:c r="L99" t="inlineStr">
        <ns0:is>
          <ns0:t>Premise 2.5.4: Original amount 0.00018; scale 0.7575757575757576.</ns0:t>
        </ns0:is>
      </ns0:c>
      <ns0:c r="N99" t="b">
        <ns0:v>0</ns0:v>
      </ns0:c>
    </ns0:row>
    <ns0:row r="100">
      <ns0:c r="A100" t="inlineStr">
        <ns0:is>
          <ns0:t>PAH, polycyclic aromatic hydrocarbons</ns0:t>
        </ns0:is>
      </ns0:c>
      <ns0:c r="B100" t="n">
        <ns0:v>2.821969696969697e-08</ns0:v>
      </ns0:c>
      <ns0:c r="E100" t="inlineStr">
        <ns0:is>
          <ns0:t>kilogram</ns0:t>
        </ns0:is>
      </ns0:c>
      <ns0:c r="F100" t="inlineStr">
        <ns0:is>
          <ns0:t>air</ns0:t>
        </ns0:is>
      </ns0:c>
      <ns0:c r="G100" t="inlineStr">
        <ns0:is>
          <ns0:t>biosphere</ns0:t>
        </ns0:is>
      </ns0:c>
      <ns0:c r="I100" t="n">
        <ns0:v>2</ns0:v>
      </ns0:c>
      <ns0:c r="J100" t="n">
        <ns0:v>-17.38324562871912</ns0:v>
      </ns0:c>
      <ns0:c r="K100" t="n">
        <ns0:v>0.6009991680526688</ns0:v>
      </ns0:c>
      <ns0:c r="L100" t="inlineStr">
        <ns0:is>
          <ns0:t>Premise 2.5.4: Original amount 3.725e-08; scale 0.7575757575757576.</ns0:t>
        </ns0:is>
      </ns0:c>
      <ns0:c r="N100" t="b">
        <ns0:v>0</ns0:v>
      </ns0:c>
    </ns0:row>
    <ns0:row r="101">
      <ns0:c r="A101" t="inlineStr">
        <ns0:is>
          <ns0:t>Particulate Matter, &lt; 2.5 um</ns0:t>
        </ns0:is>
      </ns0:c>
      <ns0:c r="B101" t="n">
        <ns0:v>0.0001257272727272727</ns0:v>
      </ns0:c>
      <ns0:c r="E101" t="inlineStr">
        <ns0:is>
          <ns0:t>kilogram</ns0:t>
        </ns0:is>
      </ns0:c>
      <ns0:c r="F101" t="inlineStr">
        <ns0:is>
          <ns0:t>air</ns0:t>
        </ns0:is>
      </ns0:c>
      <ns0:c r="G101" t="inlineStr">
        <ns0:is>
          <ns0:t>biosphere</ns0:t>
        </ns0:is>
      </ns0:c>
      <ns0:c r="I101" t="n">
        <ns0:v>2</ns0:v>
      </ns0:c>
      <ns0:c r="J101" t="n">
        <ns0:v>-8.981395499097886</ns0:v>
      </ns0:c>
      <ns0:c r="K101" t="n">
        <ns0:v>0.6009991680526688</ns0:v>
      </ns0:c>
      <ns0:c r="L101" t="inlineStr">
        <ns0:is>
          <ns0:t>Premise 2.5.4: Original amount 0.00016596; scale 0.7575757575757576.</ns0:t>
        </ns0:is>
      </ns0:c>
      <ns0:c r="N101" t="b">
        <ns0:v>0</ns0:v>
      </ns0:c>
    </ns0:row>
    <ns0:row r="102">
      <ns0:c r="A102" t="inlineStr">
        <ns0:is>
          <ns0:t>Particulate Matter, &gt; 10 um</ns0:t>
        </ns0:is>
      </ns0:c>
      <ns0:c r="B102" t="n">
        <ns0:v>4.4375e-05</ns0:v>
      </ns0:c>
      <ns0:c r="E102" t="inlineStr">
        <ns0:is>
          <ns0:t>kilogram</ns0:t>
        </ns0:is>
      </ns0:c>
      <ns0:c r="F102" t="inlineStr">
        <ns0:is>
          <ns0:t>air</ns0:t>
        </ns0:is>
      </ns0:c>
      <ns0:c r="G102" t="inlineStr">
        <ns0:is>
          <ns0:t>biosphere</ns0:t>
        </ns0:is>
      </ns0:c>
      <ns0:c r="I102" t="n">
        <ns0:v>2</ns0:v>
      </ns0:c>
      <ns0:c r="J102" t="n">
        <ns0:v>-10.02283431016869</ns0:v>
      </ns0:c>
      <ns0:c r="K102" t="n">
        <ns0:v>0.3181194744117373</ns0:v>
      </ns0:c>
      <ns0:c r="L102" t="inlineStr">
        <ns0:is>
          <ns0:t>Premise 2.5.4: Original amount 5.8575e-05; scale 0.7575757575757576.</ns0:t>
        </ns0:is>
      </ns0:c>
      <ns0:c r="N102" t="b">
        <ns0:v>0</ns0:v>
      </ns0:c>
    </ns0:row>
    <ns0:row r="103">
      <ns0:c r="A103" t="inlineStr">
        <ns0:is>
          <ns0:t>Particulate Matter, &gt; 2.5 um and &lt; 10um</ns0:t>
        </ns0:is>
      </ns0:c>
      <ns0:c r="B103" t="n">
        <ns0:v>0.0001257272727272727</ns0:v>
      </ns0:c>
      <ns0:c r="E103" t="inlineStr">
        <ns0:is>
          <ns0:t>kilogram</ns0:t>
        </ns0:is>
      </ns0:c>
      <ns0:c r="F103" t="inlineStr">
        <ns0:is>
          <ns0:t>air</ns0:t>
        </ns0:is>
      </ns0:c>
      <ns0:c r="G103" t="inlineStr">
        <ns0:is>
          <ns0:t>biosphere</ns0:t>
        </ns0:is>
      </ns0:c>
      <ns0:c r="I103" t="n">
        <ns0:v>2</ns0:v>
      </ns0:c>
      <ns0:c r="J103" t="n">
        <ns0:v>-8.981395499097886</ns0:v>
      </ns0:c>
      <ns0:c r="K103" t="n">
        <ns0:v>0.4256759330758553</ns0:v>
      </ns0:c>
      <ns0:c r="L103" t="inlineStr">
        <ns0:is>
          <ns0:t>Premise 2.5.4: Original amount 0.00016596; scale 0.7575757575757576.</ns0:t>
        </ns0:is>
      </ns0:c>
      <ns0:c r="N103" t="b">
        <ns0:v>0</ns0:v>
      </ns0:c>
    </ns0:row>
    <ns0:row r="104">
      <ns0:c r="A104" t="inlineStr">
        <ns0:is>
          <ns0:t>Polychlorinated biphenyls</ns0:t>
        </ns0:is>
      </ns0:c>
      <ns0:c r="B104" t="n">
        <ns0:v>1.761363636363636e-08</ns0:v>
      </ns0:c>
      <ns0:c r="E104" t="inlineStr">
        <ns0:is>
          <ns0:t>kilogram</ns0:t>
        </ns0:is>
      </ns0:c>
      <ns0:c r="F104" t="inlineStr">
        <ns0:is>
          <ns0:t>air</ns0:t>
        </ns0:is>
      </ns0:c>
      <ns0:c r="G104" t="inlineStr">
        <ns0:is>
          <ns0:t>biosphere</ns0:t>
        </ns0:is>
      </ns0:c>
      <ns0:c r="I104" t="n">
        <ns0:v>2</ns0:v>
      </ns0:c>
      <ns0:c r="J104" t="n">
        <ns0:v>-17.85459244151133</ns0:v>
      </ns0:c>
      <ns0:c r="K104" t="n">
        <ns0:v>0.6009991680526688</ns0:v>
      </ns0:c>
      <ns0:c r="L104" t="inlineStr">
        <ns0:is>
          <ns0:t>Premise 2.5.4: Original amount 2.325e-08; scale 0.7575757575757576.</ns0:t>
        </ns0:is>
      </ns0:c>
      <ns0:c r="N104" t="b">
        <ns0:v>0</ns0:v>
      </ns0:c>
    </ns0:row>
    <ns0:row r="105">
      <ns0:c r="A105" t="inlineStr">
        <ns0:is>
          <ns0:t>Sulfur dioxide</ns0:t>
        </ns0:is>
      </ns0:c>
      <ns0:c r="B105" t="n">
        <ns0:v>5.833333333333333e-05</ns0:v>
      </ns0:c>
      <ns0:c r="E105" t="inlineStr">
        <ns0:is>
          <ns0:t>kilogram</ns0:t>
        </ns0:is>
      </ns0:c>
      <ns0:c r="F105" t="inlineStr">
        <ns0:is>
          <ns0:t>air</ns0:t>
        </ns0:is>
      </ns0:c>
      <ns0:c r="G105" t="inlineStr">
        <ns0:is>
          <ns0:t>biosphere</ns0:t>
        </ns0:is>
      </ns0:c>
      <ns0:c r="H105" t="inlineStr">
        <ns0:is>
          <ns0:t>O2S</ns0:t>
        </ns0:is>
      </ns0:c>
      <ns0:c r="I105" t="n">
        <ns0:v>2</ns0:v>
      </ns0:c>
      <ns0:c r="J105" t="n">
        <ns0:v>-9.74933687270887</ns0:v>
      </ns0:c>
      <ns0:c r="K105" t="n">
        <ns0:v>0.2473863375370596</ns0:v>
      </ns0:c>
      <ns0:c r="L105" t="inlineStr">
        <ns0:is>
          <ns0:t>Premise 2.5.4: Original amount 7.7e-05; scale 0.7575757575757576.</ns0:t>
        </ns0:is>
      </ns0:c>
      <ns0:c r="N105" t="b">
        <ns0:v>0</ns0:v>
      </ns0:c>
    </ns0:row>
    <ns0:row r="106">
      <ns0:c r="A106" t="inlineStr">
        <ns0:is>
          <ns0:t>Water</ns0:t>
        </ns0:is>
      </ns0:c>
      <ns0:c r="B106" t="n">
        <ns0:v>0.002420475948849022</ns0:v>
      </ns0:c>
      <ns0:c r="E106" t="inlineStr">
        <ns0:is>
          <ns0:t>cubic meter</ns0:t>
        </ns0:is>
      </ns0:c>
      <ns0:c r="F106" t="inlineStr">
        <ns0:is>
          <ns0:t>water</ns0:t>
        </ns0:is>
      </ns0:c>
      <ns0:c r="G106" t="inlineStr">
        <ns0:is>
          <ns0:t>biosphere</ns0:t>
        </ns0:is>
      </ns0:c>
      <ns0:c r="H106" t="inlineStr">
        <ns0:is>
          <ns0:t>H2O</ns0:t>
        </ns0:is>
      </ns0:c>
      <ns0:c r="I106" t="n">
        <ns0:v>2</ns0:v>
      </ns0:c>
      <ns0:c r="J106" t="n">
        <ns0:v>-6.023791085073048</ns0:v>
      </ns0:c>
      <ns0:c r="K106" t="n">
        <ns0:v>0.2875760768909681</ns0:v>
      </ns0:c>
      <ns0:c r="L106" t="inlineStr">
        <ns0:is>
          <ns0:t>Calculated value based on literature values and expert opinion. See comments in the parametres' comment field.
Premise 2.5.4: Original amount 0.00319502825248071; scale 0.7575757575757576.</ns0:t>
        </ns0:is>
      </ns0:c>
      <ns0:c r="N106" t="b">
        <ns0:v>0</ns0:v>
      </ns0:c>
    </ns0:row>
    <ns0:row r="107">
      <ns0:c r="A107" t="inlineStr">
        <ns0:is>
          <ns0:t>Water</ns0:t>
        </ns0:is>
      </ns0:c>
      <ns0:c r="B107" t="n">
        <ns0:v>0.001531321518659583</ns0:v>
      </ns0:c>
      <ns0:c r="E107" t="inlineStr">
        <ns0:is>
          <ns0:t>cubic meter</ns0:t>
        </ns0:is>
      </ns0:c>
      <ns0:c r="F107" t="inlineStr">
        <ns0:is>
          <ns0:t>air</ns0:t>
        </ns0:is>
      </ns0:c>
      <ns0:c r="G107" t="inlineStr">
        <ns0:is>
          <ns0:t>biosphere</ns0:t>
        </ns0:is>
      </ns0:c>
      <ns0:c r="H107" t="inlineStr">
        <ns0:is>
          <ns0:t>H2O</ns0:t>
        </ns0:is>
      </ns0:c>
      <ns0:c r="I107" t="n">
        <ns0:v>2</ns0:v>
      </ns0:c>
      <ns0:c r="J107" t="n">
        <ns0:v>-6.48162417869853</ns0:v>
      </ns0:c>
      <ns0:c r="K107" t="n">
        <ns0:v>0.2875760768909681</ns0:v>
      </ns0:c>
      <ns0:c r="L107" t="inlineStr">
        <ns0:is>
          <ns0:t>Calculated value based on literature values and expert opinion. See comments in the parametres' comment field.
Premise 2.5.4: Original amount 0.00202134440463065; scale 0.7575757575757576.</ns0:t>
        </ns0:is>
      </ns0:c>
      <ns0:c r="N107" t="b">
        <ns0:v>0</ns0:v>
      </ns0:c>
    </ns0:row>
    <ns0:row r="108">
      <ns0:c r="A108" t="inlineStr">
        <ns0:is>
          <ns0:t>Water, cooling, unspecified natural origin</ns0:t>
        </ns0:is>
      </ns0:c>
      <ns0:c r="B108" t="n">
        <ns0:v>0.003951797467508606</ns0:v>
      </ns0:c>
      <ns0:c r="E108" t="inlineStr">
        <ns0:is>
          <ns0:t>cubic meter</ns0:t>
        </ns0:is>
      </ns0:c>
      <ns0:c r="F108" t="inlineStr">
        <ns0:is>
          <ns0:t>natural resource::in water</ns0:t>
        </ns0:is>
      </ns0:c>
      <ns0:c r="G108" t="inlineStr">
        <ns0:is>
          <ns0:t>biosphere</ns0:t>
        </ns0:is>
      </ns0:c>
      <ns0:c r="H108" t="inlineStr">
        <ns0:is>
          <ns0:t>H2O</ns0:t>
        </ns0:is>
      </ns0:c>
      <ns0:c r="I108" t="n">
        <ns0:v>2</ns0:v>
      </ns0:c>
      <ns0:c r="J108" t="n">
        <ns0:v>-5.533584748509794</ns0:v>
      </ns0:c>
      <ns0:c r="K108" t="n">
        <ns0:v>0.2336664289109585</ns0:v>
      </ns0:c>
      <ns0:c r="L108" t="inlineStr">
        <ns0:is>
          <ns0:t>Calculated based on literature, (Vionnet, S., Quantis Water Database - Technical Report, 2012).
Premise 2.5.4: Original amount 0.00521637265711136; scale 0.7575757575757576.</ns0:t>
        </ns0:is>
      </ns0:c>
      <ns0:c r="N108" t="b">
        <ns0:v>0</ns0:v>
      </ns0:c>
    </ns0:row>
    <ns0:row r="109">
      <ns0:c r="A109" t="inlineStr">
        <ns0:is>
          <ns0:t>Zinc II</ns0:t>
        </ns0:is>
      </ns0:c>
      <ns0:c r="B109" t="n">
        <ns0:v>1.737878787878788e-05</ns0:v>
      </ns0:c>
      <ns0:c r="E109" t="inlineStr">
        <ns0:is>
          <ns0:t>kilogram</ns0:t>
        </ns0:is>
      </ns0:c>
      <ns0:c r="F109" t="inlineStr">
        <ns0:is>
          <ns0:t>air</ns0:t>
        </ns0:is>
      </ns0:c>
      <ns0:c r="G109" t="inlineStr">
        <ns0:is>
          <ns0:t>biosphere</ns0:t>
        </ns0:is>
      </ns0:c>
      <ns0:c r="H109" t="inlineStr">
        <ns0:is>
          <ns0:t>Zn</ns0:t>
        </ns0:is>
      </ns0:c>
      <ns0:c r="I109" t="n">
        <ns0:v>2</ns0:v>
      </ns0:c>
      <ns0:c r="J109" t="n">
        <ns0:v>-10.96026018286133</ns0:v>
      </ns0:c>
      <ns0:c r="K109" t="n">
        <ns0:v>0.8433267456923207</ns0:v>
      </ns0:c>
      <ns0:c r="L109" t="inlineStr">
        <ns0:is>
          <ns0:t>Premise 2.5.4: Original amount 2.294e-05; scale 0.7575757575757576.</ns0:t>
        </ns0:is>
      </ns0:c>
      <ns0:c r="N109" t="b">
        <ns0:v>0</ns0:v>
      </ns0:c>
    </ns0:row>
    <ns0:row r="110">
      <ns0:c r="A110" t="inlineStr">
        <ns0:is>
          <ns0:t>vanadium pentoxide bearing cast iron, production</ns0:t>
        </ns0:is>
      </ns0:c>
      <ns0:c r="B110" t="n">
        <ns0:v>1</ns0:v>
      </ns0:c>
      <ns0:c r="C110" t="inlineStr">
        <ns0:is>
          <ns0:t>vanadium pentoxide bearing cast iron</ns0:t>
        </ns0:is>
      </ns0:c>
      <ns0:c r="D110" t="inlineStr">
        <ns0:is>
          <ns0:t>ZA</ns0:t>
        </ns0:is>
      </ns0:c>
      <ns0:c r="E110" t="inlineStr">
        <ns0:is>
          <ns0:t>kilogram</ns0:t>
        </ns0:is>
      </ns0:c>
      <ns0:c r="G110" t="inlineStr">
        <ns0:is>
          <ns0:t>production</ns0:t>
        </ns0:is>
      </ns0:c>
      <ns0:c r="I110" t="n">
        <ns0:v>0</ns0:v>
      </ns0:c>
      <ns0:c r="J110" t="n">
        <ns0:v>1</ns0:v>
      </ns0:c>
      <ns0:c r="L110" t="inlineStr">
        <ns0:is>
          <ns0:t>Premise 2.5.4: Original amount 1.32; scale 0.7575757575757576.</ns0:t>
        </ns0:is>
      </ns0:c>
      <ns0:c r="M110" t="n">
        <ns0:v>66239548000</ns0:v>
      </ns0:c>
    </ns0:row>
    <ns0:row r="111">
      <ns0:c r="A111" t="inlineStr">
        <ns0:is>
          <ns0:t>market for anode, for metal electrolysis</ns0:t>
        </ns0:is>
      </ns0:c>
      <ns0:c r="B111" t="n">
        <ns0:v>0.002272727272727273</ns0:v>
      </ns0:c>
      <ns0:c r="C111" t="inlineStr">
        <ns0:is>
          <ns0:t>anode, for metal electrolysis</ns0:t>
        </ns0:is>
      </ns0:c>
      <ns0:c r="D111" t="inlineStr">
        <ns0:is>
          <ns0:t>GLO</ns0:t>
        </ns0:is>
      </ns0:c>
      <ns0:c r="E111" t="inlineStr">
        <ns0:is>
          <ns0:t>kilogram</ns0:t>
        </ns0:is>
      </ns0:c>
      <ns0:c r="G111" t="inlineStr">
        <ns0:is>
          <ns0:t>technosphere</ns0:t>
        </ns0:is>
      </ns0:c>
      <ns0:c r="I111" t="n">
        <ns0:v>2</ns0:v>
      </ns0:c>
      <ns0:c r="J111" t="n">
        <ns0:v>-6.086774726912306</ns0:v>
      </ns0:c>
      <ns0:c r="K111" t="n">
        <ns0:v>0.2473863375370596</ns0:v>
      </ns0:c>
      <ns0:c r="L111" t="inlineStr">
        <ns0:is>
          <ns0:t>Premise 2.5.4: Original amount 0.003; scale 0.7575757575757576.</ns0:t>
        </ns0:is>
      </ns0:c>
      <ns0:c r="N111" t="b">
        <ns0:v>0</ns0:v>
      </ns0:c>
    </ns0:row>
    <ns0:row r="112">
      <ns0:c r="A112" t="inlineStr">
        <ns0:is>
          <ns0:t>market for electric arc furnace converter</ns0:t>
        </ns0:is>
      </ns0:c>
      <ns0:c r="B112" t="n">
        <ns0:v>3.03030303030303e-11</ns0:v>
      </ns0:c>
      <ns0:c r="C112" t="inlineStr">
        <ns0:is>
          <ns0:t>electric arc furnace converter</ns0:t>
        </ns0:is>
      </ns0:c>
      <ns0:c r="D112" t="inlineStr">
        <ns0:is>
          <ns0:t>GLO</ns0:t>
        </ns0:is>
      </ns0:c>
      <ns0:c r="E112" t="inlineStr">
        <ns0:is>
          <ns0:t>unit</ns0:t>
        </ns0:is>
      </ns0:c>
      <ns0:c r="G112" t="inlineStr">
        <ns0:is>
          <ns0:t>technosphere</ns0:t>
        </ns0:is>
      </ns0:c>
      <ns0:c r="I112" t="n">
        <ns0:v>2</ns0:v>
      </ns0:c>
      <ns0:c r="J112" t="n">
        <ns0:v>-24.21977339841289</ns0:v>
      </ns0:c>
      <ns0:c r="K112" t="n">
        <ns0:v>0.7071067811865476</ns0:v>
      </ns0:c>
      <ns0:c r="L112" t="inlineStr">
        <ns0:is>
          <ns0:t>Premise 2.5.4: Original amount 4e-11; scale 0.7575757575757576.</ns0:t>
        </ns0:is>
      </ns0:c>
      <ns0:c r="N112" t="b">
        <ns0:v>0</ns0:v>
      </ns0:c>
    </ns0:row>
    <ns0:row r="113">
      <ns0:c r="A113" t="inlineStr">
        <ns0:is>
          <ns0:t>market for electric arc furnace dust</ns0:t>
        </ns0:is>
      </ns0:c>
      <ns0:c r="B113" t="n">
        <ns0:v>-0.007272727272727272</ns0:v>
      </ns0:c>
      <ns0:c r="C113" t="inlineStr">
        <ns0:is>
          <ns0:t>electric arc furnace dust</ns0:t>
        </ns0:is>
      </ns0:c>
      <ns0:c r="D113" t="inlineStr">
        <ns0:is>
          <ns0:t>RoW</ns0:t>
        </ns0:is>
      </ns0:c>
      <ns0:c r="E113" t="inlineStr">
        <ns0:is>
          <ns0:t>kilogram</ns0:t>
        </ns0:is>
      </ns0:c>
      <ns0:c r="G113" t="inlineStr">
        <ns0:is>
          <ns0:t>technosphere</ns0:t>
        </ns0:is>
      </ns0:c>
      <ns0:c r="I113" t="n">
        <ns0:v>2</ns0:v>
      </ns0:c>
      <ns0:c r="J113" t="n">
        <ns0:v>-4.923623917106626</ns0:v>
      </ns0:c>
      <ns0:c r="K113" t="n">
        <ns0:v>0.2473863375370596</ns0:v>
      </ns0:c>
      <ns0:c r="L113" t="inlineStr">
        <ns0:is>
          <ns0:t>Premise 2.5.4: Original amount -0.009599999999999999; scale 0.7575757575757576.</ns0:t>
        </ns0:is>
      </ns0:c>
      <ns0:c r="N113" t="b">
        <ns0:v>1</ns0:v>
      </ns0:c>
    </ns0:row>
    <ns0:row r="114">
      <ns0:c r="A114" t="inlineStr">
        <ns0:is>
          <ns0:t>market for electric arc furnace slag</ns0:t>
        </ns0:is>
      </ns0:c>
      <ns0:c r="B114" t="n">
        <ns0:v>-0.0703030303030303</ns0:v>
      </ns0:c>
      <ns0:c r="C114" t="inlineStr">
        <ns0:is>
          <ns0:t>electric arc furnace slag</ns0:t>
        </ns0:is>
      </ns0:c>
      <ns0:c r="D114" t="inlineStr">
        <ns0:is>
          <ns0:t>RoW</ns0:t>
        </ns0:is>
      </ns0:c>
      <ns0:c r="E114" t="inlineStr">
        <ns0:is>
          <ns0:t>kilogram</ns0:t>
        </ns0:is>
      </ns0:c>
      <ns0:c r="G114" t="inlineStr">
        <ns0:is>
          <ns0:t>technosphere</ns0:t>
        </ns0:is>
      </ns0:c>
      <ns0:c r="I114" t="n">
        <ns0:v>2</ns0:v>
      </ns0:c>
      <ns0:c r="J114" t="n">
        <ns0:v>-2.654940375788262</ns0:v>
      </ns0:c>
      <ns0:c r="K114" t="n">
        <ns0:v>0.2473863375370596</ns0:v>
      </ns0:c>
      <ns0:c r="L114" t="inlineStr">
        <ns0:is>
          <ns0:t>Premise 2.5.4: Original amount -0.09279999999999999; scale 0.7575757575757576.</ns0:t>
        </ns0:is>
      </ns0:c>
      <ns0:c r="N114" t="b">
        <ns0:v>1</ns0:v>
      </ns0:c>
    </ns0:row>
    <ns0:row r="115">
      <ns0:c r="A115" t="inlineStr">
        <ns0:is>
          <ns0:t>market for electricity, medium voltage</ns0:t>
        </ns0:is>
      </ns0:c>
      <ns0:c r="B115" t="n">
        <ns0:v>0.3181818181818182</ns0:v>
      </ns0:c>
      <ns0:c r="C115" t="inlineStr">
        <ns0:is>
          <ns0:t>electricity, medium voltage</ns0:t>
        </ns0:is>
      </ns0:c>
      <ns0:c r="D115" t="inlineStr">
        <ns0:is>
          <ns0:t>ZA</ns0:t>
        </ns0:is>
      </ns0:c>
      <ns0:c r="E115" t="inlineStr">
        <ns0:is>
          <ns0:t>kilowatt hour</ns0:t>
        </ns0:is>
      </ns0:c>
      <ns0:c r="G115" t="inlineStr">
        <ns0:is>
          <ns0:t>technosphere</ns0:t>
        </ns0:is>
      </ns0:c>
      <ns0:c r="L115" t="inlineStr">
        <ns0:is>
          <ns0:t>Premise 2.5.4: Original amount 0.42; scale 0.7575757575757576.</ns0:t>
        </ns0:is>
      </ns0:c>
    </ns0:row>
    <ns0:row r="116">
      <ns0:c r="A116" t="inlineStr">
        <ns0:is>
          <ns0:t>market for hard coal</ns0:t>
        </ns0:is>
      </ns0:c>
      <ns0:c r="B116" t="n">
        <ns0:v>0.01060606060606061</ns0:v>
      </ns0:c>
      <ns0:c r="C116" t="inlineStr">
        <ns0:is>
          <ns0:t>hard coal</ns0:t>
        </ns0:is>
      </ns0:c>
      <ns0:c r="D116" t="inlineStr">
        <ns0:is>
          <ns0:t>ZA</ns0:t>
        </ns0:is>
      </ns0:c>
      <ns0:c r="E116" t="inlineStr">
        <ns0:is>
          <ns0:t>kilogram</ns0:t>
        </ns0:is>
      </ns0:c>
      <ns0:c r="G116" t="inlineStr">
        <ns0:is>
          <ns0:t>technosphere</ns0:t>
        </ns0:is>
      </ns0:c>
      <ns0:c r="I116" t="n">
        <ns0:v>2</ns0:v>
      </ns0:c>
      <ns0:c r="J116" t="n">
        <ns0:v>-4.546329685965158</ns0:v>
      </ns0:c>
      <ns0:c r="K116" t="n">
        <ns0:v>0.2473863375370596</ns0:v>
      </ns0:c>
      <ns0:c r="L116" t="inlineStr">
        <ns0:is>
          <ns0:t>Premise 2.5.4: Original amount 0.014; scale 0.7575757575757576.</ns0:t>
        </ns0:is>
      </ns0:c>
      <ns0:c r="N116" t="b">
        <ns0:v>0</ns0:v>
      </ns0:c>
    </ns0:row>
    <ns0:row r="117">
      <ns0:c r="A117" t="inlineStr">
        <ns0:is>
          <ns0:t>market for inert waste, for final disposal</ns0:t>
        </ns0:is>
      </ns0:c>
      <ns0:c r="B117" t="n">
        <ns0:v>-0.003787878787878788</ns0:v>
      </ns0:c>
      <ns0:c r="C117" t="inlineStr">
        <ns0:is>
          <ns0:t>inert waste, for final disposal</ns0:t>
        </ns0:is>
      </ns0:c>
      <ns0:c r="D117" t="inlineStr">
        <ns0:is>
          <ns0:t>RoW</ns0:t>
        </ns0:is>
      </ns0:c>
      <ns0:c r="E117" t="inlineStr">
        <ns0:is>
          <ns0:t>kilogram</ns0:t>
        </ns0:is>
      </ns0:c>
      <ns0:c r="G117" t="inlineStr">
        <ns0:is>
          <ns0:t>technosphere</ns0:t>
        </ns0:is>
      </ns0:c>
      <ns0:c r="I117" t="n">
        <ns0:v>2</ns0:v>
      </ns0:c>
      <ns0:c r="J117" t="n">
        <ns0:v>-5.575949103146316</ns0:v>
      </ns0:c>
      <ns0:c r="K117" t="n">
        <ns0:v>0.2473863375370596</ns0:v>
      </ns0:c>
      <ns0:c r="L117" t="inlineStr">
        <ns0:is>
          <ns0:t>Premise 2.5.4: Original amount -0.005; scale 0.7575757575757576.</ns0:t>
        </ns0:is>
      </ns0:c>
      <ns0:c r="N117" t="b">
        <ns0:v>1</ns0:v>
      </ns0:c>
    </ns0:row>
    <ns0:row r="118">
      <ns0:c r="A118" t="inlineStr">
        <ns0:is>
          <ns0:t>market for iron scrap, sorted, pressed</ns0:t>
        </ns0:is>
      </ns0:c>
      <ns0:c r="B118" t="n">
        <ns0:v>0.2929924242424242</ns0:v>
      </ns0:c>
      <ns0:c r="C118" t="inlineStr">
        <ns0:is>
          <ns0:t>iron scrap, sorted, pressed</ns0:t>
        </ns0:is>
      </ns0:c>
      <ns0:c r="D118" t="inlineStr">
        <ns0:is>
          <ns0:t>RoW</ns0:t>
        </ns0:is>
      </ns0:c>
      <ns0:c r="E118" t="inlineStr">
        <ns0:is>
          <ns0:t>kilogram</ns0:t>
        </ns0:is>
      </ns0:c>
      <ns0:c r="G118" t="inlineStr">
        <ns0:is>
          <ns0:t>technosphere</ns0:t>
        </ns0:is>
      </ns0:c>
      <ns0:c r="I118" t="n">
        <ns0:v>2</ns0:v>
      </ns0:c>
      <ns0:c r="J118" t="n">
        <ns0:v>-1.227608526127241</ns0:v>
      </ns0:c>
      <ns0:c r="K118" t="n">
        <ns0:v>0.2473863375370596</ns0:v>
      </ns0:c>
      <ns0:c r="L118" t="inlineStr">
        <ns0:is>
          <ns0:t>Premise 2.5.4: Original amount 0.38675; scale 0.7575757575757576.</ns0:t>
        </ns0:is>
      </ns0:c>
      <ns0:c r="N118" t="b">
        <ns0:v>0</ns0:v>
      </ns0:c>
    </ns0:row>
    <ns0:row r="119">
      <ns0:c r="A119" t="inlineStr">
        <ns0:is>
          <ns0:t>market for natural gas, high pressure</ns0:t>
        </ns0:is>
      </ns0:c>
      <ns0:c r="B119" t="n">
        <ns0:v>0.01893939393939394</ns0:v>
      </ns0:c>
      <ns0:c r="C119" t="inlineStr">
        <ns0:is>
          <ns0:t>natural gas, high pressure</ns0:t>
        </ns0:is>
      </ns0:c>
      <ns0:c r="D119" t="inlineStr">
        <ns0:is>
          <ns0:t>RoW</ns0:t>
        </ns0:is>
      </ns0:c>
      <ns0:c r="E119" t="inlineStr">
        <ns0:is>
          <ns0:t>cubic meter</ns0:t>
        </ns0:is>
      </ns0:c>
      <ns0:c r="G119" t="inlineStr">
        <ns0:is>
          <ns0:t>technosphere</ns0:t>
        </ns0:is>
      </ns0:c>
      <ns0:c r="I119" t="n">
        <ns0:v>2</ns0:v>
      </ns0:c>
      <ns0:c r="J119" t="n">
        <ns0:v>-3.966511190712216</ns0:v>
      </ns0:c>
      <ns0:c r="K119" t="n">
        <ns0:v>0.2473863375370596</ns0:v>
      </ns0:c>
      <ns0:c r="L119" t="inlineStr">
        <ns0:is>
          <ns0:t>Premise 2.5.4: Original amount 0.025; scale 0.7575757575757576.</ns0:t>
        </ns0:is>
      </ns0:c>
      <ns0:c r="N119" t="b">
        <ns0:v>0</ns0:v>
      </ns0:c>
    </ns0:row>
    <ns0:row r="120">
      <ns0:c r="A120" t="inlineStr">
        <ns0:is>
          <ns0:t>market for oxygen, liquid</ns0:t>
        </ns0:is>
      </ns0:c>
      <ns0:c r="B120" t="n">
        <ns0:v>0.03840909090909091</ns0:v>
      </ns0:c>
      <ns0:c r="C120" t="inlineStr">
        <ns0:is>
          <ns0:t>oxygen, liquid</ns0:t>
        </ns0:is>
      </ns0:c>
      <ns0:c r="D120" t="inlineStr">
        <ns0:is>
          <ns0:t>RoW</ns0:t>
        </ns0:is>
      </ns0:c>
      <ns0:c r="E120" t="inlineStr">
        <ns0:is>
          <ns0:t>kilogram</ns0:t>
        </ns0:is>
      </ns0:c>
      <ns0:c r="G120" t="inlineStr">
        <ns0:is>
          <ns0:t>technosphere</ns0:t>
        </ns0:is>
      </ns0:c>
      <ns0:c r="I120" t="n">
        <ns0:v>2</ns0:v>
      </ns0:c>
      <ns0:c r="J120" t="n">
        <ns0:v>-3.259461104983279</ns0:v>
      </ns0:c>
      <ns0:c r="K120" t="n">
        <ns0:v>0.2473863375370596</ns0:v>
      </ns0:c>
      <ns0:c r="L120" t="inlineStr">
        <ns0:is>
          <ns0:t>Premise 2.5.4: Original amount 0.0507; scale 0.7575757575757576.</ns0:t>
        </ns0:is>
      </ns0:c>
      <ns0:c r="N120" t="b">
        <ns0:v>0</ns0:v>
      </ns0:c>
    </ns0:row>
    <ns0:row r="121">
      <ns0:c r="A121" t="inlineStr">
        <ns0:is>
          <ns0:t>market for quicklime, in pieces, loose</ns0:t>
        </ns0:is>
      </ns0:c>
      <ns0:c r="B121" t="n">
        <ns0:v>0.04166666666666666</ns0:v>
      </ns0:c>
      <ns0:c r="C121" t="inlineStr">
        <ns0:is>
          <ns0:t>quicklime, in pieces, loose</ns0:t>
        </ns0:is>
      </ns0:c>
      <ns0:c r="D121" t="inlineStr">
        <ns0:is>
          <ns0:t>RoW</ns0:t>
        </ns0:is>
      </ns0:c>
      <ns0:c r="E121" t="inlineStr">
        <ns0:is>
          <ns0:t>kilogram</ns0:t>
        </ns0:is>
      </ns0:c>
      <ns0:c r="G121" t="inlineStr">
        <ns0:is>
          <ns0:t>technosphere</ns0:t>
        </ns0:is>
      </ns0:c>
      <ns0:c r="I121" t="n">
        <ns0:v>2</ns0:v>
      </ns0:c>
      <ns0:c r="J121" t="n">
        <ns0:v>-3.178053830347946</ns0:v>
      </ns0:c>
      <ns0:c r="K121" t="n">
        <ns0:v>0.2473863375370596</ns0:v>
      </ns0:c>
      <ns0:c r="L121" t="inlineStr">
        <ns0:is>
          <ns0:t>Premise 2.5.4: Original amount 0.055; scale 0.7575757575757576.</ns0:t>
        </ns0:is>
      </ns0:c>
      <ns0:c r="N121" t="b">
        <ns0:v>0</ns0:v>
      </ns0:c>
    </ns0:row>
    <ns0:row r="122">
      <ns0:c r="A122" t="inlineStr">
        <ns0:is>
          <ns0:t>market for refractory, basic, packed</ns0:t>
        </ns0:is>
      </ns0:c>
      <ns0:c r="B122" t="n">
        <ns0:v>0.01022727272727273</ns0:v>
      </ns0:c>
      <ns0:c r="C122" t="inlineStr">
        <ns0:is>
          <ns0:t>refractory, basic, packed</ns0:t>
        </ns0:is>
      </ns0:c>
      <ns0:c r="D122" t="inlineStr">
        <ns0:is>
          <ns0:t>GLO</ns0:t>
        </ns0:is>
      </ns0:c>
      <ns0:c r="E122" t="inlineStr">
        <ns0:is>
          <ns0:t>kilogram</ns0:t>
        </ns0:is>
      </ns0:c>
      <ns0:c r="G122" t="inlineStr">
        <ns0:is>
          <ns0:t>technosphere</ns0:t>
        </ns0:is>
      </ns0:c>
      <ns0:c r="I122" t="n">
        <ns0:v>2</ns0:v>
      </ns0:c>
      <ns0:c r="J122" t="n">
        <ns0:v>-4.582697330136033</ns0:v>
      </ns0:c>
      <ns0:c r="K122" t="n">
        <ns0:v>0.2473863375370596</ns0:v>
      </ns0:c>
      <ns0:c r="L122" t="inlineStr">
        <ns0:is>
          <ns0:t>Premise 2.5.4: Original amount 0.0135; scale 0.7575757575757576.</ns0:t>
        </ns0:is>
      </ns0:c>
      <ns0:c r="N122" t="b">
        <ns0:v>0</ns0:v>
      </ns0:c>
    </ns0:row>
    <ns0:row r="123">
      <ns0:c r="A123" t="inlineStr">
        <ns0:is>
          <ns0:t>pre-reduced vanadium pentoxide bearing magnetite production</ns0:t>
        </ns0:is>
      </ns0:c>
      <ns0:c r="B123" t="n">
        <ns0:v>1.106060606060606</ns0:v>
      </ns0:c>
      <ns0:c r="C123" t="inlineStr">
        <ns0:is>
          <ns0:t>pre-reduced vanadium pentoxide bearing magnetite</ns0:t>
        </ns0:is>
      </ns0:c>
      <ns0:c r="D123" t="inlineStr">
        <ns0:is>
          <ns0:t>ZA</ns0:t>
        </ns0:is>
      </ns0:c>
      <ns0:c r="E123" t="inlineStr">
        <ns0:is>
          <ns0:t>kilogram</ns0:t>
        </ns0:is>
      </ns0:c>
      <ns0:c r="G123" t="inlineStr">
        <ns0:is>
          <ns0:t>technosphere</ns0:t>
        </ns0:is>
      </ns0:c>
      <ns0:c r="L123" t="inlineStr">
        <ns0:is>
          <ns0:t>Premise 2.5.4: Original amount 1.46; scale 0.7575757575757576.</ns0:t>
        </ns0:is>
      </ns0:c>
    </ns0:row>
    <ns0:row r="124"/>
    <ns0:row r="125">
      <ns0:c r="A125" s="1" t="inlineStr">
        <ns0:is>
          <ns0:t>Activity</ns0:t>
        </ns0:is>
      </ns0:c>
      <ns0:c r="B125" s="1" t="inlineStr">
        <ns0:is>
          <ns0:t>vanadium pentoxide production</ns0:t>
        </ns0:is>
      </ns0:c>
    </ns0:row>
    <ns0:row r="126">
      <ns0:c r="A126" t="inlineStr">
        <ns0:is>
          <ns0:t>comment</ns0:t>
        </ns0:is>
      </ns0:c>
      <ns0:c r="B126" t="inlineStr">
        <ns0:is>
          <ns0:t>Source: Chen, S.Y., Fu, X.J., Chu, M.S., Liu, Z.G., Tang, J., 2015. Life cycle assessment of the comprehensive utilisation of vanadium titano-magnetite. J. Clean. Prod. 101, 122–128. https://doi.org/10.1016/j.jclepro.2015.03.076. Inventory provided by Zhang et al. (2024)</ns0:t>
        </ns0:is>
      </ns0:c>
    </ns0:row>
    <ns0:row r="127">
      <ns0:c r="A127" t="inlineStr">
        <ns0:is>
          <ns0:t>location</ns0:t>
        </ns0:is>
      </ns0:c>
      <ns0:c r="B127" t="inlineStr">
        <ns0:is>
          <ns0:t>CN</ns0:t>
        </ns0:is>
      </ns0:c>
    </ns0:row>
    <ns0:row r="128">
      <ns0:c r="A128" t="inlineStr">
        <ns0:is>
          <ns0:t>reference product</ns0:t>
        </ns0:is>
      </ns0:c>
      <ns0:c r="B128" t="inlineStr">
        <ns0:is>
          <ns0:t>vanadium pentoxide</ns0:t>
        </ns0:is>
      </ns0:c>
    </ns0:row>
    <ns0:row r="129">
      <ns0:c r="A129" t="inlineStr">
        <ns0:is>
          <ns0:t>type</ns0:t>
        </ns0:is>
      </ns0:c>
      <ns0:c r="B129" t="inlineStr">
        <ns0:is>
          <ns0:t>process</ns0:t>
        </ns0:is>
      </ns0:c>
    </ns0:row>
    <ns0:row r="130">
      <ns0:c r="A130" t="inlineStr">
        <ns0:is>
          <ns0:t>unit</ns0:t>
        </ns0:is>
      </ns0:c>
      <ns0:c r="B130" t="inlineStr">
        <ns0:is>
          <ns0:t>kilogram</ns0:t>
        </ns0:is>
      </ns0:c>
    </ns0:row>
    <ns0:row r="131">
      <ns0:c r="A131" t="inlineStr">
        <ns0:is>
          <ns0:t>source</ns0:t>
        </ns0:is>
      </ns0:c>
      <ns0:c r="B131" t="inlineStr">
        <ns0:is>
          <ns0:t>Inventory provided by Zhang et al. (2024). Originally from Weber et al. (2018). Life cycle assessment of a vanadium redox flow battery. Environmental science &amp; technology, 52(18), 10864-10873. https://doi.org/10.1021/acs.est.8b02073</ns0:t>
        </ns0:is>
      </ns0:c>
    </ns0:row>
    <ns0:row r="132">
      <ns0:c r="A132" s="1" t="inlineStr">
        <ns0:is>
          <ns0:t>Exchanges</ns0:t>
        </ns0:is>
      </ns0:c>
    </ns0:row>
    <ns0:row r="133">
      <ns0:c r="A133" t="inlineStr">
        <ns0:is>
          <ns0:t>name</ns0:t>
        </ns0:is>
      </ns0:c>
      <ns0:c r="B133" t="inlineStr">
        <ns0:is>
          <ns0:t>amount</ns0:t>
        </ns0:is>
      </ns0:c>
      <ns0:c r="C133" t="inlineStr">
        <ns0:is>
          <ns0:t>reference product</ns0:t>
        </ns0:is>
      </ns0:c>
      <ns0:c r="D133" t="inlineStr">
        <ns0:is>
          <ns0:t>location</ns0:t>
        </ns0:is>
      </ns0:c>
      <ns0:c r="E133" t="inlineStr">
        <ns0:is>
          <ns0:t>unit</ns0:t>
        </ns0:is>
      </ns0:c>
      <ns0:c r="F133" t="inlineStr">
        <ns0:is>
          <ns0:t>type</ns0:t>
        </ns0:is>
      </ns0:c>
    </ns0:row>
    <ns0:row r="134">
      <ns0:c r="A134" t="inlineStr">
        <ns0:is>
          <ns0:t>vanadium pentoxide production</ns0:t>
        </ns0:is>
      </ns0:c>
      <ns0:c r="B134" t="n">
        <ns0:f>0.01926525/0.01926525</ns0:f>
        <ns0:v>1</ns0:v>
      </ns0:c>
      <ns0:c r="C134" t="inlineStr">
        <ns0:is>
          <ns0:t>vanadium pentoxide</ns0:t>
        </ns0:is>
      </ns0:c>
      <ns0:c r="D134" t="inlineStr">
        <ns0:is>
          <ns0:t>CN</ns0:t>
        </ns0:is>
      </ns0:c>
      <ns0:c r="E134" t="inlineStr">
        <ns0:is>
          <ns0:t>kilogram</ns0:t>
        </ns0:is>
      </ns0:c>
      <ns0:c r="F134" t="inlineStr">
        <ns0:is>
          <ns0:t>production</ns0:t>
        </ns0:is>
      </ns0:c>
    </ns0:row>
    <ns0:row r="135">
      <ns0:c r="A135" t="inlineStr">
        <ns0:is>
          <ns0:t>vanadium pentoxide and unalloyed steel production</ns0:t>
        </ns0:is>
      </ns0:c>
      <ns0:c r="B135" t="n">
        <ns0:f>0.367078024709409/0.01926525</ns0:f>
        <ns0:v>19.05389365356842</ns0:v>
      </ns0:c>
      <ns0:c r="C135" t="inlineStr">
        <ns0:is>
          <ns0:t>vanadium pentoxide and unalloyed steel</ns0:t>
        </ns0:is>
      </ns0:c>
      <ns0:c r="D135" t="inlineStr">
        <ns0:is>
          <ns0:t>CN</ns0:t>
        </ns0:is>
      </ns0:c>
      <ns0:c r="E135" t="inlineStr">
        <ns0:is>
          <ns0:t>unit</ns0:t>
        </ns0:is>
      </ns0:c>
      <ns0:c r="F135" t="inlineStr">
        <ns0:is>
          <ns0:t>technosphere</ns0:t>
        </ns0:is>
      </ns0:c>
    </ns0:row>
    <ns0:row r="136"/>
    <ns0:row r="137">
      <ns0:c r="A137" s="1" t="inlineStr">
        <ns0:is>
          <ns0:t>Activity</ns0:t>
        </ns0:is>
      </ns0:c>
      <ns0:c r="B137" s="1" t="inlineStr">
        <ns0:is>
          <ns0:t>market for vanadium pentoxide</ns0:t>
        </ns0:is>
      </ns0:c>
    </ns0:row>
    <ns0:row r="138">
      <ns0:c r="A138" t="inlineStr">
        <ns0:is>
          <ns0:t>comment</ns0:t>
        </ns0:is>
      </ns0:c>
      <ns0:c r="B138" t="inlineStr">
        <ns0:is>
          <ns0:t>Source: Zhang, S., Steubing, B., Potter, H. K., Hansson, P. A., &amp; Nordberg, Å. (2024). Future climate impacts of sodium-ion batteries. Resources, Conservation and Recycling, 202, 107362. https://doi.org/10.1016/j.resconrec.2023.107362</ns0:t>
        </ns0:is>
      </ns0:c>
    </ns0:row>
    <ns0:row r="139">
      <ns0:c r="A139" t="inlineStr">
        <ns0:is>
          <ns0:t>location</ns0:t>
        </ns0:is>
      </ns0:c>
      <ns0:c r="B139" t="inlineStr">
        <ns0:is>
          <ns0:t>GLO</ns0:t>
        </ns0:is>
      </ns0:c>
    </ns0:row>
    <ns0:row r="140" customFormat="1" s="1">
      <ns0:c r="A140" t="inlineStr">
        <ns0:is>
          <ns0:t>reference product</ns0:t>
        </ns0:is>
      </ns0:c>
      <ns0:c r="B140" t="inlineStr">
        <ns0:is>
          <ns0:t>vanadium pentoxide</ns0:t>
        </ns0:is>
      </ns0:c>
    </ns0:row>
    <ns0:row r="141">
      <ns0:c r="A141" t="inlineStr">
        <ns0:is>
          <ns0:t>type</ns0:t>
        </ns0:is>
      </ns0:c>
      <ns0:c r="B141" t="inlineStr">
        <ns0:is>
          <ns0:t>process</ns0:t>
        </ns0:is>
      </ns0:c>
    </ns0:row>
    <ns0:row r="142">
      <ns0:c r="A142" t="inlineStr">
        <ns0:is>
          <ns0:t>unit</ns0:t>
        </ns0:is>
      </ns0:c>
      <ns0:c r="B142" t="inlineStr">
        <ns0:is>
          <ns0:t>kilogram</ns0:t>
        </ns0:is>
      </ns0:c>
    </ns0:row>
    <ns0:row r="143">
      <ns0:c r="A143" t="inlineStr">
        <ns0:is>
          <ns0:t>source</ns0:t>
        </ns0:is>
      </ns0:c>
      <ns0:c r="B143" t="inlineStr">
        <ns0:is>
          <ns0:t>Source: Zhang, S., Steubing, B., Potter, H. K., Hansson, P. A., &amp; Nordberg, Å. (2024). Future climate impacts of sodium-ion batteries. Resources, Conservation and Recycling, 202, 107362. https://doi.org/10.1016/j.resconrec.2023.107362</ns0:t>
        </ns0:is>
      </ns0:c>
    </ns0:row>
    <ns0:row r="144">
      <ns0:c r="A144" s="1" t="inlineStr">
        <ns0:is>
          <ns0:t>Exchanges</ns0:t>
        </ns0:is>
      </ns0:c>
    </ns0:row>
    <ns0:row r="145">
      <ns0:c r="A145" t="inlineStr">
        <ns0:is>
          <ns0:t>name</ns0:t>
        </ns0:is>
      </ns0:c>
      <ns0:c r="B145" t="inlineStr">
        <ns0:is>
          <ns0:t>amount</ns0:t>
        </ns0:is>
      </ns0:c>
      <ns0:c r="C145" t="inlineStr">
        <ns0:is>
          <ns0:t>reference product</ns0:t>
        </ns0:is>
      </ns0:c>
      <ns0:c r="D145" t="inlineStr">
        <ns0:is>
          <ns0:t>location</ns0:t>
        </ns0:is>
      </ns0:c>
      <ns0:c r="E145" t="inlineStr">
        <ns0:is>
          <ns0:t>unit</ns0:t>
        </ns0:is>
      </ns0:c>
      <ns0:c r="F145" t="inlineStr">
        <ns0:is>
          <ns0:t>type</ns0:t>
        </ns0:is>
      </ns0:c>
    </ns0:row>
    <ns0:row r="146">
      <ns0:c r="A146" t="inlineStr">
        <ns0:is>
          <ns0:t>market for vanadium pentoxide</ns0:t>
        </ns0:is>
      </ns0:c>
      <ns0:c r="B146" t="n">
        <ns0:v>1</ns0:v>
      </ns0:c>
      <ns0:c r="C146" t="inlineStr">
        <ns0:is>
          <ns0:t>vanadium pentoxide</ns0:t>
        </ns0:is>
      </ns0:c>
      <ns0:c r="D146" t="inlineStr">
        <ns0:is>
          <ns0:t>GLO</ns0:t>
        </ns0:is>
      </ns0:c>
      <ns0:c r="E146" t="inlineStr">
        <ns0:is>
          <ns0:t>kilogram</ns0:t>
        </ns0:is>
      </ns0:c>
      <ns0:c r="F146" t="inlineStr">
        <ns0:is>
          <ns0:t>production</ns0:t>
        </ns0:is>
      </ns0:c>
    </ns0:row>
    <ns0:row r="147">
      <ns0:c r="A147" t="inlineStr">
        <ns0:is>
          <ns0:t>vanadium pentoxide production</ns0:t>
        </ns0:is>
      </ns0:c>
      <ns0:c r="B147" t="n">
        <ns0:v>0.11</ns0:v>
      </ns0:c>
      <ns0:c r="C147" t="inlineStr">
        <ns0:is>
          <ns0:t>vanadium pentoxide</ns0:t>
        </ns0:is>
      </ns0:c>
      <ns0:c r="D147" t="inlineStr">
        <ns0:is>
          <ns0:t>ZA</ns0:t>
        </ns0:is>
      </ns0:c>
      <ns0:c r="E147" t="inlineStr">
        <ns0:is>
          <ns0:t>kilogram</ns0:t>
        </ns0:is>
      </ns0:c>
      <ns0:c r="F147" t="inlineStr">
        <ns0:is>
          <ns0:t>technosphere</ns0:t>
        </ns0:is>
      </ns0:c>
    </ns0:row>
    <ns0:row r="148">
      <ns0:c r="A148" t="inlineStr">
        <ns0:is>
          <ns0:t>vanadium pentoxide production</ns0:t>
        </ns0:is>
      </ns0:c>
      <ns0:c r="B148" t="n">
        <ns0:v>0.89</ns0:v>
      </ns0:c>
      <ns0:c r="C148" t="inlineStr">
        <ns0:is>
          <ns0:t>vanadium pentoxide</ns0:t>
        </ns0:is>
      </ns0:c>
      <ns0:c r="D148" t="inlineStr">
        <ns0:is>
          <ns0:t>CN</ns0:t>
        </ns0:is>
      </ns0:c>
      <ns0:c r="E148" t="inlineStr">
        <ns0:is>
          <ns0:t>kilogram</ns0:t>
        </ns0:is>
      </ns0:c>
      <ns0:c r="F148" t="inlineStr">
        <ns0:is>
          <ns0:t>technosphere</ns0:t>
        </ns0:is>
      </ns0:c>
    </ns0:row>
    <ns0:row r="149"/>
    <ns0:row r="150">
      <ns0:c r="A150" s="1" t="inlineStr">
        <ns0:is>
          <ns0:t>Activity</ns0:t>
        </ns0:is>
      </ns0:c>
      <ns0:c r="B150" s="1" t="inlineStr">
        <ns0:is>
          <ns0:t>vanadium phospate production, VPO4, carbon coated</ns0:t>
        </ns0:is>
      </ns0:c>
    </ns0:row>
    <ns0:row r="151">
      <ns0:c r="A151" t="inlineStr">
        <ns0:is>
          <ns0:t>comment</ns0:t>
        </ns0:is>
      </ns0:c>
      <ns0:c r="B151" t="inlineStr">
        <ns0:is>
          <ns0:t>Source: Zhang, S., Steubing, B., Potter, H. K., Hansson, P. A., &amp; Nordberg, Å. (2024). Future climate impacts of sodium-ion batteries. Resources, Conservation and Recycling, 202, 107362. https://doi.org/10.1016/j.resconrec.2023.107362</ns0:t>
        </ns0:is>
      </ns0:c>
    </ns0:row>
    <ns0:row r="152">
      <ns0:c r="A152" t="inlineStr">
        <ns0:is>
          <ns0:t>location</ns0:t>
        </ns0:is>
      </ns0:c>
      <ns0:c r="B152" t="inlineStr">
        <ns0:is>
          <ns0:t>RER</ns0:t>
        </ns0:is>
      </ns0:c>
    </ns0:row>
    <ns0:row r="153">
      <ns0:c r="A153" t="inlineStr">
        <ns0:is>
          <ns0:t>reference product</ns0:t>
        </ns0:is>
      </ns0:c>
      <ns0:c r="B153" t="inlineStr">
        <ns0:is>
          <ns0:t>vanadium phosphate, carbon coated</ns0:t>
        </ns0:is>
      </ns0:c>
    </ns0:row>
    <ns0:row r="154">
      <ns0:c r="A154" t="inlineStr">
        <ns0:is>
          <ns0:t>type</ns0:t>
        </ns0:is>
      </ns0:c>
      <ns0:c r="B154" t="inlineStr">
        <ns0:is>
          <ns0:t>process</ns0:t>
        </ns0:is>
      </ns0:c>
    </ns0:row>
    <ns0:row r="155">
      <ns0:c r="A155" t="inlineStr">
        <ns0:is>
          <ns0:t>unit</ns0:t>
        </ns0:is>
      </ns0:c>
      <ns0:c r="B155" t="inlineStr">
        <ns0:is>
          <ns0:t>kilogram</ns0:t>
        </ns0:is>
      </ns0:c>
    </ns0:row>
    <ns0:row r="156">
      <ns0:c r="A156" t="inlineStr">
        <ns0:is>
          <ns0:t>source</ns0:t>
        </ns0:is>
      </ns0:c>
      <ns0:c r="B156" t="inlineStr">
        <ns0:is>
          <ns0:t>Zhang, S., Steubing, B., Potter, H. K., Hansson, P. A., &amp; Nordberg, Å. (2024). Future climate impacts of sodium-ion batteries. Resources, Conservation and Recycling, 202, 107362. https://doi.org/10.1016/j.resconrec.2023.107362</ns0:t>
        </ns0:is>
      </ns0:c>
    </ns0:row>
    <ns0:row r="157">
      <ns0:c r="A157" s="1" t="inlineStr">
        <ns0:is>
          <ns0:t>Exchanges</ns0:t>
        </ns0:is>
      </ns0:c>
      <ns0:c r="B157" s="1" t="n"/>
      <ns0:c r="C157" s="1" t="n"/>
      <ns0:c r="D157" s="1" t="n"/>
      <ns0:c r="E157" s="1" t="n"/>
      <ns0:c r="F157" s="1" t="n"/>
      <ns0:c r="G157" s="1" t="n"/>
      <ns0:c r="H157" s="1" t="n"/>
      <ns0:c r="I157" s="1" t="n"/>
      <ns0:c r="J157" s="1" t="n"/>
      <ns0:c r="K157" s="1" t="n"/>
      <ns0:c r="L157" s="1" t="n"/>
      <ns0:c r="M157" s="1" t="n"/>
      <ns0:c r="N157" s="1" t="n"/>
      <ns0:c r="O157" s="1" t="n"/>
      <ns0:c r="P157" s="1" t="n"/>
      <ns0:c r="Q157" s="1" t="n"/>
      <ns0:c r="R157" s="1" t="n"/>
      <ns0:c r="S157" s="1" t="n"/>
    </ns0:row>
    <ns0:row r="158">
      <ns0:c r="A158" t="inlineStr">
        <ns0:is>
          <ns0:t>name</ns0:t>
        </ns0:is>
      </ns0:c>
      <ns0:c r="B158" t="inlineStr">
        <ns0:is>
          <ns0:t>amount</ns0:t>
        </ns0:is>
      </ns0:c>
      <ns0:c r="C158" t="inlineStr">
        <ns0:is>
          <ns0:t>location</ns0:t>
        </ns0:is>
      </ns0:c>
      <ns0:c r="D158" t="inlineStr">
        <ns0:is>
          <ns0:t>unit</ns0:t>
        </ns0:is>
      </ns0:c>
      <ns0:c r="E158" t="inlineStr">
        <ns0:is>
          <ns0:t>categories</ns0:t>
        </ns0:is>
      </ns0:c>
      <ns0:c r="F158" t="inlineStr">
        <ns0:is>
          <ns0:t>type</ns0:t>
        </ns0:is>
      </ns0:c>
      <ns0:c r="G158" t="inlineStr">
        <ns0:is>
          <ns0:t>reference product</ns0:t>
        </ns0:is>
      </ns0:c>
    </ns0:row>
    <ns0:row r="159">
      <ns0:c r="A159" t="inlineStr">
        <ns0:is>
          <ns0:t>Ammonia</ns0:t>
        </ns0:is>
      </ns0:c>
      <ns0:c r="B159" t="n">
        <ns0:v>0.0323589</ns0:v>
      </ns0:c>
      <ns0:c r="D159" t="inlineStr">
        <ns0:is>
          <ns0:t>kilogram</ns0:t>
        </ns0:is>
      </ns0:c>
      <ns0:c r="E159" t="inlineStr">
        <ns0:is>
          <ns0:t>air</ns0:t>
        </ns0:is>
      </ns0:c>
      <ns0:c r="F159" t="inlineStr">
        <ns0:is>
          <ns0:t>biosphere</ns0:t>
        </ns0:is>
      </ns0:c>
    </ns0:row>
    <ns0:row r="160">
      <ns0:c r="A160" t="inlineStr">
        <ns0:is>
          <ns0:t>Carbon monoxide, fossil</ns0:t>
        </ns0:is>
      </ns0:c>
      <ns0:c r="B160" t="n">
        <ns0:v>0.0266095</ns0:v>
      </ns0:c>
      <ns0:c r="D160" t="inlineStr">
        <ns0:is>
          <ns0:t>kilogram</ns0:t>
        </ns0:is>
      </ns0:c>
      <ns0:c r="E160" t="inlineStr">
        <ns0:is>
          <ns0:t>air</ns0:t>
        </ns0:is>
      </ns0:c>
      <ns0:c r="F160" t="inlineStr">
        <ns0:is>
          <ns0:t>biosphere</ns0:t>
        </ns0:is>
      </ns0:c>
    </ns0:row>
    <ns0:row r="161">
      <ns0:c r="A161" t="inlineStr">
        <ns0:is>
          <ns0:t>Heat, waste</ns0:t>
        </ns0:is>
      </ns0:c>
      <ns0:c r="B161" t="n">
        <ns0:v>0.2825494464174</ns0:v>
      </ns0:c>
      <ns0:c r="D161" t="inlineStr">
        <ns0:is>
          <ns0:t>megajoule</ns0:t>
        </ns0:is>
      </ns0:c>
      <ns0:c r="E161" t="inlineStr">
        <ns0:is>
          <ns0:t>air</ns0:t>
        </ns0:is>
      </ns0:c>
      <ns0:c r="F161" t="inlineStr">
        <ns0:is>
          <ns0:t>biosphere</ns0:t>
        </ns0:is>
      </ns0:c>
    </ns0:row>
    <ns0:row r="162">
      <ns0:c r="A162" t="inlineStr">
        <ns0:is>
          <ns0:t>Water</ns0:t>
        </ns0:is>
      </ns0:c>
      <ns0:c r="B162" t="n">
        <ns0:v>-0.055026</ns0:v>
      </ns0:c>
      <ns0:c r="D162" t="inlineStr">
        <ns0:is>
          <ns0:t>cubic meter</ns0:t>
        </ns0:is>
      </ns0:c>
      <ns0:c r="E162" t="inlineStr">
        <ns0:is>
          <ns0:t>water</ns0:t>
        </ns0:is>
      </ns0:c>
      <ns0:c r="F162" t="inlineStr">
        <ns0:is>
          <ns0:t>biosphere</ns0:t>
        </ns0:is>
      </ns0:c>
    </ns0:row>
    <ns0:row r="163">
      <ns0:c r="A163" t="inlineStr">
        <ns0:is>
          <ns0:t>Water, cooling, unspecified natural origin</ns0:t>
        </ns0:is>
      </ns0:c>
      <ns0:c r="B163" t="n">
        <ns0:v>0.055</ns0:v>
      </ns0:c>
      <ns0:c r="D163" t="inlineStr">
        <ns0:is>
          <ns0:t>cubic meter</ns0:t>
        </ns0:is>
      </ns0:c>
      <ns0:c r="E163" t="inlineStr">
        <ns0:is>
          <ns0:t>natural resource::in water</ns0:t>
        </ns0:is>
      </ns0:c>
      <ns0:c r="F163" t="inlineStr">
        <ns0:is>
          <ns0:t>biosphere</ns0:t>
        </ns0:is>
      </ns0:c>
    </ns0:row>
    <ns0:row r="164">
      <ns0:c r="A164" t="inlineStr">
        <ns0:is>
          <ns0:t>vanadium phospate production, VPO4, carbon coated</ns0:t>
        </ns0:is>
      </ns0:c>
      <ns0:c r="B164" t="n">
        <ns0:v>0.138617255</ns0:v>
      </ns0:c>
      <ns0:c r="C164" t="inlineStr">
        <ns0:is>
          <ns0:t>RER</ns0:t>
        </ns0:is>
      </ns0:c>
      <ns0:c r="D164" t="inlineStr">
        <ns0:is>
          <ns0:t>kilogram</ns0:t>
        </ns0:is>
      </ns0:c>
      <ns0:c r="F164" t="inlineStr">
        <ns0:is>
          <ns0:t>production</ns0:t>
        </ns0:is>
      </ns0:c>
      <ns0:c r="G164" t="inlineStr">
        <ns0:is>
          <ns0:t>vanadium phosphate, carbon coated</ns0:t>
        </ns0:is>
      </ns0:c>
    </ns0:row>
    <ns0:row r="165">
      <ns0:c r="A165" t="inlineStr">
        <ns0:is>
          <ns0:t>market for vanadium pentoxide</ns0:t>
        </ns0:is>
      </ns0:c>
      <ns0:c r="B165" t="n">
        <ns0:v>0.09093999999999999</ns0:v>
      </ns0:c>
      <ns0:c r="C165" t="inlineStr">
        <ns0:is>
          <ns0:t>GLO</ns0:t>
        </ns0:is>
      </ns0:c>
      <ns0:c r="D165" t="inlineStr">
        <ns0:is>
          <ns0:t>kilogram</ns0:t>
        </ns0:is>
      </ns0:c>
      <ns0:c r="F165" t="inlineStr">
        <ns0:is>
          <ns0:t>technosphere</ns0:t>
        </ns0:is>
      </ns0:c>
      <ns0:c r="G165" t="inlineStr">
        <ns0:is>
          <ns0:t>vanadium pentoxide</ns0:t>
        </ns0:is>
      </ns0:c>
    </ns0:row>
    <ns0:row r="166">
      <ns0:c r="A166" t="inlineStr">
        <ns0:is>
          <ns0:t>market for nitrogen, liquid</ns0:t>
        </ns0:is>
      </ns0:c>
      <ns0:c r="B166" t="n">
        <ns0:v>0.04</ns0:v>
      </ns0:c>
      <ns0:c r="C166" t="inlineStr">
        <ns0:is>
          <ns0:t>RER</ns0:t>
        </ns0:is>
      </ns0:c>
      <ns0:c r="D166" t="inlineStr">
        <ns0:is>
          <ns0:t>kilogram</ns0:t>
        </ns0:is>
      </ns0:c>
      <ns0:c r="F166" t="inlineStr">
        <ns0:is>
          <ns0:t>technosphere</ns0:t>
        </ns0:is>
      </ns0:c>
      <ns0:c r="G166" t="inlineStr">
        <ns0:is>
          <ns0:t>nitrogen, liquid</ns0:t>
        </ns0:is>
      </ns0:c>
    </ns0:row>
    <ns0:row r="167">
      <ns0:c r="A167" t="inlineStr">
        <ns0:is>
          <ns0:t>chemical factory construction, organics</ns0:t>
        </ns0:is>
      </ns0:c>
      <ns0:c r="B167" t="n">
        <ns0:v>4e-10</ns0:v>
      </ns0:c>
      <ns0:c r="C167" t="inlineStr">
        <ns0:is>
          <ns0:t>RER</ns0:t>
        </ns0:is>
      </ns0:c>
      <ns0:c r="D167" t="inlineStr">
        <ns0:is>
          <ns0:t>unit</ns0:t>
        </ns0:is>
      </ns0:c>
      <ns0:c r="F167" t="inlineStr">
        <ns0:is>
          <ns0:t>technosphere</ns0:t>
        </ns0:is>
      </ns0:c>
      <ns0:c r="G167" t="inlineStr">
        <ns0:is>
          <ns0:t>chemical factory, organics</ns0:t>
        </ns0:is>
      </ns0:c>
    </ns0:row>
    <ns0:row r="168">
      <ns0:c r="A168" t="inlineStr">
        <ns0:is>
          <ns0:t>market for carbon black</ns0:t>
        </ns0:is>
      </ns0:c>
      <ns0:c r="B168" t="n">
        <ns0:v>0.024</ns0:v>
      </ns0:c>
      <ns0:c r="C168" t="inlineStr">
        <ns0:is>
          <ns0:t>GLO</ns0:t>
        </ns0:is>
      </ns0:c>
      <ns0:c r="D168" t="inlineStr">
        <ns0:is>
          <ns0:t>kilogram</ns0:t>
        </ns0:is>
      </ns0:c>
      <ns0:c r="F168" t="inlineStr">
        <ns0:is>
          <ns0:t>technosphere</ns0:t>
        </ns0:is>
      </ns0:c>
      <ns0:c r="G168" t="inlineStr">
        <ns0:is>
          <ns0:t>carbon black</ns0:t>
        </ns0:is>
      </ns0:c>
    </ns0:row>
    <ns0:row r="169">
      <ns0:c r="A169" t="inlineStr">
        <ns0:is>
          <ns0:t>market for diammonium phosphate</ns0:t>
        </ns0:is>
      </ns0:c>
      <ns0:c r="B169" t="n">
        <ns0:v>0.13206</ns0:v>
      </ns0:c>
      <ns0:c r="C169" t="inlineStr">
        <ns0:is>
          <ns0:t>RER</ns0:t>
        </ns0:is>
      </ns0:c>
      <ns0:c r="D169" t="inlineStr">
        <ns0:is>
          <ns0:t>kilogram</ns0:t>
        </ns0:is>
      </ns0:c>
      <ns0:c r="F169" t="inlineStr">
        <ns0:is>
          <ns0:t>technosphere</ns0:t>
        </ns0:is>
      </ns0:c>
      <ns0:c r="G169" t="inlineStr">
        <ns0:is>
          <ns0:t>diammonium phosphate</ns0:t>
        </ns0:is>
      </ns0:c>
    </ns0:row>
    <ns0:row r="170">
      <ns0:c r="A170" t="inlineStr">
        <ns0:is>
          <ns0:t>market for transport, freight, lorry, unspecified</ns0:t>
        </ns0:is>
      </ns0:c>
      <ns0:c r="B170" t="n">
        <ns0:v>0.0247</ns0:v>
      </ns0:c>
      <ns0:c r="C170" t="inlineStr">
        <ns0:is>
          <ns0:t>RER</ns0:t>
        </ns0:is>
      </ns0:c>
      <ns0:c r="D170" t="inlineStr">
        <ns0:is>
          <ns0:t>ton kilometer</ns0:t>
        </ns0:is>
      </ns0:c>
      <ns0:c r="F170" t="inlineStr">
        <ns0:is>
          <ns0:t>technosphere</ns0:t>
        </ns0:is>
      </ns0:c>
      <ns0:c r="G170" t="inlineStr">
        <ns0:is>
          <ns0:t>transport, freight, lorry, unspecified</ns0:t>
        </ns0:is>
      </ns0:c>
    </ns0:row>
    <ns0:row r="171">
      <ns0:c r="A171" t="inlineStr">
        <ns0:is>
          <ns0:t>market group for electricity, medium voltage</ns0:t>
        </ns0:is>
      </ns0:c>
      <ns0:c r="B171" t="n">
        <ns0:v>0.00225774893714286</ns0:v>
      </ns0:c>
      <ns0:c r="C171" t="inlineStr">
        <ns0:is>
          <ns0:t>RER</ns0:t>
        </ns0:is>
      </ns0:c>
      <ns0:c r="D171" t="inlineStr">
        <ns0:is>
          <ns0:t>kilowatt hour</ns0:t>
        </ns0:is>
      </ns0:c>
      <ns0:c r="F171" t="inlineStr">
        <ns0:is>
          <ns0:t>technosphere</ns0:t>
        </ns0:is>
      </ns0:c>
      <ns0:c r="G171" t="inlineStr">
        <ns0:is>
          <ns0:t>electricity, medium voltage</ns0:t>
        </ns0:is>
      </ns0:c>
    </ns0:row>
    <ns0:row r="172">
      <ns0:c r="A172" t="inlineStr">
        <ns0:is>
          <ns0:t>market group for heat, district or industrial, natural gas</ns0:t>
        </ns0:is>
      </ns0:c>
      <ns0:c r="B172" t="n">
        <ns0:v>0.274421550243686</ns0:v>
      </ns0:c>
      <ns0:c r="C172" t="inlineStr">
        <ns0:is>
          <ns0:t>RER</ns0:t>
        </ns0:is>
      </ns0:c>
      <ns0:c r="D172" t="inlineStr">
        <ns0:is>
          <ns0:t>megajoule</ns0:t>
        </ns0:is>
      </ns0:c>
      <ns0:c r="F172" t="inlineStr">
        <ns0:is>
          <ns0:t>technosphere</ns0:t>
        </ns0:is>
      </ns0:c>
      <ns0:c r="G172" t="inlineStr">
        <ns0:is>
          <ns0:t>heat, district or industrial, natural gas</ns0:t>
        </ns0:is>
      </ns0:c>
    </ns0:row>
    <ns0:row r="173">
      <ns0:c r="A173" t="inlineStr">
        <ns0:is>
          <ns0:t>market group for municipal solid waste</ns0:t>
        </ns0:is>
      </ns0:c>
      <ns0:c r="B173" t="n">
        <ns0:v>-0.023742571</ns0:v>
      </ns0:c>
      <ns0:c r="C173" t="inlineStr">
        <ns0:is>
          <ns0:t>RER</ns0:t>
        </ns0:is>
      </ns0:c>
      <ns0:c r="D173" t="inlineStr">
        <ns0:is>
          <ns0:t>kilogram</ns0:t>
        </ns0:is>
      </ns0:c>
      <ns0:c r="F173" t="inlineStr">
        <ns0:is>
          <ns0:t>technosphere</ns0:t>
        </ns0:is>
      </ns0:c>
      <ns0:c r="G173" t="inlineStr">
        <ns0:is>
          <ns0:t>municipal solid waste</ns0:t>
        </ns0:is>
      </ns0:c>
    </ns0:row>
    <ns0:row r="174">
      <ns0:c r="A174" t="inlineStr">
        <ns0:is>
          <ns0:t>market group for transport, freight train</ns0:t>
        </ns0:is>
      </ns0:c>
      <ns0:c r="B174" t="n">
        <ns0:v>0.148</ns0:v>
      </ns0:c>
      <ns0:c r="C174" t="inlineStr">
        <ns0:is>
          <ns0:t>RER</ns0:t>
        </ns0:is>
      </ns0:c>
      <ns0:c r="D174" t="inlineStr">
        <ns0:is>
          <ns0:t>ton kilometer</ns0:t>
        </ns0:is>
      </ns0:c>
      <ns0:c r="F174" t="inlineStr">
        <ns0:is>
          <ns0:t>technosphere</ns0:t>
        </ns0:is>
      </ns0:c>
      <ns0:c r="G174" t="inlineStr">
        <ns0:is>
          <ns0:t>transport, freight train</ns0:t>
        </ns0:is>
      </ns0:c>
    </ns0:row>
    <ns0:row r="175"/>
    <ns0:row r="176"/>
    <ns0:row r="177">
      <ns0:c r="A177" s="1" t="inlineStr">
        <ns0:is>
          <ns0:t>Activity</ns0:t>
        </ns0:is>
      </ns0:c>
      <ns0:c r="B177" s="1" t="inlineStr">
        <ns0:is>
          <ns0:t>vanadium pentoxide bearing iron pellet production</ns0:t>
        </ns0:is>
      </ns0:c>
    </ns0:row>
    <ns0:row r="178">
      <ns0:c r="A178" t="inlineStr">
        <ns0:is>
          <ns0:t>comment</ns0:t>
        </ns0:is>
      </ns0:c>
      <ns0:c r="B178" t="inlineStr">
        <ns0:is>
          <ns0:t>Source: Zhang, S., Steubing, B., Potter, H. K., Hansson, P. A., &amp; Nordberg, Å. (2024). Future climate impacts of sodium-ion batteries. Resources, Conservation and Recycling, 202, 107362. https://doi.org/10.1016/j.resconrec.2023.107362. This inventory was modifyied based on iron pellet production form CA-QC, to Chinese specific production. All energy related processes were deleted, and only use electricity from CN as the energy power in this process. iron ore concentration was changed to the one produced by VT ore, and the weight ratio of iron ore concentration to iron pellet was adjusted, as well as the ratio of bentonite to pellet ore. All emissions were not changed. 
Geography:  Inputs relate to Québec production.
Technology:  Straight grate process.
Specific data were collected on one of the two production site in Quebec. No information was available to compare the technologies of the two production site. Uncertainity has been adjusted accordingly.
Time period:  Collected data for Quebec industry for the year 2011</ns0:t>
        </ns0:is>
      </ns0:c>
    </ns0:row>
    <ns0:row r="179">
      <ns0:c r="A179" t="inlineStr">
        <ns0:is>
          <ns0:t>location</ns0:t>
        </ns0:is>
      </ns0:c>
      <ns0:c r="B179" t="inlineStr">
        <ns0:is>
          <ns0:t>CN</ns0:t>
        </ns0:is>
      </ns0:c>
    </ns0:row>
    <ns0:row r="180">
      <ns0:c r="A180" t="inlineStr">
        <ns0:is>
          <ns0:t>reference product</ns0:t>
        </ns0:is>
      </ns0:c>
      <ns0:c r="B180" t="inlineStr">
        <ns0:is>
          <ns0:t>vanadium pentoxide bearing iron pellet</ns0:t>
        </ns0:is>
      </ns0:c>
    </ns0:row>
    <ns0:row r="181">
      <ns0:c r="A181" t="inlineStr">
        <ns0:is>
          <ns0:t>unit</ns0:t>
        </ns0:is>
      </ns0:c>
      <ns0:c r="B181" t="inlineStr">
        <ns0:is>
          <ns0:t>kilogram</ns0:t>
        </ns0:is>
      </ns0:c>
    </ns0:row>
    <ns0:row r="182">
      <ns0:c r="A182" t="inlineStr">
        <ns0:is>
          <ns0:t>source</ns0:t>
        </ns0:is>
      </ns0:c>
      <ns0:c r="B182" t="inlineStr">
        <ns0:is>
          <ns0:t>Zhang, S., Steubing, B., Potter, H. K., Hansson, P. A., &amp; Nordberg, Å. (2024). Future climate impacts of sodium-ion batteries. Resources, Conservation and Recycling, 202, 107362. https://doi.org/10.1016/j.resconrec.2023.107362</ns0:t>
        </ns0:is>
      </ns0:c>
    </ns0:row>
    <ns0:row r="183">
      <ns0:c r="A183" s="1" t="inlineStr">
        <ns0:is>
          <ns0:t>Exchanges</ns0:t>
        </ns0:is>
      </ns0:c>
    </ns0:row>
    <ns0:row r="184">
      <ns0:c r="A184" s="1" t="inlineStr">
        <ns0:is>
          <ns0:t>name</ns0:t>
        </ns0:is>
      </ns0:c>
      <ns0:c r="B184" s="1" t="inlineStr">
        <ns0:is>
          <ns0:t>amount</ns0:t>
        </ns0:is>
      </ns0:c>
      <ns0:c r="C184" s="1" t="inlineStr">
        <ns0:is>
          <ns0:t>reference product</ns0:t>
        </ns0:is>
      </ns0:c>
      <ns0:c r="D184" s="1" t="inlineStr">
        <ns0:is>
          <ns0:t>location</ns0:t>
        </ns0:is>
      </ns0:c>
      <ns0:c r="E184" s="1" t="inlineStr">
        <ns0:is>
          <ns0:t>unit</ns0:t>
        </ns0:is>
      </ns0:c>
      <ns0:c r="F184" s="1" t="inlineStr">
        <ns0:is>
          <ns0:t>categories</ns0:t>
        </ns0:is>
      </ns0:c>
      <ns0:c r="G184" s="1" t="inlineStr">
        <ns0:is>
          <ns0:t>type</ns0:t>
        </ns0:is>
      </ns0:c>
      <ns0:c r="H184" s="1" t="inlineStr">
        <ns0:is>
          <ns0:t>formula</ns0:t>
        </ns0:is>
      </ns0:c>
      <ns0:c r="I184" s="1" t="inlineStr">
        <ns0:is>
          <ns0:t>uncertainty type</ns0:t>
        </ns0:is>
      </ns0:c>
      <ns0:c r="J184" s="1" t="inlineStr">
        <ns0:is>
          <ns0:t>loc</ns0:t>
        </ns0:is>
      </ns0:c>
      <ns0:c r="K184" s="1" t="inlineStr">
        <ns0:is>
          <ns0:t>scale</ns0:t>
        </ns0:is>
      </ns0:c>
      <ns0:c r="L184" s="1" t="inlineStr">
        <ns0:is>
          <ns0:t>comment</ns0:t>
        </ns0:is>
      </ns0:c>
      <ns0:c r="M184" s="1" t="inlineStr">
        <ns0:is>
          <ns0:t>production volume</ns0:t>
        </ns0:is>
      </ns0:c>
      <ns0:c r="N184" s="1" t="inlineStr">
        <ns0:is>
          <ns0:t>negative</ns0:t>
        </ns0:is>
      </ns0:c>
    </ns0:row>
    <ns0:row r="185">
      <ns0:c r="A185" t="inlineStr">
        <ns0:is>
          <ns0:t>Arsenic ion</ns0:t>
        </ns0:is>
      </ns0:c>
      <ns0:c r="B185" t="n">
        <ns0:v>1.902e-10</ns0:v>
      </ns0:c>
      <ns0:c r="E185" t="inlineStr">
        <ns0:is>
          <ns0:t>kilogram</ns0:t>
        </ns0:is>
      </ns0:c>
      <ns0:c r="F185" t="inlineStr">
        <ns0:is>
          <ns0:t>water::surface water</ns0:t>
        </ns0:is>
      </ns0:c>
      <ns0:c r="G185" t="inlineStr">
        <ns0:is>
          <ns0:t>biosphere</ns0:t>
        </ns0:is>
      </ns0:c>
      <ns0:c r="H185" t="inlineStr">
        <ns0:is>
          <ns0:t>As+5</ns0:t>
        </ns0:is>
      </ns0:c>
      <ns0:c r="I185" t="n">
        <ns0:v>2</ns0:v>
      </ns0:c>
      <ns0:c r="J185" t="n">
        <ns0:v>-22.38294496581726</ns0:v>
      </ns0:c>
      <ns0:c r="K185" t="n">
        <ns0:v>0.8116033513977132</ns0:v>
      </ns0:c>
      <ns0:c r="L185" t="inlineStr">
        <ns0:is>
          <ns0:t>Calculated Value. Emissions in the final effluent.</ns0:t>
        </ns0:is>
      </ns0:c>
    </ns0:row>
    <ns0:row r="186">
      <ns0:c r="A186" t="inlineStr">
        <ns0:is>
          <ns0:t>Cadmium II</ns0:t>
        </ns0:is>
      </ns0:c>
      <ns0:c r="B186" t="n">
        <ns0:v>9.509e-11</ns0:v>
      </ns0:c>
      <ns0:c r="E186" t="inlineStr">
        <ns0:is>
          <ns0:t>kilogram</ns0:t>
        </ns0:is>
      </ns0:c>
      <ns0:c r="F186" t="inlineStr">
        <ns0:is>
          <ns0:t>water::surface water</ns0:t>
        </ns0:is>
      </ns0:c>
      <ns0:c r="G186" t="inlineStr">
        <ns0:is>
          <ns0:t>biosphere</ns0:t>
        </ns0:is>
      </ns0:c>
      <ns0:c r="H186" t="inlineStr">
        <ns0:is>
          <ns0:t>Cd+2</ns0:t>
        </ns0:is>
      </ns0:c>
      <ns0:c r="I186" t="n">
        <ns0:v>2</ns0:v>
      </ns0:c>
      <ns0:c r="J186" t="n">
        <ns0:v>-23.0761973043772</ns0:v>
      </ns0:c>
      <ns0:c r="K186" t="n">
        <ns0:v>0.8116033513977132</ns0:v>
      </ns0:c>
      <ns0:c r="L186" t="inlineStr">
        <ns0:is>
          <ns0:t>Calculated Value. Emissions in the final effluent.</ns0:t>
        </ns0:is>
      </ns0:c>
    </ns0:row>
    <ns0:row r="187">
      <ns0:c r="A187" t="inlineStr">
        <ns0:is>
          <ns0:t>Carbon dioxide, fossil</ns0:t>
        </ns0:is>
      </ns0:c>
      <ns0:c r="B187" t="n">
        <ns0:v>0.02325</ns0:v>
      </ns0:c>
      <ns0:c r="E187" t="inlineStr">
        <ns0:is>
          <ns0:t>kilogram</ns0:t>
        </ns0:is>
      </ns0:c>
      <ns0:c r="F187" t="inlineStr">
        <ns0:is>
          <ns0:t>air::non-urban air or from high stacks</ns0:t>
        </ns0:is>
      </ns0:c>
      <ns0:c r="G187" t="inlineStr">
        <ns0:is>
          <ns0:t>biosphere</ns0:t>
        </ns0:is>
      </ns0:c>
      <ns0:c r="H187" t="inlineStr">
        <ns0:is>
          <ns0:t>CO2</ns0:t>
        </ns0:is>
      </ns0:c>
      <ns0:c r="I187" t="n">
        <ns0:v>2</ns0:v>
      </ns0:c>
      <ns0:c r="J187" t="n">
        <ns0:v>-3.761450146948772</ns0:v>
      </ns0:c>
      <ns0:c r="K187" t="n">
        <ns0:v>0.09643650760992954</ns0:v>
      </ns0:c>
      <ns0:c r="L187" t="inlineStr">
        <ns0:is>
          <ns0:t>Calculated Value. Process emissions and emissions related to the combustion of waste oil on site.</ns0:t>
        </ns0:is>
      </ns0:c>
    </ns0:row>
    <ns0:row r="188">
      <ns0:c r="A188" t="inlineStr">
        <ns0:is>
          <ns0:t>Carbon monoxide, fossil</ns0:t>
        </ns0:is>
      </ns0:c>
      <ns0:c r="B188" t="n">
        <ns0:v>6.406e-07</ns0:v>
      </ns0:c>
      <ns0:c r="E188" t="inlineStr">
        <ns0:is>
          <ns0:t>kilogram</ns0:t>
        </ns0:is>
      </ns0:c>
      <ns0:c r="F188" t="inlineStr">
        <ns0:is>
          <ns0:t>air::non-urban air or from high stacks</ns0:t>
        </ns0:is>
      </ns0:c>
      <ns0:c r="G188" t="inlineStr">
        <ns0:is>
          <ns0:t>biosphere</ns0:t>
        </ns0:is>
      </ns0:c>
      <ns0:c r="H188" t="inlineStr">
        <ns0:is>
          <ns0:t>CO</ns0:t>
        </ns0:is>
      </ns0:c>
      <ns0:c r="I188" t="n">
        <ns0:v>2</ns0:v>
      </ns0:c>
      <ns0:c r="J188" t="n">
        <ns0:v>-14.26086059977135</ns0:v>
      </ns0:c>
      <ns0:c r="K188" t="n">
        <ns0:v>0.8116033513977132</ns0:v>
      </ns0:c>
      <ns0:c r="L188" t="inlineStr">
        <ns0:is>
          <ns0:t>Calculated Value. Process emissions.</ns0:t>
        </ns0:is>
      </ns0:c>
    </ns0:row>
    <ns0:row r="189">
      <ns0:c r="A189" t="inlineStr">
        <ns0:is>
          <ns0:t>Chromium III</ns0:t>
        </ns0:is>
      </ns0:c>
      <ns0:c r="B189" t="n">
        <ns0:v>1.521e-09</ns0:v>
      </ns0:c>
      <ns0:c r="E189" t="inlineStr">
        <ns0:is>
          <ns0:t>kilogram</ns0:t>
        </ns0:is>
      </ns0:c>
      <ns0:c r="F189" t="inlineStr">
        <ns0:is>
          <ns0:t>water::surface water</ns0:t>
        </ns0:is>
      </ns0:c>
      <ns0:c r="G189" t="inlineStr">
        <ns0:is>
          <ns0:t>biosphere</ns0:t>
        </ns0:is>
      </ns0:c>
      <ns0:c r="H189" t="inlineStr">
        <ns0:is>
          <ns0:t>Cr+3</ns0:t>
        </ns0:is>
      </ns0:c>
      <ns0:c r="I189" t="n">
        <ns0:v>2</ns0:v>
      </ns0:c>
      <ns0:c r="J189" t="n">
        <ns0:v>-20.30389782366926</ns0:v>
      </ns0:c>
      <ns0:c r="K189" t="n">
        <ns0:v>0.8116033513977132</ns0:v>
      </ns0:c>
      <ns0:c r="L189" t="inlineStr">
        <ns0:is>
          <ns0:t>Calculated Value. Emissions in the final effluent.</ns0:t>
        </ns0:is>
      </ns0:c>
    </ns0:row>
    <ns0:row r="190">
      <ns0:c r="A190" t="inlineStr">
        <ns0:is>
          <ns0:t>Cobalt II</ns0:t>
        </ns0:is>
      </ns0:c>
      <ns0:c r="B190" t="n">
        <ns0:v>1.902e-10</ns0:v>
      </ns0:c>
      <ns0:c r="E190" t="inlineStr">
        <ns0:is>
          <ns0:t>kilogram</ns0:t>
        </ns0:is>
      </ns0:c>
      <ns0:c r="F190" t="inlineStr">
        <ns0:is>
          <ns0:t>water::surface water</ns0:t>
        </ns0:is>
      </ns0:c>
      <ns0:c r="G190" t="inlineStr">
        <ns0:is>
          <ns0:t>biosphere</ns0:t>
        </ns0:is>
      </ns0:c>
      <ns0:c r="H190" t="inlineStr">
        <ns0:is>
          <ns0:t>Co</ns0:t>
        </ns0:is>
      </ns0:c>
      <ns0:c r="I190" t="n">
        <ns0:v>2</ns0:v>
      </ns0:c>
      <ns0:c r="J190" t="n">
        <ns0:v>-22.38294496581726</ns0:v>
      </ns0:c>
      <ns0:c r="K190" t="n">
        <ns0:v>0.8116033513977132</ns0:v>
      </ns0:c>
      <ns0:c r="L190" t="inlineStr">
        <ns0:is>
          <ns0:t>Calculated Value. Emissions in the final effluent.</ns0:t>
        </ns0:is>
      </ns0:c>
    </ns0:row>
    <ns0:row r="191">
      <ns0:c r="A191" t="inlineStr">
        <ns0:is>
          <ns0:t>Copper ion</ns0:t>
        </ns0:is>
      </ns0:c>
      <ns0:c r="B191" t="n">
        <ns0:v>1.902e-10</ns0:v>
      </ns0:c>
      <ns0:c r="E191" t="inlineStr">
        <ns0:is>
          <ns0:t>kilogram</ns0:t>
        </ns0:is>
      </ns0:c>
      <ns0:c r="F191" t="inlineStr">
        <ns0:is>
          <ns0:t>water::surface water</ns0:t>
        </ns0:is>
      </ns0:c>
      <ns0:c r="G191" t="inlineStr">
        <ns0:is>
          <ns0:t>biosphere</ns0:t>
        </ns0:is>
      </ns0:c>
      <ns0:c r="H191" t="inlineStr">
        <ns0:is>
          <ns0:t>Cu+</ns0:t>
        </ns0:is>
      </ns0:c>
      <ns0:c r="I191" t="n">
        <ns0:v>2</ns0:v>
      </ns0:c>
      <ns0:c r="J191" t="n">
        <ns0:v>-22.38294496581726</ns0:v>
      </ns0:c>
      <ns0:c r="K191" t="n">
        <ns0:v>0.8116033513977132</ns0:v>
      </ns0:c>
      <ns0:c r="L191" t="inlineStr">
        <ns0:is>
          <ns0:t>Calculated Value. Emissions in the final effluent.</ns0:t>
        </ns0:is>
      </ns0:c>
    </ns0:row>
    <ns0:row r="192">
      <ns0:c r="A192" t="inlineStr">
        <ns0:is>
          <ns0:t>Dinitrogen monoxide</ns0:t>
        </ns0:is>
      </ns0:c>
      <ns0:c r="B192" t="n">
        <ns0:v>4.592e-08</ns0:v>
      </ns0:c>
      <ns0:c r="E192" t="inlineStr">
        <ns0:is>
          <ns0:t>kilogram</ns0:t>
        </ns0:is>
      </ns0:c>
      <ns0:c r="F192" t="inlineStr">
        <ns0:is>
          <ns0:t>air::non-urban air or from high stacks</ns0:t>
        </ns0:is>
      </ns0:c>
      <ns0:c r="G192" t="inlineStr">
        <ns0:is>
          <ns0:t>biosphere</ns0:t>
        </ns0:is>
      </ns0:c>
      <ns0:c r="H192" t="inlineStr">
        <ns0:is>
          <ns0:t>N2O</ns0:t>
        </ns0:is>
      </ns0:c>
      <ns0:c r="I192" t="n">
        <ns0:v>2</ns0:v>
      </ns0:c>
      <ns0:c r="J192" t="n">
        <ns0:v>-16.8963650849351</ns0:v>
      </ns0:c>
      <ns0:c r="K192" t="n">
        <ns0:v>0.2206807649071391</ns0:v>
      </ns0:c>
      <ns0:c r="L192" t="inlineStr">
        <ns0:is>
          <ns0:t>Calculated Value. Process emissions and emissions related to the combustion of waste oil on site.</ns0:t>
        </ns0:is>
      </ns0:c>
    </ns0:row>
    <ns0:row r="193">
      <ns0:c r="A193" t="inlineStr">
        <ns0:is>
          <ns0:t>Hydrochloric acid</ns0:t>
        </ns0:is>
      </ns0:c>
      <ns0:c r="B193" t="n">
        <ns0:v>6.07e-06</ns0:v>
      </ns0:c>
      <ns0:c r="E193" t="inlineStr">
        <ns0:is>
          <ns0:t>kilogram</ns0:t>
        </ns0:is>
      </ns0:c>
      <ns0:c r="F193" t="inlineStr">
        <ns0:is>
          <ns0:t>air</ns0:t>
        </ns0:is>
      </ns0:c>
      <ns0:c r="G193" t="inlineStr">
        <ns0:is>
          <ns0:t>biosphere</ns0:t>
        </ns0:is>
      </ns0:c>
      <ns0:c r="H193" t="inlineStr">
        <ns0:is>
          <ns0:t>ClH</ns0:t>
        </ns0:is>
      </ns0:c>
      <ns0:c r="I193" t="n">
        <ns0:v>2</ns0:v>
      </ns0:c>
      <ns0:c r="J193" t="n">
        <ns0:v>-12.01215195289287</ns0:v>
      </ns0:c>
      <ns0:c r="K193" t="n">
        <ns0:v>0.2238302928559939</ns0:v>
      </ns0:c>
      <ns0:c r="L193" t="inlineStr">
        <ns0:is>
          <ns0:t>Calculated Value based on specific data for the entire process (including combustion) minus the emissions from combustion modelled in the current dataset (ecoinvent v3).</ns0:t>
        </ns0:is>
      </ns0:c>
    </ns0:row>
    <ns0:row r="194">
      <ns0:c r="A194" t="inlineStr">
        <ns0:is>
          <ns0:t>Hydrogen fluoride</ns0:t>
        </ns0:is>
      </ns0:c>
      <ns0:c r="B194" t="n">
        <ns0:v>1.42e-05</ns0:v>
      </ns0:c>
      <ns0:c r="E194" t="inlineStr">
        <ns0:is>
          <ns0:t>kilogram</ns0:t>
        </ns0:is>
      </ns0:c>
      <ns0:c r="F194" t="inlineStr">
        <ns0:is>
          <ns0:t>air::non-urban air or from high stacks</ns0:t>
        </ns0:is>
      </ns0:c>
      <ns0:c r="G194" t="inlineStr">
        <ns0:is>
          <ns0:t>biosphere</ns0:t>
        </ns0:is>
      </ns0:c>
      <ns0:c r="H194" t="inlineStr">
        <ns0:is>
          <ns0:t>FH</ns0:t>
        </ns0:is>
      </ns0:c>
      <ns0:c r="I194" t="n">
        <ns0:v>2</ns0:v>
      </ns0:c>
      <ns0:c r="J194" t="n">
        <ns0:v>-11.16226859335706</ns0:v>
      </ns0:c>
      <ns0:c r="K194" t="n">
        <ns0:v>0.2238302928559939</ns0:v>
      </ns0:c>
      <ns0:c r="L194" t="inlineStr">
        <ns0:is>
          <ns0:t>Calculated Value based on specific data for the entire process (including combustion) minus the emissions from combustion modelled in the current dataset (ecoinvent v3).</ns0:t>
        </ns0:is>
      </ns0:c>
    </ns0:row>
    <ns0:row r="195">
      <ns0:c r="A195" t="inlineStr">
        <ns0:is>
          <ns0:t>Iron ion</ns0:t>
        </ns0:is>
      </ns0:c>
      <ns0:c r="B195" t="n">
        <ns0:v>3.616e-07</ns0:v>
      </ns0:c>
      <ns0:c r="E195" t="inlineStr">
        <ns0:is>
          <ns0:t>kilogram</ns0:t>
        </ns0:is>
      </ns0:c>
      <ns0:c r="F195" t="inlineStr">
        <ns0:is>
          <ns0:t>water::surface water</ns0:t>
        </ns0:is>
      </ns0:c>
      <ns0:c r="G195" t="inlineStr">
        <ns0:is>
          <ns0:t>biosphere</ns0:t>
        </ns0:is>
      </ns0:c>
      <ns0:c r="H195" t="inlineStr">
        <ns0:is>
          <ns0:t>Fe+2</ns0:t>
        </ns0:is>
      </ns0:c>
      <ns0:c r="I195" t="n">
        <ns0:v>2</ns0:v>
      </ns0:c>
      <ns0:c r="J195" t="n">
        <ns0:v>-14.83272720842839</ns0:v>
      </ns0:c>
      <ns0:c r="K195" t="n">
        <ns0:v>0.8116033513977132</ns0:v>
      </ns0:c>
      <ns0:c r="L195" t="inlineStr">
        <ns0:is>
          <ns0:t>Calculated Value. Emissions in the final effluent.</ns0:t>
        </ns0:is>
      </ns0:c>
    </ns0:row>
    <ns0:row r="196">
      <ns0:c r="A196" t="inlineStr">
        <ns0:is>
          <ns0:t>Lead II</ns0:t>
        </ns0:is>
      </ns0:c>
      <ns0:c r="B196" t="n">
        <ns0:v>1.902e-10</ns0:v>
      </ns0:c>
      <ns0:c r="E196" t="inlineStr">
        <ns0:is>
          <ns0:t>kilogram</ns0:t>
        </ns0:is>
      </ns0:c>
      <ns0:c r="F196" t="inlineStr">
        <ns0:is>
          <ns0:t>water::surface water</ns0:t>
        </ns0:is>
      </ns0:c>
      <ns0:c r="G196" t="inlineStr">
        <ns0:is>
          <ns0:t>biosphere</ns0:t>
        </ns0:is>
      </ns0:c>
      <ns0:c r="H196" t="inlineStr">
        <ns0:is>
          <ns0:t>Pb</ns0:t>
        </ns0:is>
      </ns0:c>
      <ns0:c r="I196" t="n">
        <ns0:v>2</ns0:v>
      </ns0:c>
      <ns0:c r="J196" t="n">
        <ns0:v>-22.38294496581726</ns0:v>
      </ns0:c>
      <ns0:c r="K196" t="n">
        <ns0:v>0.8116033513977132</ns0:v>
      </ns0:c>
      <ns0:c r="L196" t="inlineStr">
        <ns0:is>
          <ns0:t>Calculated Value. Emissions in the final effluent.</ns0:t>
        </ns0:is>
      </ns0:c>
    </ns0:row>
    <ns0:row r="197">
      <ns0:c r="A197" t="inlineStr">
        <ns0:is>
          <ns0:t>Manganese II</ns0:t>
        </ns0:is>
      </ns0:c>
      <ns0:c r="B197" t="n">
        <ns0:v>5.705e-08</ns0:v>
      </ns0:c>
      <ns0:c r="E197" t="inlineStr">
        <ns0:is>
          <ns0:t>kilogram</ns0:t>
        </ns0:is>
      </ns0:c>
      <ns0:c r="F197" t="inlineStr">
        <ns0:is>
          <ns0:t>water::surface water</ns0:t>
        </ns0:is>
      </ns0:c>
      <ns0:c r="G197" t="inlineStr">
        <ns0:is>
          <ns0:t>biosphere</ns0:t>
        </ns0:is>
      </ns0:c>
      <ns0:c r="H197" t="inlineStr">
        <ns0:is>
          <ns0:t>Mn</ns0:t>
        </ns0:is>
      </ns0:c>
      <ns0:c r="I197" t="n">
        <ns0:v>2</ns0:v>
      </ns0:c>
      <ns0:c r="J197" t="n">
        <ns0:v>-16.67933776063833</ns0:v>
      </ns0:c>
      <ns0:c r="K197" t="n">
        <ns0:v>0.8116033513977132</ns0:v>
      </ns0:c>
      <ns0:c r="L197" t="inlineStr">
        <ns0:is>
          <ns0:t>Calculated Value. Emissions in the final effluent.</ns0:t>
        </ns0:is>
      </ns0:c>
    </ns0:row>
    <ns0:row r="198">
      <ns0:c r="A198" t="inlineStr">
        <ns0:is>
          <ns0:t>Mercury II</ns0:t>
        </ns0:is>
      </ns0:c>
      <ns0:c r="B198" t="n">
        <ns0:v>2.472e-11</ns0:v>
      </ns0:c>
      <ns0:c r="E198" t="inlineStr">
        <ns0:is>
          <ns0:t>kilogram</ns0:t>
        </ns0:is>
      </ns0:c>
      <ns0:c r="F198" t="inlineStr">
        <ns0:is>
          <ns0:t>water::surface water</ns0:t>
        </ns0:is>
      </ns0:c>
      <ns0:c r="G198" t="inlineStr">
        <ns0:is>
          <ns0:t>biosphere</ns0:t>
        </ns0:is>
      </ns0:c>
      <ns0:c r="H198" t="inlineStr">
        <ns0:is>
          <ns0:t>Hg</ns0:t>
        </ns0:is>
      </ns0:c>
      <ns0:c r="I198" t="n">
        <ns0:v>2</ns0:v>
      </ns0:c>
      <ns0:c r="J198" t="n">
        <ns0:v>-24.42340848333906</ns0:v>
      </ns0:c>
      <ns0:c r="K198" t="n">
        <ns0:v>0.8116033513977132</ns0:v>
      </ns0:c>
      <ns0:c r="L198" t="inlineStr">
        <ns0:is>
          <ns0:t>Calculated Value. Emissions in the final effluent.</ns0:t>
        </ns0:is>
      </ns0:c>
    </ns0:row>
    <ns0:row r="199">
      <ns0:c r="A199" t="inlineStr">
        <ns0:is>
          <ns0:t>Mercury II</ns0:t>
        </ns0:is>
      </ns0:c>
      <ns0:c r="B199" t="n">
        <ns0:v>3.03e-09</ns0:v>
      </ns0:c>
      <ns0:c r="E199" t="inlineStr">
        <ns0:is>
          <ns0:t>kilogram</ns0:t>
        </ns0:is>
      </ns0:c>
      <ns0:c r="F199" t="inlineStr">
        <ns0:is>
          <ns0:t>air::non-urban air or from high stacks</ns0:t>
        </ns0:is>
      </ns0:c>
      <ns0:c r="G199" t="inlineStr">
        <ns0:is>
          <ns0:t>biosphere</ns0:t>
        </ns0:is>
      </ns0:c>
      <ns0:c r="H199" t="inlineStr">
        <ns0:is>
          <ns0:t>Hg</ns0:t>
        </ns0:is>
      </ns0:c>
      <ns0:c r="I199" t="n">
        <ns0:v>2</ns0:v>
      </ns0:c>
      <ns0:c r="J199" t="n">
        <ns0:v>-19.61470321742513</ns0:v>
      </ns0:c>
      <ns0:c r="K199" t="n">
        <ns0:v>0.8124653838779841</ns0:v>
      </ns0:c>
      <ns0:c r="L199" t="inlineStr">
        <ns0:is>
          <ns0:t>Calculated Value based on specific data for the entire process (including combustion) minus the emissions from combustion modelled in the current dataset (ecoinvent v3).</ns0:t>
        </ns0:is>
      </ns0:c>
    </ns0:row>
    <ns0:row r="200">
      <ns0:c r="A200" t="inlineStr">
        <ns0:is>
          <ns0:t>Methane, fossil</ns0:t>
        </ns0:is>
      </ns0:c>
      <ns0:c r="B200" t="n">
        <ns0:v>1.87e-09</ns0:v>
      </ns0:c>
      <ns0:c r="E200" t="inlineStr">
        <ns0:is>
          <ns0:t>kilogram</ns0:t>
        </ns0:is>
      </ns0:c>
      <ns0:c r="F200" t="inlineStr">
        <ns0:is>
          <ns0:t>air::non-urban air or from high stacks</ns0:t>
        </ns0:is>
      </ns0:c>
      <ns0:c r="G200" t="inlineStr">
        <ns0:is>
          <ns0:t>biosphere</ns0:t>
        </ns0:is>
      </ns0:c>
      <ns0:c r="H200" t="inlineStr">
        <ns0:is>
          <ns0:t>CH4</ns0:t>
        </ns0:is>
      </ns0:c>
      <ns0:c r="I200" t="n">
        <ns0:v>2</ns0:v>
      </ns0:c>
      <ns0:c r="J200" t="n">
        <ns0:v>-20.09732740607992</ns0:v>
      </ns0:c>
      <ns0:c r="K200" t="n">
        <ns0:v>0.2206807649071391</ns0:v>
      </ns0:c>
      <ns0:c r="L200" t="inlineStr">
        <ns0:is>
          <ns0:t>Calculated Value, Emissions related the combustion of waste oil on site.</ns0:t>
        </ns0:is>
      </ns0:c>
    </ns0:row>
    <ns0:row r="201">
      <ns0:c r="A201" t="inlineStr">
        <ns0:is>
          <ns0:t>NMVOC, non-methane volatile organic compounds</ns0:t>
        </ns0:is>
      </ns0:c>
      <ns0:c r="B201" t="n">
        <ns0:v>1.287e-09</ns0:v>
      </ns0:c>
      <ns0:c r="E201" t="inlineStr">
        <ns0:is>
          <ns0:t>kilogram</ns0:t>
        </ns0:is>
      </ns0:c>
      <ns0:c r="F201" t="inlineStr">
        <ns0:is>
          <ns0:t>air::non-urban air or from high stacks</ns0:t>
        </ns0:is>
      </ns0:c>
      <ns0:c r="G201" t="inlineStr">
        <ns0:is>
          <ns0:t>biosphere</ns0:t>
        </ns0:is>
      </ns0:c>
      <ns0:c r="I201" t="n">
        <ns0:v>2</ns0:v>
      </ns0:c>
      <ns0:c r="J201" t="n">
        <ns0:v>-20.47095190833242</ns0:v>
      </ns0:c>
      <ns0:c r="K201" t="n">
        <ns0:v>0.2206807649071391</ns0:v>
      </ns0:c>
      <ns0:c r="L201" t="inlineStr">
        <ns0:is>
          <ns0:t>Calculated Value. Process emissions, reported as COV.</ns0:t>
        </ns0:is>
      </ns0:c>
    </ns0:row>
    <ns0:row r="202">
      <ns0:c r="A202" t="inlineStr">
        <ns0:is>
          <ns0:t>Nickel II</ns0:t>
        </ns0:is>
      </ns0:c>
      <ns0:c r="B202" t="n">
        <ns0:v>1.902e-10</ns0:v>
      </ns0:c>
      <ns0:c r="E202" t="inlineStr">
        <ns0:is>
          <ns0:t>kilogram</ns0:t>
        </ns0:is>
      </ns0:c>
      <ns0:c r="F202" t="inlineStr">
        <ns0:is>
          <ns0:t>water::surface water</ns0:t>
        </ns0:is>
      </ns0:c>
      <ns0:c r="G202" t="inlineStr">
        <ns0:is>
          <ns0:t>biosphere</ns0:t>
        </ns0:is>
      </ns0:c>
      <ns0:c r="H202" t="inlineStr">
        <ns0:is>
          <ns0:t>Ni+2</ns0:t>
        </ns0:is>
      </ns0:c>
      <ns0:c r="I202" t="n">
        <ns0:v>2</ns0:v>
      </ns0:c>
      <ns0:c r="J202" t="n">
        <ns0:v>-22.38294496581726</ns0:v>
      </ns0:c>
      <ns0:c r="K202" t="n">
        <ns0:v>0.8116033513977132</ns0:v>
      </ns0:c>
      <ns0:c r="L202" t="inlineStr">
        <ns0:is>
          <ns0:t>Calculated Value. Emissions in the final effluent.</ns0:t>
        </ns0:is>
      </ns0:c>
    </ns0:row>
    <ns0:row r="203">
      <ns0:c r="A203" t="inlineStr">
        <ns0:is>
          <ns0:t>Nitrate</ns0:t>
        </ns0:is>
      </ns0:c>
      <ns0:c r="B203" t="n">
        <ns0:v>3.499e-07</ns0:v>
      </ns0:c>
      <ns0:c r="E203" t="inlineStr">
        <ns0:is>
          <ns0:t>kilogram</ns0:t>
        </ns0:is>
      </ns0:c>
      <ns0:c r="F203" t="inlineStr">
        <ns0:is>
          <ns0:t>water::surface water</ns0:t>
        </ns0:is>
      </ns0:c>
      <ns0:c r="G203" t="inlineStr">
        <ns0:is>
          <ns0:t>biosphere</ns0:t>
        </ns0:is>
      </ns0:c>
      <ns0:c r="H203" t="inlineStr">
        <ns0:is>
          <ns0:t>NO3-</ns0:t>
        </ns0:is>
      </ns0:c>
      <ns0:c r="I203" t="n">
        <ns0:v>2</ns0:v>
      </ns0:c>
      <ns0:c r="J203" t="n">
        <ns0:v>-14.86561843757277</ns0:v>
      </ns0:c>
      <ns0:c r="K203" t="n">
        <ns0:v>0.2206807649071391</ns0:v>
      </ns0:c>
      <ns0:c r="L203" t="inlineStr">
        <ns0:is>
          <ns0:t>Calculated Value. Emissions in the final effluent.</ns0:t>
        </ns0:is>
      </ns0:c>
    </ns0:row>
    <ns0:row r="204">
      <ns0:c r="A204" t="inlineStr">
        <ns0:is>
          <ns0:t>Nitrogen oxides</ns0:t>
        </ns0:is>
      </ns0:c>
      <ns0:c r="B204" t="n">
        <ns0:v>6.022e-06</ns0:v>
      </ns0:c>
      <ns0:c r="E204" t="inlineStr">
        <ns0:is>
          <ns0:t>kilogram</ns0:t>
        </ns0:is>
      </ns0:c>
      <ns0:c r="F204" t="inlineStr">
        <ns0:is>
          <ns0:t>air::non-urban air or from high stacks</ns0:t>
        </ns0:is>
      </ns0:c>
      <ns0:c r="G204" t="inlineStr">
        <ns0:is>
          <ns0:t>biosphere</ns0:t>
        </ns0:is>
      </ns0:c>
      <ns0:c r="H204" t="inlineStr">
        <ns0:is>
          <ns0:t>H3NO</ns0:t>
        </ns0:is>
      </ns0:c>
      <ns0:c r="I204" t="n">
        <ns0:v>2</ns0:v>
      </ns0:c>
      <ns0:c r="J204" t="n">
        <ns0:v>-12.02009112790473</ns0:v>
      </ns0:c>
      <ns0:c r="K204" t="n">
        <ns0:v>0.2206807649071391</ns0:v>
      </ns0:c>
      <ns0:c r="L204" t="inlineStr">
        <ns0:is>
          <ns0:t>Calculated Value. Process emissions.</ns0:t>
        </ns0:is>
      </ns0:c>
    </ns0:row>
    <ns0:row r="205">
      <ns0:c r="A205" t="inlineStr">
        <ns0:is>
          <ns0:t>Particulate Matter, &lt; 2.5 um</ns0:t>
        </ns0:is>
      </ns0:c>
      <ns0:c r="B205" t="n">
        <ns0:v>1.039e-05</ns0:v>
      </ns0:c>
      <ns0:c r="E205" t="inlineStr">
        <ns0:is>
          <ns0:t>kilogram</ns0:t>
        </ns0:is>
      </ns0:c>
      <ns0:c r="F205" t="inlineStr">
        <ns0:is>
          <ns0:t>air::non-urban air or from high stacks</ns0:t>
        </ns0:is>
      </ns0:c>
      <ns0:c r="G205" t="inlineStr">
        <ns0:is>
          <ns0:t>biosphere</ns0:t>
        </ns0:is>
      </ns0:c>
      <ns0:c r="I205" t="n">
        <ns0:v>2</ns0:v>
      </ns0:c>
      <ns0:c r="J205" t="n">
        <ns0:v>-11.47466675285314</ns0:v>
      </ns0:c>
      <ns0:c r="K205" t="n">
        <ns0:v>0.555607775323564</ns0:v>
      </ns0:c>
      <ns0:c r="L205" t="inlineStr">
        <ns0:is>
          <ns0:t>Calculated Value. Emissions related to stationnary sources (process), material transfer activities, fugitive sources (tailings) and road dust.</ns0:t>
        </ns0:is>
      </ns0:c>
    </ns0:row>
    <ns0:row r="206">
      <ns0:c r="A206" t="inlineStr">
        <ns0:is>
          <ns0:t>Particulate Matter, &gt; 10 um</ns0:t>
        </ns0:is>
      </ns0:c>
      <ns0:c r="B206" t="n">
        <ns0:v>1.796e-05</ns0:v>
      </ns0:c>
      <ns0:c r="E206" t="inlineStr">
        <ns0:is>
          <ns0:t>kilogram</ns0:t>
        </ns0:is>
      </ns0:c>
      <ns0:c r="F206" t="inlineStr">
        <ns0:is>
          <ns0:t>air::non-urban air or from high stacks</ns0:t>
        </ns0:is>
      </ns0:c>
      <ns0:c r="G206" t="inlineStr">
        <ns0:is>
          <ns0:t>biosphere</ns0:t>
        </ns0:is>
      </ns0:c>
      <ns0:c r="I206" t="n">
        <ns0:v>2</ns0:v>
      </ns0:c>
      <ns0:c r="J206" t="n">
        <ns0:v>-10.92736349509022</ns0:v>
      </ns0:c>
      <ns0:c r="K206" t="n">
        <ns0:v>0.2206807649071391</ns0:v>
      </ns0:c>
      <ns0:c r="L206" t="inlineStr">
        <ns0:is>
          <ns0:t>Calculated Value. Emissions related to stationnary sources (process), material transfer activities, fugitive sources (tailings) and road dust.</ns0:t>
        </ns0:is>
      </ns0:c>
    </ns0:row>
    <ns0:row r="207">
      <ns0:c r="A207" t="inlineStr">
        <ns0:is>
          <ns0:t>Particulate Matter, &gt; 2.5 um and &lt; 10um</ns0:t>
        </ns0:is>
      </ns0:c>
      <ns0:c r="B207" t="n">
        <ns0:v>1.231e-05</ns0:v>
      </ns0:c>
      <ns0:c r="E207" t="inlineStr">
        <ns0:is>
          <ns0:t>kilogram</ns0:t>
        </ns0:is>
      </ns0:c>
      <ns0:c r="F207" t="inlineStr">
        <ns0:is>
          <ns0:t>air::non-urban air or from high stacks</ns0:t>
        </ns0:is>
      </ns0:c>
      <ns0:c r="G207" t="inlineStr">
        <ns0:is>
          <ns0:t>biosphere</ns0:t>
        </ns0:is>
      </ns0:c>
      <ns0:c r="I207" t="n">
        <ns0:v>2</ns0:v>
      </ns0:c>
      <ns0:c r="J207" t="n">
        <ns0:v>-11.30509861776791</ns0:v>
      </ns0:c>
      <ns0:c r="K207" t="n">
        <ns0:v>0.358747822293042</ns0:v>
      </ns0:c>
      <ns0:c r="L207" t="inlineStr">
        <ns0:is>
          <ns0:t>Calculated Value. Emissions related to stationnary sources (process), material transfer activities, fugitive sources (tailings) and road dust.</ns0:t>
        </ns0:is>
      </ns0:c>
    </ns0:row>
    <ns0:row r="208">
      <ns0:c r="A208" t="inlineStr">
        <ns0:is>
          <ns0:t>Phosphorus</ns0:t>
        </ns0:is>
      </ns0:c>
      <ns0:c r="B208" t="n">
        <ns0:v>2.282e-08</ns0:v>
      </ns0:c>
      <ns0:c r="E208" t="inlineStr">
        <ns0:is>
          <ns0:t>kilogram</ns0:t>
        </ns0:is>
      </ns0:c>
      <ns0:c r="F208" t="inlineStr">
        <ns0:is>
          <ns0:t>water::surface water</ns0:t>
        </ns0:is>
      </ns0:c>
      <ns0:c r="G208" t="inlineStr">
        <ns0:is>
          <ns0:t>biosphere</ns0:t>
        </ns0:is>
      </ns0:c>
      <ns0:c r="H208" t="inlineStr">
        <ns0:is>
          <ns0:t>P</ns0:t>
        </ns0:is>
      </ns0:c>
      <ns0:c r="I208" t="n">
        <ns0:v>2</ns0:v>
      </ns0:c>
      <ns0:c r="J208" t="n">
        <ns0:v>-17.59562849251248</ns0:v>
      </ns0:c>
      <ns0:c r="K208" t="n">
        <ns0:v>0.2206807649071391</ns0:v>
      </ns0:c>
      <ns0:c r="L208" t="inlineStr">
        <ns0:is>
          <ns0:t>Calculated Value. Emissions in the final effluent.</ns0:t>
        </ns0:is>
      </ns0:c>
    </ns0:row>
    <ns0:row r="209">
      <ns0:c r="A209" t="inlineStr">
        <ns0:is>
          <ns0:t>Silver I</ns0:t>
        </ns0:is>
      </ns0:c>
      <ns0:c r="B209" t="n">
        <ns0:v>1.73e-09</ns0:v>
      </ns0:c>
      <ns0:c r="E209" t="inlineStr">
        <ns0:is>
          <ns0:t>kilogram</ns0:t>
        </ns0:is>
      </ns0:c>
      <ns0:c r="F209" t="inlineStr">
        <ns0:is>
          <ns0:t>air::non-urban air or from high stacks</ns0:t>
        </ns0:is>
      </ns0:c>
      <ns0:c r="G209" t="inlineStr">
        <ns0:is>
          <ns0:t>biosphere</ns0:t>
        </ns0:is>
      </ns0:c>
      <ns0:c r="H209" t="inlineStr">
        <ns0:is>
          <ns0:t>Ag</ns0:t>
        </ns0:is>
      </ns0:c>
      <ns0:c r="I209" t="n">
        <ns0:v>2</ns0:v>
      </ns0:c>
      <ns0:c r="J209" t="n">
        <ns0:v>-20.17514442843672</ns0:v>
      </ns0:c>
      <ns0:c r="K209" t="n">
        <ns0:v>0.8124653838779841</ns0:v>
      </ns0:c>
      <ns0:c r="L209" t="inlineStr">
        <ns0:is>
          <ns0:t>Calculated Value based on specific data for the entire process (including combustion) minus the emissions from combustion modelled in the current dataset (ecoinvent v3).</ns0:t>
        </ns0:is>
      </ns0:c>
    </ns0:row>
    <ns0:row r="210">
      <ns0:c r="A210" t="inlineStr">
        <ns0:is>
          <ns0:t>Sulfur dioxide</ns0:t>
        </ns0:is>
      </ns0:c>
      <ns0:c r="B210" t="n">
        <ns0:v>2.881e-05</ns0:v>
      </ns0:c>
      <ns0:c r="E210" t="inlineStr">
        <ns0:is>
          <ns0:t>kilogram</ns0:t>
        </ns0:is>
      </ns0:c>
      <ns0:c r="F210" t="inlineStr">
        <ns0:is>
          <ns0:t>air::non-urban air or from high stacks</ns0:t>
        </ns0:is>
      </ns0:c>
      <ns0:c r="G210" t="inlineStr">
        <ns0:is>
          <ns0:t>biosphere</ns0:t>
        </ns0:is>
      </ns0:c>
      <ns0:c r="H210" t="inlineStr">
        <ns0:is>
          <ns0:t>O2S</ns0:t>
        </ns0:is>
      </ns0:c>
      <ns0:c r="I210" t="n">
        <ns0:v>2</ns0:v>
      </ns0:c>
      <ns0:c r="J210" t="n">
        <ns0:v>-10.45478800886784</ns0:v>
      </ns0:c>
      <ns0:c r="K210" t="n">
        <ns0:v>0.09643650760992954</ns0:v>
      </ns0:c>
      <ns0:c r="L210" t="inlineStr">
        <ns0:is>
          <ns0:t>Calculated Value. Process emissions.</ns0:t>
        </ns0:is>
      </ns0:c>
    </ns0:row>
    <ns0:row r="211">
      <ns0:c r="A211" t="inlineStr">
        <ns0:is>
          <ns0:t>Suspended solids, unspecified</ns0:t>
        </ns0:is>
      </ns0:c>
      <ns0:c r="B211" t="n">
        <ns0:v>1.218e-06</ns0:v>
      </ns0:c>
      <ns0:c r="E211" t="inlineStr">
        <ns0:is>
          <ns0:t>kilogram</ns0:t>
        </ns0:is>
      </ns0:c>
      <ns0:c r="F211" t="inlineStr">
        <ns0:is>
          <ns0:t>water::surface water</ns0:t>
        </ns0:is>
      </ns0:c>
      <ns0:c r="G211" t="inlineStr">
        <ns0:is>
          <ns0:t>biosphere</ns0:t>
        </ns0:is>
      </ns0:c>
      <ns0:c r="I211" t="n">
        <ns0:v>2</ns0:v>
      </ns0:c>
      <ns0:c r="J211" t="n">
        <ns0:v>-13.61830038867657</ns0:v>
      </ns0:c>
      <ns0:c r="K211" t="n">
        <ns0:v>0.2206807649071391</ns0:v>
      </ns0:c>
      <ns0:c r="L211" t="inlineStr">
        <ns0:is>
          <ns0:t>Calculated Value. Emissions in the final effluent.</ns0:t>
        </ns0:is>
      </ns0:c>
    </ns0:row>
    <ns0:row r="212">
      <ns0:c r="A212" t="inlineStr">
        <ns0:is>
          <ns0:t>Water</ns0:t>
        </ns0:is>
      </ns0:c>
      <ns0:c r="B212" t="n">
        <ns0:v>0.0005616799999999999</ns0:v>
      </ns0:c>
      <ns0:c r="E212" t="inlineStr">
        <ns0:is>
          <ns0:t>cubic meter</ns0:t>
        </ns0:is>
      </ns0:c>
      <ns0:c r="F212" t="inlineStr">
        <ns0:is>
          <ns0:t>water</ns0:t>
        </ns0:is>
      </ns0:c>
      <ns0:c r="G212" t="inlineStr">
        <ns0:is>
          <ns0:t>biosphere</ns0:t>
        </ns0:is>
      </ns0:c>
      <ns0:c r="H212" t="inlineStr">
        <ns0:is>
          <ns0:t>H2O</ns0:t>
        </ns0:is>
      </ns0:c>
      <ns0:c r="I212" t="n">
        <ns0:v>2</ns0:v>
      </ns0:c>
      <ns0:c r="J212" t="n">
        <ns0:v>-7.484578265255281</ns0:v>
      </ns0:c>
      <ns0:c r="K212" t="n">
        <ns0:v>0.2206807649071391</ns0:v>
      </ns0:c>
      <ns0:c r="L212" t="inlineStr">
        <ns0:is>
          <ns0:t>Calculated value based on literature values and expert opinion. See comments in the parametres' comment field.</ns0:t>
        </ns0:is>
      </ns0:c>
    </ns0:row>
    <ns0:row r="213">
      <ns0:c r="A213" t="inlineStr">
        <ns0:is>
          <ns0:t>Water</ns0:t>
        </ns0:is>
      </ns0:c>
      <ns0:c r="B213" t="n">
        <ns0:v>9.912e-05</ns0:v>
      </ns0:c>
      <ns0:c r="E213" t="inlineStr">
        <ns0:is>
          <ns0:t>cubic meter</ns0:t>
        </ns0:is>
      </ns0:c>
      <ns0:c r="F213" t="inlineStr">
        <ns0:is>
          <ns0:t>air</ns0:t>
        </ns0:is>
      </ns0:c>
      <ns0:c r="G213" t="inlineStr">
        <ns0:is>
          <ns0:t>biosphere</ns0:t>
        </ns0:is>
      </ns0:c>
      <ns0:c r="H213" t="inlineStr">
        <ns0:is>
          <ns0:t>H2O</ns0:t>
        </ns0:is>
      </ns0:c>
      <ns0:c r="I213" t="n">
        <ns0:v>2</ns0:v>
      </ns0:c>
      <ns0:c r="J213" t="n">
        <ns0:v>-9.219179320643388</ns0:v>
      </ns0:c>
      <ns0:c r="K213" t="n">
        <ns0:v>0.2206807649071391</ns0:v>
      </ns0:c>
      <ns0:c r="L213" t="inlineStr">
        <ns0:is>
          <ns0:t>Calculated value based on literature values and expert opinion. See comments in the parametres' comment field.</ns0:t>
        </ns0:is>
      </ns0:c>
    </ns0:row>
    <ns0:row r="214">
      <ns0:c r="A214" t="inlineStr">
        <ns0:is>
          <ns0:t>Zinc II</ns0:t>
        </ns0:is>
      </ns0:c>
      <ns0:c r="B214" t="n">
        <ns0:v>7.607e-10</ns0:v>
      </ns0:c>
      <ns0:c r="E214" t="inlineStr">
        <ns0:is>
          <ns0:t>kilogram</ns0:t>
        </ns0:is>
      </ns0:c>
      <ns0:c r="F214" t="inlineStr">
        <ns0:is>
          <ns0:t>water::surface water</ns0:t>
        </ns0:is>
      </ns0:c>
      <ns0:c r="G214" t="inlineStr">
        <ns0:is>
          <ns0:t>biosphere</ns0:t>
        </ns0:is>
      </ns0:c>
      <ns0:c r="H214" t="inlineStr">
        <ns0:is>
          <ns0:t>Zn+2</ns0:t>
        </ns0:is>
      </ns0:c>
      <ns0:c r="I214" t="n">
        <ns0:v>2</ns0:v>
      </ns0:c>
      <ns0:c r="J214" t="n">
        <ns0:v>-20.99678205392529</ns0:v>
      </ns0:c>
      <ns0:c r="K214" t="n">
        <ns0:v>0.8116033513977132</ns0:v>
      </ns0:c>
      <ns0:c r="L214" t="inlineStr">
        <ns0:is>
          <ns0:t>Calculated Value. Emissions in the final effluent.</ns0:t>
        </ns0:is>
      </ns0:c>
    </ns0:row>
    <ns0:row r="215">
      <ns0:c r="A215" t="inlineStr">
        <ns0:is>
          <ns0:t>vanadium pentoxide bearing iron pellet production</ns0:t>
        </ns0:is>
      </ns0:c>
      <ns0:c r="B215" t="n">
        <ns0:v>1</ns0:v>
      </ns0:c>
      <ns0:c r="C215" t="inlineStr">
        <ns0:is>
          <ns0:t>vanadium pentoxide bearing iron pellet</ns0:t>
        </ns0:is>
      </ns0:c>
      <ns0:c r="D215" t="inlineStr">
        <ns0:is>
          <ns0:t>CN</ns0:t>
        </ns0:is>
      </ns0:c>
      <ns0:c r="E215" t="inlineStr">
        <ns0:is>
          <ns0:t>kilogram</ns0:t>
        </ns0:is>
      </ns0:c>
      <ns0:c r="G215" t="inlineStr">
        <ns0:is>
          <ns0:t>production</ns0:t>
        </ns0:is>
      </ns0:c>
      <ns0:c r="I215" t="n">
        <ns0:v>0</ns0:v>
      </ns0:c>
      <ns0:c r="J215" t="n">
        <ns0:v>1</ns0:v>
      </ns0:c>
      <ns0:c r="L215" t="inlineStr">
        <ns0:is>
          <ns0:t>EcoSpold01Location=GLO</ns0:t>
        </ns0:is>
      </ns0:c>
      <ns0:c r="M215" t="n">
        <ns0:v>10100000000</ns0:v>
      </ns0:c>
    </ns0:row>
    <ns0:row r="216">
      <ns0:c r="A216" t="inlineStr">
        <ns0:is>
          <ns0:t>market for aluminium oxide factory</ns0:t>
        </ns0:is>
      </ns0:c>
      <ns0:c r="B216" t="n">
        <ns0:v>2.5e-11</ns0:v>
      </ns0:c>
      <ns0:c r="C216" t="inlineStr">
        <ns0:is>
          <ns0:t>aluminium oxide factory</ns0:t>
        </ns0:is>
      </ns0:c>
      <ns0:c r="D216" t="inlineStr">
        <ns0:is>
          <ns0:t>GLO</ns0:t>
        </ns0:is>
      </ns0:c>
      <ns0:c r="E216" t="inlineStr">
        <ns0:is>
          <ns0:t>unit</ns0:t>
        </ns0:is>
      </ns0:c>
      <ns0:c r="G216" t="inlineStr">
        <ns0:is>
          <ns0:t>technosphere</ns0:t>
        </ns0:is>
      </ns0:c>
      <ns0:c r="I216" t="n">
        <ns0:v>2</ns0:v>
      </ns0:c>
      <ns0:c r="J216" t="n">
        <ns0:v>-24.41214529106035</ns0:v>
      </ns0:c>
      <ns0:c r="K216" t="n">
        <ns0:v>0.714142842854285</ns0:v>
      </ns0:c>
      <ns0:c r="L216" t="inlineStr">
        <ns0:is>
          <ns0:t>EcoSpold01Location=RER</ns0:t>
        </ns0:is>
      </ns0:c>
    </ns0:row>
    <ns0:row r="217">
      <ns0:c r="A217" t="inlineStr">
        <ns0:is>
          <ns0:t>market for bentonite</ns0:t>
        </ns0:is>
      </ns0:c>
      <ns0:c r="B217" t="n">
        <ns0:v>0.01528</ns0:v>
      </ns0:c>
      <ns0:c r="C217" t="inlineStr">
        <ns0:is>
          <ns0:t>bentonite</ns0:t>
        </ns0:is>
      </ns0:c>
      <ns0:c r="D217" t="inlineStr">
        <ns0:is>
          <ns0:t>GLO</ns0:t>
        </ns0:is>
      </ns0:c>
      <ns0:c r="E217" t="inlineStr">
        <ns0:is>
          <ns0:t>kilogram</ns0:t>
        </ns0:is>
      </ns0:c>
      <ns0:c r="G217" t="inlineStr">
        <ns0:is>
          <ns0:t>technosphere</ns0:t>
        </ns0:is>
      </ns0:c>
      <ns0:c r="I217" t="n">
        <ns0:v>2</ns0:v>
      </ns0:c>
      <ns0:c r="J217" t="n">
        <ns0:v>-5.416650553509902</ns0:v>
      </ns0:c>
      <ns0:c r="K217" t="n">
        <ns0:v>0.09327379053088815</ns0:v>
      </ns0:c>
      <ns0:c r="L217" t="inlineStr">
        <ns0:is>
          <ns0:t>Measured Value. Activated on site with NaOH.</ns0:t>
        </ns0:is>
      </ns0:c>
    </ns0:row>
    <ns0:row r="218">
      <ns0:c r="A218" t="inlineStr">
        <ns0:is>
          <ns0:t>market for electricity, high voltage, aluminium industry</ns0:t>
        </ns0:is>
      </ns0:c>
      <ns0:c r="B218" t="n">
        <ns0:v>0.0299</ns0:v>
      </ns0:c>
      <ns0:c r="C218" t="inlineStr">
        <ns0:is>
          <ns0:t>electricity, high voltage, aluminium industry</ns0:t>
        </ns0:is>
      </ns0:c>
      <ns0:c r="D218" t="inlineStr">
        <ns0:is>
          <ns0:t>CN</ns0:t>
        </ns0:is>
      </ns0:c>
      <ns0:c r="E218" t="inlineStr">
        <ns0:is>
          <ns0:t>kilowatt hour</ns0:t>
        </ns0:is>
      </ns0:c>
      <ns0:c r="G218" t="inlineStr">
        <ns0:is>
          <ns0:t>technosphere</ns0:t>
        </ns0:is>
      </ns0:c>
    </ns0:row>
    <ns0:row r="219">
      <ns0:c r="A219" t="inlineStr">
        <ns0:is>
          <ns0:t>market for lubricating oil</ns0:t>
        </ns0:is>
      </ns0:c>
      <ns0:c r="B219" t="n">
        <ns0:v>1.6678e-05</ns0:v>
      </ns0:c>
      <ns0:c r="C219" t="inlineStr">
        <ns0:is>
          <ns0:t>lubricating oil</ns0:t>
        </ns0:is>
      </ns0:c>
      <ns0:c r="D219" t="inlineStr">
        <ns0:is>
          <ns0:t>RoW</ns0:t>
        </ns0:is>
      </ns0:c>
      <ns0:c r="E219" t="inlineStr">
        <ns0:is>
          <ns0:t>kilogram</ns0:t>
        </ns0:is>
      </ns0:c>
      <ns0:c r="G219" t="inlineStr">
        <ns0:is>
          <ns0:t>technosphere</ns0:t>
        </ns0:is>
      </ns0:c>
      <ns0:c r="I219" t="n">
        <ns0:v>2</ns0:v>
      </ns0:c>
      <ns0:c r="J219" t="n">
        <ns0:v>-11.00142007229948</ns0:v>
      </ns0:c>
      <ns0:c r="K219" t="n">
        <ns0:v>0.08944271909999159</ns0:v>
      </ns0:c>
      <ns0:c r="L219" t="inlineStr">
        <ns0:is>
          <ns0:t>Estimation based on the amount of waste oil burned on site in the iron ore beneficiation to 65% Fe, Quebec, 2011 and the ratio of the combustion emissions and with the amount of use oil sent to incineration plant.</ns0:t>
        </ns0:is>
      </ns0:c>
    </ns0:row>
    <ns0:row r="220">
      <ns0:c r="A220" t="inlineStr">
        <ns0:is>
          <ns0:t>market for scrap steel</ns0:t>
        </ns0:is>
      </ns0:c>
      <ns0:c r="B220" t="n">
        <ns0:v>-9.996e-05</ns0:v>
      </ns0:c>
      <ns0:c r="C220" t="inlineStr">
        <ns0:is>
          <ns0:t>scrap steel</ns0:t>
        </ns0:is>
      </ns0:c>
      <ns0:c r="D220" t="inlineStr">
        <ns0:is>
          <ns0:t>RoW</ns0:t>
        </ns0:is>
      </ns0:c>
      <ns0:c r="E220" t="inlineStr">
        <ns0:is>
          <ns0:t>kilogram</ns0:t>
        </ns0:is>
      </ns0:c>
      <ns0:c r="G220" t="inlineStr">
        <ns0:is>
          <ns0:t>technosphere</ns0:t>
        </ns0:is>
      </ns0:c>
      <ns0:c r="I220" t="n">
        <ns0:v>2</ns0:v>
      </ns0:c>
      <ns0:c r="J220" t="n">
        <ns0:v>-9.210740451997523</ns0:v>
      </ns0:c>
      <ns0:c r="K220" t="n">
        <ns0:v>0.09327379053088815</ns0:v>
      </ns0:c>
      <ns0:c r="L220" t="inlineStr">
        <ns0:is>
          <ns0:t>Measured Value for the year 2010. No information on the end of life.</ns0:t>
        </ns0:is>
      </ns0:c>
      <ns0:c r="N220" t="b">
        <ns0:v>1</ns0:v>
      </ns0:c>
    </ns0:row>
    <ns0:row r="221">
      <ns0:c r="A221" t="inlineStr">
        <ns0:is>
          <ns0:t>market for sodium hydroxide, without water, in 50% solution state</ns0:t>
        </ns0:is>
      </ns0:c>
      <ns0:c r="B221" t="n">
        <ns0:v>0.00010095</ns0:v>
      </ns0:c>
      <ns0:c r="C221" t="inlineStr">
        <ns0:is>
          <ns0:t>sodium hydroxide, without water, in 50% solution state</ns0:t>
        </ns0:is>
      </ns0:c>
      <ns0:c r="D221" t="inlineStr">
        <ns0:is>
          <ns0:t>GLO</ns0:t>
        </ns0:is>
      </ns0:c>
      <ns0:c r="E221" t="inlineStr">
        <ns0:is>
          <ns0:t>kilogram</ns0:t>
        </ns0:is>
      </ns0:c>
      <ns0:c r="G221" t="inlineStr">
        <ns0:is>
          <ns0:t>technosphere</ns0:t>
        </ns0:is>
      </ns0:c>
      <ns0:c r="I221" t="n">
        <ns0:v>2</ns0:v>
      </ns0:c>
      <ns0:c r="J221" t="n">
        <ns0:v>-9.200885213205428</ns0:v>
      </ns0:c>
      <ns0:c r="K221" t="n">
        <ns0:v>0.09327379053088815</ns0:v>
      </ns0:c>
      <ns0:c r="L221" t="inlineStr">
        <ns0:is>
          <ns0:t>Measured Value. Reported as kg of solution.</ns0:t>
        </ns0:is>
      </ns0:c>
    </ns0:row>
    <ns0:row r="222">
      <ns0:c r="A222" t="inlineStr">
        <ns0:is>
          <ns0:t>market for solvent, organic</ns0:t>
        </ns0:is>
      </ns0:c>
      <ns0:c r="B222" t="n">
        <ns0:v>3.758e-06</ns0:v>
      </ns0:c>
      <ns0:c r="C222" t="inlineStr">
        <ns0:is>
          <ns0:t>solvent, organic</ns0:t>
        </ns0:is>
      </ns0:c>
      <ns0:c r="D222" t="inlineStr">
        <ns0:is>
          <ns0:t>GLO</ns0:t>
        </ns0:is>
      </ns0:c>
      <ns0:c r="E222" t="inlineStr">
        <ns0:is>
          <ns0:t>kilogram</ns0:t>
        </ns0:is>
      </ns0:c>
      <ns0:c r="G222" t="inlineStr">
        <ns0:is>
          <ns0:t>technosphere</ns0:t>
        </ns0:is>
      </ns0:c>
      <ns0:c r="I222" t="n">
        <ns0:v>2</ns0:v>
      </ns0:c>
      <ns0:c r="J222" t="n">
        <ns0:v>-12.491623656973</ns0:v>
      </ns0:c>
      <ns0:c r="K222" t="n">
        <ns0:v>0.08944271909999159</ns0:v>
      </ns0:c>
      <ns0:c r="L222" t="inlineStr">
        <ns0:is>
          <ns0:t>Estimation based on the amount of waste solvent.</ns0:t>
        </ns0:is>
      </ns0:c>
    </ns0:row>
    <ns0:row r="223">
      <ns0:c r="A223" t="inlineStr">
        <ns0:is>
          <ns0:t>market for spent solvent mixture</ns0:t>
        </ns0:is>
      </ns0:c>
      <ns0:c r="B223" t="n">
        <ns0:v>-3.758e-06</ns0:v>
      </ns0:c>
      <ns0:c r="C223" t="inlineStr">
        <ns0:is>
          <ns0:t>spent solvent mixture</ns0:t>
        </ns0:is>
      </ns0:c>
      <ns0:c r="D223" t="inlineStr">
        <ns0:is>
          <ns0:t>RoW</ns0:t>
        </ns0:is>
      </ns0:c>
      <ns0:c r="E223" t="inlineStr">
        <ns0:is>
          <ns0:t>kilogram</ns0:t>
        </ns0:is>
      </ns0:c>
      <ns0:c r="G223" t="inlineStr">
        <ns0:is>
          <ns0:t>technosphere</ns0:t>
        </ns0:is>
      </ns0:c>
      <ns0:c r="I223" t="n">
        <ns0:v>2</ns0:v>
      </ns0:c>
      <ns0:c r="J223" t="n">
        <ns0:v>-12.491623656973</ns0:v>
      </ns0:c>
      <ns0:c r="K223" t="n">
        <ns0:v>0.09327379053088815</ns0:v>
      </ns0:c>
      <ns0:c r="L223" t="inlineStr">
        <ns0:is>
          <ns0:t>Measured Value for the year 2010. Reported as non-chlorinated solvent sent to cement plant (incineration as proxy).</ns0:t>
        </ns0:is>
      </ns0:c>
      <ns0:c r="N223" t="b">
        <ns0:v>1</ns0:v>
      </ns0:c>
    </ns0:row>
    <ns0:row r="224">
      <ns0:c r="A224" t="inlineStr">
        <ns0:is>
          <ns0:t>market for tap water</ns0:t>
        </ns0:is>
      </ns0:c>
      <ns0:c r="B224" t="n">
        <ns0:v>0.6608000000000001</ns0:v>
      </ns0:c>
      <ns0:c r="C224" t="inlineStr">
        <ns0:is>
          <ns0:t>tap water</ns0:t>
        </ns0:is>
      </ns0:c>
      <ns0:c r="D224" t="inlineStr">
        <ns0:is>
          <ns0:t>RoW</ns0:t>
        </ns0:is>
      </ns0:c>
      <ns0:c r="E224" t="inlineStr">
        <ns0:is>
          <ns0:t>kilogram</ns0:t>
        </ns0:is>
      </ns0:c>
      <ns0:c r="G224" t="inlineStr">
        <ns0:is>
          <ns0:t>technosphere</ns0:t>
        </ns0:is>
      </ns0:c>
    </ns0:row>
    <ns0:row r="225">
      <ns0:c r="A225" t="inlineStr">
        <ns0:is>
          <ns0:t>market for transport, freight train</ns0:t>
        </ns0:is>
      </ns0:c>
      <ns0:c r="B225" t="n">
        <ns0:v>0.135348600076475</ns0:v>
      </ns0:c>
      <ns0:c r="C225" t="inlineStr">
        <ns0:is>
          <ns0:t>transport, freight train</ns0:t>
        </ns0:is>
      </ns0:c>
      <ns0:c r="D225" t="inlineStr">
        <ns0:is>
          <ns0:t>RoW</ns0:t>
        </ns0:is>
      </ns0:c>
      <ns0:c r="E225" t="inlineStr">
        <ns0:is>
          <ns0:t>ton kilometer</ns0:t>
        </ns0:is>
      </ns0:c>
      <ns0:c r="G225" t="inlineStr">
        <ns0:is>
          <ns0:t>technosphere</ns0:t>
        </ns0:is>
      </ns0:c>
      <ns0:c r="I225" t="n">
        <ns0:v>2</ns0:v>
      </ns0:c>
      <ns0:c r="J225" t="n">
        <ns0:v>-1.999901605964049</ns0:v>
      </ns0:c>
      <ns0:c r="K225" t="n">
        <ns0:v>0.08944271909999159</ns0:v>
      </ns0:c>
      <ns0:c r="L225" t="inlineStr">
        <ns0:is>
          <ns0:t>Calculated Value. Transportation of the concentrate to the pellets plant.</ns0:t>
        </ns0:is>
      </ns0:c>
    </ns0:row>
    <ns0:row r="226">
      <ns0:c r="A226" t="inlineStr">
        <ns0:is>
          <ns0:t>market for waste mineral oil</ns0:t>
        </ns0:is>
      </ns0:c>
      <ns0:c r="B226" t="n">
        <ns0:v>-2.656e-06</ns0:v>
      </ns0:c>
      <ns0:c r="C226" t="inlineStr">
        <ns0:is>
          <ns0:t>waste mineral oil</ns0:t>
        </ns0:is>
      </ns0:c>
      <ns0:c r="D226" t="inlineStr">
        <ns0:is>
          <ns0:t>RoW</ns0:t>
        </ns0:is>
      </ns0:c>
      <ns0:c r="E226" t="inlineStr">
        <ns0:is>
          <ns0:t>kilogram</ns0:t>
        </ns0:is>
      </ns0:c>
      <ns0:c r="G226" t="inlineStr">
        <ns0:is>
          <ns0:t>technosphere</ns0:t>
        </ns0:is>
      </ns0:c>
      <ns0:c r="I226" t="n">
        <ns0:v>2</ns0:v>
      </ns0:c>
      <ns0:c r="J226" t="n">
        <ns0:v>-12.83868932635009</ns0:v>
      </ns0:c>
      <ns0:c r="K226" t="n">
        <ns0:v>0.09327379053088815</ns0:v>
      </ns0:c>
      <ns0:c r="L226" t="inlineStr">
        <ns0:is>
          <ns0:t>Measured Value for the year 2010. Reported as grease and oil waste sent to cement plant (incineration as proxy).</ns0:t>
        </ns0:is>
      </ns0:c>
      <ns0:c r="N226" t="b">
        <ns0:v>1</ns0:v>
      </ns0:c>
    </ns0:row>
    <ns0:row r="227">
      <ns0:c r="A227" t="inlineStr">
        <ns0:is>
          <ns0:t>vanadium-titanomagnetite mine operation and beneficiation</ns0:t>
        </ns0:is>
      </ns0:c>
      <ns0:c r="B227" t="n">
        <ns0:v>0.9847</ns0:v>
      </ns0:c>
      <ns0:c r="C227" t="inlineStr">
        <ns0:is>
          <ns0:t>iron ore concentrate</ns0:t>
        </ns0:is>
      </ns0:c>
      <ns0:c r="D227" t="inlineStr">
        <ns0:is>
          <ns0:t>CN</ns0:t>
        </ns0:is>
      </ns0:c>
      <ns0:c r="E227" t="inlineStr">
        <ns0:is>
          <ns0:t>kilogram</ns0:t>
        </ns0:is>
      </ns0:c>
      <ns0:c r="G227" t="inlineStr">
        <ns0:is>
          <ns0:t>technosphere</ns0:t>
        </ns0:is>
      </ns0:c>
    </ns0:row>
    <ns0:row r="228"/>
    <ns0:row r="229">
      <ns0:c r="A229" s="1" t="inlineStr">
        <ns0:is>
          <ns0:t>Activity</ns0:t>
        </ns0:is>
      </ns0:c>
      <ns0:c r="B229" s="1" t="inlineStr">
        <ns0:is>
          <ns0:t>vanadium pentoxide bearing iron sinter production</ns0:t>
        </ns0:is>
      </ns0:c>
    </ns0:row>
    <ns0:row r="230">
      <ns0:c r="A230" t="inlineStr">
        <ns0:is>
          <ns0:t>comment</ns0:t>
        </ns0:is>
      </ns0:c>
      <ns0:c r="B230" t="inlineStr">
        <ns0:is>
          <ns0:t xml:space="preserve">Source: Zhang, S., Steubing, B., Potter, H. K., Hansson, P. A., &amp; Nordberg, Å. (2024). Future climate impacts of sodium-ion batteries. Resources, Conservation and Recycling, 202, 107362. https://doi.org/10.1016/j.resconrec.2023.107362. modified based on iron sinter production, RER to Chinese production specifically. main change is that the iron ore concentration was changed to the one produced from VTM ore (CN) coke' is a fossil fuel with a calorific value of 28.6 MJ/kg in ecoinvent, so based on Gao et al., 2015, 0.05 kg coke was needed for producing 1 kg of sinter iron, which is 1.448 mj coke needed. coal gas: low heating value of coal gas is 28.6 MJ/kg in ecoinvent. So based on Gao et al., 2015, 0.003667 kg of coke oven gas. coal gas was need for producing 1 kg of sinter iron, whcih is 0.10487776 MJ, 
"Background:
This activity produces iron sinter for use in the blast furnace. The goal of the sintering process is to improve the permeability and reducability of the blast furnace charge, a mixture of fine ores, coke breeze, additives (e.g. lime) and iron-bearing materials that are returned from downstream iron and steemaking operations. Raw materials are blended together in a mixing drum and then placed on a conveyor belt on top of a layer of recycled sinter. The sinter mixture is moved slowly along a continuously moving grate with acombustion front drawing downwards through the mixture, which sinters the fine particles together. 
Modelling approach: 
Data on were mostly taken from the IPPC Best Available Technology report from the European Commission (Remus et al., 2013); note that where only data ranges were provided, the geometric mean of reported values was used here. The amounts of iron-bearing materials returned from downstream activities are based on the amount of each respective material that is produced and sent for internal recycling according to worldsteel (2010). It should be noted that data on radionucleid emissions to air, e.g. of Pollonium 210 and Lead 210, were not available and have therefore not been inventoried here.
References:
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Geography:  Data are representative of the average sitaution in Europe, with the exception of the amounts of iron-bearing material returns, which are based on average global statistics.
Technology:  Represents average European technology; down draft sintering on continuous travelling grates.
Time period:  Data are mostly compiled from reports published between 2007 and 2010 but are considered representative of modern operations. </ns0:t>
        </ns0:is>
      </ns0:c>
    </ns0:row>
    <ns0:row r="231">
      <ns0:c r="A231" t="inlineStr">
        <ns0:is>
          <ns0:t>location</ns0:t>
        </ns0:is>
      </ns0:c>
      <ns0:c r="B231" t="inlineStr">
        <ns0:is>
          <ns0:t>CN</ns0:t>
        </ns0:is>
      </ns0:c>
    </ns0:row>
    <ns0:row r="232">
      <ns0:c r="A232" t="inlineStr">
        <ns0:is>
          <ns0:t>reference product</ns0:t>
        </ns0:is>
      </ns0:c>
      <ns0:c r="B232" t="inlineStr">
        <ns0:is>
          <ns0:t>vanadium pentoxide bearing iron sinter</ns0:t>
        </ns0:is>
      </ns0:c>
    </ns0:row>
    <ns0:row r="233">
      <ns0:c r="A233" t="inlineStr">
        <ns0:is>
          <ns0:t>type</ns0:t>
        </ns0:is>
      </ns0:c>
      <ns0:c r="B233" t="inlineStr">
        <ns0:is>
          <ns0:t>process</ns0:t>
        </ns0:is>
      </ns0:c>
    </ns0:row>
    <ns0:row r="234">
      <ns0:c r="A234" t="inlineStr">
        <ns0:is>
          <ns0:t>unit</ns0:t>
        </ns0:is>
      </ns0:c>
      <ns0:c r="B234" t="inlineStr">
        <ns0:is>
          <ns0:t>kilogram</ns0:t>
        </ns0:is>
      </ns0:c>
    </ns0:row>
    <ns0:row r="235">
      <ns0:c r="A235" t="inlineStr">
        <ns0:is>
          <ns0:t>source</ns0:t>
        </ns0:is>
      </ns0:c>
      <ns0:c r="B235" t="inlineStr">
        <ns0:is>
          <ns0:t>Zhang, S., Steubing, B., Potter, H. K., Hansson, P. A., &amp; Nordberg, Å. (2024). Future climate impacts of sodium-ion batteries. Resources, Conservation and Recycling, 202, 107362. https://doi.org/10.1016/j.resconrec.2023.107362</ns0:t>
        </ns0:is>
      </ns0:c>
    </ns0:row>
    <ns0:row r="236">
      <ns0:c r="A236" s="1" t="inlineStr">
        <ns0:is>
          <ns0:t>Exchanges</ns0:t>
        </ns0:is>
      </ns0:c>
    </ns0:row>
    <ns0:row r="237">
      <ns0:c r="A237" s="1" t="inlineStr">
        <ns0:is>
          <ns0:t>name</ns0:t>
        </ns0:is>
      </ns0:c>
      <ns0:c r="B237" s="1" t="inlineStr">
        <ns0:is>
          <ns0:t>amount</ns0:t>
        </ns0:is>
      </ns0:c>
      <ns0:c r="C237" s="1" t="inlineStr">
        <ns0:is>
          <ns0:t>reference product</ns0:t>
        </ns0:is>
      </ns0:c>
      <ns0:c r="D237" s="1" t="inlineStr">
        <ns0:is>
          <ns0:t>location</ns0:t>
        </ns0:is>
      </ns0:c>
      <ns0:c r="E237" s="1" t="inlineStr">
        <ns0:is>
          <ns0:t>unit</ns0:t>
        </ns0:is>
      </ns0:c>
      <ns0:c r="F237" s="1" t="inlineStr">
        <ns0:is>
          <ns0:t>categories</ns0:t>
        </ns0:is>
      </ns0:c>
      <ns0:c r="G237" s="1" t="inlineStr">
        <ns0:is>
          <ns0:t>type</ns0:t>
        </ns0:is>
      </ns0:c>
      <ns0:c r="H237" s="1" t="inlineStr">
        <ns0:is>
          <ns0:t>formula</ns0:t>
        </ns0:is>
      </ns0:c>
      <ns0:c r="I237" s="1" t="inlineStr">
        <ns0:is>
          <ns0:t>uncertainty type</ns0:t>
        </ns0:is>
      </ns0:c>
      <ns0:c r="J237" s="1" t="inlineStr">
        <ns0:is>
          <ns0:t>loc</ns0:t>
        </ns0:is>
      </ns0:c>
      <ns0:c r="K237" s="1" t="inlineStr">
        <ns0:is>
          <ns0:t>scale</ns0:t>
        </ns0:is>
      </ns0:c>
      <ns0:c r="L237" s="1" t="inlineStr">
        <ns0:is>
          <ns0:t>comment</ns0:t>
        </ns0:is>
      </ns0:c>
      <ns0:c r="M237" s="1" t="inlineStr">
        <ns0:is>
          <ns0:t>production volume</ns0:t>
        </ns0:is>
      </ns0:c>
      <ns0:c r="N237" s="1" t="inlineStr">
        <ns0:is>
          <ns0:t>negative</ns0:t>
        </ns0:is>
      </ns0:c>
    </ns0:row>
    <ns0:row r="238">
      <ns0:c r="A238" t="inlineStr">
        <ns0:is>
          <ns0:t>Arsenic ion</ns0:t>
        </ns0:is>
      </ns0:c>
      <ns0:c r="B238" t="n">
        <ns0:v>3e-09</ns0:v>
      </ns0:c>
      <ns0:c r="E238" t="inlineStr">
        <ns0:is>
          <ns0:t>kilogram</ns0:t>
        </ns0:is>
      </ns0:c>
      <ns0:c r="F238" t="inlineStr">
        <ns0:is>
          <ns0:t>air</ns0:t>
        </ns0:is>
      </ns0:c>
      <ns0:c r="G238" t="inlineStr">
        <ns0:is>
          <ns0:t>biosphere</ns0:t>
        </ns0:is>
      </ns0:c>
      <ns0:c r="H238" t="inlineStr">
        <ns0:is>
          <ns0:t>As</ns0:t>
        </ns0:is>
      </ns0:c>
      <ns0:c r="I238" t="n">
        <ns0:v>2</ns0:v>
      </ns0:c>
      <ns0:c r="J238" t="n">
        <ns0:v>-19.6246535482783</ns0:v>
      </ns0:c>
      <ns0:c r="K238" t="n">
        <ns0:v>0.8094596963407134</ns0:v>
      </ns0:c>
      <ns0:c r="L238" t="inlineStr">
        <ns0:is>
          <ns0:t>geometric mean of Remus et al. (2013) data range</ns0:t>
        </ns0:is>
      </ns0:c>
    </ns0:row>
    <ns0:row r="239">
      <ns0:c r="A239" t="inlineStr">
        <ns0:is>
          <ns0:t>Benzo(a)pyrene</ns0:t>
        </ns0:is>
      </ns0:c>
      <ns0:c r="B239" t="n">
        <ns0:v>2.0371548787e-09</ns0:v>
      </ns0:c>
      <ns0:c r="E239" t="inlineStr">
        <ns0:is>
          <ns0:t>kilogram</ns0:t>
        </ns0:is>
      </ns0:c>
      <ns0:c r="F239" t="inlineStr">
        <ns0:is>
          <ns0:t>air</ns0:t>
        </ns0:is>
      </ns0:c>
      <ns0:c r="G239" t="inlineStr">
        <ns0:is>
          <ns0:t>biosphere</ns0:t>
        </ns0:is>
      </ns0:c>
      <ns0:c r="H239" t="inlineStr">
        <ns0:is>
          <ns0:t>C20H12</ns0:t>
        </ns0:is>
      </ns0:c>
      <ns0:c r="I239" t="n">
        <ns0:v>2</ns0:v>
      </ns0:c>
      <ns0:c r="J239" t="n">
        <ns0:v>-20.01171166984785</ns0:v>
      </ns0:c>
      <ns0:c r="K239" t="n">
        <ns0:v>0.5524717187331855</ns0:v>
      </ns0:c>
      <ns0:c r="L239" t="inlineStr">
        <ns0:is>
          <ns0:t>geometric mean of Remus et al. (2013) data range</ns0:t>
        </ns0:is>
      </ns0:c>
    </ns0:row>
    <ns0:row r="240">
      <ns0:c r="A240" t="inlineStr">
        <ns0:is>
          <ns0:t>Cadmium II</ns0:t>
        </ns0:is>
      </ns0:c>
      <ns0:c r="B240" t="n">
        <ns0:v>7.4390859654e-09</ns0:v>
      </ns0:c>
      <ns0:c r="E240" t="inlineStr">
        <ns0:is>
          <ns0:t>kilogram</ns0:t>
        </ns0:is>
      </ns0:c>
      <ns0:c r="F240" t="inlineStr">
        <ns0:is>
          <ns0:t>air</ns0:t>
        </ns0:is>
      </ns0:c>
      <ns0:c r="G240" t="inlineStr">
        <ns0:is>
          <ns0:t>biosphere</ns0:t>
        </ns0:is>
      </ns0:c>
      <ns0:c r="H240" t="inlineStr">
        <ns0:is>
          <ns0:t>Cd</ns0:t>
        </ns0:is>
      </ns0:c>
      <ns0:c r="I240" t="n">
        <ns0:v>2</ns0:v>
      </ns0:c>
      <ns0:c r="J240" t="n">
        <ns0:v>-18.7165178497615</ns0:v>
      </ns0:c>
      <ns0:c r="K240" t="n">
        <ns0:v>0.8094596963407134</ns0:v>
      </ns0:c>
      <ns0:c r="L240" t="inlineStr">
        <ns0:is>
          <ns0:t>geometric mean of Remus et al. (2013) data range</ns0:t>
        </ns0:is>
      </ns0:c>
    </ns0:row>
    <ns0:row r="241">
      <ns0:c r="A241" t="inlineStr">
        <ns0:is>
          <ns0:t>Carbon dioxide, fossil</ns0:t>
        </ns0:is>
      </ns0:c>
      <ns0:c r="B241" t="n">
        <ns0:v>0.24381169783</ns0:v>
      </ns0:c>
      <ns0:c r="E241" t="inlineStr">
        <ns0:is>
          <ns0:t>kilogram</ns0:t>
        </ns0:is>
      </ns0:c>
      <ns0:c r="F241" t="inlineStr">
        <ns0:is>
          <ns0:t>air</ns0:t>
        </ns0:is>
      </ns0:c>
      <ns0:c r="G241" t="inlineStr">
        <ns0:is>
          <ns0:t>biosphere</ns0:t>
        </ns0:is>
      </ns0:c>
      <ns0:c r="H241" t="inlineStr">
        <ns0:is>
          <ns0:t>CO2</ns0:t>
        </ns0:is>
      </ns0:c>
      <ns0:c r="I241" t="n">
        <ns0:v>2</ns0:v>
      </ns0:c>
      <ns0:c r="J241" t="n">
        <ns0:v>-1.411359081830902</ns0:v>
      </ns0:c>
      <ns0:c r="K241" t="n">
        <ns0:v>0.07632168761236874</ns0:v>
      </ns0:c>
      <ns0:c r="L241" t="inlineStr">
        <ns0:is>
          <ns0:t>geometric mean of Remus et al. (2013) data range</ns0:t>
        </ns0:is>
      </ns0:c>
    </ns0:row>
    <ns0:row r="242">
      <ns0:c r="A242" t="inlineStr">
        <ns0:is>
          <ns0:t>Carbon monoxide, fossil</ns0:t>
        </ns0:is>
      </ns0:c>
      <ns0:c r="B242" t="n">
        <ns0:v>0.018026952044</ns0:v>
      </ns0:c>
      <ns0:c r="E242" t="inlineStr">
        <ns0:is>
          <ns0:t>kilogram</ns0:t>
        </ns0:is>
      </ns0:c>
      <ns0:c r="F242" t="inlineStr">
        <ns0:is>
          <ns0:t>air</ns0:t>
        </ns0:is>
      </ns0:c>
      <ns0:c r="G242" t="inlineStr">
        <ns0:is>
          <ns0:t>biosphere</ns0:t>
        </ns0:is>
      </ns0:c>
      <ns0:c r="H242" t="inlineStr">
        <ns0:is>
          <ns0:t>CO</ns0:t>
        </ns0:is>
      </ns0:c>
      <ns0:c r="I242" t="n">
        <ns0:v>2</ns0:v>
      </ns0:c>
      <ns0:c r="J242" t="n">
        <ns0:v>-4.01588730519765</ns0:v>
      </ns0:c>
      <ns0:c r="K242" t="n">
        <ns0:v>0.8094596963407134</ns0:v>
      </ns0:c>
      <ns0:c r="L242" t="inlineStr">
        <ns0:is>
          <ns0:t>geometric mean of Remus et al. (2013) data range</ns0:t>
        </ns0:is>
      </ns0:c>
    </ns0:row>
    <ns0:row r="243">
      <ns0:c r="A243" t="inlineStr">
        <ns0:is>
          <ns0:t>Chromium III</ns0:t>
        </ns0:is>
      </ns0:c>
      <ns0:c r="B243" t="n">
        <ns0:v>2.1221687021e-08</ns0:v>
      </ns0:c>
      <ns0:c r="E243" t="inlineStr">
        <ns0:is>
          <ns0:t>kilogram</ns0:t>
        </ns0:is>
      </ns0:c>
      <ns0:c r="F243" t="inlineStr">
        <ns0:is>
          <ns0:t>air</ns0:t>
        </ns0:is>
      </ns0:c>
      <ns0:c r="G243" t="inlineStr">
        <ns0:is>
          <ns0:t>biosphere</ns0:t>
        </ns0:is>
      </ns0:c>
      <ns0:c r="H243" t="inlineStr">
        <ns0:is>
          <ns0:t>Cr</ns0:t>
        </ns0:is>
      </ns0:c>
      <ns0:c r="I243" t="n">
        <ns0:v>2</ns0:v>
      </ns0:c>
      <ns0:c r="J243" t="n">
        <ns0:v>-17.66824220545976</ns0:v>
      </ns0:c>
      <ns0:c r="K243" t="n">
        <ns0:v>0.8094596963407134</ns0:v>
      </ns0:c>
      <ns0:c r="L243" t="inlineStr">
        <ns0:is>
          <ns0:t>geometric mean of Remus et al. (2013) data range</ns0:t>
        </ns0:is>
      </ns0:c>
    </ns0:row>
    <ns0:row r="244">
      <ns0:c r="A244" t="inlineStr">
        <ns0:is>
          <ns0:t>Copper ion</ns0:t>
        </ns0:is>
      </ns0:c>
      <ns0:c r="B244" t="n">
        <ns0:v>3.3777951388e-08</ns0:v>
      </ns0:c>
      <ns0:c r="E244" t="inlineStr">
        <ns0:is>
          <ns0:t>kilogram</ns0:t>
        </ns0:is>
      </ns0:c>
      <ns0:c r="F244" t="inlineStr">
        <ns0:is>
          <ns0:t>air</ns0:t>
        </ns0:is>
      </ns0:c>
      <ns0:c r="G244" t="inlineStr">
        <ns0:is>
          <ns0:t>biosphere</ns0:t>
        </ns0:is>
      </ns0:c>
      <ns0:c r="H244" t="inlineStr">
        <ns0:is>
          <ns0:t>Cu</ns0:t>
        </ns0:is>
      </ns0:c>
      <ns0:c r="I244" t="n">
        <ns0:v>2</ns0:v>
      </ns0:c>
      <ns0:c r="J244" t="n">
        <ns0:v>-17.2034575731133</ns0:v>
      </ns0:c>
      <ns0:c r="K244" t="n">
        <ns0:v>0.8094596963407134</ns0:v>
      </ns0:c>
      <ns0:c r="L244" t="inlineStr">
        <ns0:is>
          <ns0:t>geometric mean of Remus et al. (2013) data range</ns0:t>
        </ns0:is>
      </ns0:c>
    </ns0:row>
    <ns0:row r="245">
      <ns0:c r="A245" t="inlineStr">
        <ns0:is>
          <ns0:t>Dioxins, measured as 2,3,7,8-tetrachlorodibenzo-p-dioxin</ns0:t>
        </ns0:is>
      </ns0:c>
      <ns0:c r="B245" t="n">
        <ns0:v>1.55e-12</ns0:v>
      </ns0:c>
      <ns0:c r="E245" t="inlineStr">
        <ns0:is>
          <ns0:t>kilogram</ns0:t>
        </ns0:is>
      </ns0:c>
      <ns0:c r="F245" t="inlineStr">
        <ns0:is>
          <ns0:t>air</ns0:t>
        </ns0:is>
      </ns0:c>
      <ns0:c r="G245" t="inlineStr">
        <ns0:is>
          <ns0:t>biosphere</ns0:t>
        </ns0:is>
      </ns0:c>
      <ns0:c r="H245" t="inlineStr">
        <ns0:is>
          <ns0:t>C12H4Cl4O2</ns0:t>
        </ns0:is>
      </ns0:c>
      <ns0:c r="I245" t="n">
        <ns0:v>2</ns0:v>
      </ns0:c>
      <ns0:c r="J245" t="n">
        <ns0:v>-27.19276618499739</ns0:v>
      </ns0:c>
      <ns0:c r="K245" t="n">
        <ns0:v>0.8094596963407134</ns0:v>
      </ns0:c>
      <ns0:c r="L245" t="inlineStr">
        <ns0:is>
          <ns0:t>geometric mean of Remus et al. (2013) data range</ns0:t>
        </ns0:is>
      </ns0:c>
    </ns0:row>
    <ns0:row r="246">
      <ns0:c r="A246" t="inlineStr">
        <ns0:is>
          <ns0:t>Hydrochloric acid</ns0:t>
        </ns0:is>
      </ns0:c>
      <ns0:c r="B246" t="n">
        <ns0:v>3.4447641429e-05</ns0:v>
      </ns0:c>
      <ns0:c r="E246" t="inlineStr">
        <ns0:is>
          <ns0:t>kilogram</ns0:t>
        </ns0:is>
      </ns0:c>
      <ns0:c r="F246" t="inlineStr">
        <ns0:is>
          <ns0:t>air</ns0:t>
        </ns0:is>
      </ns0:c>
      <ns0:c r="G246" t="inlineStr">
        <ns0:is>
          <ns0:t>biosphere</ns0:t>
        </ns0:is>
      </ns0:c>
      <ns0:c r="H246" t="inlineStr">
        <ns0:is>
          <ns0:t>ClH</ns0:t>
        </ns0:is>
      </ns0:c>
      <ns0:c r="I246" t="n">
        <ns0:v>2</ns0:v>
      </ns0:c>
      <ns0:c r="J246" t="n">
        <ns0:v>-10.27607002644777</ns0:v>
      </ns0:c>
      <ns0:c r="K246" t="n">
        <ns0:v>0.2126617031813674</ns0:v>
      </ns0:c>
      <ns0:c r="L246" t="inlineStr">
        <ns0:is>
          <ns0:t>geometric mean of Remus et al. (2013) data range</ns0:t>
        </ns0:is>
      </ns0:c>
    </ns0:row>
    <ns0:row r="247">
      <ns0:c r="A247" t="inlineStr">
        <ns0:is>
          <ns0:t>Hydrogen fluoride</ns0:t>
        </ns0:is>
      </ns0:c>
      <ns0:c r="B247" t="n">
        <ns0:v>1.8110770276e-06</ns0:v>
      </ns0:c>
      <ns0:c r="E247" t="inlineStr">
        <ns0:is>
          <ns0:t>kilogram</ns0:t>
        </ns0:is>
      </ns0:c>
      <ns0:c r="F247" t="inlineStr">
        <ns0:is>
          <ns0:t>air</ns0:t>
        </ns0:is>
      </ns0:c>
      <ns0:c r="G247" t="inlineStr">
        <ns0:is>
          <ns0:t>biosphere</ns0:t>
        </ns0:is>
      </ns0:c>
      <ns0:c r="H247" t="inlineStr">
        <ns0:is>
          <ns0:t>FH</ns0:t>
        </ns0:is>
      </ns0:c>
      <ns0:c r="I247" t="n">
        <ns0:v>2</ns0:v>
      </ns0:c>
      <ns0:c r="J247" t="n">
        <ns0:v>-13.22158884678142</ns0:v>
      </ns0:c>
      <ns0:c r="K247" t="n">
        <ns0:v>0.2126617031813674</ns0:v>
      </ns0:c>
      <ns0:c r="L247" t="inlineStr">
        <ns0:is>
          <ns0:t>geometric mean of Remus et al. (2013) data range</ns0:t>
        </ns0:is>
      </ns0:c>
    </ns0:row>
    <ns0:row r="248">
      <ns0:c r="A248" t="inlineStr">
        <ns0:is>
          <ns0:t>Lead II</ns0:t>
        </ns0:is>
      </ns0:c>
      <ns0:c r="B248" t="n">
        <ns0:v>3.8439214352e-07</ns0:v>
      </ns0:c>
      <ns0:c r="E248" t="inlineStr">
        <ns0:is>
          <ns0:t>kilogram</ns0:t>
        </ns0:is>
      </ns0:c>
      <ns0:c r="F248" t="inlineStr">
        <ns0:is>
          <ns0:t>air</ns0:t>
        </ns0:is>
      </ns0:c>
      <ns0:c r="G248" t="inlineStr">
        <ns0:is>
          <ns0:t>biosphere</ns0:t>
        </ns0:is>
      </ns0:c>
      <ns0:c r="H248" t="inlineStr">
        <ns0:is>
          <ns0:t>Pb</ns0:t>
        </ns0:is>
      </ns0:c>
      <ns0:c r="I248" t="n">
        <ns0:v>2</ns0:v>
      </ns0:c>
      <ns0:c r="J248" t="n">
        <ns0:v>-14.77160259835258</ns0:v>
      </ns0:c>
      <ns0:c r="K248" t="n">
        <ns0:v>0.8094596963407134</ns0:v>
      </ns0:c>
      <ns0:c r="L248" t="inlineStr">
        <ns0:is>
          <ns0:t>geometric mean of Remus et al. (2013) data range</ns0:t>
        </ns0:is>
      </ns0:c>
    </ns0:row>
    <ns0:row r="249">
      <ns0:c r="A249" t="inlineStr">
        <ns0:is>
          <ns0:t>Manganese II</ns0:t>
        </ns0:is>
      </ns0:c>
      <ns0:c r="B249" t="n">
        <ns0:v>4.2824759194e-08</ns0:v>
      </ns0:c>
      <ns0:c r="E249" t="inlineStr">
        <ns0:is>
          <ns0:t>kilogram</ns0:t>
        </ns0:is>
      </ns0:c>
      <ns0:c r="F249" t="inlineStr">
        <ns0:is>
          <ns0:t>air</ns0:t>
        </ns0:is>
      </ns0:c>
      <ns0:c r="G249" t="inlineStr">
        <ns0:is>
          <ns0:t>biosphere</ns0:t>
        </ns0:is>
      </ns0:c>
      <ns0:c r="H249" t="inlineStr">
        <ns0:is>
          <ns0:t>Mn</ns0:t>
        </ns0:is>
      </ns0:c>
      <ns0:c r="I249" t="n">
        <ns0:v>2</ns0:v>
      </ns0:c>
      <ns0:c r="J249" t="n">
        <ns0:v>-16.96614941577597</ns0:v>
      </ns0:c>
      <ns0:c r="K249" t="n">
        <ns0:v>0.8094596963407134</ns0:v>
      </ns0:c>
      <ns0:c r="L249" t="inlineStr">
        <ns0:is>
          <ns0:t>geometric mean of Remus et al. (2013) data range</ns0:t>
        </ns0:is>
      </ns0:c>
    </ns0:row>
    <ns0:row r="250">
      <ns0:c r="A250" t="inlineStr">
        <ns0:is>
          <ns0:t>Mercury II</ns0:t>
        </ns0:is>
      </ns0:c>
      <ns0:c r="B250" t="n">
        <ns0:v>4.5497252664e-09</ns0:v>
      </ns0:c>
      <ns0:c r="E250" t="inlineStr">
        <ns0:is>
          <ns0:t>kilogram</ns0:t>
        </ns0:is>
      </ns0:c>
      <ns0:c r="F250" t="inlineStr">
        <ns0:is>
          <ns0:t>air</ns0:t>
        </ns0:is>
      </ns0:c>
      <ns0:c r="G250" t="inlineStr">
        <ns0:is>
          <ns0:t>biosphere</ns0:t>
        </ns0:is>
      </ns0:c>
      <ns0:c r="H250" t="inlineStr">
        <ns0:is>
          <ns0:t>Hg</ns0:t>
        </ns0:is>
      </ns0:c>
      <ns0:c r="I250" t="n">
        <ns0:v>2</ns0:v>
      </ns0:c>
      <ns0:c r="J250" t="n">
        <ns0:v>-19.20819898681755</ns0:v>
      </ns0:c>
      <ns0:c r="K250" t="n">
        <ns0:v>0.8094596963407134</ns0:v>
      </ns0:c>
      <ns0:c r="L250" t="inlineStr">
        <ns0:is>
          <ns0:t>geometric mean of Remus et al. (2013) data range</ns0:t>
        </ns0:is>
      </ns0:c>
    </ns0:row>
    <ns0:row r="251">
      <ns0:c r="A251" t="inlineStr">
        <ns0:is>
          <ns0:t>Methane, fossil</ns0:t>
        </ns0:is>
      </ns0:c>
      <ns0:c r="B251" t="n">
        <ns0:v>0.0001210113631</ns0:v>
      </ns0:c>
      <ns0:c r="E251" t="inlineStr">
        <ns0:is>
          <ns0:t>kilogram</ns0:t>
        </ns0:is>
      </ns0:c>
      <ns0:c r="F251" t="inlineStr">
        <ns0:is>
          <ns0:t>air</ns0:t>
        </ns0:is>
      </ns0:c>
      <ns0:c r="G251" t="inlineStr">
        <ns0:is>
          <ns0:t>biosphere</ns0:t>
        </ns0:is>
      </ns0:c>
      <ns0:c r="H251" t="inlineStr">
        <ns0:is>
          <ns0:t>CH4</ns0:t>
        </ns0:is>
      </ns0:c>
      <ns0:c r="I251" t="n">
        <ns0:v>2</ns0:v>
      </ns0:c>
      <ns0:c r="J251" t="n">
        <ns0:v>-9.019626106859437</ns0:v>
      </ns0:c>
      <ns0:c r="K251" t="n">
        <ns0:v>0.2126617031813674</ns0:v>
      </ns0:c>
      <ns0:c r="L251" t="inlineStr">
        <ns0:is>
          <ns0:t>geometric mean of Remus et al. (2013) data range</ns0:t>
        </ns0:is>
      </ns0:c>
    </ns0:row>
    <ns0:row r="252">
      <ns0:c r="A252" t="inlineStr">
        <ns0:is>
          <ns0:t>NMVOC, non-methane volatile organic compounds</ns0:t>
        </ns0:is>
      </ns0:c>
      <ns0:c r="B252" t="n">
        <ns0:v>1.9782568084e-05</ns0:v>
      </ns0:c>
      <ns0:c r="E252" t="inlineStr">
        <ns0:is>
          <ns0:t>kilogram</ns0:t>
        </ns0:is>
      </ns0:c>
      <ns0:c r="F252" t="inlineStr">
        <ns0:is>
          <ns0:t>air</ns0:t>
        </ns0:is>
      </ns0:c>
      <ns0:c r="G252" t="inlineStr">
        <ns0:is>
          <ns0:t>biosphere</ns0:t>
        </ns0:is>
      </ns0:c>
      <ns0:c r="I252" t="n">
        <ns0:v>2</ns0:v>
      </ns0:c>
      <ns0:c r="J252" t="n">
        <ns0:v>-10.83070940784128</ns0:v>
      </ns0:c>
      <ns0:c r="K252" t="n">
        <ns0:v>0.2126617031813674</ns0:v>
      </ns0:c>
      <ns0:c r="L252" t="inlineStr">
        <ns0:is>
          <ns0:t>geometric mean of Remus et al. (2013) data range</ns0:t>
        </ns0:is>
      </ns0:c>
    </ns0:row>
    <ns0:row r="253">
      <ns0:c r="A253" t="inlineStr">
        <ns0:is>
          <ns0:t>Nickel II</ns0:t>
        </ns0:is>
      </ns0:c>
      <ns0:c r="B253" t="n">
        <ns0:v>1.5108937752e-08</ns0:v>
      </ns0:c>
      <ns0:c r="E253" t="inlineStr">
        <ns0:is>
          <ns0:t>kilogram</ns0:t>
        </ns0:is>
      </ns0:c>
      <ns0:c r="F253" t="inlineStr">
        <ns0:is>
          <ns0:t>air</ns0:t>
        </ns0:is>
      </ns0:c>
      <ns0:c r="G253" t="inlineStr">
        <ns0:is>
          <ns0:t>biosphere</ns0:t>
        </ns0:is>
      </ns0:c>
      <ns0:c r="H253" t="inlineStr">
        <ns0:is>
          <ns0:t>Ni</ns0:t>
        </ns0:is>
      </ns0:c>
      <ns0:c r="I253" t="n">
        <ns0:v>2</ns0:v>
      </ns0:c>
      <ns0:c r="J253" t="n">
        <ns0:v>-18.00797936412571</ns0:v>
      </ns0:c>
      <ns0:c r="K253" t="n">
        <ns0:v>0.8094596963407134</ns0:v>
      </ns0:c>
      <ns0:c r="L253" t="inlineStr">
        <ns0:is>
          <ns0:t>geometric mean of Remus et al. (2013) data range</ns0:t>
        </ns0:is>
      </ns0:c>
    </ns0:row>
    <ns0:row r="254">
      <ns0:c r="A254" t="inlineStr">
        <ns0:is>
          <ns0:t>Nitrogen oxides</ns0:t>
        </ns0:is>
      </ns0:c>
      <ns0:c r="B254" t="n">
        <ns0:v>0.0005581447124199999</ns0:v>
      </ns0:c>
      <ns0:c r="E254" t="inlineStr">
        <ns0:is>
          <ns0:t>kilogram</ns0:t>
        </ns0:is>
      </ns0:c>
      <ns0:c r="F254" t="inlineStr">
        <ns0:is>
          <ns0:t>air</ns0:t>
        </ns0:is>
      </ns0:c>
      <ns0:c r="G254" t="inlineStr">
        <ns0:is>
          <ns0:t>biosphere</ns0:t>
        </ns0:is>
      </ns0:c>
      <ns0:c r="H254" t="inlineStr">
        <ns0:is>
          <ns0:t>H3NO</ns0:t>
        </ns0:is>
      </ns0:c>
      <ns0:c r="I254" t="n">
        <ns0:v>2</ns0:v>
      </ns0:c>
      <ns0:c r="J254" t="n">
        <ns0:v>-7.490892287951613</ns0:v>
      </ns0:c>
      <ns0:c r="K254" t="n">
        <ns0:v>0.2126617031813674</ns0:v>
      </ns0:c>
      <ns0:c r="L254" t="inlineStr">
        <ns0:is>
          <ns0:t>geometric mean of Remus et al. (2013) data range</ns0:t>
        </ns0:is>
      </ns0:c>
    </ns0:row>
    <ns0:row r="255">
      <ns0:c r="A255" t="inlineStr">
        <ns0:is>
          <ns0:t>Oxygen</ns0:t>
        </ns0:is>
      </ns0:c>
      <ns0:c r="B255" t="n">
        <ns0:v>0.1182310928</ns0:v>
      </ns0:c>
      <ns0:c r="E255" t="inlineStr">
        <ns0:is>
          <ns0:t>kilogram</ns0:t>
        </ns0:is>
      </ns0:c>
      <ns0:c r="F255" t="inlineStr">
        <ns0:is>
          <ns0:t>natural resource::in air</ns0:t>
        </ns0:is>
      </ns0:c>
      <ns0:c r="G255" t="inlineStr">
        <ns0:is>
          <ns0:t>biosphere</ns0:t>
        </ns0:is>
      </ns0:c>
      <ns0:c r="H255" t="inlineStr">
        <ns0:is>
          <ns0:t>O2</ns0:t>
        </ns0:is>
      </ns0:c>
      <ns0:c r="I255" t="n">
        <ns0:v>2</ns0:v>
      </ns0:c>
      <ns0:c r="J255" t="n">
        <ns0:v>-2.135114156148901</ns0:v>
      </ns0:c>
      <ns0:c r="K255" t="n">
        <ns0:v>0.07632168761236874</ns0:v>
      </ns0:c>
      <ns0:c r="L255" t="inlineStr">
        <ns0:is>
          <ns0:t>geometric mean of Remus et al. (2013) data range</ns0:t>
        </ns0:is>
      </ns0:c>
    </ns0:row>
    <ns0:row r="256">
      <ns0:c r="A256" t="inlineStr">
        <ns0:is>
          <ns0:t>PAH, polycyclic aromatic hydrocarbons</ns0:t>
        </ns0:is>
      </ns0:c>
      <ns0:c r="B256" t="n">
        <ns0:v>1.0878419003e-08</ns0:v>
      </ns0:c>
      <ns0:c r="E256" t="inlineStr">
        <ns0:is>
          <ns0:t>kilogram</ns0:t>
        </ns0:is>
      </ns0:c>
      <ns0:c r="F256" t="inlineStr">
        <ns0:is>
          <ns0:t>air</ns0:t>
        </ns0:is>
      </ns0:c>
      <ns0:c r="G256" t="inlineStr">
        <ns0:is>
          <ns0:t>biosphere</ns0:t>
        </ns0:is>
      </ns0:c>
      <ns0:c r="I256" t="n">
        <ns0:v>2</ns0:v>
      </ns0:c>
      <ns0:c r="J256" t="n">
        <ns0:v>-18.33648491830172</ns0:v>
      </ns0:c>
      <ns0:c r="K256" t="n">
        <ns0:v>0.5524717187331855</ns0:v>
      </ns0:c>
      <ns0:c r="L256" t="inlineStr">
        <ns0:is>
          <ns0:t>geometric mean of Remus et al. (2013) data range</ns0:t>
        </ns0:is>
      </ns0:c>
    </ns0:row>
    <ns0:row r="257">
      <ns0:c r="A257" t="inlineStr">
        <ns0:is>
          <ns0:t>Particulate Matter, &lt; 2.5 um</ns0:t>
        </ns0:is>
      </ns0:c>
      <ns0:c r="B257" t="n">
        <ns0:v>0.000120415</ns0:v>
      </ns0:c>
      <ns0:c r="E257" t="inlineStr">
        <ns0:is>
          <ns0:t>kilogram</ns0:t>
        </ns0:is>
      </ns0:c>
      <ns0:c r="F257" t="inlineStr">
        <ns0:is>
          <ns0:t>air</ns0:t>
        </ns0:is>
      </ns0:c>
      <ns0:c r="G257" t="inlineStr">
        <ns0:is>
          <ns0:t>biosphere</ns0:t>
        </ns0:is>
      </ns0:c>
      <ns0:c r="I257" t="n">
        <ns0:v>0</ns0:v>
      </ns0:c>
      <ns0:c r="J257" t="n">
        <ns0:v>0.000120415</ns0:v>
      </ns0:c>
      <ns0:c r="L257" t="inlineStr">
        <ns0:is>
          <ns0:t>86% of "PM10" reported in Remus et al. (geometric mean), split (86%) based on the values from EMEP/EEA. The emissions refer to production steps of (1) Blending and mixing, (3) Sinter strand, (4) Secondary dedusting and (5) Sinter coolling.
Reference: EMEP/EEA air pollutant emission inventory guidebook 2019: Iron and steel production Processes.
Remus, R., Aguado-Monsonet, M. A., Roudier, S., Samcho, L. D. , 2013, JRC reference report - Best available techniques (BAT) reference document for iron and steel production, Luxemboug, JRC - European Commission, 3 - SeparatePublication.</ns0:t>
        </ns0:is>
      </ns0:c>
    </ns0:row>
    <ns0:row r="258">
      <ns0:c r="A258" t="inlineStr">
        <ns0:is>
          <ns0:t>Particulate Matter, &gt; 10 um</ns0:t>
        </ns0:is>
      </ns0:c>
      <ns0:c r="B258" t="n">
        <ns0:v>9.37758e-05</ns0:v>
      </ns0:c>
      <ns0:c r="E258" t="inlineStr">
        <ns0:is>
          <ns0:t>kilogram</ns0:t>
        </ns0:is>
      </ns0:c>
      <ns0:c r="F258" t="inlineStr">
        <ns0:is>
          <ns0:t>air</ns0:t>
        </ns0:is>
      </ns0:c>
      <ns0:c r="G258" t="inlineStr">
        <ns0:is>
          <ns0:t>biosphere</ns0:t>
        </ns0:is>
      </ns0:c>
      <ns0:c r="I258" t="n">
        <ns0:v>2</ns0:v>
      </ns0:c>
      <ns0:c r="J258" t="n">
        <ns0:v>-9.274603730974327</ns0:v>
      </ns0:c>
      <ns0:c r="K258" t="n">
        <ns0:v>0.2126617031813674</ns0:v>
      </ns0:c>
      <ns0:c r="L258" t="inlineStr">
        <ns0:is>
          <ns0:t>Difference of "Dusts" and "PM10" as reported by Remus et al. The emissions refer to production steps of (1) Blending and mixing, (3) Sinter strand, (4) Secondary dedusting and (5) Sinter coolling.
Reference: Remus, R., Aguado-Monsonet, M. A., Roudier, S., Samcho, L. D. , 2013, JRC reference report - Best available techniques (BAT) reference document for iron and steel production, Luxemboug, JRC - European Commission, 3 - SeparatePublication</ns0:t>
        </ns0:is>
      </ns0:c>
    </ns0:row>
    <ns0:row r="259">
      <ns0:c r="A259" t="inlineStr">
        <ns0:is>
          <ns0:t>Particulate Matter, &gt; 2.5 um and &lt; 10um</ns0:t>
        </ns0:is>
      </ns0:c>
      <ns0:c r="B259" t="n">
        <ns0:v>1.96025e-05</ns0:v>
      </ns0:c>
      <ns0:c r="E259" t="inlineStr">
        <ns0:is>
          <ns0:t>kilogram</ns0:t>
        </ns0:is>
      </ns0:c>
      <ns0:c r="F259" t="inlineStr">
        <ns0:is>
          <ns0:t>air</ns0:t>
        </ns0:is>
      </ns0:c>
      <ns0:c r="G259" t="inlineStr">
        <ns0:is>
          <ns0:t>biosphere</ns0:t>
        </ns0:is>
      </ns0:c>
      <ns0:c r="I259" t="n">
        <ns0:v>2</ns0:v>
      </ns0:c>
      <ns0:c r="J259" t="n">
        <ns0:v>-10.83985344884133</ns0:v>
      </ns0:c>
      <ns0:c r="K259" t="n">
        <ns0:v>0.3538714455844099</ns0:v>
      </ns0:c>
      <ns0:c r="L259" t="inlineStr">
        <ns0:is>
          <ns0:t>14% of "PM10" reported in Remus et al. (geometric mean), split (14%) based on the values from EMEP/EEA. The emissions refer to production steps of (1) Blending and mixing, (3) Sinter strand, (4) Secondary dedusting and (5) Sinter coolling.
Reference: EMEP/EEA air pollutant emission inventory guidebook 2019: Iron and steel production Processes.
Remus, R., Aguado-Monsonet, M. A., Roudier, S., Samcho, L. D. , 2013, JRC reference report - Best available techniques (BAT) reference document for iron and steel production, Luxemboug, JRC - European Commission, 3 - SeparatePublication.</ns0:t>
        </ns0:is>
      </ns0:c>
    </ns0:row>
    <ns0:row r="260">
      <ns0:c r="A260" t="inlineStr">
        <ns0:is>
          <ns0:t>Polychlorinated biphenyls</ns0:t>
        </ns0:is>
      </ns0:c>
      <ns0:c r="B260" t="n">
        <ns0:v>6.6037867924e-11</ns0:v>
      </ns0:c>
      <ns0:c r="E260" t="inlineStr">
        <ns0:is>
          <ns0:t>kilogram</ns0:t>
        </ns0:is>
      </ns0:c>
      <ns0:c r="F260" t="inlineStr">
        <ns0:is>
          <ns0:t>air</ns0:t>
        </ns0:is>
      </ns0:c>
      <ns0:c r="G260" t="inlineStr">
        <ns0:is>
          <ns0:t>biosphere</ns0:t>
        </ns0:is>
      </ns0:c>
      <ns0:c r="I260" t="n">
        <ns0:v>2</ns0:v>
      </ns0:c>
      <ns0:c r="J260" t="n">
        <ns0:v>-23.44079278201317</ns0:v>
      </ns0:c>
      <ns0:c r="K260" t="n">
        <ns0:v>0.2126617031813674</ns0:v>
      </ns0:c>
      <ns0:c r="L260" t="inlineStr">
        <ns0:is>
          <ns0:t>geometric mean of Remus et al. (2013) data range</ns0:t>
        </ns0:is>
      </ns0:c>
    </ns0:row>
    <ns0:row r="261">
      <ns0:c r="A261" t="inlineStr">
        <ns0:is>
          <ns0:t>Selenium IV</ns0:t>
        </ns0:is>
      </ns0:c>
      <ns0:c r="B261" t="n">
        <ns0:v>5.1253292577e-08</ns0:v>
      </ns0:c>
      <ns0:c r="E261" t="inlineStr">
        <ns0:is>
          <ns0:t>kilogram</ns0:t>
        </ns0:is>
      </ns0:c>
      <ns0:c r="F261" t="inlineStr">
        <ns0:is>
          <ns0:t>air</ns0:t>
        </ns0:is>
      </ns0:c>
      <ns0:c r="G261" t="inlineStr">
        <ns0:is>
          <ns0:t>biosphere</ns0:t>
        </ns0:is>
      </ns0:c>
      <ns0:c r="H261" t="inlineStr">
        <ns0:is>
          <ns0:t>Se</ns0:t>
        </ns0:is>
      </ns0:c>
      <ns0:c r="I261" t="n">
        <ns0:v>2</ns0:v>
      </ns0:c>
      <ns0:c r="J261" t="n">
        <ns0:v>-16.78648597558666</ns0:v>
      </ns0:c>
      <ns0:c r="K261" t="n">
        <ns0:v>0.8094596963407134</ns0:v>
      </ns0:c>
      <ns0:c r="L261" t="inlineStr">
        <ns0:is>
          <ns0:t>geometric mean of Remus et al. (2013) data range</ns0:t>
        </ns0:is>
      </ns0:c>
    </ns0:row>
    <ns0:row r="262">
      <ns0:c r="A262" t="inlineStr">
        <ns0:is>
          <ns0:t>Sulfur dioxide</ns0:t>
        </ns0:is>
      </ns0:c>
      <ns0:c r="B262" t="n">
        <ns0:v>0.00046263232702</ns0:v>
      </ns0:c>
      <ns0:c r="E262" t="inlineStr">
        <ns0:is>
          <ns0:t>kilogram</ns0:t>
        </ns0:is>
      </ns0:c>
      <ns0:c r="F262" t="inlineStr">
        <ns0:is>
          <ns0:t>air</ns0:t>
        </ns0:is>
      </ns0:c>
      <ns0:c r="G262" t="inlineStr">
        <ns0:is>
          <ns0:t>biosphere</ns0:t>
        </ns0:is>
      </ns0:c>
      <ns0:c r="H262" t="inlineStr">
        <ns0:is>
          <ns0:t>O2S</ns0:t>
        </ns0:is>
      </ns0:c>
      <ns0:c r="I262" t="n">
        <ns0:v>2</ns0:v>
      </ns0:c>
      <ns0:c r="J262" t="n">
        <ns0:v>-7.678577929458488</ns0:v>
      </ns0:c>
      <ns0:c r="K262" t="n">
        <ns0:v>0.07632168761236874</ns0:v>
      </ns0:c>
      <ns0:c r="L262" t="inlineStr">
        <ns0:is>
          <ns0:t>geometric mean of Remus et al. (2013) data range</ns0:t>
        </ns0:is>
      </ns0:c>
    </ns0:row>
    <ns0:row r="263">
      <ns0:c r="A263" t="inlineStr">
        <ns0:is>
          <ns0:t>Titanium ion</ns0:t>
        </ns0:is>
      </ns0:c>
      <ns0:c r="B263" t="n">
        <ns0:v>6.5802735505e-09</ns0:v>
      </ns0:c>
      <ns0:c r="E263" t="inlineStr">
        <ns0:is>
          <ns0:t>kilogram</ns0:t>
        </ns0:is>
      </ns0:c>
      <ns0:c r="F263" t="inlineStr">
        <ns0:is>
          <ns0:t>air</ns0:t>
        </ns0:is>
      </ns0:c>
      <ns0:c r="G263" t="inlineStr">
        <ns0:is>
          <ns0:t>biosphere</ns0:t>
        </ns0:is>
      </ns0:c>
      <ns0:c r="H263" t="inlineStr">
        <ns0:is>
          <ns0:t>Ti</ns0:t>
        </ns0:is>
      </ns0:c>
      <ns0:c r="I263" t="n">
        <ns0:v>2</ns0:v>
      </ns0:c>
      <ns0:c r="J263" t="n">
        <ns0:v>-18.839189519449</ns0:v>
      </ns0:c>
      <ns0:c r="K263" t="n">
        <ns0:v>0.8094596963407134</ns0:v>
      </ns0:c>
      <ns0:c r="L263" t="inlineStr">
        <ns0:is>
          <ns0:t>geometric mean of Remus et al. (2013) data range</ns0:t>
        </ns0:is>
      </ns0:c>
    </ns0:row>
    <ns0:row r="264">
      <ns0:c r="A264" t="inlineStr">
        <ns0:is>
          <ns0:t>Vanadium V</ns0:t>
        </ns0:is>
      </ns0:c>
      <ns0:c r="B264" t="n">
        <ns0:v>9.7519228873e-09</ns0:v>
      </ns0:c>
      <ns0:c r="E264" t="inlineStr">
        <ns0:is>
          <ns0:t>kilogram</ns0:t>
        </ns0:is>
      </ns0:c>
      <ns0:c r="F264" t="inlineStr">
        <ns0:is>
          <ns0:t>air</ns0:t>
        </ns0:is>
      </ns0:c>
      <ns0:c r="G264" t="inlineStr">
        <ns0:is>
          <ns0:t>biosphere</ns0:t>
        </ns0:is>
      </ns0:c>
      <ns0:c r="H264" t="inlineStr">
        <ns0:is>
          <ns0:t>V</ns0:t>
        </ns0:is>
      </ns0:c>
      <ns0:c r="I264" t="n">
        <ns0:v>2</ns0:v>
      </ns0:c>
      <ns0:c r="J264" t="n">
        <ns0:v>-18.44580135217155</ns0:v>
      </ns0:c>
      <ns0:c r="K264" t="n">
        <ns0:v>0.8094596963407134</ns0:v>
      </ns0:c>
      <ns0:c r="L264" t="inlineStr">
        <ns0:is>
          <ns0:t>geometric mean of Remus et al. (2013) data range</ns0:t>
        </ns0:is>
      </ns0:c>
    </ns0:row>
    <ns0:row r="265">
      <ns0:c r="A265" t="inlineStr">
        <ns0:is>
          <ns0:t>Water, unspecified natural origin</ns0:t>
        </ns0:is>
      </ns0:c>
      <ns0:c r="B265" t="n">
        <ns0:v>5.91608e-05</ns0:v>
      </ns0:c>
      <ns0:c r="E265" t="inlineStr">
        <ns0:is>
          <ns0:t>cubic meter</ns0:t>
        </ns0:is>
      </ns0:c>
      <ns0:c r="F265" t="inlineStr">
        <ns0:is>
          <ns0:t>natural resource::in water</ns0:t>
        </ns0:is>
      </ns0:c>
      <ns0:c r="G265" t="inlineStr">
        <ns0:is>
          <ns0:t>biosphere</ns0:t>
        </ns0:is>
      </ns0:c>
      <ns0:c r="H265" t="inlineStr">
        <ns0:is>
          <ns0:t>H2O</ns0:t>
        </ns0:is>
      </ns0:c>
      <ns0:c r="I265" t="n">
        <ns0:v>2</ns0:v>
      </ns0:c>
      <ns0:c r="J265" t="n">
        <ns0:v>-9.735251397562665</ns0:v>
      </ns0:c>
      <ns0:c r="K265" t="n">
        <ns0:v>0.07632168761236874</ns0:v>
      </ns0:c>
      <ns0:c r="L265" t="inlineStr">
        <ns0:is>
          <ns0:t>geometric mean of Remus et al. (2013) data range</ns0:t>
        </ns0:is>
      </ns0:c>
    </ns0:row>
    <ns0:row r="266">
      <ns0:c r="A266" t="inlineStr">
        <ns0:is>
          <ns0:t>vanadium pentoxide bearing iron sinter production</ns0:t>
        </ns0:is>
      </ns0:c>
      <ns0:c r="B266" t="n">
        <ns0:v>1</ns0:v>
      </ns0:c>
      <ns0:c r="C266" t="inlineStr">
        <ns0:is>
          <ns0:t>vanadium pentoxide bearing iron sinter</ns0:t>
        </ns0:is>
      </ns0:c>
      <ns0:c r="D266" t="inlineStr">
        <ns0:is>
          <ns0:t>CN</ns0:t>
        </ns0:is>
      </ns0:c>
      <ns0:c r="E266" t="inlineStr">
        <ns0:is>
          <ns0:t>kilogram</ns0:t>
        </ns0:is>
      </ns0:c>
      <ns0:c r="G266" t="inlineStr">
        <ns0:is>
          <ns0:t>production</ns0:t>
        </ns0:is>
      </ns0:c>
      <ns0:c r="I266" t="n">
        <ns0:v>0</ns0:v>
      </ns0:c>
      <ns0:c r="J266" t="n">
        <ns0:v>1</ns0:v>
      </ns0:c>
      <ns0:c r="M266" t="n">
        <ns0:v>113558550000</ns0:v>
      </ns0:c>
    </ns0:row>
    <ns0:row r="267">
      <ns0:c r="A267" t="inlineStr">
        <ns0:is>
          <ns0:t>coking</ns0:t>
        </ns0:is>
      </ns0:c>
      <ns0:c r="B267" t="n">
        <ns0:v>0.10487776</ns0:v>
      </ns0:c>
      <ns0:c r="C267" t="inlineStr">
        <ns0:is>
          <ns0:t>coke</ns0:t>
        </ns0:is>
      </ns0:c>
      <ns0:c r="D267" t="inlineStr">
        <ns0:is>
          <ns0:t>RoW</ns0:t>
        </ns0:is>
      </ns0:c>
      <ns0:c r="E267" t="inlineStr">
        <ns0:is>
          <ns0:t>megajoule</ns0:t>
        </ns0:is>
      </ns0:c>
      <ns0:c r="G267" t="inlineStr">
        <ns0:is>
          <ns0:t>technosphere</ns0:t>
        </ns0:is>
      </ns0:c>
    </ns0:row>
    <ns0:row r="268">
      <ns0:c r="A268" t="inlineStr">
        <ns0:is>
          <ns0:t>iron ore beneficiation</ns0:t>
        </ns0:is>
      </ns0:c>
      <ns0:c r="B268" t="n">
        <ns0:v>0.162</ns0:v>
      </ns0:c>
      <ns0:c r="C268" t="inlineStr">
        <ns0:is>
          <ns0:t>iron ore concentrate</ns0:t>
        </ns0:is>
      </ns0:c>
      <ns0:c r="D268" t="inlineStr">
        <ns0:is>
          <ns0:t>RoW</ns0:t>
        </ns0:is>
      </ns0:c>
      <ns0:c r="E268" t="inlineStr">
        <ns0:is>
          <ns0:t>kilogram</ns0:t>
        </ns0:is>
      </ns0:c>
      <ns0:c r="G268" t="inlineStr">
        <ns0:is>
          <ns0:t>technosphere</ns0:t>
        </ns0:is>
      </ns0:c>
    </ns0:row>
    <ns0:row r="269">
      <ns0:c r="A269" t="inlineStr">
        <ns0:is>
          <ns0:t>market for aluminium oxide factory</ns0:t>
        </ns0:is>
      </ns0:c>
      <ns0:c r="B269" t="n">
        <ns0:v>2.5e-11</ns0:v>
      </ns0:c>
      <ns0:c r="C269" t="inlineStr">
        <ns0:is>
          <ns0:t>aluminium oxide factory</ns0:t>
        </ns0:is>
      </ns0:c>
      <ns0:c r="D269" t="inlineStr">
        <ns0:is>
          <ns0:t>GLO</ns0:t>
        </ns0:is>
      </ns0:c>
      <ns0:c r="E269" t="inlineStr">
        <ns0:is>
          <ns0:t>unit</ns0:t>
        </ns0:is>
      </ns0:c>
      <ns0:c r="G269" t="inlineStr">
        <ns0:is>
          <ns0:t>technosphere</ns0:t>
        </ns0:is>
      </ns0:c>
      <ns0:c r="I269" t="n">
        <ns0:v>2</ns0:v>
      </ns0:c>
      <ns0:c r="J269" t="n">
        <ns0:v>-24.41214529106035</ns0:v>
      </ns0:c>
      <ns0:c r="K269" t="n">
        <ns0:v>0.7779620813381588</ns0:v>
      </ns0:c>
      <ns0:c r="L269" t="inlineStr">
        <ns0:is>
          <ns0:t>Rough estimation.</ns0:t>
        </ns0:is>
      </ns0:c>
    </ns0:row>
    <ns0:row r="270">
      <ns0:c r="A270" t="inlineStr">
        <ns0:is>
          <ns0:t>market for hard coal</ns0:t>
        </ns0:is>
      </ns0:c>
      <ns0:c r="B270" t="n">
        <ns0:v>0.034</ns0:v>
      </ns0:c>
      <ns0:c r="C270" t="inlineStr">
        <ns0:is>
          <ns0:t>hard coal</ns0:t>
        </ns0:is>
      </ns0:c>
      <ns0:c r="D270" t="inlineStr">
        <ns0:is>
          <ns0:t>CN</ns0:t>
        </ns0:is>
      </ns0:c>
      <ns0:c r="E270" t="inlineStr">
        <ns0:is>
          <ns0:t>kilogram</ns0:t>
        </ns0:is>
      </ns0:c>
      <ns0:c r="G270" t="inlineStr">
        <ns0:is>
          <ns0:t>technosphere</ns0:t>
        </ns0:is>
      </ns0:c>
    </ns0:row>
    <ns0:row r="271">
      <ns0:c r="A271" t="inlineStr">
        <ns0:is>
          <ns0:t>market for limestone, unprocessed</ns0:t>
        </ns0:is>
      </ns0:c>
      <ns0:c r="B271" t="n">
        <ns0:v>0.10785797</ns0:v>
      </ns0:c>
      <ns0:c r="C271" t="inlineStr">
        <ns0:is>
          <ns0:t>limestone, unprocessed</ns0:t>
        </ns0:is>
      </ns0:c>
      <ns0:c r="D271" t="inlineStr">
        <ns0:is>
          <ns0:t>RoW</ns0:t>
        </ns0:is>
      </ns0:c>
      <ns0:c r="E271" t="inlineStr">
        <ns0:is>
          <ns0:t>kilogram</ns0:t>
        </ns0:is>
      </ns0:c>
      <ns0:c r="G271" t="inlineStr">
        <ns0:is>
          <ns0:t>technosphere</ns0:t>
        </ns0:is>
      </ns0:c>
    </ns0:row>
    <ns0:row r="272">
      <ns0:c r="A272" t="inlineStr">
        <ns0:is>
          <ns0:t>market for quicklime, in pieces, loose</ns0:t>
        </ns0:is>
      </ns0:c>
      <ns0:c r="B272" t="n">
        <ns0:v>0.0558789</ns0:v>
      </ns0:c>
      <ns0:c r="C272" t="inlineStr">
        <ns0:is>
          <ns0:t>quicklime, in pieces, loose</ns0:t>
        </ns0:is>
      </ns0:c>
      <ns0:c r="D272" t="inlineStr">
        <ns0:is>
          <ns0:t>RoW</ns0:t>
        </ns0:is>
      </ns0:c>
      <ns0:c r="E272" t="inlineStr">
        <ns0:is>
          <ns0:t>kilogram</ns0:t>
        </ns0:is>
      </ns0:c>
      <ns0:c r="G272" t="inlineStr">
        <ns0:is>
          <ns0:t>technosphere</ns0:t>
        </ns0:is>
      </ns0:c>
    </ns0:row>
    <ns0:row r="273">
      <ns0:c r="A273" t="inlineStr">
        <ns0:is>
          <ns0:t>market for wastewater from pig iron production</ns0:t>
        </ns0:is>
      </ns0:c>
      <ns0:c r="B273" t="n">
        <ns0:v>-3.26561425027269e-05</ns0:v>
      </ns0:c>
      <ns0:c r="C273" t="inlineStr">
        <ns0:is>
          <ns0:t>wastewater from pig iron production</ns0:t>
        </ns0:is>
      </ns0:c>
      <ns0:c r="D273" t="inlineStr">
        <ns0:is>
          <ns0:t>Europe without Switzerland</ns0:t>
        </ns0:is>
      </ns0:c>
      <ns0:c r="E273" t="inlineStr">
        <ns0:is>
          <ns0:t>cubic meter</ns0:t>
        </ns0:is>
      </ns0:c>
      <ns0:c r="G273" t="inlineStr">
        <ns0:is>
          <ns0:t>technosphere</ns0:t>
        </ns0:is>
      </ns0:c>
      <ns0:c r="I273" t="n">
        <ns0:v>2</ns0:v>
      </ns0:c>
      <ns0:c r="J273" t="n">
        <ns0:v>-10.32947758815303</ns0:v>
      </ns0:c>
      <ns0:c r="K273" t="n">
        <ns0:v>0.07632168761236874</ns0:v>
      </ns0:c>
      <ns0:c r="L273" t="inlineStr">
        <ns0:is>
          <ns0:t>geometric mean of Remus et al. (2013) data range</ns0:t>
        </ns0:is>
      </ns0:c>
      <ns0:c r="N273" t="b">
        <ns0:v>1</ns0:v>
      </ns0:c>
    </ns0:row>
    <ns0:row r="274">
      <ns0:c r="A274" t="inlineStr">
        <ns0:is>
          <ns0:t>market for wastewater from pig iron production</ns0:t>
        </ns0:is>
      </ns0:c>
      <ns0:c r="B274" t="n">
        <ns0:v>-9.770267497273119e-06</ns0:v>
      </ns0:c>
      <ns0:c r="C274" t="inlineStr">
        <ns0:is>
          <ns0:t>wastewater from pig iron production</ns0:t>
        </ns0:is>
      </ns0:c>
      <ns0:c r="D274" t="inlineStr">
        <ns0:is>
          <ns0:t>CH</ns0:t>
        </ns0:is>
      </ns0:c>
      <ns0:c r="E274" t="inlineStr">
        <ns0:is>
          <ns0:t>cubic meter</ns0:t>
        </ns0:is>
      </ns0:c>
      <ns0:c r="G274" t="inlineStr">
        <ns0:is>
          <ns0:t>technosphere</ns0:t>
        </ns0:is>
      </ns0:c>
      <ns0:c r="I274" t="n">
        <ns0:v>2</ns0:v>
      </ns0:c>
      <ns0:c r="J274" t="n">
        <ns0:v>-11.53616671282962</ns0:v>
      </ns0:c>
      <ns0:c r="K274" t="n">
        <ns0:v>0.07632168761236874</ns0:v>
      </ns0:c>
      <ns0:c r="L274" t="inlineStr">
        <ns0:is>
          <ns0:t>geometric mean of Remus et al. (2013) data range</ns0:t>
        </ns0:is>
      </ns0:c>
      <ns0:c r="N274" t="b">
        <ns0:v>1</ns0:v>
      </ns0:c>
    </ns0:row>
    <ns0:row r="275">
      <ns0:c r="A275" t="inlineStr">
        <ns0:is>
          <ns0:t>market group for electricity, medium voltage</ns0:t>
        </ns0:is>
      </ns0:c>
      <ns0:c r="B275" t="n">
        <ns0:v>0.0536</ns0:v>
      </ns0:c>
      <ns0:c r="C275" t="inlineStr">
        <ns0:is>
          <ns0:t>electricity, medium voltage</ns0:t>
        </ns0:is>
      </ns0:c>
      <ns0:c r="D275" t="inlineStr">
        <ns0:is>
          <ns0:t>CN</ns0:t>
        </ns0:is>
      </ns0:c>
      <ns0:c r="E275" t="inlineStr">
        <ns0:is>
          <ns0:t>kilowatt hour</ns0:t>
        </ns0:is>
      </ns0:c>
      <ns0:c r="G275" t="inlineStr">
        <ns0:is>
          <ns0:t>technosphere</ns0:t>
        </ns0:is>
      </ns0:c>
    </ns0:row>
    <ns0:row r="276">
      <ns0:c r="A276" t="inlineStr">
        <ns0:is>
          <ns0:t>petroleum coke production, petroleum refinery operation</ns0:t>
        </ns0:is>
      </ns0:c>
      <ns0:c r="B276" t="n">
        <ns0:v>0.05</ns0:v>
      </ns0:c>
      <ns0:c r="C276" t="inlineStr">
        <ns0:is>
          <ns0:t>petroleum coke</ns0:t>
        </ns0:is>
      </ns0:c>
      <ns0:c r="D276" t="inlineStr">
        <ns0:is>
          <ns0:t>RoW</ns0:t>
        </ns0:is>
      </ns0:c>
      <ns0:c r="E276" t="inlineStr">
        <ns0:is>
          <ns0:t>kilogram</ns0:t>
        </ns0:is>
      </ns0:c>
      <ns0:c r="G276" t="inlineStr">
        <ns0:is>
          <ns0:t>technosphere</ns0:t>
        </ns0:is>
      </ns0:c>
    </ns0:row>
    <ns0:row r="277">
      <ns0:c r="A277" t="inlineStr">
        <ns0:is>
          <ns0:t>vanadium-titanomagnetite mine operation and beneficiation</ns0:t>
        </ns0:is>
      </ns0:c>
      <ns0:c r="B277" t="n">
        <ns0:v>0.7066</ns0:v>
      </ns0:c>
      <ns0:c r="C277" t="inlineStr">
        <ns0:is>
          <ns0:t>iron ore concentrate</ns0:t>
        </ns0:is>
      </ns0:c>
      <ns0:c r="D277" t="inlineStr">
        <ns0:is>
          <ns0:t>CN</ns0:t>
        </ns0:is>
      </ns0:c>
      <ns0:c r="E277" t="inlineStr">
        <ns0:is>
          <ns0:t>kilogram</ns0:t>
        </ns0:is>
      </ns0:c>
      <ns0:c r="G277" t="inlineStr">
        <ns0:is>
          <ns0:t>technosphere</ns0:t>
        </ns0:is>
      </ns0:c>
    </ns0:row>
    <ns0:row r="278"/>
    <ns0:row r="279">
      <ns0:c r="A279" s="1" t="inlineStr">
        <ns0:is>
          <ns0:t>Activity</ns0:t>
        </ns0:is>
      </ns0:c>
      <ns0:c r="B279" s="1" t="inlineStr">
        <ns0:is>
          <ns0:t>market for styrene butadiene rubber (SBR)</ns0:t>
        </ns0:is>
      </ns0:c>
    </ns0:row>
    <ns0:row r="280">
      <ns0:c r="A280" t="inlineStr">
        <ns0:is>
          <ns0:t>comment</ns0:t>
        </ns0:is>
      </ns0:c>
      <ns0:c r="B280" t="inlineStr">
        <ns0:is>
          <ns0:t>APPROVED SBR PROCESS-WATER VOLUME REFERENCE, issue102, 2026-10-18. Crenna2021 DOI10.1016/j.resconrec.2021.105619 documentsSBRasbatterybinder;recoveredSI doesnotverifythemanufacturing-waterrecipe. TheexistingpremiseSBRprovidercontains1.8kgdeionizedprocesswater/kgdrySBRand0.25m3coolingwaterresource;threecopieshave1.8m3unpollutedWWT. Sourcewater-to-wastewatertreatmentbasiswasnotindependentlyrecovered;thisisexplicitphysicalreferencecorrection,notclaimedverifiedsourceerratum. Existing1.8m3processWWTis1800kgliquidandcannotfollowfrom1.8kgprocesswater plus250kgcoolingwaterwithoutunreported&gt;1548kgwaterfeed. Modelall1.8kgdeionizedprocesswaterassenttoprocessWWT:1.8/1000=0.0018m3at1000kg/m3. Thisassignmentisexplicitengineeringwaterfate;sourceoriginalWWTunitnotverified,notclaimthatallindustrialsewerisexactly1.8L. Keep0.25m3coolingwithdrawal,separatefromprocesswater;coolingreturncompartment/temperatureandconsumptivefractionremainunresolvedandarenotinvented.0-100%coolingreturn sensitivityrequired;noextra0.25m3WWTassumed. Existingheat/emissionquantitiesretained,notinventfullthermalbalance. Polymermonomers,output1kgdrySBR,energyandallmetalcoefficients unchanged. Samecorrectioninall3copiespreventsdefaultversion/importorderfromrestoringwrongvolume. DoesnotvalidateSBRwastewaterpollutantloadorwholeindustrialwaterbalance.
PREVIOUS NOTES (retained as history; the correction above takes precedence):
Source: Weber et al. (2018). Life cycle assessment of a vanadium redox flow battery. Environmental science &amp; technology, 52(18), 10864-10873. https://doi.org/10.1021/acs.est.8b02073</ns0:t>
        </ns0:is>
      </ns0:c>
    </ns0:row>
    <ns0:row r="281">
      <ns0:c r="A281" t="inlineStr">
        <ns0:is>
          <ns0:t>location</ns0:t>
        </ns0:is>
      </ns0:c>
      <ns0:c r="B281" t="inlineStr">
        <ns0:is>
          <ns0:t>RER</ns0:t>
        </ns0:is>
      </ns0:c>
    </ns0:row>
    <ns0:row r="282">
      <ns0:c r="A282" t="inlineStr">
        <ns0:is>
          <ns0:t>production amount</ns0:t>
        </ns0:is>
      </ns0:c>
      <ns0:c r="B282" t="n">
        <ns0:v>1</ns0:v>
      </ns0:c>
    </ns0:row>
    <ns0:row r="283">
      <ns0:c r="A283" t="inlineStr">
        <ns0:is>
          <ns0:t>reference product</ns0:t>
        </ns0:is>
      </ns0:c>
      <ns0:c r="B283" t="inlineStr">
        <ns0:is>
          <ns0:t>styrene butadiene rubber (SBR)</ns0:t>
        </ns0:is>
      </ns0:c>
    </ns0:row>
    <ns0:row r="284">
      <ns0:c r="A284" t="inlineStr">
        <ns0:is>
          <ns0:t>type</ns0:t>
        </ns0:is>
      </ns0:c>
      <ns0:c r="B284" t="inlineStr">
        <ns0:is>
          <ns0:t>process</ns0:t>
        </ns0:is>
      </ns0:c>
    </ns0:row>
    <ns0:row r="285">
      <ns0:c r="A285" t="inlineStr">
        <ns0:is>
          <ns0:t>unit</ns0:t>
        </ns0:is>
      </ns0:c>
      <ns0:c r="B285" t="inlineStr">
        <ns0:is>
          <ns0:t>kilogram</ns0:t>
        </ns0:is>
      </ns0:c>
    </ns0:row>
    <ns0:row r="286">
      <ns0:c r="A286" t="inlineStr">
        <ns0:is>
          <ns0:t>source</ns0:t>
        </ns0:is>
      </ns0:c>
      <ns0:c r="B286" t="inlineStr">
        <ns0:is>
          <ns0:t>Inventory provided by Zhang et al. (2024). Originally from Weber et al. (2018). Life cycle assessment of a vanadium redox flow battery. Environmental science &amp; technology, 52(18), 10864-10873. https://doi.org/10.1021/acs.est.8b02073</ns0:t>
        </ns0:is>
      </ns0:c>
    </ns0:row>
    <ns0:row r="287">
      <ns0:c r="A287" s="1" t="inlineStr">
        <ns0:is>
          <ns0:t>Exchanges</ns0:t>
        </ns0:is>
      </ns0:c>
    </ns0:row>
    <ns0:row r="288">
      <ns0:c r="A288" t="inlineStr">
        <ns0:is>
          <ns0:t>name</ns0:t>
        </ns0:is>
      </ns0:c>
      <ns0:c r="B288" t="inlineStr">
        <ns0:is>
          <ns0:t>amount</ns0:t>
        </ns0:is>
      </ns0:c>
      <ns0:c r="C288" t="inlineStr">
        <ns0:is>
          <ns0:t>location</ns0:t>
        </ns0:is>
      </ns0:c>
      <ns0:c r="D288" t="inlineStr">
        <ns0:is>
          <ns0:t>unit</ns0:t>
        </ns0:is>
      </ns0:c>
      <ns0:c r="E288" t="inlineStr">
        <ns0:is>
          <ns0:t>categories</ns0:t>
        </ns0:is>
      </ns0:c>
      <ns0:c r="F288" t="inlineStr">
        <ns0:is>
          <ns0:t>type</ns0:t>
        </ns0:is>
      </ns0:c>
      <ns0:c r="G288" t="inlineStr">
        <ns0:is>
          <ns0:t>reference product</ns0:t>
        </ns0:is>
      </ns0:c>
      <ns0:c r="H288" t="inlineStr">
        <ns0:is>
          <ns0:t>comment</ns0:t>
        </ns0:is>
      </ns0:c>
    </ns0:row>
    <ns0:row r="289">
      <ns0:c r="A289" t="inlineStr">
        <ns0:is>
          <ns0:t>Heat, waste</ns0:t>
        </ns0:is>
      </ns0:c>
      <ns0:c r="B289" t="n">
        <ns0:v>15.73</ns0:v>
      </ns0:c>
      <ns0:c r="D289" t="inlineStr">
        <ns0:is>
          <ns0:t>megajoule</ns0:t>
        </ns0:is>
      </ns0:c>
      <ns0:c r="E289" t="inlineStr">
        <ns0:is>
          <ns0:t>air</ns0:t>
        </ns0:is>
      </ns0:c>
      <ns0:c r="F289" t="inlineStr">
        <ns0:is>
          <ns0:t>biosphere</ns0:t>
        </ns0:is>
      </ns0:c>
      <ns0:c r="H289" t="inlineStr">
        <ns0:is>
          <ns0:t>APPROVED SBR PROCESS-WATER VOLUME REFERENCE, issue102, 2026-10-18. Crenna2021 DOI10.1016/j.resconrec.2021.105619 documentsSBRasbatterybinder;recoveredSI doesnotverifythemanufacturing-waterrecipe. TheexistingpremiseSBRprovidercontains1.8kgdeionizedprocesswater/kgdrySBRand0.25m3coolingwaterresource;threecopieshave1.8m3unpollutedWWT. Sourcewater-to-wastewatertreatmentbasiswasnotindependentlyrecovered;thisisexplicitphysicalreferencecorrection,notclaimedverifiedsourceerratum. Existing1.8m3processWWTis1800kgliquidandcannotfollowfrom1.8kgprocesswater plus250kgcoolingwaterwithoutunreported&gt;1548kgwaterfeed. Modelall1.8kgdeionizedprocesswaterassenttoprocessWWT:1.8/1000=0.0018m3at1000kg/m3. Thisassignmentisexplicitengineeringwaterfate;sourceoriginalWWTunitnotverified,notclaimthatallindustrialsewerisexactly1.8L. Keep0.25m3coolingwithdrawal,separatefromprocesswater;coolingreturncompartment/temperatureandconsumptivefractionremainunresolvedandarenotinvented.0-100%coolingreturn sensitivityrequired;noextra0.25m3WWTassumed. Existingheat/emissionquantitiesretained,notinventfullthermalbalance. Polymermonomers,output1kgdrySBR,energyandallmetalcoefficients unchanged. Samecorrectioninall3copiespreventsdefaultversion/importorderfromrestoringwrongvolume. DoesnotvalidateSBRwastewaterpollutantloadorwholeindustrialwaterbalance.</ns0:t>
        </ns0:is>
      </ns0:c>
    </ns0:row>
    <ns0:row r="290">
      <ns0:c r="A290" t="inlineStr">
        <ns0:is>
          <ns0:t>NMVOC, non-methane volatile organic compounds</ns0:t>
        </ns0:is>
      </ns0:c>
      <ns0:c r="B290" t="n">
        <ns0:v>0.0144</ns0:v>
      </ns0:c>
      <ns0:c r="D290" t="inlineStr">
        <ns0:is>
          <ns0:t>kilogram</ns0:t>
        </ns0:is>
      </ns0:c>
      <ns0:c r="E290" t="inlineStr">
        <ns0:is>
          <ns0:t>air</ns0:t>
        </ns0:is>
      </ns0:c>
      <ns0:c r="F290" t="inlineStr">
        <ns0:is>
          <ns0:t>biosphere</ns0:t>
        </ns0:is>
      </ns0:c>
    </ns0:row>
    <ns0:row r="291">
      <ns0:c r="A291" t="inlineStr">
        <ns0:is>
          <ns0:t>Water, cooling, unspecified natural origin</ns0:t>
        </ns0:is>
      </ns0:c>
      <ns0:c r="B291" t="n">
        <ns0:v>0.25</ns0:v>
      </ns0:c>
      <ns0:c r="D291" t="inlineStr">
        <ns0:is>
          <ns0:t>cubic meter</ns0:t>
        </ns0:is>
      </ns0:c>
      <ns0:c r="E291" t="inlineStr">
        <ns0:is>
          <ns0:t>natural resource::in water</ns0:t>
        </ns0:is>
      </ns0:c>
      <ns0:c r="F291" t="inlineStr">
        <ns0:is>
          <ns0:t>biosphere</ns0:t>
        </ns0:is>
      </ns0:c>
    </ns0:row>
    <ns0:row r="292">
      <ns0:c r="A292" t="inlineStr">
        <ns0:is>
          <ns0:t>market for styrene butadiene rubber (SBR)</ns0:t>
        </ns0:is>
      </ns0:c>
      <ns0:c r="B292" t="n">
        <ns0:v>1</ns0:v>
      </ns0:c>
      <ns0:c r="C292" t="inlineStr">
        <ns0:is>
          <ns0:t>RER</ns0:t>
        </ns0:is>
      </ns0:c>
      <ns0:c r="D292" t="inlineStr">
        <ns0:is>
          <ns0:t>kilogram</ns0:t>
        </ns0:is>
      </ns0:c>
      <ns0:c r="F292" t="inlineStr">
        <ns0:is>
          <ns0:t>production</ns0:t>
        </ns0:is>
      </ns0:c>
      <ns0:c r="G292" t="inlineStr">
        <ns0:is>
          <ns0:t>styrene butadiene rubber (SBR)</ns0:t>
        </ns0:is>
      </ns0:c>
    </ns0:row>
    <ns0:row r="293">
      <ns0:c r="A293" t="inlineStr">
        <ns0:is>
          <ns0:t>market for butadiene</ns0:t>
        </ns0:is>
      </ns0:c>
      <ns0:c r="B293" t="n">
        <ns0:v>0.752</ns0:v>
      </ns0:c>
      <ns0:c r="C293" t="inlineStr">
        <ns0:is>
          <ns0:t>RER</ns0:t>
        </ns0:is>
      </ns0:c>
      <ns0:c r="D293" t="inlineStr">
        <ns0:is>
          <ns0:t>kilogram</ns0:t>
        </ns0:is>
      </ns0:c>
      <ns0:c r="F293" t="inlineStr">
        <ns0:is>
          <ns0:t>technosphere</ns0:t>
        </ns0:is>
      </ns0:c>
      <ns0:c r="G293" t="inlineStr">
        <ns0:is>
          <ns0:t>butadiene</ns0:t>
        </ns0:is>
      </ns0:c>
    </ns0:row>
    <ns0:row r="294">
      <ns0:c r="A294" t="inlineStr">
        <ns0:is>
          <ns0:t>market for cyclohexane</ns0:t>
        </ns0:is>
      </ns0:c>
      <ns0:c r="B294" t="n">
        <ns0:v>0.01</ns0:v>
      </ns0:c>
      <ns0:c r="C294" t="inlineStr">
        <ns0:is>
          <ns0:t>GLO</ns0:t>
        </ns0:is>
      </ns0:c>
      <ns0:c r="D294" t="inlineStr">
        <ns0:is>
          <ns0:t>kilogram</ns0:t>
        </ns0:is>
      </ns0:c>
      <ns0:c r="F294" t="inlineStr">
        <ns0:is>
          <ns0:t>technosphere</ns0:t>
        </ns0:is>
      </ns0:c>
      <ns0:c r="G294" t="inlineStr">
        <ns0:is>
          <ns0:t>cyclohexane</ns0:t>
        </ns0:is>
      </ns0:c>
    </ns0:row>
    <ns0:row r="295">
      <ns0:c r="A295" t="inlineStr">
        <ns0:is>
          <ns0:t>market for soap</ns0:t>
        </ns0:is>
      </ns0:c>
      <ns0:c r="B295" t="n">
        <ns0:v>0.0273</ns0:v>
      </ns0:c>
      <ns0:c r="C295" t="inlineStr">
        <ns0:is>
          <ns0:t>GLO</ns0:t>
        </ns0:is>
      </ns0:c>
      <ns0:c r="D295" t="inlineStr">
        <ns0:is>
          <ns0:t>kilogram</ns0:t>
        </ns0:is>
      </ns0:c>
      <ns0:c r="F295" t="inlineStr">
        <ns0:is>
          <ns0:t>technosphere</ns0:t>
        </ns0:is>
      </ns0:c>
      <ns0:c r="G295" t="inlineStr">
        <ns0:is>
          <ns0:t>soap</ns0:t>
        </ns0:is>
      </ns0:c>
    </ns0:row>
    <ns0:row r="296">
      <ns0:c r="A296" t="inlineStr">
        <ns0:is>
          <ns0:t>market for sodium persulfate</ns0:t>
        </ns0:is>
      </ns0:c>
      <ns0:c r="B296" t="n">
        <ns0:v>0.00504</ns0:v>
      </ns0:c>
      <ns0:c r="C296" t="inlineStr">
        <ns0:is>
          <ns0:t>GLO</ns0:t>
        </ns0:is>
      </ns0:c>
      <ns0:c r="D296" t="inlineStr">
        <ns0:is>
          <ns0:t>kilogram</ns0:t>
        </ns0:is>
      </ns0:c>
      <ns0:c r="F296" t="inlineStr">
        <ns0:is>
          <ns0:t>technosphere</ns0:t>
        </ns0:is>
      </ns0:c>
      <ns0:c r="G296" t="inlineStr">
        <ns0:is>
          <ns0:t>sodium persulfate</ns0:t>
        </ns0:is>
      </ns0:c>
    </ns0:row>
    <ns0:row r="297">
      <ns0:c r="A297" t="inlineStr">
        <ns0:is>
          <ns0:t>market for styrene</ns0:t>
        </ns0:is>
      </ns0:c>
      <ns0:c r="B297" t="n">
        <ns0:v>0.251</ns0:v>
      </ns0:c>
      <ns0:c r="C297" t="inlineStr">
        <ns0:is>
          <ns0:t>GLO</ns0:t>
        </ns0:is>
      </ns0:c>
      <ns0:c r="D297" t="inlineStr">
        <ns0:is>
          <ns0:t>kilogram</ns0:t>
        </ns0:is>
      </ns0:c>
      <ns0:c r="F297" t="inlineStr">
        <ns0:is>
          <ns0:t>technosphere</ns0:t>
        </ns0:is>
      </ns0:c>
      <ns0:c r="G297" t="inlineStr">
        <ns0:is>
          <ns0:t>styrene</ns0:t>
        </ns0:is>
      </ns0:c>
    </ns0:row>
    <ns0:row r="298">
      <ns0:c r="A298" t="inlineStr">
        <ns0:is>
          <ns0:t>market for water, deionised</ns0:t>
        </ns0:is>
      </ns0:c>
      <ns0:c r="B298" t="n">
        <ns0:v>1.8</ns0:v>
      </ns0:c>
      <ns0:c r="C298" t="inlineStr">
        <ns0:is>
          <ns0:t>RoW</ns0:t>
        </ns0:is>
      </ns0:c>
      <ns0:c r="D298" t="inlineStr">
        <ns0:is>
          <ns0:t>kilogram</ns0:t>
        </ns0:is>
      </ns0:c>
      <ns0:c r="F298" t="inlineStr">
        <ns0:is>
          <ns0:t>technosphere</ns0:t>
        </ns0:is>
      </ns0:c>
      <ns0:c r="G298" t="inlineStr">
        <ns0:is>
          <ns0:t>water, deionised</ns0:t>
        </ns0:is>
      </ns0:c>
    </ns0:row>
    <ns0:row r="299">
      <ns0:c r="A299" t="inlineStr">
        <ns0:is>
          <ns0:t>market group for electricity, medium voltage</ns0:t>
        </ns0:is>
      </ns0:c>
      <ns0:c r="B299" t="n">
        <ns0:v>0.55</ns0:v>
      </ns0:c>
      <ns0:c r="C299" t="inlineStr">
        <ns0:is>
          <ns0:t>RER</ns0:t>
        </ns0:is>
      </ns0:c>
      <ns0:c r="D299" t="inlineStr">
        <ns0:is>
          <ns0:t>kilowatt hour</ns0:t>
        </ns0:is>
      </ns0:c>
      <ns0:c r="F299" t="inlineStr">
        <ns0:is>
          <ns0:t>technosphere</ns0:t>
        </ns0:is>
      </ns0:c>
      <ns0:c r="G299" t="inlineStr">
        <ns0:is>
          <ns0:t>electricity, medium voltage</ns0:t>
        </ns0:is>
      </ns0:c>
    </ns0:row>
    <ns0:row r="300">
      <ns0:c r="A300" t="inlineStr">
        <ns0:is>
          <ns0:t>market group for heat, central or small-scale, natural gas</ns0:t>
        </ns0:is>
      </ns0:c>
      <ns0:c r="B300" t="n">
        <ns0:v>13.75</ns0:v>
      </ns0:c>
      <ns0:c r="C300" t="inlineStr">
        <ns0:is>
          <ns0:t>RER</ns0:t>
        </ns0:is>
      </ns0:c>
      <ns0:c r="D300" t="inlineStr">
        <ns0:is>
          <ns0:t>megajoule</ns0:t>
        </ns0:is>
      </ns0:c>
      <ns0:c r="F300" t="inlineStr">
        <ns0:is>
          <ns0:t>technosphere</ns0:t>
        </ns0:is>
      </ns0:c>
      <ns0:c r="G300" t="inlineStr">
        <ns0:is>
          <ns0:t>heat, central or small-scale, natural gas</ns0:t>
        </ns0:is>
      </ns0:c>
    </ns0:row>
    <ns0:row r="301">
      <ns0:c r="A301" t="inlineStr">
        <ns0:is>
          <ns0:t>treatment of wastewater, unpolluted, wastewater treatment</ns0:t>
        </ns0:is>
      </ns0:c>
      <ns0:c r="B301" t="n">
        <ns0:v>-0.0018</ns0:v>
      </ns0:c>
      <ns0:c r="C301" t="inlineStr">
        <ns0:is>
          <ns0:t>RoW</ns0:t>
        </ns0:is>
      </ns0:c>
      <ns0:c r="D301" t="inlineStr">
        <ns0:is>
          <ns0:t>cubic meter</ns0:t>
        </ns0:is>
      </ns0:c>
      <ns0:c r="F301" t="inlineStr">
        <ns0:is>
          <ns0:t>technosphere</ns0:t>
        </ns0:is>
      </ns0:c>
      <ns0:c r="G301" t="inlineStr">
        <ns0:is>
          <ns0:t>wastewater, unpolluted</ns0:t>
        </ns0:is>
      </ns0:c>
      <ns0:c r="H301" t="inlineStr">
        <ns0:is>
          <ns0:t>APPROVED SBR PROCESS-WATER VOLUME REFERENCE, issue102, 2026-10-18. Crenna2021 DOI10.1016/j.resconrec.2021.105619 documentsSBRasbatterybinder;recoveredSI doesnotverifythemanufacturing-waterrecipe. TheexistingpremiseSBRprovidercontains1.8kgdeionizedprocesswater/kgdrySBRand0.25m3coolingwaterresource;threecopieshave1.8m3unpollutedWWT. Sourcewater-to-wastewatertreatmentbasiswasnotindependentlyrecovered;thisisexplicitphysicalreferencecorrection,notclaimedverifiedsourceerratum. Existing1.8m3processWWTis1800kgliquidandcannotfollowfrom1.8kgprocesswater plus250kgcoolingwaterwithoutunreported&gt;1548kgwaterfeed. Modelall1.8kgdeionizedprocesswaterassenttoprocessWWT:1.8/1000=0.0018m3at1000kg/m3. Thisassignmentisexplicitengineeringwaterfate;sourceoriginalWWTunitnotverified,notclaimthatallindustrialsewerisexactly1.8L. Keep0.25m3coolingwithdrawal,separatefromprocesswater;coolingreturncompartment/temperatureandconsumptivefractionremainunresolvedandarenotinvented.0-100%coolingreturn sensitivityrequired;noextra0.25m3WWTassumed. Existingheat/emissionquantitiesretained,notinventfullthermalbalance. Polymermonomers,output1kgdrySBR,energyandallmetalcoefficients unchanged. Samecorrectioninall3copiespreventsdefaultversion/importorderfromrestoringwrongvolume. DoesnotvalidateSBRwastewaterpollutantloadorwholeindustrialwaterbalance.</ns0:t>
        </ns0:is>
      </ns0:c>
    </ns0:row>
    <ns0:row r="302"/>
    <ns0:row r="303">
      <ns0:c r="A303" s="1" t="inlineStr">
        <ns0:is>
          <ns0:t>Activity</ns0:t>
        </ns0:is>
      </ns0:c>
      <ns0:c r="B303" s="1" t="inlineStr">
        <ns0:is>
          <ns0:t>vanadium bearing magnetite production</ns0:t>
        </ns0:is>
      </ns0:c>
    </ns0:row>
    <ns0:row r="304">
      <ns0:c r="A304" t="inlineStr">
        <ns0:is>
          <ns0:t>comment</ns0:t>
        </ns0:is>
      </ns0:c>
      <ns0:c r="B304" t="inlineStr">
        <ns0:is>
          <ns0:t xml:space="preserve">Source: Chen, S.Y., Fu, X.J., Chu, M.S., Liu, Z.G., Tang, J., 2015. Life cycle assessment of the comprehensive utilisation of vanadium titano-magnetite. J. Clean. Prod. 101, 122–128. https://doi.org/10.1016/j.jclepro.2015.03.076. Inventory provided by Zhang et al. (2024). Changed the name from "vanadium pentoxide and unalloyed steel" to vanadium bearing magnetite, to make the two processes coherent during the metal markets creation.
 This production process produce product: pig iron(1kg); BF slag(0.65 kg); and BFG (1.712 kg), 
This process has been chnaged from pig iron production (RoW) to CN location specifically, from ecoinvent 3.8 activity "pig iron production (RoW)". Iron sinter, and iron pellet was changed to the self modified CN specific inventory. 
BFG heating value is 2.7 MJ/kg, according to https://www.sciencedirect.com/science/article/pii/S0016236113004821?via%3Dihub   
2.694 kg or 7.275 MJ BFG was produced per kg of pig iron produced, it is assumed that there is a internal treatment processes to treat these BFG, and there is no losses during the treatment processes. After treatment 0.982 kg of BFG will be used for the same production process, and 1.712 kg BFG is the surplus, which can subscribe the other energy production processes. (here we choose to substract the acticity "heat production, at coal coke industrial furnace 1-10MW") . at the same time, this process also account for the environment impacts caused by recyling BFG ("treatment of blast furnace gas, in power plant")
energy content of coke is 28.6 MJ/kg in ecoinvent, so based on Gao et al., 2015, 0.45185 kg coke was needed for producing 1 kg of pig iron, which is 12.9 mj coke needed.
coal gas: low heating value of coal gas is 28.6 MJ/kg in ecoinvent. 0.0030555555555556 kg coke oven gas was needed for producing 1 kg of pig iron, whcih is 0.08738 MJ. 
Background:
This activity produces hot metal (pig iron) for use in steelmaking and cast iron production. Iron-bearing materials, additives and reducing agents are continuously fed into a charging chamber from a shaft above. A hot, oxygen-rich air blast is injected on the tuyère level and reacts with the reducing agents to produce (inter alia) carbon monoxide that in turn reduces iron oxides to molten, metallic iron. The liquid iron is collected in a hearth, along with the slag, and continually cast prior to transport to the steelmaking plant. The slag is typically processed to produce aggregate, graulate, or pellet for use in cement manufacture. Gases are collected at the top of the furnace and treated through wet scrubbing, with the resultant sludge typically returned to the sinter plant or disposed of in a landfill. 
Modelling approach: 
Data on were mostly taken from the IPPC Best Available Technology report from the European Commission (Remus et al., 2013); note that where only data ranges were provided, the geometric mean of reported values was used here. Additionally, 33% of dust and sludge by-products were assumed to be recycled internally (i.e. returned as an input to the process after it has been produced) based on measured data from plants worldwide reported by worldsteel (2010).
References:
Remus, R., Aguado-Monsonet, M. A., Roudier, S. &amp; Samcho, L. D. (2013). JRC reference report - Best available techniques (BAT) reference document for iron and steel production. Joint Research Centre - European Commission, Luxemboug. 
Worldsteel (2010). Steel industry by-products. World Steel Association: Brussels, Belgium.
Geography:  Data are taken from blast furnace plants across Europe and are considered representative of the average situation globally. 
Technology:  Typical blast furnace process
Time period:  Data are mostly compiled from reports published between 2005 and 2010 but are considered representative of modern operations. </ns0:t>
        </ns0:is>
      </ns0:c>
    </ns0:row>
    <ns0:row r="305">
      <ns0:c r="A305" t="inlineStr">
        <ns0:is>
          <ns0:t>location</ns0:t>
        </ns0:is>
      </ns0:c>
      <ns0:c r="B305" t="inlineStr">
        <ns0:is>
          <ns0:t>CN</ns0:t>
        </ns0:is>
      </ns0:c>
    </ns0:row>
    <ns0:row r="306">
      <ns0:c r="A306" t="inlineStr">
        <ns0:is>
          <ns0:t>reference product</ns0:t>
        </ns0:is>
      </ns0:c>
      <ns0:c r="B306" t="inlineStr">
        <ns0:is>
          <ns0:t>vanadium bearing magnetite</ns0:t>
        </ns0:is>
      </ns0:c>
    </ns0:row>
    <ns0:row r="307">
      <ns0:c r="A307" t="inlineStr">
        <ns0:is>
          <ns0:t>unit</ns0:t>
        </ns0:is>
      </ns0:c>
      <ns0:c r="B307" t="inlineStr">
        <ns0:is>
          <ns0:t>kilogram</ns0:t>
        </ns0:is>
      </ns0:c>
    </ns0:row>
    <ns0:row r="308">
      <ns0:c r="A308" t="inlineStr">
        <ns0:is>
          <ns0:t>source</ns0:t>
        </ns0:is>
      </ns0:c>
      <ns0:c r="B308" t="inlineStr">
        <ns0:is>
          <ns0:t>Inventory provided by Zhang et al. (2024). Originally from Weber et al. (2018). Life cycle assessment of a vanadium redox flow battery. Environmental science &amp; technology, 52(18), 10864-10873. https://doi.org/10.1021/acs.est.8b02073</ns0:t>
        </ns0:is>
      </ns0:c>
    </ns0:row>
    <ns0:row r="309">
      <ns0:c r="A309" s="1" t="inlineStr">
        <ns0:is>
          <ns0:t>Exchanges</ns0:t>
        </ns0:is>
      </ns0:c>
    </ns0:row>
    <ns0:row r="310">
      <ns0:c r="A310" s="1" t="inlineStr">
        <ns0:is>
          <ns0:t>name</ns0:t>
        </ns0:is>
      </ns0:c>
      <ns0:c r="B310" s="1" t="inlineStr">
        <ns0:is>
          <ns0:t>amount</ns0:t>
        </ns0:is>
      </ns0:c>
      <ns0:c r="C310" s="1" t="inlineStr">
        <ns0:is>
          <ns0:t>reference product</ns0:t>
        </ns0:is>
      </ns0:c>
      <ns0:c r="D310" s="1" t="inlineStr">
        <ns0:is>
          <ns0:t>location</ns0:t>
        </ns0:is>
      </ns0:c>
      <ns0:c r="E310" s="1" t="inlineStr">
        <ns0:is>
          <ns0:t>unit</ns0:t>
        </ns0:is>
      </ns0:c>
      <ns0:c r="F310" s="1" t="inlineStr">
        <ns0:is>
          <ns0:t>categories</ns0:t>
        </ns0:is>
      </ns0:c>
      <ns0:c r="G310" s="1" t="inlineStr">
        <ns0:is>
          <ns0:t>type</ns0:t>
        </ns0:is>
      </ns0:c>
      <ns0:c r="H310" s="1" t="inlineStr">
        <ns0:is>
          <ns0:t>formula</ns0:t>
        </ns0:is>
      </ns0:c>
      <ns0:c r="I310" s="1" t="inlineStr">
        <ns0:is>
          <ns0:t>uncertainty type</ns0:t>
        </ns0:is>
      </ns0:c>
      <ns0:c r="J310" s="1" t="inlineStr">
        <ns0:is>
          <ns0:t>loc</ns0:t>
        </ns0:is>
      </ns0:c>
      <ns0:c r="K310" s="1" t="inlineStr">
        <ns0:is>
          <ns0:t>scale</ns0:t>
        </ns0:is>
      </ns0:c>
      <ns0:c r="L310" s="1" t="inlineStr">
        <ns0:is>
          <ns0:t>comment</ns0:t>
        </ns0:is>
      </ns0:c>
      <ns0:c r="M310" s="1" t="inlineStr">
        <ns0:is>
          <ns0:t>negative</ns0:t>
        </ns0:is>
      </ns0:c>
    </ns0:row>
    <ns0:row r="311">
      <ns0:c r="A311" t="inlineStr">
        <ns0:is>
          <ns0:t>Carbon dioxide, fossil</ns0:t>
        </ns0:is>
      </ns0:c>
      <ns0:c r="B311" t="n">
        <ns0:v>0.8490799999999999</ns0:v>
      </ns0:c>
      <ns0:c r="E311" t="inlineStr">
        <ns0:is>
          <ns0:t>kilogram</ns0:t>
        </ns0:is>
      </ns0:c>
      <ns0:c r="F311" t="inlineStr">
        <ns0:is>
          <ns0:t>air</ns0:t>
        </ns0:is>
      </ns0:c>
      <ns0:c r="G311" t="inlineStr">
        <ns0:is>
          <ns0:t>biosphere</ns0:t>
        </ns0:is>
      </ns0:c>
      <ns0:c r="H311" t="inlineStr">
        <ns0:is>
          <ns0:t>CO2</ns0:t>
        </ns0:is>
      </ns0:c>
      <ns0:c r="I311" t="n">
        <ns0:v>2</ns0:v>
      </ns0:c>
      <ns0:c r="J311" t="n">
        <ns0:v>-0.1636018686058939</ns0:v>
      </ns0:c>
      <ns0:c r="K311" t="n">
        <ns0:v>0.03872983346207417</ns0:v>
      </ns0:c>
      <ns0:c r="L311"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2">
      <ns0:c r="A312" t="inlineStr">
        <ns0:is>
          <ns0:t>Carbon monoxide, fossil</ns0:t>
        </ns0:is>
      </ns0:c>
      <ns0:c r="B312" t="n">
        <ns0:v>0.0013404</ns0:v>
      </ns0:c>
      <ns0:c r="E312" t="inlineStr">
        <ns0:is>
          <ns0:t>kilogram</ns0:t>
        </ns0:is>
      </ns0:c>
      <ns0:c r="F312" t="inlineStr">
        <ns0:is>
          <ns0:t>air</ns0:t>
        </ns0:is>
      </ns0:c>
      <ns0:c r="G312" t="inlineStr">
        <ns0:is>
          <ns0:t>biosphere</ns0:t>
        </ns0:is>
      </ns0:c>
      <ns0:c r="H312" t="inlineStr">
        <ns0:is>
          <ns0:t>CO</ns0:t>
        </ns0:is>
      </ns0:c>
      <ns0:c r="I312" t="n">
        <ns0:v>2</ns0:v>
      </ns0:c>
      <ns0:c r="J312" t="n">
        <ns0:v>-6.614787202101119</ns0:v>
      </ns0:c>
      <ns0:c r="K312" t="n">
        <ns0:v>0.8071554992688831</ns0:v>
      </ns0:c>
      <ns0:c r="L312"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3">
      <ns0:c r="A313" t="inlineStr">
        <ns0:is>
          <ns0:t>Dioxins, measured as 2,3,7,8-tetrachlorodibenzo-p-dioxin</ns0:t>
        </ns0:is>
      </ns0:c>
      <ns0:c r="B313" t="n">
        <ns0:v>2.6596e-15</ns0:v>
      </ns0:c>
      <ns0:c r="E313" t="inlineStr">
        <ns0:is>
          <ns0:t>kilogram</ns0:t>
        </ns0:is>
      </ns0:c>
      <ns0:c r="F313" t="inlineStr">
        <ns0:is>
          <ns0:t>air</ns0:t>
        </ns0:is>
      </ns0:c>
      <ns0:c r="G313" t="inlineStr">
        <ns0:is>
          <ns0:t>biosphere</ns0:t>
        </ns0:is>
      </ns0:c>
      <ns0:c r="H313" t="inlineStr">
        <ns0:is>
          <ns0:t>C12H4Cl4O2</ns0:t>
        </ns0:is>
      </ns0:c>
      <ns0:c r="I313" t="n">
        <ns0:v>2</ns0:v>
      </ns0:c>
      <ns0:c r="J313" t="n">
        <ns0:v>-33.56060065936452</ns0:v>
      </ns0:c>
      <ns0:c r="K313" t="n">
        <ns0:v>0.5490901565316938</ns0:v>
      </ns0:c>
      <ns0:c r="L313"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4">
      <ns0:c r="A314" t="inlineStr">
        <ns0:is>
          <ns0:t>Hydrogen sulfide</ns0:t>
        </ns0:is>
      </ns0:c>
      <ns0:c r="B314" t="n">
        <ns0:v>1.0745e-05</ns0:v>
      </ns0:c>
      <ns0:c r="E314" t="inlineStr">
        <ns0:is>
          <ns0:t>kilogram</ns0:t>
        </ns0:is>
      </ns0:c>
      <ns0:c r="F314" t="inlineStr">
        <ns0:is>
          <ns0:t>air</ns0:t>
        </ns0:is>
      </ns0:c>
      <ns0:c r="G314" t="inlineStr">
        <ns0:is>
          <ns0:t>biosphere</ns0:t>
        </ns0:is>
      </ns0:c>
      <ns0:c r="H314" t="inlineStr">
        <ns0:is>
          <ns0:t>H2S</ns0:t>
        </ns0:is>
      </ns0:c>
      <ns0:c r="I314" t="n">
        <ns0:v>2</ns0:v>
      </ns0:c>
      <ns0:c r="J314" t="n">
        <ns0:v>-11.4410700278698</ns0:v>
      </ns0:c>
      <ns0:c r="K314" t="n">
        <ns0:v>0.2037154878746336</ns0:v>
      </ns0:c>
      <ns0:c r="L314"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5">
      <ns0:c r="A315" t="inlineStr">
        <ns0:is>
          <ns0:t>Lead II</ns0:t>
        </ns0:is>
      </ns0:c>
      <ns0:c r="B315" t="n">
        <ns0:v>6.914900000000001e-08</ns0:v>
      </ns0:c>
      <ns0:c r="E315" t="inlineStr">
        <ns0:is>
          <ns0:t>kilogram</ns0:t>
        </ns0:is>
      </ns0:c>
      <ns0:c r="F315" t="inlineStr">
        <ns0:is>
          <ns0:t>air</ns0:t>
        </ns0:is>
      </ns0:c>
      <ns0:c r="G315" t="inlineStr">
        <ns0:is>
          <ns0:t>biosphere</ns0:t>
        </ns0:is>
      </ns0:c>
      <ns0:c r="H315" t="inlineStr">
        <ns0:is>
          <ns0:t>Pb</ns0:t>
        </ns0:is>
      </ns0:c>
      <ns0:c r="I315" t="n">
        <ns0:v>2</ns0:v>
      </ns0:c>
      <ns0:c r="J315" t="n">
        <ns0:v>-16.48700224025619</ns0:v>
      </ns0:c>
      <ns0:c r="K315" t="n">
        <ns0:v>0.8071554992688831</ns0:v>
      </ns0:c>
      <ns0:c r="L315"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6">
      <ns0:c r="A316" t="inlineStr">
        <ns0:is>
          <ns0:t>Manganese II</ns0:t>
        </ns0:is>
      </ns0:c>
      <ns0:c r="B316" t="n">
        <ns0:v>7.4468e-08</ns0:v>
      </ns0:c>
      <ns0:c r="E316" t="inlineStr">
        <ns0:is>
          <ns0:t>kilogram</ns0:t>
        </ns0:is>
      </ns0:c>
      <ns0:c r="F316" t="inlineStr">
        <ns0:is>
          <ns0:t>air</ns0:t>
        </ns0:is>
      </ns0:c>
      <ns0:c r="G316" t="inlineStr">
        <ns0:is>
          <ns0:t>biosphere</ns0:t>
        </ns0:is>
      </ns0:c>
      <ns0:c r="H316" t="inlineStr">
        <ns0:is>
          <ns0:t>Mn</ns0:t>
        </ns0:is>
      </ns0:c>
      <ns0:c r="I316" t="n">
        <ns0:v>2</ns0:v>
      </ns0:c>
      <ns0:c r="J316" t="n">
        <ns0:v>-16.41289633403676</ns0:v>
      </ns0:c>
      <ns0:c r="K316" t="n">
        <ns0:v>0.8071554992688831</ns0:v>
      </ns0:c>
      <ns0:c r="L316"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7">
      <ns0:c r="A317" t="inlineStr">
        <ns0:is>
          <ns0:t>Nickel II</ns0:t>
        </ns0:is>
      </ns0:c>
      <ns0:c r="B317" t="n">
        <ns0:v>1.5957e-08</ns0:v>
      </ns0:c>
      <ns0:c r="E317" t="inlineStr">
        <ns0:is>
          <ns0:t>kilogram</ns0:t>
        </ns0:is>
      </ns0:c>
      <ns0:c r="F317" t="inlineStr">
        <ns0:is>
          <ns0:t>air</ns0:t>
        </ns0:is>
      </ns0:c>
      <ns0:c r="G317" t="inlineStr">
        <ns0:is>
          <ns0:t>biosphere</ns0:t>
        </ns0:is>
      </ns0:c>
      <ns0:c r="H317" t="inlineStr">
        <ns0:is>
          <ns0:t>Ni</ns0:t>
        </ns0:is>
      </ns0:c>
      <ns0:c r="I317" t="n">
        <ns0:v>2</ns0:v>
      </ns0:c>
      <ns0:c r="J317" t="n">
        <ns0:v>-17.95336823251812</ns0:v>
      </ns0:c>
      <ns0:c r="K317" t="n">
        <ns0:v>0.8071554992688831</ns0:v>
      </ns0:c>
      <ns0:c r="L317"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8">
      <ns0:c r="A318" t="inlineStr">
        <ns0:is>
          <ns0:t>Nitrogen oxides</ns0:t>
        </ns0:is>
      </ns0:c>
      <ns0:c r="B318" t="n">
        <ns0:v>7.9787e-05</ns0:v>
      </ns0:c>
      <ns0:c r="E318" t="inlineStr">
        <ns0:is>
          <ns0:t>kilogram</ns0:t>
        </ns0:is>
      </ns0:c>
      <ns0:c r="F318" t="inlineStr">
        <ns0:is>
          <ns0:t>air</ns0:t>
        </ns0:is>
      </ns0:c>
      <ns0:c r="G318" t="inlineStr">
        <ns0:is>
          <ns0:t>biosphere</ns0:t>
        </ns0:is>
      </ns0:c>
      <ns0:c r="H318" t="inlineStr">
        <ns0:is>
          <ns0:t>H3NO</ns0:t>
        </ns0:is>
      </ns0:c>
      <ns0:c r="I318" t="n">
        <ns0:v>2</ns0:v>
      </ns0:c>
      <ns0:c r="J318" t="n">
        <ns0:v>-9.436149974047511</ns0:v>
      </ns0:c>
      <ns0:c r="K318" t="n">
        <ns0:v>0.2037154878746336</ns0:v>
      </ns0:c>
      <ns0:c r="L318"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19">
      <ns0:c r="A319" t="inlineStr">
        <ns0:is>
          <ns0:t>Particulate Matter, &lt; 2.5 um</ns0:t>
        </ns0:is>
      </ns0:c>
      <ns0:c r="B319" t="n">
        <ns0:v>2.8723e-05</ns0:v>
      </ns0:c>
      <ns0:c r="E319" t="inlineStr">
        <ns0:is>
          <ns0:t>kilogram</ns0:t>
        </ns0:is>
      </ns0:c>
      <ns0:c r="F319" t="inlineStr">
        <ns0:is>
          <ns0:t>air</ns0:t>
        </ns0:is>
      </ns0:c>
      <ns0:c r="G319" t="inlineStr">
        <ns0:is>
          <ns0:t>biosphere</ns0:t>
        </ns0:is>
      </ns0:c>
      <ns0:c r="I319" t="n">
        <ns0:v>2</ns0:v>
      </ns0:c>
      <ns0:c r="J319" t="n">
        <ns0:v>-10.45781236241497</ns0:v>
      </ns0:c>
      <ns0:c r="K319" t="n">
        <ns0:v>0.5490901565316938</ns0:v>
      </ns0:c>
      <ns0:c r="L319"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20">
      <ns0:c r="A320" t="inlineStr">
        <ns0:is>
          <ns0:t>Particulate Matter, &gt; 10 um</ns0:t>
        </ns0:is>
      </ns0:c>
      <ns0:c r="B320" t="n">
        <ns0:v>1.5957e-06</ns0:v>
      </ns0:c>
      <ns0:c r="E320" t="inlineStr">
        <ns0:is>
          <ns0:t>kilogram</ns0:t>
        </ns0:is>
      </ns0:c>
      <ns0:c r="F320" t="inlineStr">
        <ns0:is>
          <ns0:t>air</ns0:t>
        </ns0:is>
      </ns0:c>
      <ns0:c r="G320" t="inlineStr">
        <ns0:is>
          <ns0:t>biosphere</ns0:t>
        </ns0:is>
      </ns0:c>
      <ns0:c r="I320" t="n">
        <ns0:v>2</ns0:v>
      </ns0:c>
      <ns0:c r="J320" t="n">
        <ns0:v>-13.34819804653003</ns0:v>
      </ns0:c>
      <ns0:c r="K320" t="n">
        <ns0:v>0.2037154878746336</ns0:v>
      </ns0:c>
      <ns0:c r="L320"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21">
      <ns0:c r="A321" t="inlineStr">
        <ns0:is>
          <ns0:t>Particulate Matter, &gt; 2.5 um and &lt; 10um</ns0:t>
        </ns0:is>
      </ns0:c>
      <ns0:c r="B321" t="n">
        <ns0:v>1.5957e-06</ns0:v>
      </ns0:c>
      <ns0:c r="E321" t="inlineStr">
        <ns0:is>
          <ns0:t>kilogram</ns0:t>
        </ns0:is>
      </ns0:c>
      <ns0:c r="F321" t="inlineStr">
        <ns0:is>
          <ns0:t>air</ns0:t>
        </ns0:is>
      </ns0:c>
      <ns0:c r="G321" t="inlineStr">
        <ns0:is>
          <ns0:t>biosphere</ns0:t>
        </ns0:is>
      </ns0:c>
      <ns0:c r="I321" t="n">
        <ns0:v>2</ns0:v>
      </ns0:c>
      <ns0:c r="J321" t="n">
        <ns0:v>-13.34819804653003</ns0:v>
      </ns0:c>
      <ns0:c r="K321" t="n">
        <ns0:v>0.3485685011586675</ns0:v>
      </ns0:c>
      <ns0:c r="L321"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22">
      <ns0:c r="A322" t="inlineStr">
        <ns0:is>
          <ns0:t>Sulfur dioxide</ns0:t>
        </ns0:is>
      </ns0:c>
      <ns0:c r="B322" t="n">
        <ns0:v>0.00013298</ns0:v>
      </ns0:c>
      <ns0:c r="E322" t="inlineStr">
        <ns0:is>
          <ns0:t>kilogram</ns0:t>
        </ns0:is>
      </ns0:c>
      <ns0:c r="F322" t="inlineStr">
        <ns0:is>
          <ns0:t>air</ns0:t>
        </ns0:is>
      </ns0:c>
      <ns0:c r="G322" t="inlineStr">
        <ns0:is>
          <ns0:t>biosphere</ns0:t>
        </ns0:is>
      </ns0:c>
      <ns0:c r="H322" t="inlineStr">
        <ns0:is>
          <ns0:t>O2S</ns0:t>
        </ns0:is>
      </ns0:c>
      <ns0:c r="I322" t="n">
        <ns0:v>2</ns0:v>
      </ns0:c>
      <ns0:c r="J322" t="n">
        <ns0:v>-8.925311816989966</ns0:v>
      </ns0:c>
      <ns0:c r="K322" t="n">
        <ns0:v>0.03872983346207417</ns0:v>
      </ns0:c>
      <ns0:c r="L322"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23">
      <ns0:c r="A323" t="inlineStr">
        <ns0:is>
          <ns0:t>Water</ns0:t>
        </ns0:is>
      </ns0:c>
      <ns0:c r="B323" t="n">
        <ns0:v>0.0009702553754730679</ns0:v>
      </ns0:c>
      <ns0:c r="E323" t="inlineStr">
        <ns0:is>
          <ns0:t>cubic meter</ns0:t>
        </ns0:is>
      </ns0:c>
      <ns0:c r="F323" t="inlineStr">
        <ns0:is>
          <ns0:t>water</ns0:t>
        </ns0:is>
      </ns0:c>
      <ns0:c r="G323" t="inlineStr">
        <ns0:is>
          <ns0:t>biosphere</ns0:t>
        </ns0:is>
      </ns0:c>
      <ns0:c r="H323" t="inlineStr">
        <ns0:is>
          <ns0:t>H2O</ns0:t>
        </ns0:is>
      </ns0:c>
      <ns0:c r="I323" t="n">
        <ns0:v>2</ns0:v>
      </ns0:c>
      <ns0:c r="J323" t="n">
        <ns0:v>-6.937951247433706</ns0:v>
      </ns0:c>
      <ns0:c r="K323" t="n">
        <ns0:v>0.3033562262423503</ns0:v>
      </ns0:c>
      <ns0:c r="L323" t="inlineStr">
        <ns0:is>
          <ns0:t>Calculated value based on literature values and expert opinion. See comments in the parametres' comment field.</ns0:t>
        </ns0:is>
      </ns0:c>
    </ns0:row>
    <ns0:row r="324">
      <ns0:c r="A324" t="inlineStr">
        <ns0:is>
          <ns0:t>Water</ns0:t>
        </ns0:is>
      </ns0:c>
      <ns0:c r="B324" t="n">
        <ns0:v>0.000490292453909515</ns0:v>
      </ns0:c>
      <ns0:c r="E324" t="inlineStr">
        <ns0:is>
          <ns0:t>cubic meter</ns0:t>
        </ns0:is>
      </ns0:c>
      <ns0:c r="F324" t="inlineStr">
        <ns0:is>
          <ns0:t>air</ns0:t>
        </ns0:is>
      </ns0:c>
      <ns0:c r="G324" t="inlineStr">
        <ns0:is>
          <ns0:t>biosphere</ns0:t>
        </ns0:is>
      </ns0:c>
      <ns0:c r="H324" t="inlineStr">
        <ns0:is>
          <ns0:t>H2O</ns0:t>
        </ns0:is>
      </ns0:c>
      <ns0:c r="I324" t="n">
        <ns0:v>2</ns0:v>
      </ns0:c>
      <ns0:c r="J324" t="n">
        <ns0:v>-7.620508500187273</ns0:v>
      </ns0:c>
      <ns0:c r="K324" t="n">
        <ns0:v>0.2017424100183201</ns0:v>
      </ns0:c>
      <ns0:c r="L324" t="inlineStr">
        <ns0:is>
          <ns0:t>Calculated value based on literature values and expert opinion. See comments in the parametres' comment field.</ns0:t>
        </ns0:is>
      </ns0:c>
    </ns0:row>
    <ns0:row r="325">
      <ns0:c r="A325" t="inlineStr">
        <ns0:is>
          <ns0:t>Water, cooling, unspecified natural origin</ns0:t>
        </ns0:is>
      </ns0:c>
      <ns0:c r="B325" t="n">
        <ns0:v>0.00105697540284266</ns0:v>
      </ns0:c>
      <ns0:c r="E325" t="inlineStr">
        <ns0:is>
          <ns0:t>cubic meter</ns0:t>
        </ns0:is>
      </ns0:c>
      <ns0:c r="F325" t="inlineStr">
        <ns0:is>
          <ns0:t>natural resource::in water</ns0:t>
        </ns0:is>
      </ns0:c>
      <ns0:c r="G325" t="inlineStr">
        <ns0:is>
          <ns0:t>biosphere</ns0:t>
        </ns0:is>
      </ns0:c>
      <ns0:c r="H325" t="inlineStr">
        <ns0:is>
          <ns0:t>H2O</ns0:t>
        </ns0:is>
      </ns0:c>
      <ns0:c r="I325" t="n">
        <ns0:v>2</ns0:v>
      </ns0:c>
      <ns0:c r="J325" t="n">
        <ns0:v>-6.852343843090765</ns0:v>
      </ns0:c>
      <ns0:c r="K325" t="n">
        <ns0:v>0.1132475165290612</ns0:v>
      </ns0:c>
      <ns0:c r="L325" t="inlineStr">
        <ns0:is>
          <ns0:t>Calculated based on literature, (Vionnet, S., Quantis Water Database - Technical Report, 2012).</ns0:t>
        </ns0:is>
      </ns0:c>
    </ns0:row>
    <ns0:row r="326">
      <ns0:c r="A326" t="inlineStr">
        <ns0:is>
          <ns0:t>Water, unspecified natural origin</ns0:t>
        </ns0:is>
      </ns0:c>
      <ns0:c r="B326" t="n">
        <ns0:v>0.000403572426539923</ns0:v>
      </ns0:c>
      <ns0:c r="E326" t="inlineStr">
        <ns0:is>
          <ns0:t>cubic meter</ns0:t>
        </ns0:is>
      </ns0:c>
      <ns0:c r="F326" t="inlineStr">
        <ns0:is>
          <ns0:t>natural resource::in water</ns0:t>
        </ns0:is>
      </ns0:c>
      <ns0:c r="G326" t="inlineStr">
        <ns0:is>
          <ns0:t>biosphere</ns0:t>
        </ns0:is>
      </ns0:c>
      <ns0:c r="H326" t="inlineStr">
        <ns0:is>
          <ns0:t>H2O</ns0:t>
        </ns0:is>
      </ns0:c>
      <ns0:c r="I326" t="n">
        <ns0:v>2</ns0:v>
      </ns0:c>
      <ns0:c r="J326" t="n">
        <ns0:v>-7.815154590599817</ns0:v>
      </ns0:c>
      <ns0:c r="K326" t="n">
        <ns0:v>0.1132475165290612</ns0:v>
      </ns0:c>
      <ns0:c r="L326" t="inlineStr">
        <ns0:is>
          <ns0:t>Based on literature, (Vionnet, S., Quantis Water Database - Technical Report, 2012). based on literature, (Vionnet, S., Quantis Water Database - Technical Report, 2012).</ns0:t>
        </ns0:is>
      </ns0:c>
    </ns0:row>
    <ns0:row r="327">
      <ns0:c r="A327" t="inlineStr">
        <ns0:is>
          <ns0:t>vanadium bearing magnetite production</ns0:t>
        </ns0:is>
      </ns0:c>
      <ns0:c r="B327" t="n">
        <ns0:v>1</ns0:v>
      </ns0:c>
      <ns0:c r="C327" t="inlineStr">
        <ns0:is>
          <ns0:t>vanadium bearing magnetite</ns0:t>
        </ns0:is>
      </ns0:c>
      <ns0:c r="D327" t="inlineStr">
        <ns0:is>
          <ns0:t>CN</ns0:t>
        </ns0:is>
      </ns0:c>
      <ns0:c r="E327" t="inlineStr">
        <ns0:is>
          <ns0:t>kilogram</ns0:t>
        </ns0:is>
      </ns0:c>
      <ns0:c r="G327" t="inlineStr">
        <ns0:is>
          <ns0:t>production</ns0:t>
        </ns0:is>
      </ns0:c>
      <ns0:c r="I327" t="n">
        <ns0:v>0</ns0:v>
      </ns0:c>
      <ns0:c r="J327" t="n">
        <ns0:v>1</ns0:v>
      </ns0:c>
    </ns0:row>
    <ns0:row r="328">
      <ns0:c r="A328" t="inlineStr">
        <ns0:is>
          <ns0:t>market for blast furnace slag</ns0:t>
        </ns0:is>
      </ns0:c>
      <ns0:c r="B328" t="n">
        <ns0:v>-0.65</ns0:v>
      </ns0:c>
      <ns0:c r="C328" t="inlineStr">
        <ns0:is>
          <ns0:t>blast furnace slag</ns0:t>
        </ns0:is>
      </ns0:c>
      <ns0:c r="D328" t="inlineStr">
        <ns0:is>
          <ns0:t>GLO</ns0:t>
        </ns0:is>
      </ns0:c>
      <ns0:c r="E328" t="inlineStr">
        <ns0:is>
          <ns0:t>kilogram</ns0:t>
        </ns0:is>
      </ns0:c>
      <ns0:c r="G328" t="inlineStr">
        <ns0:is>
          <ns0:t>technosphere</ns0:t>
        </ns0:is>
      </ns0:c>
      <ns0:c r="I328" t="n">
        <ns0:v>2</ns0:v>
      </ns0:c>
      <ns0:c r="J328" t="n">
        <ns0:v>-1.290984181315566</ns0:v>
      </ns0:c>
      <ns0:c r="K328" t="n">
        <ns0:v>0.2095232683975696</ns0:v>
      </ns0:c>
      <ns0:c r="L328" t="inlineStr">
        <ns0:is>
          <ns0:t>Amount reported by worldsteel (2010) and is representative of the average global situation in 2009. Also based on worldsteel (2010), an internal recovery (recycling) rate of 0% is assumed. Source: Worldsteel (2010). Steel industry by-products. World Steel Association: Brussels, Belgium.</ns0:t>
        </ns0:is>
      </ns0:c>
      <ns0:c r="M328" t="b">
        <ns0:v>1</ns0:v>
      </ns0:c>
    </ns0:row>
    <ns0:row r="329">
      <ns0:c r="A329" t="inlineStr">
        <ns0:is>
          <ns0:t>coking</ns0:t>
        </ns0:is>
      </ns0:c>
      <ns0:c r="B329" t="n">
        <ns0:v>0.08738</ns0:v>
      </ns0:c>
      <ns0:c r="C329" t="inlineStr">
        <ns0:is>
          <ns0:t>coke</ns0:t>
        </ns0:is>
      </ns0:c>
      <ns0:c r="D329" t="inlineStr">
        <ns0:is>
          <ns0:t>RoW</ns0:t>
        </ns0:is>
      </ns0:c>
      <ns0:c r="E329" t="inlineStr">
        <ns0:is>
          <ns0:t>megajoule</ns0:t>
        </ns0:is>
      </ns0:c>
      <ns0:c r="G329" t="inlineStr">
        <ns0:is>
          <ns0:t>technosphere</ns0:t>
        </ns0:is>
      </ns0:c>
    </ns0:row>
    <ns0:row r="330">
      <ns0:c r="A330" t="inlineStr">
        <ns0:is>
          <ns0:t>heat production, at coal coke industrial furnace 1-10MW</ns0:t>
        </ns0:is>
      </ns0:c>
      <ns0:c r="B330" t="n">
        <ns0:v>-4.6225</ns0:v>
      </ns0:c>
      <ns0:c r="C330" t="inlineStr">
        <ns0:is>
          <ns0:t>heat, district or industrial, other than natural gas</ns0:t>
        </ns0:is>
      </ns0:c>
      <ns0:c r="D330" t="inlineStr">
        <ns0:is>
          <ns0:t>RoW</ns0:t>
        </ns0:is>
      </ns0:c>
      <ns0:c r="E330" t="inlineStr">
        <ns0:is>
          <ns0:t>megajoule</ns0:t>
        </ns0:is>
      </ns0:c>
      <ns0:c r="G330" t="inlineStr">
        <ns0:is>
          <ns0:t>technosphere</ns0:t>
        </ns0:is>
      </ns0:c>
    </ns0:row>
    <ns0:row r="331">
      <ns0:c r="A331" t="inlineStr">
        <ns0:is>
          <ns0:t>vanadium pentoxide bearing iron pellet production</ns0:t>
        </ns0:is>
      </ns0:c>
      <ns0:c r="B331" t="n">
        <ns0:v>0.424</ns0:v>
      </ns0:c>
      <ns0:c r="C331" t="inlineStr">
        <ns0:is>
          <ns0:t>vanadium pentoxide bearing iron pellet</ns0:t>
        </ns0:is>
      </ns0:c>
      <ns0:c r="D331" t="inlineStr">
        <ns0:is>
          <ns0:t>CN</ns0:t>
        </ns0:is>
      </ns0:c>
      <ns0:c r="E331" t="inlineStr">
        <ns0:is>
          <ns0:t>kilogram</ns0:t>
        </ns0:is>
      </ns0:c>
      <ns0:c r="G331" t="inlineStr">
        <ns0:is>
          <ns0:t>technosphere</ns0:t>
        </ns0:is>
      </ns0:c>
    </ns0:row>
    <ns0:row r="332">
      <ns0:c r="A332" t="inlineStr">
        <ns0:is>
          <ns0:t>vanadium pentoxide bearing iron sinter production</ns0:t>
        </ns0:is>
      </ns0:c>
      <ns0:c r="B332" t="n">
        <ns0:v>1.59</ns0:v>
      </ns0:c>
      <ns0:c r="C332" t="inlineStr">
        <ns0:is>
          <ns0:t>vanadium pentoxide bearing iron sinter</ns0:t>
        </ns0:is>
      </ns0:c>
      <ns0:c r="D332" t="inlineStr">
        <ns0:is>
          <ns0:t>CN</ns0:t>
        </ns0:is>
      </ns0:c>
      <ns0:c r="E332" t="inlineStr">
        <ns0:is>
          <ns0:t>kilogram</ns0:t>
        </ns0:is>
      </ns0:c>
      <ns0:c r="G332" t="inlineStr">
        <ns0:is>
          <ns0:t>technosphere</ns0:t>
        </ns0:is>
      </ns0:c>
    </ns0:row>
    <ns0:row r="333">
      <ns0:c r="A333" t="inlineStr">
        <ns0:is>
          <ns0:t>market for blast furnace</ns0:t>
        </ns0:is>
      </ns0:c>
      <ns0:c r="B333" t="n">
        <ns0:v>1.3333e-11</ns0:v>
      </ns0:c>
      <ns0:c r="C333" t="inlineStr">
        <ns0:is>
          <ns0:t>blast furnace</ns0:t>
        </ns0:is>
      </ns0:c>
      <ns0:c r="D333" t="inlineStr">
        <ns0:is>
          <ns0:t>GLO</ns0:t>
        </ns0:is>
      </ns0:c>
      <ns0:c r="E333" t="inlineStr">
        <ns0:is>
          <ns0:t>unit</ns0:t>
        </ns0:is>
      </ns0:c>
      <ns0:c r="G333" t="inlineStr">
        <ns0:is>
          <ns0:t>technosphere</ns0:t>
        </ns0:is>
      </ns0:c>
      <ns0:c r="I333" t="n">
        <ns0:v>2</ns0:v>
      </ns0:c>
      <ns0:c r="J333" t="n">
        <ns0:v>-25.04077895079523</ns0:v>
      </ns0:c>
      <ns0:c r="K333" t="n">
        <ns0:v>0.7071067811865476</ns0:v>
      </ns0:c>
      <ns0:c r="L333"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34">
      <ns0:c r="A334" t="inlineStr">
        <ns0:is>
          <ns0:t>market for hard coal</ns0:t>
        </ns0:is>
      </ns0:c>
      <ns0:c r="B334" t="n">
        <ns0:v>0.1277777777777778</ns0:v>
      </ns0:c>
      <ns0:c r="C334" t="inlineStr">
        <ns0:is>
          <ns0:t>hard coal</ns0:t>
        </ns0:is>
      </ns0:c>
      <ns0:c r="D334" t="inlineStr">
        <ns0:is>
          <ns0:t>CN</ns0:t>
        </ns0:is>
      </ns0:c>
      <ns0:c r="E334" t="inlineStr">
        <ns0:is>
          <ns0:t>kilogram</ns0:t>
        </ns0:is>
      </ns0:c>
      <ns0:c r="G334" t="inlineStr">
        <ns0:is>
          <ns0:t>technosphere</ns0:t>
        </ns0:is>
      </ns0:c>
      <ns0:c r="I334" t="n">
        <ns0:v>2</ns0:v>
      </ns0:c>
      <ns0:c r="J334" t="n">
        <ns0:v>-2.540348463133243</ns0:v>
      </ns0:c>
      <ns0:c r="K334" t="n">
        <ns0:v>0.01414213562373095</ns0:v>
      </ns0:c>
      <ns0:c r="L334"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35">
      <ns0:c r="A335" t="inlineStr">
        <ns0:is>
          <ns0:t>market for inert waste, for final disposal</ns0:t>
        </ns0:is>
      </ns0:c>
      <ns0:c r="B335" t="n">
        <ns0:v>-0.00133041346956501</ns0:v>
      </ns0:c>
      <ns0:c r="C335" t="inlineStr">
        <ns0:is>
          <ns0:t>inert waste, for final disposal</ns0:t>
        </ns0:is>
      </ns0:c>
      <ns0:c r="D335" t="inlineStr">
        <ns0:is>
          <ns0:t>RoW</ns0:t>
        </ns0:is>
      </ns0:c>
      <ns0:c r="E335" t="inlineStr">
        <ns0:is>
          <ns0:t>kilogram</ns0:t>
        </ns0:is>
      </ns0:c>
      <ns0:c r="G335" t="inlineStr">
        <ns0:is>
          <ns0:t>technosphere</ns0:t>
        </ns0:is>
      </ns0:c>
      <ns0:c r="I335" t="n">
        <ns0:v>2</ns0:v>
      </ns0:c>
      <ns0:c r="J335" t="n">
        <ns0:v>-6.622265505689266</ns0:v>
      </ns0:c>
      <ns0:c r="K335" t="n">
        <ns0:v>0.058309518948453</ns0:v>
      </ns0:c>
      <ns0:c r="L335" t="inlineStr">
        <ns0:is>
          <ns0:t>geometric mean of Remus et al. (2013) data range</ns0:t>
        </ns0:is>
      </ns0:c>
      <ns0:c r="M335" t="b">
        <ns0:v>1</ns0:v>
      </ns0:c>
    </ns0:row>
    <ns0:row r="336">
      <ns0:c r="A336" t="inlineStr">
        <ns0:is>
          <ns0:t>market for iron ore, crude ore, 46% Fe</ns0:t>
        </ns0:is>
      </ns0:c>
      <ns0:c r="B336" t="n">
        <ns0:v>0.1055556</ns0:v>
      </ns0:c>
      <ns0:c r="C336" t="inlineStr">
        <ns0:is>
          <ns0:t>iron ore, crude ore, 46% Fe</ns0:t>
        </ns0:is>
      </ns0:c>
      <ns0:c r="D336" t="inlineStr">
        <ns0:is>
          <ns0:t>GLO</ns0:t>
        </ns0:is>
      </ns0:c>
      <ns0:c r="E336" t="inlineStr">
        <ns0:is>
          <ns0:t>kilogram</ns0:t>
        </ns0:is>
      </ns0:c>
      <ns0:c r="G336" t="inlineStr">
        <ns0:is>
          <ns0:t>technosphere</ns0:t>
        </ns0:is>
      </ns0:c>
    </ns0:row>
    <ns0:row r="337">
      <ns0:c r="A337" t="inlineStr">
        <ns0:is>
          <ns0:t>market for petroleum coke</ns0:t>
        </ns0:is>
      </ns0:c>
      <ns0:c r="B337" t="n">
        <ns0:v>0.45185</ns0:v>
      </ns0:c>
      <ns0:c r="C337" t="inlineStr">
        <ns0:is>
          <ns0:t>petroleum coke</ns0:t>
        </ns0:is>
      </ns0:c>
      <ns0:c r="D337" t="inlineStr">
        <ns0:is>
          <ns0:t>GLO</ns0:t>
        </ns0:is>
      </ns0:c>
      <ns0:c r="E337" t="inlineStr">
        <ns0:is>
          <ns0:t>kilogram</ns0:t>
        </ns0:is>
      </ns0:c>
      <ns0:c r="G337" t="inlineStr">
        <ns0:is>
          <ns0:t>technosphere</ns0:t>
        </ns0:is>
      </ns0:c>
    </ns0:row>
    <ns0:row r="338">
      <ns0:c r="A338" t="inlineStr">
        <ns0:is>
          <ns0:t>market for refractory, fireclay, packed</ns0:t>
        </ns0:is>
      </ns0:c>
      <ns0:c r="B338" t="n">
        <ns0:v>0.002</ns0:v>
      </ns0:c>
      <ns0:c r="C338" t="inlineStr">
        <ns0:is>
          <ns0:t>refractory, fireclay, packed</ns0:t>
        </ns0:is>
      </ns0:c>
      <ns0:c r="D338" t="inlineStr">
        <ns0:is>
          <ns0:t>GLO</ns0:t>
        </ns0:is>
      </ns0:c>
      <ns0:c r="E338" t="inlineStr">
        <ns0:is>
          <ns0:t>kilogram</ns0:t>
        </ns0:is>
      </ns0:c>
      <ns0:c r="G338" t="inlineStr">
        <ns0:is>
          <ns0:t>technosphere</ns0:t>
        </ns0:is>
      </ns0:c>
      <ns0:c r="I338" t="n">
        <ns0:v>2</ns0:v>
      </ns0:c>
      <ns0:c r="J338" t="n">
        <ns0:v>-6.214608098422191</ns0:v>
      </ns0:c>
      <ns0:c r="K338" t="n">
        <ns0:v>0.01414213562373095</ns0:v>
      </ns0:c>
      <ns0:c r="L338" t="inlineStr">
        <ns0:is>
          <ns0:t>Average value of measured data from plants in Europe. Source: Remus, R., Aguado-Monsonet, M. A., Roudier, S. &amp; Samcho, L. D. (2013). JRC reference report - Best available techniques (BAT) reference document for iron and steel production. Joint Research Centre - European Commission, Luxemboug.</ns0:t>
        </ns0:is>
      </ns0:c>
    </ns0:row>
    <ns0:row r="339">
      <ns0:c r="A339" t="inlineStr">
        <ns0:is>
          <ns0:t>market for wastewater from pig iron production</ns0:t>
        </ns0:is>
      </ns0:c>
      <ns0:c r="B339" t="n">
        <ns0:v>-0.000121643</ns0:v>
      </ns0:c>
      <ns0:c r="C339" t="inlineStr">
        <ns0:is>
          <ns0:t>wastewater from pig iron production</ns0:t>
        </ns0:is>
      </ns0:c>
      <ns0:c r="D339" t="inlineStr">
        <ns0:is>
          <ns0:t>RoW</ns0:t>
        </ns0:is>
      </ns0:c>
      <ns0:c r="E339" t="inlineStr">
        <ns0:is>
          <ns0:t>cubic meter</ns0:t>
        </ns0:is>
      </ns0:c>
      <ns0:c r="G339" t="inlineStr">
        <ns0:is>
          <ns0:t>technosphere</ns0:t>
        </ns0:is>
      </ns0:c>
      <ns0:c r="I339" t="n">
        <ns0:v>2</ns0:v>
      </ns0:c>
      <ns0:c r="J339" t="n">
        <ns0:v>-9.014420032519412</ns0:v>
      </ns0:c>
      <ns0:c r="K339" t="n">
        <ns0:v>0.2083266665599966</ns0:v>
      </ns0:c>
      <ns0:c r="L339" t="inlineStr">
        <ns0:is>
          <ns0:t>geometric mean of Remus et al. (2013) data range</ns0:t>
        </ns0:is>
      </ns0:c>
      <ns0:c r="M339" t="b">
        <ns0:v>1</ns0:v>
      </ns0:c>
    </ns0:row>
    <ns0:row r="340"/>
    <ns0:row r="341">
      <ns0:c r="A341" s="1" t="inlineStr">
        <ns0:is>
          <ns0:t>Activity</ns0:t>
        </ns0:is>
      </ns0:c>
      <ns0:c r="B341" s="1" t="inlineStr">
        <ns0:is>
          <ns0:t>pre-reduced vanadium pentoxide bearing magnetite production</ns0:t>
        </ns0:is>
      </ns0:c>
    </ns0:row>
    <ns0:row r="342">
      <ns0:c r="A342" t="inlineStr">
        <ns0:is>
          <ns0:t>comment</ns0:t>
        </ns0:is>
      </ns0:c>
      <ns0:c r="B342" t="inlineStr">
        <ns0:is>
          <ns0:t>Premise 2.5.4: normalized to 1 kg reference product from an output of 1.46 kg; all non-production exchanges divided by that output. Published process yields are retained. Lognormal uncertainties of changed exchanges are centered on the corrected absolute amount (loc = ln(abs(amount))); relative scale is retained. 
Original source notes: Source: Weber et al. (2018). Life cycle assessment of a vanadium redox flow battery. Environmental science &amp; technology, 52(18), 10864-10873. https://doi.org/10.1021/acs.est.8b02073Inputs and air emissions from different sources. This dataset covers different situations in the world. As mentionned in the Geography Comment, some inputs and emissions relate to Quebec data. 
No transport of iron ore because pellets are fabricated at mine, except for the Quebec situation where the pellets are not fabricated at the mine.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Geography:  Inputs relate to the global average. Emissions relate to European plants. Some inputs and emissions relate to Quebec data.
Technology:  Strate grate and grate kiln process</ns0:t>
        </ns0:is>
      </ns0:c>
    </ns0:row>
    <ns0:row r="343">
      <ns0:c r="A343" t="inlineStr">
        <ns0:is>
          <ns0:t>location</ns0:t>
        </ns0:is>
      </ns0:c>
      <ns0:c r="B343" t="inlineStr">
        <ns0:is>
          <ns0:t>ZA</ns0:t>
        </ns0:is>
      </ns0:c>
    </ns0:row>
    <ns0:row r="344">
      <ns0:c r="A344" t="inlineStr">
        <ns0:is>
          <ns0:t>reference product</ns0:t>
        </ns0:is>
      </ns0:c>
      <ns0:c r="B344" t="inlineStr">
        <ns0:is>
          <ns0:t>pre-reduced vanadium pentoxide bearing magnetite</ns0:t>
        </ns0:is>
      </ns0:c>
    </ns0:row>
    <ns0:row r="345">
      <ns0:c r="A345" t="inlineStr">
        <ns0:is>
          <ns0:t>unit</ns0:t>
        </ns0:is>
      </ns0:c>
      <ns0:c r="B345" t="inlineStr">
        <ns0:is>
          <ns0:t>kilogram</ns0:t>
        </ns0:is>
      </ns0:c>
    </ns0:row>
    <ns0:row r="346">
      <ns0:c r="A346" t="inlineStr">
        <ns0:is>
          <ns0:t>source</ns0:t>
        </ns0:is>
      </ns0:c>
      <ns0:c r="B346" t="inlineStr">
        <ns0:is>
          <ns0:t>Inventory provided by Zhang et al. (2024). Originally from Weber et al. (2018). Life cycle assessment of a vanadium redox flow battery. Environmental science &amp; technology, 52(18), 10864-10873. https://doi.org/10.1021/acs.est.8b02073</ns0:t>
        </ns0:is>
      </ns0:c>
    </ns0:row>
    <ns0:row r="347">
      <ns0:c r="A347" s="1" t="inlineStr">
        <ns0:is>
          <ns0:t>Exchanges</ns0:t>
        </ns0:is>
      </ns0:c>
    </ns0:row>
    <ns0:row r="348">
      <ns0:c r="A348" s="1" t="inlineStr">
        <ns0:is>
          <ns0:t>name</ns0:t>
        </ns0:is>
      </ns0:c>
      <ns0:c r="B348" s="1" t="inlineStr">
        <ns0:is>
          <ns0:t>amount</ns0:t>
        </ns0:is>
      </ns0:c>
      <ns0:c r="C348" s="1" t="inlineStr">
        <ns0:is>
          <ns0:t>reference product</ns0:t>
        </ns0:is>
      </ns0:c>
      <ns0:c r="D348" s="1" t="inlineStr">
        <ns0:is>
          <ns0:t>location</ns0:t>
        </ns0:is>
      </ns0:c>
      <ns0:c r="E348" s="1" t="inlineStr">
        <ns0:is>
          <ns0:t>unit</ns0:t>
        </ns0:is>
      </ns0:c>
      <ns0:c r="F348" s="1" t="inlineStr">
        <ns0:is>
          <ns0:t>categories</ns0:t>
        </ns0:is>
      </ns0:c>
      <ns0:c r="G348" s="1" t="inlineStr">
        <ns0:is>
          <ns0:t>type</ns0:t>
        </ns0:is>
      </ns0:c>
      <ns0:c r="H348" s="1" t="inlineStr">
        <ns0:is>
          <ns0:t>formula</ns0:t>
        </ns0:is>
      </ns0:c>
      <ns0:c r="I348" s="1" t="inlineStr">
        <ns0:is>
          <ns0:t>uncertainty type</ns0:t>
        </ns0:is>
      </ns0:c>
      <ns0:c r="J348" s="1" t="inlineStr">
        <ns0:is>
          <ns0:t>loc</ns0:t>
        </ns0:is>
      </ns0:c>
      <ns0:c r="K348" s="1" t="inlineStr">
        <ns0:is>
          <ns0:t>scale</ns0:t>
        </ns0:is>
      </ns0:c>
      <ns0:c r="L348" s="1" t="inlineStr">
        <ns0:is>
          <ns0:t>comment</ns0:t>
        </ns0:is>
      </ns0:c>
      <ns0:c r="M348" s="1" t="inlineStr">
        <ns0:is>
          <ns0:t>production volume</ns0:t>
        </ns0:is>
      </ns0:c>
      <ns0:c r="N348" s="1" t="inlineStr">
        <ns0:is>
          <ns0:t>negative</ns0:t>
        </ns0:is>
      </ns0:c>
    </ns0:row>
    <ns0:row r="349">
      <ns0:c r="A349" t="inlineStr">
        <ns0:is>
          <ns0:t>Arsenic ion</ns0:t>
        </ns0:is>
      </ns0:c>
      <ns0:c r="B349" t="n">
        <ns0:v>1.36986301369863e-13</ns0:v>
      </ns0:c>
      <ns0:c r="E349" t="inlineStr">
        <ns0:is>
          <ns0:t>kilogram</ns0:t>
        </ns0:is>
      </ns0:c>
      <ns0:c r="F349" t="inlineStr">
        <ns0:is>
          <ns0:t>water::surface water</ns0:t>
        </ns0:is>
      </ns0:c>
      <ns0:c r="G349" t="inlineStr">
        <ns0:is>
          <ns0:t>biosphere</ns0:t>
        </ns0:is>
      </ns0:c>
      <ns0:c r="H349" t="inlineStr">
        <ns0:is>
          <ns0:t>As+5</ns0:t>
        </ns0:is>
      </ns0:c>
      <ns0:c r="I349" t="n">
        <ns0:v>2</ns0:v>
      </ns0:c>
      <ns0:c r="J349" t="n">
        <ns0:v>-29.61889546408289</ns0:v>
      </ns0:c>
      <ns0:c r="K349" t="n">
        <ns0:v>0.8322860085331244</ns0:v>
      </ns0:c>
      <ns0:c r="L349" t="inlineStr">
        <ns0:is>
          <ns0:t>Estimation. Adapted from dataset ''iron pellet production, Quebec, 2011''.
Premise 2.5.4: Original amount 2e-13; scale 0.684931506849315.</ns0:t>
        </ns0:is>
      </ns0:c>
      <ns0:c r="N349" t="b">
        <ns0:v>0</ns0:v>
      </ns0:c>
    </ns0:row>
    <ns0:row r="350">
      <ns0:c r="A350" t="inlineStr">
        <ns0:is>
          <ns0:t>Cadmium II</ns0:t>
        </ns0:is>
      </ns0:c>
      <ns0:c r="B350" t="n">
        <ns0:v>1.438356164383562e-10</ns0:v>
      </ns0:c>
      <ns0:c r="E350" t="inlineStr">
        <ns0:is>
          <ns0:t>kilogram</ns0:t>
        </ns0:is>
      </ns0:c>
      <ns0:c r="F350" t="inlineStr">
        <ns0:is>
          <ns0:t>air</ns0:t>
        </ns0:is>
      </ns0:c>
      <ns0:c r="G350" t="inlineStr">
        <ns0:is>
          <ns0:t>biosphere</ns0:t>
        </ns0:is>
      </ns0:c>
      <ns0:c r="H350" t="inlineStr">
        <ns0:is>
          <ns0:t>Cd</ns0:t>
        </ns0:is>
      </ns0:c>
      <ns0:c r="I350" t="n">
        <ns0:v>2</ns0:v>
      </ns0:c>
      <ns0:c r="J350" t="n">
        <ns0:v>-22.66235002093132</ns0:v>
      </ns0:c>
      <ns0:c r="K350" t="n">
        <ns0:v>0.8314445261110329</ns0:v>
      </ns0:c>
      <ns0:c r="L350" t="inlineStr">
        <ns0:is>
          <ns0:t>Premise 2.5.4: Original amount 2.1e-10; scale 0.684931506849315.</ns0:t>
        </ns0:is>
      </ns0:c>
      <ns0:c r="N350" t="b">
        <ns0:v>0</ns0:v>
      </ns0:c>
    </ns0:row>
    <ns0:row r="351">
      <ns0:c r="A351" t="inlineStr">
        <ns0:is>
          <ns0:t>Cadmium II</ns0:t>
        </ns0:is>
      </ns0:c>
      <ns0:c r="B351" t="n">
        <ns0:v>2.123287671232877e-12</ns0:v>
      </ns0:c>
      <ns0:c r="E351" t="inlineStr">
        <ns0:is>
          <ns0:t>kilogram</ns0:t>
        </ns0:is>
      </ns0:c>
      <ns0:c r="F351" t="inlineStr">
        <ns0:is>
          <ns0:t>water::surface water</ns0:t>
        </ns0:is>
      </ns0:c>
      <ns0:c r="G351" t="inlineStr">
        <ns0:is>
          <ns0:t>biosphere</ns0:t>
        </ns0:is>
      </ns0:c>
      <ns0:c r="H351" t="inlineStr">
        <ns0:is>
          <ns0:t>Cd+2</ns0:t>
        </ns0:is>
      </ns0:c>
      <ns0:c r="I351" t="n">
        <ns0:v>2</ns0:v>
      </ns0:c>
      <ns0:c r="J351" t="n">
        <ns0:v>-26.87805544015769</ns0:v>
      </ns0:c>
      <ns0:c r="K351" t="n">
        <ns0:v>0.8322860085331244</ns0:v>
      </ns0:c>
      <ns0:c r="L351" t="inlineStr">
        <ns0:is>
          <ns0:t>Estimation. Adapted from dataset ''iron pellet production, Quebec, 2011''.
Premise 2.5.4: Original amount 3.1e-12; scale 0.684931506849315.</ns0:t>
        </ns0:is>
      </ns0:c>
      <ns0:c r="N351" t="b">
        <ns0:v>0</ns0:v>
      </ns0:c>
    </ns0:row>
    <ns0:row r="352">
      <ns0:c r="A352" t="inlineStr">
        <ns0:is>
          <ns0:t>Carbon dioxide, fossil</ns0:t>
        </ns0:is>
      </ns0:c>
      <ns0:c r="B352" t="n">
        <ns0:v>0.01623287671232877</ns0:v>
      </ns0:c>
      <ns0:c r="E352" t="inlineStr">
        <ns0:is>
          <ns0:t>kilogram</ns0:t>
        </ns0:is>
      </ns0:c>
      <ns0:c r="F352" t="inlineStr">
        <ns0:is>
          <ns0:t>air</ns0:t>
        </ns0:is>
      </ns0:c>
      <ns0:c r="G352" t="inlineStr">
        <ns0:is>
          <ns0:t>biosphere</ns0:t>
        </ns0:is>
      </ns0:c>
      <ns0:c r="H352" t="inlineStr">
        <ns0:is>
          <ns0:t>CO2</ns0:t>
        </ns0:is>
      </ns0:c>
      <ns0:c r="I352" t="n">
        <ns0:v>2</ns0:v>
      </ns0:c>
      <ns0:c r="J352" t="n">
        <ns0:v>-4.120716666561297</ns0:v>
      </ns0:c>
      <ns0:c r="K352" t="n">
        <ns0:v>0.2032240143290158</ns0:v>
      </ns0:c>
      <ns0:c r="L352" t="inlineStr">
        <ns0:is>
          <ns0:t>Premise 2.5.4: Original amount 0.0237; scale 0.684931506849315.</ns0:t>
        </ns0:is>
      </ns0:c>
      <ns0:c r="N352" t="b">
        <ns0:v>0</ns0:v>
      </ns0:c>
    </ns0:row>
    <ns0:row r="353">
      <ns0:c r="A353" t="inlineStr">
        <ns0:is>
          <ns0:t>Carbon monoxide, fossil</ns0:t>
        </ns0:is>
      </ns0:c>
      <ns0:c r="B353" t="n">
        <ns0:v>0.0001438356164383562</ns0:v>
      </ns0:c>
      <ns0:c r="E353" t="inlineStr">
        <ns0:is>
          <ns0:t>kilogram</ns0:t>
        </ns0:is>
      </ns0:c>
      <ns0:c r="F353" t="inlineStr">
        <ns0:is>
          <ns0:t>air</ns0:t>
        </ns0:is>
      </ns0:c>
      <ns0:c r="G353" t="inlineStr">
        <ns0:is>
          <ns0:t>biosphere</ns0:t>
        </ns0:is>
      </ns0:c>
      <ns0:c r="H353" t="inlineStr">
        <ns0:is>
          <ns0:t>CO</ns0:t>
        </ns0:is>
      </ns0:c>
      <ns0:c r="I353" t="n">
        <ns0:v>2</ns0:v>
      </ns0:c>
      <ns0:c r="J353" t="n">
        <ns0:v>-8.846839462967051</ns0:v>
      </ns0:c>
      <ns0:c r="K353" t="n">
        <ns0:v>0.8314445261110329</ns0:v>
      </ns0:c>
      <ns0:c r="L353" t="inlineStr">
        <ns0:is>
          <ns0:t>Premise 2.5.4: Original amount 0.00021; scale 0.684931506849315.</ns0:t>
        </ns0:is>
      </ns0:c>
      <ns0:c r="N353" t="b">
        <ns0:v>0</ns0:v>
      </ns0:c>
    </ns0:row>
    <ns0:row r="354">
      <ns0:c r="A354" t="inlineStr">
        <ns0:is>
          <ns0:t>Chromium III</ns0:t>
        </ns0:is>
      </ns0:c>
      <ns0:c r="B354" t="n">
        <ns0:v>1.849315068493151e-09</ns0:v>
      </ns0:c>
      <ns0:c r="E354" t="inlineStr">
        <ns0:is>
          <ns0:t>kilogram</ns0:t>
        </ns0:is>
      </ns0:c>
      <ns0:c r="F354" t="inlineStr">
        <ns0:is>
          <ns0:t>air</ns0:t>
        </ns0:is>
      </ns0:c>
      <ns0:c r="G354" t="inlineStr">
        <ns0:is>
          <ns0:t>biosphere</ns0:t>
        </ns0:is>
      </ns0:c>
      <ns0:c r="H354" t="inlineStr">
        <ns0:is>
          <ns0:t>Cr</ns0:t>
        </ns0:is>
      </ns0:c>
      <ns0:c r="I354" t="n">
        <ns0:v>2</ns0:v>
      </ns0:c>
      <ns0:c r="J354" t="n">
        <ns0:v>-20.10845049965637</ns0:v>
      </ns0:c>
      <ns0:c r="K354" t="n">
        <ns0:v>0.8314445261110329</ns0:v>
      </ns0:c>
      <ns0:c r="L354" t="inlineStr">
        <ns0:is>
          <ns0:t>Premise 2.5.4: Original amount 2.7e-09; scale 0.684931506849315.</ns0:t>
        </ns0:is>
      </ns0:c>
      <ns0:c r="N354" t="b">
        <ns0:v>0</ns0:v>
      </ns0:c>
    </ns0:row>
    <ns0:row r="355">
      <ns0:c r="A355" t="inlineStr">
        <ns0:is>
          <ns0:t>Chromium III</ns0:t>
        </ns0:is>
      </ns0:c>
      <ns0:c r="B355" t="n">
        <ns0:v>3.397260273972603e-11</ns0:v>
      </ns0:c>
      <ns0:c r="E355" t="inlineStr">
        <ns0:is>
          <ns0:t>kilogram</ns0:t>
        </ns0:is>
      </ns0:c>
      <ns0:c r="F355" t="inlineStr">
        <ns0:is>
          <ns0:t>water::surface water</ns0:t>
        </ns0:is>
      </ns0:c>
      <ns0:c r="G355" t="inlineStr">
        <ns0:is>
          <ns0:t>biosphere</ns0:t>
        </ns0:is>
      </ns0:c>
      <ns0:c r="H355" t="inlineStr">
        <ns0:is>
          <ns0:t>Cr+3</ns0:t>
        </ns0:is>
      </ns0:c>
      <ns0:c r="I355" t="n">
        <ns0:v>2</ns0:v>
      </ns0:c>
      <ns0:c r="J355" t="n">
        <ns0:v>-24.10546671791791</ns0:v>
      </ns0:c>
      <ns0:c r="K355" t="n">
        <ns0:v>0.8322860085331244</ns0:v>
      </ns0:c>
      <ns0:c r="L355" t="inlineStr">
        <ns0:is>
          <ns0:t>Estimation. Adapted from dataset ''iron pellet production, Quebec, 2011''.
Premise 2.5.4: Original amount 4.96e-11; scale 0.684931506849315.</ns0:t>
        </ns0:is>
      </ns0:c>
      <ns0:c r="N355" t="b">
        <ns0:v>0</ns0:v>
      </ns0:c>
    </ns0:row>
    <ns0:row r="356">
      <ns0:c r="A356" t="inlineStr">
        <ns0:is>
          <ns0:t>Cobalt II</ns0:t>
        </ns0:is>
      </ns0:c>
      <ns0:c r="B356" t="n">
        <ns0:v>4.246575342465753e-12</ns0:v>
      </ns0:c>
      <ns0:c r="E356" t="inlineStr">
        <ns0:is>
          <ns0:t>kilogram</ns0:t>
        </ns0:is>
      </ns0:c>
      <ns0:c r="F356" t="inlineStr">
        <ns0:is>
          <ns0:t>water::surface water</ns0:t>
        </ns0:is>
      </ns0:c>
      <ns0:c r="G356" t="inlineStr">
        <ns0:is>
          <ns0:t>biosphere</ns0:t>
        </ns0:is>
      </ns0:c>
      <ns0:c r="H356" t="inlineStr">
        <ns0:is>
          <ns0:t>Co</ns0:t>
        </ns0:is>
      </ns0:c>
      <ns0:c r="I356" t="n">
        <ns0:v>2</ns0:v>
      </ns0:c>
      <ns0:c r="J356" t="n">
        <ns0:v>-26.18490825959775</ns0:v>
      </ns0:c>
      <ns0:c r="K356" t="n">
        <ns0:v>0.8322860085331244</ns0:v>
      </ns0:c>
      <ns0:c r="L356" t="inlineStr">
        <ns0:is>
          <ns0:t>Estimation. Adapted from dataset ''iron pellet production, Quebec, 2011''.
Premise 2.5.4: Original amount 6.2e-12; scale 0.684931506849315.</ns0:t>
        </ns0:is>
      </ns0:c>
      <ns0:c r="N356" t="b">
        <ns0:v>0</ns0:v>
      </ns0:c>
    </ns0:row>
    <ns0:row r="357">
      <ns0:c r="A357" t="inlineStr">
        <ns0:is>
          <ns0:t>Copper ion</ns0:t>
        </ns0:is>
      </ns0:c>
      <ns0:c r="B357" t="n">
        <ns0:v>3.150684931506849e-09</ns0:v>
      </ns0:c>
      <ns0:c r="E357" t="inlineStr">
        <ns0:is>
          <ns0:t>kilogram</ns0:t>
        </ns0:is>
      </ns0:c>
      <ns0:c r="F357" t="inlineStr">
        <ns0:is>
          <ns0:t>air</ns0:t>
        </ns0:is>
      </ns0:c>
      <ns0:c r="G357" t="inlineStr">
        <ns0:is>
          <ns0:t>biosphere</ns0:t>
        </ns0:is>
      </ns0:c>
      <ns0:c r="H357" t="inlineStr">
        <ns0:is>
          <ns0:t>Cu</ns0:t>
        </ns0:is>
      </ns0:c>
      <ns0:c r="I357" t="n">
        <ns0:v>2</ns0:v>
      </ns0:c>
      <ns0:c r="J357" t="n">
        <ns0:v>-19.57564596917161</ns0:v>
      </ns0:c>
      <ns0:c r="K357" t="n">
        <ns0:v>0.8314445261110329</ns0:v>
      </ns0:c>
      <ns0:c r="L357" t="inlineStr">
        <ns0:is>
          <ns0:t>Premise 2.5.4: Original amount 4.6e-09; scale 0.684931506849315.</ns0:t>
        </ns0:is>
      </ns0:c>
      <ns0:c r="N357" t="b">
        <ns0:v>0</ns0:v>
      </ns0:c>
    </ns0:row>
    <ns0:row r="358">
      <ns0:c r="A358" t="inlineStr">
        <ns0:is>
          <ns0:t>Copper ion</ns0:t>
        </ns0:is>
      </ns0:c>
      <ns0:c r="B358" t="n">
        <ns0:v>4.246575342465753e-12</ns0:v>
      </ns0:c>
      <ns0:c r="E358" t="inlineStr">
        <ns0:is>
          <ns0:t>kilogram</ns0:t>
        </ns0:is>
      </ns0:c>
      <ns0:c r="F358" t="inlineStr">
        <ns0:is>
          <ns0:t>water::surface water</ns0:t>
        </ns0:is>
      </ns0:c>
      <ns0:c r="G358" t="inlineStr">
        <ns0:is>
          <ns0:t>biosphere</ns0:t>
        </ns0:is>
      </ns0:c>
      <ns0:c r="H358" t="inlineStr">
        <ns0:is>
          <ns0:t>Cu+</ns0:t>
        </ns0:is>
      </ns0:c>
      <ns0:c r="I358" t="n">
        <ns0:v>2</ns0:v>
      </ns0:c>
      <ns0:c r="J358" t="n">
        <ns0:v>-26.18490825959775</ns0:v>
      </ns0:c>
      <ns0:c r="K358" t="n">
        <ns0:v>0.8322860085331244</ns0:v>
      </ns0:c>
      <ns0:c r="L358" t="inlineStr">
        <ns0:is>
          <ns0:t>Estimation. Adapted from dataset ''iron pellet production, Quebec, 2011''.
Premise 2.5.4: Original amount 6.2e-12; scale 0.684931506849315.</ns0:t>
        </ns0:is>
      </ns0:c>
      <ns0:c r="N358" t="b">
        <ns0:v>0</ns0:v>
      </ns0:c>
    </ns0:row>
    <ns0:row r="359">
      <ns0:c r="A359" t="inlineStr">
        <ns0:is>
          <ns0:t>Dinitrogen monoxide</ns0:t>
        </ns0:is>
      </ns0:c>
      <ns0:c r="B359" t="n">
        <ns0:v>1.027397260273973e-09</ns0:v>
      </ns0:c>
      <ns0:c r="E359" t="inlineStr">
        <ns0:is>
          <ns0:t>kilogram</ns0:t>
        </ns0:is>
      </ns0:c>
      <ns0:c r="F359" t="inlineStr">
        <ns0:is>
          <ns0:t>air::non-urban air or from high stacks</ns0:t>
        </ns0:is>
      </ns0:c>
      <ns0:c r="G359" t="inlineStr">
        <ns0:is>
          <ns0:t>biosphere</ns0:t>
        </ns0:is>
      </ns0:c>
      <ns0:c r="H359" t="inlineStr">
        <ns0:is>
          <ns0:t>N2O</ns0:t>
        </ns0:is>
      </ns0:c>
      <ns0:c r="I359" t="n">
        <ns0:v>2</ns0:v>
      </ns0:c>
      <ns0:c r="J359" t="n">
        <ns0:v>-20.69623716455849</ns0:v>
      </ns0:c>
      <ns0:c r="K359" t="n">
        <ns0:v>0.2875760768909681</ns0:v>
      </ns0:c>
      <ns0:c r="L359" t="inlineStr">
        <ns0:is>
          <ns0:t>Estimation. Adapted from dataset ''iron pellet production, Quebec, 2011''.
Premise 2.5.4: Original amount 1.5e-09; scale 0.684931506849315.</ns0:t>
        </ns0:is>
      </ns0:c>
      <ns0:c r="N359" t="b">
        <ns0:v>0</ns0:v>
      </ns0:c>
    </ns0:row>
    <ns0:row r="360">
      <ns0:c r="A360" t="inlineStr">
        <ns0:is>
          <ns0:t>Dioxins, measured as 2,3,7,8-tetrachlorodibenzo-p-dioxin</ns0:t>
        </ns0:is>
      </ns0:c>
      <ns0:c r="B360" t="n">
        <ns0:v>3.904109589041096e-15</ns0:v>
      </ns0:c>
      <ns0:c r="E360" t="inlineStr">
        <ns0:is>
          <ns0:t>kilogram</ns0:t>
        </ns0:is>
      </ns0:c>
      <ns0:c r="F360" t="inlineStr">
        <ns0:is>
          <ns0:t>air</ns0:t>
        </ns0:is>
      </ns0:c>
      <ns0:c r="G360" t="inlineStr">
        <ns0:is>
          <ns0:t>biosphere</ns0:t>
        </ns0:is>
      </ns0:c>
      <ns0:c r="H360" t="inlineStr">
        <ns0:is>
          <ns0:t>C12H4Cl4O2</ns0:t>
        </ns0:is>
      </ns0:c>
      <ns0:c r="I360" t="n">
        <ns0:v>2</ns0:v>
      </ns0:c>
      <ns0:c r="J360" t="n">
        <ns0:v>-33.17674665579042</ns0:v>
      </ns0:c>
      <ns0:c r="K360" t="n">
        <ns0:v>0.5842088667591412</ns0:v>
      </ns0:c>
      <ns0:c r="L360" t="inlineStr">
        <ns0:is>
          <ns0:t>Premise 2.5.4: Original amount 5.7e-15; scale 0.684931506849315.</ns0:t>
        </ns0:is>
      </ns0:c>
      <ns0:c r="N360" t="b">
        <ns0:v>0</ns0:v>
      </ns0:c>
    </ns0:row>
    <ns0:row r="361">
      <ns0:c r="A361" t="inlineStr">
        <ns0:is>
          <ns0:t>Hydrocarbons, aliphatic, alkanes, unspecified</ns0:t>
        </ns0:is>
      </ns0:c>
      <ns0:c r="B361" t="n">
        <ns0:v>1.541095890410959e-05</ns0:v>
      </ns0:c>
      <ns0:c r="E361" t="inlineStr">
        <ns0:is>
          <ns0:t>kilogram</ns0:t>
        </ns0:is>
      </ns0:c>
      <ns0:c r="F361" t="inlineStr">
        <ns0:is>
          <ns0:t>air</ns0:t>
        </ns0:is>
      </ns0:c>
      <ns0:c r="G361" t="inlineStr">
        <ns0:is>
          <ns0:t>biosphere</ns0:t>
        </ns0:is>
      </ns0:c>
      <ns0:c r="I361" t="n">
        <ns0:v>2</ns0:v>
      </ns0:c>
      <ns0:c r="J361" t="n">
        <ns0:v>-11.08043168447414</ns0:v>
      </ns0:c>
      <ns0:c r="K361" t="n">
        <ns0:v>0.285131548587665</ns0:v>
      </ns0:c>
      <ns0:c r="L361" t="inlineStr">
        <ns0:is>
          <ns0:t>Premise 2.5.4: Original amount 2.25e-05; scale 0.684931506849315.</ns0:t>
        </ns0:is>
      </ns0:c>
      <ns0:c r="N361" t="b">
        <ns0:v>0</ns0:v>
      </ns0:c>
    </ns0:row>
    <ns0:row r="362">
      <ns0:c r="A362" t="inlineStr">
        <ns0:is>
          <ns0:t>Hydrochloric acid</ns0:t>
        </ns0:is>
      </ns0:c>
      <ns0:c r="B362" t="n">
        <ns0:v>1.712328767123288e-05</ns0:v>
      </ns0:c>
      <ns0:c r="E362" t="inlineStr">
        <ns0:is>
          <ns0:t>kilogram</ns0:t>
        </ns0:is>
      </ns0:c>
      <ns0:c r="F362" t="inlineStr">
        <ns0:is>
          <ns0:t>air</ns0:t>
        </ns0:is>
      </ns0:c>
      <ns0:c r="G362" t="inlineStr">
        <ns0:is>
          <ns0:t>biosphere</ns0:t>
        </ns0:is>
      </ns0:c>
      <ns0:c r="H362" t="inlineStr">
        <ns0:is>
          <ns0:t>ClH</ns0:t>
        </ns0:is>
      </ns0:c>
      <ns0:c r="I362" t="n">
        <ns0:v>2</ns0:v>
      </ns0:c>
      <ns0:c r="J362" t="n">
        <ns0:v>-10.97507116881632</ns0:v>
      </ns0:c>
      <ns0:c r="K362" t="n">
        <ns0:v>0.285131548587665</ns0:v>
      </ns0:c>
      <ns0:c r="L362" t="inlineStr">
        <ns0:is>
          <ns0:t>Premise 2.5.4: Original amount 2.5e-05; scale 0.684931506849315.</ns0:t>
        </ns0:is>
      </ns0:c>
      <ns0:c r="N362" t="b">
        <ns0:v>0</ns0:v>
      </ns0:c>
    </ns0:row>
    <ns0:row r="363">
      <ns0:c r="A363" t="inlineStr">
        <ns0:is>
          <ns0:t>Hydrogen fluoride</ns0:t>
        </ns0:is>
      </ns0:c>
      <ns0:c r="B363" t="n">
        <ns0:v>1.363013698630137e-05</ns0:v>
      </ns0:c>
      <ns0:c r="E363" t="inlineStr">
        <ns0:is>
          <ns0:t>kilogram</ns0:t>
        </ns0:is>
      </ns0:c>
      <ns0:c r="F363" t="inlineStr">
        <ns0:is>
          <ns0:t>air</ns0:t>
        </ns0:is>
      </ns0:c>
      <ns0:c r="G363" t="inlineStr">
        <ns0:is>
          <ns0:t>biosphere</ns0:t>
        </ns0:is>
      </ns0:c>
      <ns0:c r="H363" t="inlineStr">
        <ns0:is>
          <ns0:t>FH</ns0:t>
        </ns0:is>
      </ns0:c>
      <ns0:c r="I363" t="n">
        <ns0:v>2</ns0:v>
      </ns0:c>
      <ns0:c r="J363" t="n">
        <ns0:v>-11.20322726195407</ns0:v>
      </ns0:c>
      <ns0:c r="K363" t="n">
        <ns0:v>0.285131548587665</ns0:v>
      </ns0:c>
      <ns0:c r="L363" t="inlineStr">
        <ns0:is>
          <ns0:t>Premise 2.5.4: Original amount 1.99e-05; scale 0.684931506849315.</ns0:t>
        </ns0:is>
      </ns0:c>
      <ns0:c r="N363" t="b">
        <ns0:v>0</ns0:v>
      </ns0:c>
    </ns0:row>
    <ns0:row r="364">
      <ns0:c r="A364" t="inlineStr">
        <ns0:is>
          <ns0:t>Hydrogen fluoride</ns0:t>
        </ns0:is>
      </ns0:c>
      <ns0:c r="B364" t="n">
        <ns0:v>1.776916595399534e-07</ns0:v>
      </ns0:c>
      <ns0:c r="E364" t="inlineStr">
        <ns0:is>
          <ns0:t>kilogram</ns0:t>
        </ns0:is>
      </ns0:c>
      <ns0:c r="F364" t="inlineStr">
        <ns0:is>
          <ns0:t>air::non-urban air or from high stacks</ns0:t>
        </ns0:is>
      </ns0:c>
      <ns0:c r="G364" t="inlineStr">
        <ns0:is>
          <ns0:t>biosphere</ns0:t>
        </ns0:is>
      </ns0:c>
      <ns0:c r="H364" t="inlineStr">
        <ns0:is>
          <ns0:t>FH</ns0:t>
        </ns0:is>
      </ns0:c>
      <ns0:c r="I364" t="n">
        <ns0:v>2</ns0:v>
      </ns0:c>
      <ns0:c r="J364" t="n">
        <ns0:v>-15.54321603850941</ns0:v>
      </ns0:c>
      <ns0:c r="K364" t="n">
        <ns0:v>0.29</ns0:v>
      </ns0:c>
      <ns0:c r="L364" t="inlineStr">
        <ns0:is>
          <ns0:t>Estimation. Adapted from dataset ''iron pellet production, Quebec, 2011''.
Premise 2.5.4: Original amount 2.59429822928332e-07; scale 0.684931506849315.</ns0:t>
        </ns0:is>
      </ns0:c>
      <ns0:c r="N364" t="b">
        <ns0:v>0</ns0:v>
      </ns0:c>
    </ns0:row>
    <ns0:row r="365">
      <ns0:c r="A365" t="inlineStr">
        <ns0:is>
          <ns0:t>Iron ion</ns0:t>
        </ns0:is>
      </ns0:c>
      <ns0:c r="B365" t="n">
        <ns0:v>4.524880569693466e-09</ns0:v>
      </ns0:c>
      <ns0:c r="E365" t="inlineStr">
        <ns0:is>
          <ns0:t>kilogram</ns0:t>
        </ns0:is>
      </ns0:c>
      <ns0:c r="F365" t="inlineStr">
        <ns0:is>
          <ns0:t>water::surface water</ns0:t>
        </ns0:is>
      </ns0:c>
      <ns0:c r="G365" t="inlineStr">
        <ns0:is>
          <ns0:t>biosphere</ns0:t>
        </ns0:is>
      </ns0:c>
      <ns0:c r="H365" t="inlineStr">
        <ns0:is>
          <ns0:t>Fe+2</ns0:t>
        </ns0:is>
      </ns0:c>
      <ns0:c r="I365" t="n">
        <ns0:v>2</ns0:v>
      </ns0:c>
      <ns0:c r="J365" t="n">
        <ns0:v>-19.21367465358074</ns0:v>
      </ns0:c>
      <ns0:c r="K365" t="n">
        <ns0:v>0.8322860085331244</ns0:v>
      </ns0:c>
      <ns0:c r="L365" t="inlineStr">
        <ns0:is>
          <ns0:t>Estimation. Adapted from dataset ''iron pellet production, Quebec, 2011''.
Premise 2.5.4: Original amount 6.60632563175246e-09; scale 0.684931506849315.</ns0:t>
        </ns0:is>
      </ns0:c>
      <ns0:c r="N365" t="b">
        <ns0:v>0</ns0:v>
      </ns0:c>
    </ns0:row>
    <ns0:row r="366">
      <ns0:c r="A366" t="inlineStr">
        <ns0:is>
          <ns0:t>Lead II</ns0:t>
        </ns0:is>
      </ns0:c>
      <ns0:c r="B366" t="n">
        <ns0:v>4.554794520547946e-08</ns0:v>
      </ns0:c>
      <ns0:c r="E366" t="inlineStr">
        <ns0:is>
          <ns0:t>kilogram</ns0:t>
        </ns0:is>
      </ns0:c>
      <ns0:c r="F366" t="inlineStr">
        <ns0:is>
          <ns0:t>air</ns0:t>
        </ns0:is>
      </ns0:c>
      <ns0:c r="G366" t="inlineStr">
        <ns0:is>
          <ns0:t>biosphere</ns0:t>
        </ns0:is>
      </ns0:c>
      <ns0:c r="H366" t="inlineStr">
        <ns0:is>
          <ns0:t>Pb</ns0:t>
        </ns0:is>
      </ns0:c>
      <ns0:c r="I366" t="n">
        <ns0:v>2</ns0:v>
      </ns0:c>
      <ns0:c r="J366" t="n">
        <ns0:v>-16.90450032500485</ns0:v>
      </ns0:c>
      <ns0:c r="K366" t="n">
        <ns0:v>0.8314445261110329</ns0:v>
      </ns0:c>
      <ns0:c r="L366" t="inlineStr">
        <ns0:is>
          <ns0:t>Premise 2.5.4: Original amount 6.650000000000001e-08; scale 0.684931506849315.</ns0:t>
        </ns0:is>
      </ns0:c>
      <ns0:c r="N366" t="b">
        <ns0:v>0</ns0:v>
      </ns0:c>
    </ns0:row>
    <ns0:row r="367">
      <ns0:c r="A367" t="inlineStr">
        <ns0:is>
          <ns0:t>Lead II</ns0:t>
        </ns0:is>
      </ns0:c>
      <ns0:c r="B367" t="n">
        <ns0:v>2.380067158063322e-12</ns0:v>
      </ns0:c>
      <ns0:c r="E367" t="inlineStr">
        <ns0:is>
          <ns0:t>kilogram</ns0:t>
        </ns0:is>
      </ns0:c>
      <ns0:c r="F367" t="inlineStr">
        <ns0:is>
          <ns0:t>water::surface water</ns0:t>
        </ns0:is>
      </ns0:c>
      <ns0:c r="G367" t="inlineStr">
        <ns0:is>
          <ns0:t>biosphere</ns0:t>
        </ns0:is>
      </ns0:c>
      <ns0:c r="H367" t="inlineStr">
        <ns0:is>
          <ns0:t>Pb</ns0:t>
        </ns0:is>
      </ns0:c>
      <ns0:c r="I367" t="n">
        <ns0:v>2</ns0:v>
      </ns0:c>
      <ns0:c r="J367" t="n">
        <ns0:v>-26.76389241096961</ns0:v>
      </ns0:c>
      <ns0:c r="K367" t="n">
        <ns0:v>0.8322860085331244</ns0:v>
      </ns0:c>
      <ns0:c r="L367" t="inlineStr">
        <ns0:is>
          <ns0:t>Estimation. Adapted from dataset ''iron pellet production, Quebec, 2011''.
Premise 2.5.4: Original amount 3.47489805077245e-12; scale 0.684931506849315.</ns0:t>
        </ns0:is>
      </ns0:c>
      <ns0:c r="N367" t="b">
        <ns0:v>0</ns0:v>
      </ns0:c>
    </ns0:row>
    <ns0:row r="368">
      <ns0:c r="A368" t="inlineStr">
        <ns0:is>
          <ns0:t>Manganese II</ns0:t>
        </ns0:is>
      </ns0:c>
      <ns0:c r="B368" t="n">
        <ns0:v>1.273972602739726e-09</ns0:v>
      </ns0:c>
      <ns0:c r="E368" t="inlineStr">
        <ns0:is>
          <ns0:t>kilogram</ns0:t>
        </ns0:is>
      </ns0:c>
      <ns0:c r="F368" t="inlineStr">
        <ns0:is>
          <ns0:t>water::surface water</ns0:t>
        </ns0:is>
      </ns0:c>
      <ns0:c r="G368" t="inlineStr">
        <ns0:is>
          <ns0:t>biosphere</ns0:t>
        </ns0:is>
      </ns0:c>
      <ns0:c r="H368" t="inlineStr">
        <ns0:is>
          <ns0:t>Mn</ns0:t>
        </ns0:is>
      </ns0:c>
      <ns0:c r="I368" t="n">
        <ns0:v>2</ns0:v>
      </ns0:c>
      <ns0:c r="J368" t="n">
        <ns0:v>-20.48112578494155</ns0:v>
      </ns0:c>
      <ns0:c r="K368" t="n">
        <ns0:v>0.8322860085331244</ns0:v>
      </ns0:c>
      <ns0:c r="L368" t="inlineStr">
        <ns0:is>
          <ns0:t>Estimation. Adapted from dataset ''iron pellet production, Quebec, 2011''.
Premise 2.5.4: Original amount 1.86e-09; scale 0.684931506849315.</ns0:t>
        </ns0:is>
      </ns0:c>
      <ns0:c r="N368" t="b">
        <ns0:v>0</ns0:v>
      </ns0:c>
    </ns0:row>
    <ns0:row r="369">
      <ns0:c r="A369" t="inlineStr">
        <ns0:is>
          <ns0:t>Manganese II</ns0:t>
        </ns0:is>
      </ns0:c>
      <ns0:c r="B369" t="n">
        <ns0:v>1.575342465753424e-08</ns0:v>
      </ns0:c>
      <ns0:c r="E369" t="inlineStr">
        <ns0:is>
          <ns0:t>kilogram</ns0:t>
        </ns0:is>
      </ns0:c>
      <ns0:c r="F369" t="inlineStr">
        <ns0:is>
          <ns0:t>air</ns0:t>
        </ns0:is>
      </ns0:c>
      <ns0:c r="G369" t="inlineStr">
        <ns0:is>
          <ns0:t>biosphere</ns0:t>
        </ns0:is>
      </ns0:c>
      <ns0:c r="H369" t="inlineStr">
        <ns0:is>
          <ns0:t>Mn</ns0:t>
        </ns0:is>
      </ns0:c>
      <ns0:c r="I369" t="n">
        <ns0:v>2</ns0:v>
      </ns0:c>
      <ns0:c r="J369" t="n">
        <ns0:v>-17.96620805673751</ns0:v>
      </ns0:c>
      <ns0:c r="K369" t="n">
        <ns0:v>0.8314445261110329</ns0:v>
      </ns0:c>
      <ns0:c r="L369" t="inlineStr">
        <ns0:is>
          <ns0:t>Premise 2.5.4: Original amount 2.3e-08; scale 0.684931506849315.</ns0:t>
        </ns0:is>
      </ns0:c>
      <ns0:c r="N369" t="b">
        <ns0:v>0</ns0:v>
      </ns0:c>
    </ns0:row>
    <ns0:row r="370">
      <ns0:c r="A370" t="inlineStr">
        <ns0:is>
          <ns0:t>Mercury II</ns0:t>
        </ns0:is>
      </ns0:c>
      <ns0:c r="B370" t="n">
        <ns0:v>3.79158963666239e-11</ns0:v>
      </ns0:c>
      <ns0:c r="E370" t="inlineStr">
        <ns0:is>
          <ns0:t>kilogram</ns0:t>
        </ns0:is>
      </ns0:c>
      <ns0:c r="F370" t="inlineStr">
        <ns0:is>
          <ns0:t>air::non-urban air or from high stacks</ns0:t>
        </ns0:is>
      </ns0:c>
      <ns0:c r="G370" t="inlineStr">
        <ns0:is>
          <ns0:t>biosphere</ns0:t>
        </ns0:is>
      </ns0:c>
      <ns0:c r="H370" t="inlineStr">
        <ns0:is>
          <ns0:t>Hg</ns0:t>
        </ns0:is>
      </ns0:c>
      <ns0:c r="I370" t="n">
        <ns0:v>2</ns0:v>
      </ns0:c>
      <ns0:c r="J370" t="n">
        <ns0:v>-23.99565066257749</ns0:v>
      </ns0:c>
      <ns0:c r="K370" t="n">
        <ns0:v>0.8331266410336426</ns0:v>
      </ns0:c>
      <ns0:c r="L370" t="inlineStr">
        <ns0:is>
          <ns0:t>Estimation. Adapted from dataset ''iron pellet production, Quebec, 2011''.
Premise 2.5.4: Original amount 5.53572086952709e-11; scale 0.684931506849315.</ns0:t>
        </ns0:is>
      </ns0:c>
      <ns0:c r="N370" t="b">
        <ns0:v>0</ns0:v>
      </ns0:c>
    </ns0:row>
    <ns0:row r="371">
      <ns0:c r="A371" t="inlineStr">
        <ns0:is>
          <ns0:t>Mercury II</ns0:t>
        </ns0:is>
      </ns0:c>
      <ns0:c r="B371" t="n">
        <ns0:v>1.712328767123288e-10</ns0:v>
      </ns0:c>
      <ns0:c r="E371" t="inlineStr">
        <ns0:is>
          <ns0:t>kilogram</ns0:t>
        </ns0:is>
      </ns0:c>
      <ns0:c r="F371" t="inlineStr">
        <ns0:is>
          <ns0:t>air</ns0:t>
        </ns0:is>
      </ns0:c>
      <ns0:c r="G371" t="inlineStr">
        <ns0:is>
          <ns0:t>biosphere</ns0:t>
        </ns0:is>
      </ns0:c>
      <ns0:c r="H371" t="inlineStr">
        <ns0:is>
          <ns0:t>Hg</ns0:t>
        </ns0:is>
      </ns0:c>
      <ns0:c r="I371" t="n">
        <ns0:v>2</ns0:v>
      </ns0:c>
      <ns0:c r="J371" t="n">
        <ns0:v>-22.48799663378655</ns0:v>
      </ns0:c>
      <ns0:c r="K371" t="n">
        <ns0:v>0.8314445261110329</ns0:v>
      </ns0:c>
      <ns0:c r="L371" t="inlineStr">
        <ns0:is>
          <ns0:t>Premise 2.5.4: Original amount 2.5e-10; scale 0.684931506849315.</ns0:t>
        </ns0:is>
      </ns0:c>
      <ns0:c r="N371" t="b">
        <ns0:v>0</ns0:v>
      </ns0:c>
    </ns0:row>
    <ns0:row r="372">
      <ns0:c r="A372" t="inlineStr">
        <ns0:is>
          <ns0:t>Mercury II</ns0:t>
        </ns0:is>
      </ns0:c>
      <ns0:c r="B372" t="n">
        <ns0:v>3.09333649565328e-13</ns0:v>
      </ns0:c>
      <ns0:c r="E372" t="inlineStr">
        <ns0:is>
          <ns0:t>kilogram</ns0:t>
        </ns0:is>
      </ns0:c>
      <ns0:c r="F372" t="inlineStr">
        <ns0:is>
          <ns0:t>water::surface water</ns0:t>
        </ns0:is>
      </ns0:c>
      <ns0:c r="G372" t="inlineStr">
        <ns0:is>
          <ns0:t>biosphere</ns0:t>
        </ns0:is>
      </ns0:c>
      <ns0:c r="H372" t="inlineStr">
        <ns0:is>
          <ns0:t>Hg</ns0:t>
        </ns0:is>
      </ns0:c>
      <ns0:c r="I372" t="n">
        <ns0:v>2</ns0:v>
      </ns0:c>
      <ns0:c r="J372" t="n">
        <ns0:v>-28.80435592849141</ns0:v>
      </ns0:c>
      <ns0:c r="K372" t="n">
        <ns0:v>0.8322860085331244</ns0:v>
      </ns0:c>
      <ns0:c r="L372" t="inlineStr">
        <ns0:is>
          <ns0:t>Estimation. Adapted from dataset ''iron pellet production, Quebec, 2011''.
Premise 2.5.4: Original amount 4.51627128365379e-13; scale 0.684931506849315.</ns0:t>
        </ns0:is>
      </ns0:c>
      <ns0:c r="N372" t="b">
        <ns0:v>0</ns0:v>
      </ns0:c>
    </ns0:row>
    <ns0:row r="373">
      <ns0:c r="A373" t="inlineStr">
        <ns0:is>
          <ns0:t>Methane, fossil</ns0:t>
        </ns0:is>
      </ns0:c>
      <ns0:c r="B373" t="n">
        <ns0:v>2.340023967181082e-11</ns0:v>
      </ns0:c>
      <ns0:c r="E373" t="inlineStr">
        <ns0:is>
          <ns0:t>kilogram</ns0:t>
        </ns0:is>
      </ns0:c>
      <ns0:c r="F373" t="inlineStr">
        <ns0:is>
          <ns0:t>air::non-urban air or from high stacks</ns0:t>
        </ns0:is>
      </ns0:c>
      <ns0:c r="G373" t="inlineStr">
        <ns0:is>
          <ns0:t>biosphere</ns0:t>
        </ns0:is>
      </ns0:c>
      <ns0:c r="H373" t="inlineStr">
        <ns0:is>
          <ns0:t>CH4</ns0:t>
        </ns0:is>
      </ns0:c>
      <ns0:c r="I373" t="n">
        <ns0:v>2</ns0:v>
      </ns0:c>
      <ns0:c r="J373" t="n">
        <ns0:v>-24.47827485123227</ns0:v>
      </ns0:c>
      <ns0:c r="K373" t="n">
        <ns0:v>0.2875760768909681</ns0:v>
      </ns0:c>
      <ns0:c r="L373" t="inlineStr">
        <ns0:is>
          <ns0:t>Estimation. Adapted from dataset ''iron pellet production, Quebec, 2011''.
Premise 2.5.4: Original amount 3.41643499208438e-11; scale 0.684931506849315.</ns0:t>
        </ns0:is>
      </ns0:c>
      <ns0:c r="N373" t="b">
        <ns0:v>0</ns0:v>
      </ns0:c>
    </ns0:row>
    <ns0:row r="374">
      <ns0:c r="A374" t="inlineStr">
        <ns0:is>
          <ns0:t>NMVOC, non-methane volatile organic compounds</ns0:t>
        </ns0:is>
      </ns0:c>
      <ns0:c r="B374" t="n">
        <ns0:v>2.876712328767123e-11</ns0:v>
      </ns0:c>
      <ns0:c r="E374" t="inlineStr">
        <ns0:is>
          <ns0:t>kilogram</ns0:t>
        </ns0:is>
      </ns0:c>
      <ns0:c r="F374" t="inlineStr">
        <ns0:is>
          <ns0:t>air::non-urban air or from high stacks</ns0:t>
        </ns0:is>
      </ns0:c>
      <ns0:c r="G374" t="inlineStr">
        <ns0:is>
          <ns0:t>biosphere</ns0:t>
        </ns0:is>
      </ns0:c>
      <ns0:c r="I374" t="n">
        <ns0:v>2</ns0:v>
      </ns0:c>
      <ns0:c r="J374" t="n">
        <ns0:v>-24.27178793336542</ns0:v>
      </ns0:c>
      <ns0:c r="K374" t="n">
        <ns0:v>0.2875760768909681</ns0:v>
      </ns0:c>
      <ns0:c r="L374" t="inlineStr">
        <ns0:is>
          <ns0:t>Estimation. Adapted from dataset ''iron pellet production, Quebec, 2011''.
Premise 2.5.4: Original amount 4.2e-11; scale 0.684931506849315.</ns0:t>
        </ns0:is>
      </ns0:c>
      <ns0:c r="N374" t="b">
        <ns0:v>0</ns0:v>
      </ns0:c>
    </ns0:row>
    <ns0:row r="375">
      <ns0:c r="A375" t="inlineStr">
        <ns0:is>
          <ns0:t>Nickel II</ns0:t>
        </ns0:is>
      </ns0:c>
      <ns0:c r="B375" t="n">
        <ns0:v>1.027397260273972e-08</ns0:v>
      </ns0:c>
      <ns0:c r="E375" t="inlineStr">
        <ns0:is>
          <ns0:t>kilogram</ns0:t>
        </ns0:is>
      </ns0:c>
      <ns0:c r="F375" t="inlineStr">
        <ns0:is>
          <ns0:t>air</ns0:t>
        </ns0:is>
      </ns0:c>
      <ns0:c r="G375" t="inlineStr">
        <ns0:is>
          <ns0:t>biosphere</ns0:t>
        </ns0:is>
      </ns0:c>
      <ns0:c r="H375" t="inlineStr">
        <ns0:is>
          <ns0:t>Ni</ns0:t>
        </ns0:is>
      </ns0:c>
      <ns0:c r="I375" t="n">
        <ns0:v>2</ns0:v>
      </ns0:c>
      <ns0:c r="J375" t="n">
        <ns0:v>-18.39365207156445</ns0:v>
      </ns0:c>
      <ns0:c r="K375" t="n">
        <ns0:v>0.8314445261110329</ns0:v>
      </ns0:c>
      <ns0:c r="L375" t="inlineStr">
        <ns0:is>
          <ns0:t>Premise 2.5.4: Original amount 1.5e-08; scale 0.684931506849315.</ns0:t>
        </ns0:is>
      </ns0:c>
      <ns0:c r="N375" t="b">
        <ns0:v>0</ns0:v>
      </ns0:c>
    </ns0:row>
    <ns0:row r="376">
      <ns0:c r="A376" t="inlineStr">
        <ns0:is>
          <ns0:t>Nickel II</ns0:t>
        </ns0:is>
      </ns0:c>
      <ns0:c r="B376" t="n">
        <ns0:v>2.380067158063322e-12</ns0:v>
      </ns0:c>
      <ns0:c r="E376" t="inlineStr">
        <ns0:is>
          <ns0:t>kilogram</ns0:t>
        </ns0:is>
      </ns0:c>
      <ns0:c r="F376" t="inlineStr">
        <ns0:is>
          <ns0:t>water::surface water</ns0:t>
        </ns0:is>
      </ns0:c>
      <ns0:c r="G376" t="inlineStr">
        <ns0:is>
          <ns0:t>biosphere</ns0:t>
        </ns0:is>
      </ns0:c>
      <ns0:c r="H376" t="inlineStr">
        <ns0:is>
          <ns0:t>Ni+2</ns0:t>
        </ns0:is>
      </ns0:c>
      <ns0:c r="I376" t="n">
        <ns0:v>2</ns0:v>
      </ns0:c>
      <ns0:c r="J376" t="n">
        <ns0:v>-26.76389241096961</ns0:v>
      </ns0:c>
      <ns0:c r="K376" t="n">
        <ns0:v>0.8322860085331244</ns0:v>
      </ns0:c>
      <ns0:c r="L376" t="inlineStr">
        <ns0:is>
          <ns0:t>Estimation. Adapted from dataset ''iron pellet production, Quebec, 2011''.
Premise 2.5.4: Original amount 3.47489805077245e-12; scale 0.684931506849315.</ns0:t>
        </ns0:is>
      </ns0:c>
      <ns0:c r="N376" t="b">
        <ns0:v>0</ns0:v>
      </ns0:c>
    </ns0:row>
    <ns0:row r="377">
      <ns0:c r="A377" t="inlineStr">
        <ns0:is>
          <ns0:t>Nitrate</ns0:t>
        </ns0:is>
      </ns0:c>
      <ns0:c r="B377" t="n">
        <ns0:v>4.378472653030267e-09</ns0:v>
      </ns0:c>
      <ns0:c r="E377" t="inlineStr">
        <ns0:is>
          <ns0:t>kilogram</ns0:t>
        </ns0:is>
      </ns0:c>
      <ns0:c r="F377" t="inlineStr">
        <ns0:is>
          <ns0:t>water::surface water</ns0:t>
        </ns0:is>
      </ns0:c>
      <ns0:c r="G377" t="inlineStr">
        <ns0:is>
          <ns0:t>biosphere</ns0:t>
        </ns0:is>
      </ns0:c>
      <ns0:c r="H377" t="inlineStr">
        <ns0:is>
          <ns0:t>NO3-</ns0:t>
        </ns0:is>
      </ns0:c>
      <ns0:c r="I377" t="n">
        <ns0:v>2</ns0:v>
      </ns0:c>
      <ns0:c r="J377" t="n">
        <ns0:v>-19.24656588272512</ns0:v>
      </ns0:c>
      <ns0:c r="K377" t="n">
        <ns0:v>0.2875760768909681</ns0:v>
      </ns0:c>
      <ns0:c r="L377" t="inlineStr">
        <ns0:is>
          <ns0:t>Estimation. Adapted from dataset ''iron pellet production, Quebec, 2011''.
Premise 2.5.4: Original amount 6.39257007342419e-09; scale 0.684931506849315.</ns0:t>
        </ns0:is>
      </ns0:c>
      <ns0:c r="N377" t="b">
        <ns0:v>0</ns0:v>
      </ns0:c>
    </ns0:row>
    <ns0:row r="378">
      <ns0:c r="A378" t="inlineStr">
        <ns0:is>
          <ns0:t>Nitrogen oxides</ns0:t>
        </ns0:is>
      </ns0:c>
      <ns0:c r="B378" t="n">
        <ns0:v>0.0002157534246575342</ns0:v>
      </ns0:c>
      <ns0:c r="E378" t="inlineStr">
        <ns0:is>
          <ns0:t>kilogram</ns0:t>
        </ns0:is>
      </ns0:c>
      <ns0:c r="F378" t="inlineStr">
        <ns0:is>
          <ns0:t>air</ns0:t>
        </ns0:is>
      </ns0:c>
      <ns0:c r="G378" t="inlineStr">
        <ns0:is>
          <ns0:t>biosphere</ns0:t>
        </ns0:is>
      </ns0:c>
      <ns0:c r="H378" t="inlineStr">
        <ns0:is>
          <ns0:t>H3NO</ns0:t>
        </ns0:is>
      </ns0:c>
      <ns0:c r="I378" t="n">
        <ns0:v>2</ns0:v>
      </ns0:c>
      <ns0:c r="J378" t="n">
        <ns0:v>-8.441374354858887</ns0:v>
      </ns0:c>
      <ns0:c r="K378" t="n">
        <ns0:v>0.285131548587665</ns0:v>
      </ns0:c>
      <ns0:c r="L378" t="inlineStr">
        <ns0:is>
          <ns0:t>Premise 2.5.4: Original amount 0.000315; scale 0.684931506849315.</ns0:t>
        </ns0:is>
      </ns0:c>
      <ns0:c r="N378" t="b">
        <ns0:v>0</ns0:v>
      </ns0:c>
    </ns0:row>
    <ns0:row r="379">
      <ns0:c r="A379" t="inlineStr">
        <ns0:is>
          <ns0:t>Nitrogen oxides</ns0:t>
        </ns0:is>
      </ns0:c>
      <ns0:c r="B379" t="n">
        <ns0:v>7.535627984152123e-08</ns0:v>
      </ns0:c>
      <ns0:c r="E379" t="inlineStr">
        <ns0:is>
          <ns0:t>kilogram</ns0:t>
        </ns0:is>
      </ns0:c>
      <ns0:c r="F379" t="inlineStr">
        <ns0:is>
          <ns0:t>air::non-urban air or from high stacks</ns0:t>
        </ns0:is>
      </ns0:c>
      <ns0:c r="G379" t="inlineStr">
        <ns0:is>
          <ns0:t>biosphere</ns0:t>
        </ns0:is>
      </ns0:c>
      <ns0:c r="H379" t="inlineStr">
        <ns0:is>
          <ns0:t>H3NO</ns0:t>
        </ns0:is>
      </ns0:c>
      <ns0:c r="I379" t="n">
        <ns0:v>2</ns0:v>
      </ns0:c>
      <ns0:c r="J379" t="n">
        <ns0:v>-16.40103857305708</ns0:v>
      </ns0:c>
      <ns0:c r="K379" t="n">
        <ns0:v>0.2875760768909681</ns0:v>
      </ns0:c>
      <ns0:c r="L379" t="inlineStr">
        <ns0:is>
          <ns0:t>Estimation. Adapted from dataset ''iron pellet production, Quebec, 2011''.
Premise 2.5.4: Original amount 1.10020168568621e-07; scale 0.684931506849315.</ns0:t>
        </ns0:is>
      </ns0:c>
      <ns0:c r="N379" t="b">
        <ns0:v>0</ns0:v>
      </ns0:c>
    </ns0:row>
    <ns0:row r="380">
      <ns0:c r="A380" t="inlineStr">
        <ns0:is>
          <ns0:t>PAH, polycyclic aromatic hydrocarbons</ns0:t>
        </ns0:is>
      </ns0:c>
      <ns0:c r="B380" t="n">
        <ns0:v>1.301369863013698e-10</ns0:v>
      </ns0:c>
      <ns0:c r="E380" t="inlineStr">
        <ns0:is>
          <ns0:t>kilogram</ns0:t>
        </ns0:is>
      </ns0:c>
      <ns0:c r="F380" t="inlineStr">
        <ns0:is>
          <ns0:t>air</ns0:t>
        </ns0:is>
      </ns0:c>
      <ns0:c r="G380" t="inlineStr">
        <ns0:is>
          <ns0:t>biosphere</ns0:t>
        </ns0:is>
      </ns0:c>
      <ns0:c r="I380" t="n">
        <ns0:v>2</ns0:v>
      </ns0:c>
      <ns0:c r="J380" t="n">
        <ns0:v>-22.76243347948831</ns0:v>
      </ns0:c>
      <ns0:c r="K380" t="n">
        <ns0:v>0.5842088667591412</ns0:v>
      </ns0:c>
      <ns0:c r="L380" t="inlineStr">
        <ns0:is>
          <ns0:t>Premise 2.5.4: Original amount 1.9e-10; scale 0.684931506849315.</ns0:t>
        </ns0:is>
      </ns0:c>
      <ns0:c r="N380" t="b">
        <ns0:v>0</ns0:v>
      </ns0:c>
    </ns0:row>
    <ns0:row r="381">
      <ns0:c r="A381" t="inlineStr">
        <ns0:is>
          <ns0:t>Particulate Matter, &lt; 2.5 um</ns0:t>
        </ns0:is>
      </ns0:c>
      <ns0:c r="B381" t="n">
        <ns0:v>5.136986301369862e-05</ns0:v>
      </ns0:c>
      <ns0:c r="E381" t="inlineStr">
        <ns0:is>
          <ns0:t>kilogram</ns0:t>
        </ns0:is>
      </ns0:c>
      <ns0:c r="F381" t="inlineStr">
        <ns0:is>
          <ns0:t>air</ns0:t>
        </ns0:is>
      </ns0:c>
      <ns0:c r="G381" t="inlineStr">
        <ns0:is>
          <ns0:t>biosphere</ns0:t>
        </ns0:is>
      </ns0:c>
      <ns0:c r="I381" t="n">
        <ns0:v>2</ns0:v>
      </ns0:c>
      <ns0:c r="J381" t="n">
        <ns0:v>-9.876458880148208</ns0:v>
      </ns0:c>
      <ns0:c r="K381" t="n">
        <ns0:v>0.5842088667591412</ns0:v>
      </ns0:c>
      <ns0:c r="L381" t="inlineStr">
        <ns0:is>
          <ns0:t>Premise 2.5.4: Original amount 7.499999999999999e-05; scale 0.684931506849315.</ns0:t>
        </ns0:is>
      </ns0:c>
      <ns0:c r="N381" t="b">
        <ns0:v>0</ns0:v>
      </ns0:c>
    </ns0:row>
    <ns0:row r="382">
      <ns0:c r="A382" t="inlineStr">
        <ns0:is>
          <ns0:t>Particulate Matter, &lt; 2.5 um</ns0:t>
        </ns0:is>
      </ns0:c>
      <ns0:c r="B382" t="n">
        <ns0:v>1.300152353957829e-07</ns0:v>
      </ns0:c>
      <ns0:c r="E382" t="inlineStr">
        <ns0:is>
          <ns0:t>kilogram</ns0:t>
        </ns0:is>
      </ns0:c>
      <ns0:c r="F382" t="inlineStr">
        <ns0:is>
          <ns0:t>air::non-urban air or from high stacks</ns0:t>
        </ns0:is>
      </ns0:c>
      <ns0:c r="G382" t="inlineStr">
        <ns0:is>
          <ns0:t>biosphere</ns0:t>
        </ns0:is>
      </ns0:c>
      <ns0:c r="I382" t="n">
        <ns0:v>2</ns0:v>
      </ns0:c>
      <ns0:c r="J382" t="n">
        <ns0:v>-15.85561419800549</ns0:v>
      </ns0:c>
      <ns0:c r="K382" t="n">
        <ns0:v>0.585405842130056</ns0:v>
      </ns0:c>
      <ns0:c r="L382" t="inlineStr">
        <ns0:is>
          <ns0:t>Estimation. Adapted from dataset ''iron pellet production, Quebec, 2011''.
Premise 2.5.4: Original amount 1.89822243677843e-07; scale 0.684931506849315.</ns0:t>
        </ns0:is>
      </ns0:c>
      <ns0:c r="N382" t="b">
        <ns0:v>0</ns0:v>
      </ns0:c>
    </ns0:row>
    <ns0:row r="383">
      <ns0:c r="A383" t="inlineStr">
        <ns0:is>
          <ns0:t>Particulate Matter, &gt; 10 um</ns0:t>
        </ns0:is>
      </ns0:c>
      <ns0:c r="B383" t="n">
        <ns0:v>2.24742408826589e-07</ns0:v>
      </ns0:c>
      <ns0:c r="E383" t="inlineStr">
        <ns0:is>
          <ns0:t>kilogram</ns0:t>
        </ns0:is>
      </ns0:c>
      <ns0:c r="F383" t="inlineStr">
        <ns0:is>
          <ns0:t>air::non-urban air or from high stacks</ns0:t>
        </ns0:is>
      </ns0:c>
      <ns0:c r="G383" t="inlineStr">
        <ns0:is>
          <ns0:t>biosphere</ns0:t>
        </ns0:is>
      </ns0:c>
      <ns0:c r="I383" t="n">
        <ns0:v>2</ns0:v>
      </ns0:c>
      <ns0:c r="J383" t="n">
        <ns0:v>-15.30831094024257</ns0:v>
      </ns0:c>
      <ns0:c r="K383" t="n">
        <ns0:v>0.2875760768909681</ns0:v>
      </ns0:c>
      <ns0:c r="L383" t="inlineStr">
        <ns0:is>
          <ns0:t>Estimation. Adapted from dataset ''iron pellet production, Quebec, 2011''.
Premise 2.5.4: Original amount 3.2812391688682e-07; scale 0.684931506849315.</ns0:t>
        </ns0:is>
      </ns0:c>
      <ns0:c r="N383" t="b">
        <ns0:v>0</ns0:v>
      </ns0:c>
    </ns0:row>
    <ns0:row r="384">
      <ns0:c r="A384" t="inlineStr">
        <ns0:is>
          <ns0:t>Particulate Matter, &gt; 2.5 um and &lt; 10um</ns0:t>
        </ns0:is>
      </ns0:c>
      <ns0:c r="B384" t="n">
        <ns0:v>1.540411499251288e-07</ns0:v>
      </ns0:c>
      <ns0:c r="E384" t="inlineStr">
        <ns0:is>
          <ns0:t>kilogram</ns0:t>
        </ns0:is>
      </ns0:c>
      <ns0:c r="F384" t="inlineStr">
        <ns0:is>
          <ns0:t>air::non-urban air or from high stacks</ns0:t>
        </ns0:is>
      </ns0:c>
      <ns0:c r="G384" t="inlineStr">
        <ns0:is>
          <ns0:t>biosphere</ns0:t>
        </ns0:is>
      </ns0:c>
      <ns0:c r="I384" t="n">
        <ns0:v>2</ns0:v>
      </ns0:c>
      <ns0:c r="J384" t="n">
        <ns0:v>-15.68604606292027</ns0:v>
      </ns0:c>
      <ns0:c r="K384" t="n">
        <ns0:v>0.4033608806019741</ns0:v>
      </ns0:c>
      <ns0:c r="L384" t="inlineStr">
        <ns0:is>
          <ns0:t>Estimation. Adapted from dataset ''iron pellet production, Quebec, 2011''.
Premise 2.5.4: Original amount 2.24900078890688e-07; scale 0.684931506849315.</ns0:t>
        </ns0:is>
      </ns0:c>
      <ns0:c r="N384" t="b">
        <ns0:v>0</ns0:v>
      </ns0:c>
    </ns0:row>
    <ns0:row r="385">
      <ns0:c r="A385" t="inlineStr">
        <ns0:is>
          <ns0:t>Phosphorus</ns0:t>
        </ns0:is>
      </ns0:c>
      <ns0:c r="B385" t="n">
        <ns0:v>2.855580049789959e-10</ns0:v>
      </ns0:c>
      <ns0:c r="E385" t="inlineStr">
        <ns0:is>
          <ns0:t>kilogram</ns0:t>
        </ns0:is>
      </ns0:c>
      <ns0:c r="F385" t="inlineStr">
        <ns0:is>
          <ns0:t>water::surface water</ns0:t>
        </ns0:is>
      </ns0:c>
      <ns0:c r="G385" t="inlineStr">
        <ns0:is>
          <ns0:t>biosphere</ns0:t>
        </ns0:is>
      </ns0:c>
      <ns0:c r="H385" t="inlineStr">
        <ns0:is>
          <ns0:t>P</ns0:t>
        </ns0:is>
      </ns0:c>
      <ns0:c r="I385" t="n">
        <ns0:v>2</ns0:v>
      </ns0:c>
      <ns0:c r="J385" t="n">
        <ns0:v>-21.97657593766483</ns0:v>
      </ns0:c>
      <ns0:c r="K385" t="n">
        <ns0:v>0.2875760768909681</ns0:v>
      </ns0:c>
      <ns0:c r="L385" t="inlineStr">
        <ns0:is>
          <ns0:t>Estimation. Adapted from dataset ''iron pellet production, Quebec, 2011''.
Premise 2.5.4: Original amount 4.16914687269334e-10; scale 0.684931506849315.</ns0:t>
        </ns0:is>
      </ns0:c>
      <ns0:c r="N385" t="b">
        <ns0:v>0</ns0:v>
      </ns0:c>
    </ns0:row>
    <ns0:row r="386">
      <ns0:c r="A386" t="inlineStr">
        <ns0:is>
          <ns0:t>Silver I</ns0:t>
        </ns0:is>
      </ns0:c>
      <ns0:c r="B386" t="n">
        <ns0:v>2.164835007071267e-11</ns0:v>
      </ns0:c>
      <ns0:c r="E386" t="inlineStr">
        <ns0:is>
          <ns0:t>kilogram</ns0:t>
        </ns0:is>
      </ns0:c>
      <ns0:c r="F386" t="inlineStr">
        <ns0:is>
          <ns0:t>air::non-urban air or from high stacks</ns0:t>
        </ns0:is>
      </ns0:c>
      <ns0:c r="G386" t="inlineStr">
        <ns0:is>
          <ns0:t>biosphere</ns0:t>
        </ns0:is>
      </ns0:c>
      <ns0:c r="H386" t="inlineStr">
        <ns0:is>
          <ns0:t>Ag</ns0:t>
        </ns0:is>
      </ns0:c>
      <ns0:c r="I386" t="n">
        <ns0:v>2</ns0:v>
      </ns0:c>
      <ns0:c r="J386" t="n">
        <ns0:v>-24.55609187358908</ns0:v>
      </ns0:c>
      <ns0:c r="K386" t="n">
        <ns0:v>0.8331266410336426</ns0:v>
      </ns0:c>
      <ns0:c r="L386" t="inlineStr">
        <ns0:is>
          <ns0:t>Estimation. Adapted from dataset ''iron pellet production, Quebec, 2011''.
Premise 2.5.4: Original amount 3.16065911032405e-11; scale 0.684931506849315.</ns0:t>
        </ns0:is>
      </ns0:c>
      <ns0:c r="N386" t="b">
        <ns0:v>0</ns0:v>
      </ns0:c>
    </ns0:row>
    <ns0:row r="387">
      <ns0:c r="A387" t="inlineStr">
        <ns0:is>
          <ns0:t>Sulfur dioxide</ns0:t>
        </ns0:is>
      </ns0:c>
      <ns0:c r="B387" t="n">
        <ns0:v>8.972602739726028e-05</ns0:v>
      </ns0:c>
      <ns0:c r="E387" t="inlineStr">
        <ns0:is>
          <ns0:t>kilogram</ns0:t>
        </ns0:is>
      </ns0:c>
      <ns0:c r="F387" t="inlineStr">
        <ns0:is>
          <ns0:t>air</ns0:t>
        </ns0:is>
      </ns0:c>
      <ns0:c r="G387" t="inlineStr">
        <ns0:is>
          <ns0:t>biosphere</ns0:t>
        </ns0:is>
      </ns0:c>
      <ns0:c r="H387" t="inlineStr">
        <ns0:is>
          <ns0:t>O2S</ns0:t>
        </ns0:is>
      </ns0:c>
      <ns0:c r="I387" t="n">
        <ns0:v>2</ns0:v>
      </ns0:c>
      <ns0:c r="J387" t="n">
        <ns0:v>-9.318749670483367</ns0:v>
      </ns0:c>
      <ns0:c r="K387" t="n">
        <ns0:v>0.2032240143290158</ns0:v>
      </ns0:c>
      <ns0:c r="L387" t="inlineStr">
        <ns0:is>
          <ns0:t>Premise 2.5.4: Original amount 0.000131; scale 0.684931506849315.</ns0:t>
        </ns0:is>
      </ns0:c>
      <ns0:c r="N387" t="b">
        <ns0:v>0</ns0:v>
      </ns0:c>
    </ns0:row>
    <ns0:row r="388">
      <ns0:c r="A388" t="inlineStr">
        <ns0:is>
          <ns0:t>Sulfur dioxide</ns0:t>
        </ns0:is>
      </ns0:c>
      <ns0:c r="B388" t="n">
        <ns0:v>3.605138529116945e-07</ns0:v>
      </ns0:c>
      <ns0:c r="E388" t="inlineStr">
        <ns0:is>
          <ns0:t>kilogram</ns0:t>
        </ns0:is>
      </ns0:c>
      <ns0:c r="F388" t="inlineStr">
        <ns0:is>
          <ns0:t>air::non-urban air or from high stacks</ns0:t>
        </ns0:is>
      </ns0:c>
      <ns0:c r="G388" t="inlineStr">
        <ns0:is>
          <ns0:t>biosphere</ns0:t>
        </ns0:is>
      </ns0:c>
      <ns0:c r="H388" t="inlineStr">
        <ns0:is>
          <ns0:t>O2S</ns0:t>
        </ns0:is>
      </ns0:c>
      <ns0:c r="I388" t="n">
        <ns0:v>2</ns0:v>
      </ns0:c>
      <ns0:c r="J388" t="n">
        <ns0:v>-14.83573545402019</ns0:v>
      </ns0:c>
      <ns0:c r="K388" t="n">
        <ns0:v>0.2080865204668481</ns0:v>
      </ns0:c>
      <ns0:c r="L388" t="inlineStr">
        <ns0:is>
          <ns0:t>Estimation. Adapted from dataset ''iron pellet production, Quebec, 2011''.
Premise 2.5.4: Original amount 5.26350225251074e-07; scale 0.684931506849315.</ns0:t>
        </ns0:is>
      </ns0:c>
      <ns0:c r="N388" t="b">
        <ns0:v>0</ns0:v>
      </ns0:c>
    </ns0:row>
    <ns0:row r="389">
      <ns0:c r="A389" t="inlineStr">
        <ns0:is>
          <ns0:t>Suspended solids, unspecified</ns0:t>
        </ns0:is>
      </ns0:c>
      <ns0:c r="B389" t="n">
        <ns0:v>1.524143952955377e-08</ns0:v>
      </ns0:c>
      <ns0:c r="E389" t="inlineStr">
        <ns0:is>
          <ns0:t>kilogram</ns0:t>
        </ns0:is>
      </ns0:c>
      <ns0:c r="F389" t="inlineStr">
        <ns0:is>
          <ns0:t>water::surface water</ns0:t>
        </ns0:is>
      </ns0:c>
      <ns0:c r="G389" t="inlineStr">
        <ns0:is>
          <ns0:t>biosphere</ns0:t>
        </ns0:is>
      </ns0:c>
      <ns0:c r="I389" t="n">
        <ns0:v>2</ns0:v>
      </ns0:c>
      <ns0:c r="J389" t="n">
        <ns0:v>-17.99924783382892</ns0:v>
      </ns0:c>
      <ns0:c r="K389" t="n">
        <ns0:v>0.2875760768909681</ns0:v>
      </ns0:c>
      <ns0:c r="L389" t="inlineStr">
        <ns0:is>
          <ns0:t>Estimation. Adapted from dataset ''iron pellet production, Quebec, 2011''.
Premise 2.5.4: Original amount 2.22525017131485e-08; scale 0.684931506849315.</ns0:t>
        </ns0:is>
      </ns0:c>
      <ns0:c r="N389" t="b">
        <ns0:v>0</ns0:v>
      </ns0:c>
    </ns0:row>
    <ns0:row r="390">
      <ns0:c r="A390" t="inlineStr">
        <ns0:is>
          <ns0:t>Vanadium V</ns0:t>
        </ns0:is>
      </ns0:c>
      <ns0:c r="B390" t="n">
        <ns0:v>5.856164383561644e-08</ns0:v>
      </ns0:c>
      <ns0:c r="E390" t="inlineStr">
        <ns0:is>
          <ns0:t>kilogram</ns0:t>
        </ns0:is>
      </ns0:c>
      <ns0:c r="F390" t="inlineStr">
        <ns0:is>
          <ns0:t>air</ns0:t>
        </ns0:is>
      </ns0:c>
      <ns0:c r="G390" t="inlineStr">
        <ns0:is>
          <ns0:t>biosphere</ns0:t>
        </ns0:is>
      </ns0:c>
      <ns0:c r="H390" t="inlineStr">
        <ns0:is>
          <ns0:t>V</ns0:t>
        </ns0:is>
      </ns0:c>
      <ns0:c r="I390" t="n">
        <ns0:v>2</ns0:v>
      </ns0:c>
      <ns0:c r="J390" t="n">
        <ns0:v>-16.65318589672394</ns0:v>
      </ns0:c>
      <ns0:c r="K390" t="n">
        <ns0:v>0.8314445261110329</ns0:v>
      </ns0:c>
      <ns0:c r="L390" t="inlineStr">
        <ns0:is>
          <ns0:t>Premise 2.5.4: Original amount 8.55e-08; scale 0.684931506849315.</ns0:t>
        </ns0:is>
      </ns0:c>
      <ns0:c r="N390" t="b">
        <ns0:v>0</ns0:v>
      </ns0:c>
    </ns0:row>
    <ns0:row r="391">
      <ns0:c r="A391" t="inlineStr">
        <ns0:is>
          <ns0:t>Water</ns0:t>
        </ns0:is>
      </ns0:c>
      <ns0:c r="B391" t="n">
        <ns0:v>5.942584135357835e-05</ns0:v>
      </ns0:c>
      <ns0:c r="E391" t="inlineStr">
        <ns0:is>
          <ns0:t>cubic meter</ns0:t>
        </ns0:is>
      </ns0:c>
      <ns0:c r="F391" t="inlineStr">
        <ns0:is>
          <ns0:t>water</ns0:t>
        </ns0:is>
      </ns0:c>
      <ns0:c r="G391" t="inlineStr">
        <ns0:is>
          <ns0:t>biosphere</ns0:t>
        </ns0:is>
      </ns0:c>
      <ns0:c r="H391" t="inlineStr">
        <ns0:is>
          <ns0:t>H2O</ns0:t>
        </ns0:is>
      </ns0:c>
      <ns0:c r="I391" t="n">
        <ns0:v>0</ns0:v>
      </ns0:c>
      <ns0:c r="J391" t="n">
        <ns0:v>8.67617283762244e-05</ns0:v>
      </ns0:c>
      <ns0:c r="L391" t="inlineStr">
        <ns0:is>
          <ns0:t>Calculated value based on literature values and expert opinion. See comments in the parametres' comment field.
Premise 2.5.4: Original amount 8.67617283762244e-05; scale 0.684931506849315.</ns0:t>
        </ns0:is>
      </ns0:c>
    </ns0:row>
    <ns0:row r="392">
      <ns0:c r="A392" t="inlineStr">
        <ns0:is>
          <ns0:t>Water</ns0:t>
        </ns0:is>
      </ns0:c>
      <ns0:c r="B392" t="n">
        <ns0:v>1.048691318004322e-05</ns0:v>
      </ns0:c>
      <ns0:c r="E392" t="inlineStr">
        <ns0:is>
          <ns0:t>cubic meter</ns0:t>
        </ns0:is>
      </ns0:c>
      <ns0:c r="F392" t="inlineStr">
        <ns0:is>
          <ns0:t>air</ns0:t>
        </ns0:is>
      </ns0:c>
      <ns0:c r="G392" t="inlineStr">
        <ns0:is>
          <ns0:t>biosphere</ns0:t>
        </ns0:is>
      </ns0:c>
      <ns0:c r="H392" t="inlineStr">
        <ns0:is>
          <ns0:t>H2O</ns0:t>
        </ns0:is>
      </ns0:c>
      <ns0:c r="I392" t="n">
        <ns0:v>2</ns0:v>
      </ns0:c>
      <ns0:c r="J392" t="n">
        <ns0:v>-11.46538244196355</ns0:v>
      </ns0:c>
      <ns0:c r="K392" t="n">
        <ns0:v>0.2840774542268358</ns0:v>
      </ns0:c>
      <ns0:c r="L392" t="inlineStr">
        <ns0:is>
          <ns0:t>Calculated value based on literature values and expert opinion. See comments in the parametres' comment field.
Premise 2.5.4: Original amount 1.53108932428631e-05; scale 0.684931506849315.</ns0:t>
        </ns0:is>
      </ns0:c>
      <ns0:c r="N392" t="b">
        <ns0:v>0</ns0:v>
      </ns0:c>
    </ns0:row>
    <ns0:row r="393">
      <ns0:c r="A393" t="inlineStr">
        <ns0:is>
          <ns0:t>Water, unspecified natural origin</ns0:t>
        </ns0:is>
      </ns0:c>
      <ns0:c r="B393" t="n">
        <ns0:v>6.164383561643835e-05</ns0:v>
      </ns0:c>
      <ns0:c r="E393" t="inlineStr">
        <ns0:is>
          <ns0:t>cubic meter</ns0:t>
        </ns0:is>
      </ns0:c>
      <ns0:c r="F393" t="inlineStr">
        <ns0:is>
          <ns0:t>natural resource::in water</ns0:t>
        </ns0:is>
      </ns0:c>
      <ns0:c r="G393" t="inlineStr">
        <ns0:is>
          <ns0:t>biosphere</ns0:t>
        </ns0:is>
      </ns0:c>
      <ns0:c r="H393" t="inlineStr">
        <ns0:is>
          <ns0:t>H2O</ns0:t>
        </ns0:is>
      </ns0:c>
      <ns0:c r="I393" t="n">
        <ns0:v>2</ns0:v>
      </ns0:c>
      <ns0:c r="J393" t="n">
        <ns0:v>-9.694137323354255</ns0:v>
      </ns0:c>
      <ns0:c r="K393" t="n">
        <ns0:v>0.2002498439450079</ns0:v>
      </ns0:c>
      <ns0:c r="L393" t="inlineStr">
        <ns0:is>
          <ns0:t>Premise 2.5.4: Original amount 9.000000000000001e-05; scale 0.684931506849315.</ns0:t>
        </ns0:is>
      </ns0:c>
      <ns0:c r="N393" t="b">
        <ns0:v>0</ns0:v>
      </ns0:c>
    </ns0:row>
    <ns0:row r="394">
      <ns0:c r="A394" t="inlineStr">
        <ns0:is>
          <ns0:t>Zinc II</ns0:t>
        </ns0:is>
      </ns0:c>
      <ns0:c r="B394" t="n">
        <ns0:v>3.84931506849315e-08</ns0:v>
      </ns0:c>
      <ns0:c r="E394" t="inlineStr">
        <ns0:is>
          <ns0:t>kilogram</ns0:t>
        </ns0:is>
      </ns0:c>
      <ns0:c r="F394" t="inlineStr">
        <ns0:is>
          <ns0:t>air</ns0:t>
        </ns0:is>
      </ns0:c>
      <ns0:c r="G394" t="inlineStr">
        <ns0:is>
          <ns0:t>biosphere</ns0:t>
        </ns0:is>
      </ns0:c>
      <ns0:c r="H394" t="inlineStr">
        <ns0:is>
          <ns0:t>Zn</ns0:t>
        </ns0:is>
      </ns0:c>
      <ns0:c r="I394" t="n">
        <ns0:v>2</ns0:v>
      </ns0:c>
      <ns0:c r="J394" t="n">
        <ns0:v>-17.07278551576701</ns0:v>
      </ns0:c>
      <ns0:c r="K394" t="n">
        <ns0:v>0.8314445261110329</ns0:v>
      </ns0:c>
      <ns0:c r="L394" t="inlineStr">
        <ns0:is>
          <ns0:t>Premise 2.5.4: Original amount 5.62e-08; scale 0.684931506849315.</ns0:t>
        </ns0:is>
      </ns0:c>
      <ns0:c r="N394" t="b">
        <ns0:v>0</ns0:v>
      </ns0:c>
    </ns0:row>
    <ns0:row r="395">
      <ns0:c r="A395" t="inlineStr">
        <ns0:is>
          <ns0:t>Zinc II</ns0:t>
        </ns0:is>
      </ns0:c>
      <ns0:c r="B395" t="n">
        <ns0:v>9.519017282538219e-12</ns0:v>
      </ns0:c>
      <ns0:c r="E395" t="inlineStr">
        <ns0:is>
          <ns0:t>kilogram</ns0:t>
        </ns0:is>
      </ns0:c>
      <ns0:c r="F395" t="inlineStr">
        <ns0:is>
          <ns0:t>water::surface water</ns0:t>
        </ns0:is>
      </ns0:c>
      <ns0:c r="G395" t="inlineStr">
        <ns0:is>
          <ns0:t>biosphere</ns0:t>
        </ns0:is>
      </ns0:c>
      <ns0:c r="H395" t="inlineStr">
        <ns0:is>
          <ns0:t>Zn+2</ns0:t>
        </ns0:is>
      </ns0:c>
      <ns0:c r="I395" t="n">
        <ns0:v>2</ns0:v>
      </ns0:c>
      <ns0:c r="J395" t="n">
        <ns0:v>-25.37772949907765</ns0:v>
      </ns0:c>
      <ns0:c r="K395" t="n">
        <ns0:v>0.8322860085331244</ns0:v>
      </ns0:c>
      <ns0:c r="L395" t="inlineStr">
        <ns0:is>
          <ns0:t>Estimation. Adapted from dataset ''iron pellet production, Quebec, 2011''.
Premise 2.5.4: Original amount 1.38977652325058e-11; scale 0.684931506849315.</ns0:t>
        </ns0:is>
      </ns0:c>
      <ns0:c r="N395" t="b">
        <ns0:v>0</ns0:v>
      </ns0:c>
    </ns0:row>
    <ns0:row r="396">
      <ns0:c r="A396" t="inlineStr">
        <ns0:is>
          <ns0:t>pre-reduced vanadium pentoxide bearing magnetite production</ns0:t>
        </ns0:is>
      </ns0:c>
      <ns0:c r="B396" t="n">
        <ns0:v>1</ns0:v>
      </ns0:c>
      <ns0:c r="C396" t="inlineStr">
        <ns0:is>
          <ns0:t>pre-reduced vanadium pentoxide bearing magnetite</ns0:t>
        </ns0:is>
      </ns0:c>
      <ns0:c r="D396" t="inlineStr">
        <ns0:is>
          <ns0:t>ZA</ns0:t>
        </ns0:is>
      </ns0:c>
      <ns0:c r="E396" t="inlineStr">
        <ns0:is>
          <ns0:t>kilogram</ns0:t>
        </ns0:is>
      </ns0:c>
      <ns0:c r="G396" t="inlineStr">
        <ns0:is>
          <ns0:t>production</ns0:t>
        </ns0:is>
      </ns0:c>
      <ns0:c r="I396" t="n">
        <ns0:v>0</ns0:v>
      </ns0:c>
      <ns0:c r="J396" t="n">
        <ns0:v>1</ns0:v>
      </ns0:c>
      <ns0:c r="L396" t="inlineStr">
        <ns0:is>
          <ns0:t>EcoSpold01Location=GLO
Premise 2.5.4: Original amount 1.46; scale 0.684931506849315.</ns0:t>
        </ns0:is>
      </ns0:c>
      <ns0:c r="M396" t="n">
        <ns0:v>473333424000</ns0:v>
      </ns0:c>
    </ns0:row>
    <ns0:row r="397">
      <ns0:c r="A397" t="inlineStr">
        <ns0:is>
          <ns0:t>heat production, heavy fuel oil, at industrial furnace 1MW</ns0:t>
        </ns0:is>
      </ns0:c>
      <ns0:c r="B397" t="n">
        <ns0:v>0.01595890410958904</ns0:v>
      </ns0:c>
      <ns0:c r="C397" t="inlineStr">
        <ns0:is>
          <ns0:t>heat, district or industrial, other than natural gas</ns0:t>
        </ns0:is>
      </ns0:c>
      <ns0:c r="D397" t="inlineStr">
        <ns0:is>
          <ns0:t>RoW</ns0:t>
        </ns0:is>
      </ns0:c>
      <ns0:c r="E397" t="inlineStr">
        <ns0:is>
          <ns0:t>megajoule</ns0:t>
        </ns0:is>
      </ns0:c>
      <ns0:c r="G397" t="inlineStr">
        <ns0:is>
          <ns0:t>technosphere</ns0:t>
        </ns0:is>
      </ns0:c>
      <ns0:c r="I397" t="n">
        <ns0:v>2</ns0:v>
      </ns0:c>
      <ns0:c r="J397" t="n">
        <ns0:v>-4.137738354130727</ns0:v>
      </ns0:c>
      <ns0:c r="K397" t="n">
        <ns0:v>0.2</ns0:v>
      </ns0:c>
      <ns0:c r="L397" t="inlineStr">
        <ns0:is>
          <ns0:t>Estimation. Adapted from dataset ''iron pellet production, Quebec, 2011''.
Premise 2.5.4: Original amount 0.0233; scale 0.684931506849315.</ns0:t>
        </ns0:is>
      </ns0:c>
      <ns0:c r="N397" t="b">
        <ns0:v>0</ns0:v>
      </ns0:c>
    </ns0:row>
    <ns0:row r="398">
      <ns0:c r="A398" t="inlineStr">
        <ns0:is>
          <ns0:t>market for activated bentonite</ns0:t>
        </ns0:is>
      </ns0:c>
      <ns0:c r="B398" t="n">
        <ns0:v>0.0273972602739726</ns0:v>
      </ns0:c>
      <ns0:c r="C398" t="inlineStr">
        <ns0:is>
          <ns0:t>activated bentonite</ns0:t>
        </ns0:is>
      </ns0:c>
      <ns0:c r="D398" t="inlineStr">
        <ns0:is>
          <ns0:t>GLO</ns0:t>
        </ns0:is>
      </ns0:c>
      <ns0:c r="E398" t="inlineStr">
        <ns0:is>
          <ns0:t>kilogram</ns0:t>
        </ns0:is>
      </ns0:c>
      <ns0:c r="G398" t="inlineStr">
        <ns0:is>
          <ns0:t>technosphere</ns0:t>
        </ns0:is>
      </ns0:c>
      <ns0:c r="I398" t="n">
        <ns0:v>2</ns0:v>
      </ns0:c>
      <ns0:c r="J398" t="n">
        <ns0:v>-3.597312260588446</ns0:v>
      </ns0:c>
      <ns0:c r="K398" t="n">
        <ns0:v>0.2004993765576342</ns0:v>
      </ns0:c>
      <ns0:c r="L398" t="inlineStr">
        <ns0:is>
          <ns0:t>EcoSpold01Location=DE
Premise 2.5.4: Original amount 0.04; scale 0.684931506849315.</ns0:t>
        </ns0:is>
      </ns0:c>
      <ns0:c r="N398" t="b">
        <ns0:v>0</ns0:v>
      </ns0:c>
    </ns0:row>
    <ns0:row r="399">
      <ns0:c r="A399" t="inlineStr">
        <ns0:is>
          <ns0:t>market for aluminium oxide factory</ns0:t>
        </ns0:is>
      </ns0:c>
      <ns0:c r="B399" t="n">
        <ns0:v>1.712328767123288e-11</ns0:v>
      </ns0:c>
      <ns0:c r="C399" t="inlineStr">
        <ns0:is>
          <ns0:t>aluminium oxide factory</ns0:t>
        </ns0:is>
      </ns0:c>
      <ns0:c r="D399" t="inlineStr">
        <ns0:is>
          <ns0:t>GLO</ns0:t>
        </ns0:is>
      </ns0:c>
      <ns0:c r="E399" t="inlineStr">
        <ns0:is>
          <ns0:t>unit</ns0:t>
        </ns0:is>
      </ns0:c>
      <ns0:c r="G399" t="inlineStr">
        <ns0:is>
          <ns0:t>technosphere</ns0:t>
        </ns0:is>
      </ns0:c>
      <ns0:c r="I399" t="n">
        <ns0:v>2</ns0:v>
      </ns0:c>
      <ns0:c r="J399" t="n">
        <ns0:v>-24.79058172678059</ns0:v>
      </ns0:c>
      <ns0:c r="K399" t="n">
        <ns0:v>0.8944271909999159</ns0:v>
      </ns0:c>
      <ns0:c r="L399" t="inlineStr">
        <ns0:is>
          <ns0:t>EcoSpold01Location=RER
Premise 2.5.4: Original amount 2.5e-11; scale 0.684931506849315.</ns0:t>
        </ns0:is>
      </ns0:c>
      <ns0:c r="N399" t="b">
        <ns0:v>0</ns0:v>
      </ns0:c>
    </ns0:row>
    <ns0:row r="400">
      <ns0:c r="A400" t="inlineStr">
        <ns0:is>
          <ns0:t>market for chromium</ns0:t>
        </ns0:is>
      </ns0:c>
      <ns0:c r="B400" t="n">
        <ns0:v>4.08904109589041e-06</ns0:v>
      </ns0:c>
      <ns0:c r="C400" t="inlineStr">
        <ns0:is>
          <ns0:t>chromium</ns0:t>
        </ns0:is>
      </ns0:c>
      <ns0:c r="D400" t="inlineStr">
        <ns0:is>
          <ns0:t>GLO</ns0:t>
        </ns0:is>
      </ns0:c>
      <ns0:c r="E400" t="inlineStr">
        <ns0:is>
          <ns0:t>kilogram</ns0:t>
        </ns0:is>
      </ns0:c>
      <ns0:c r="G400" t="inlineStr">
        <ns0:is>
          <ns0:t>technosphere</ns0:t>
        </ns0:is>
      </ns0:c>
      <ns0:c r="I400" t="n">
        <ns0:v>2</ns0:v>
      </ns0:c>
      <ns0:c r="J400" t="n">
        <ns0:v>-12.40720006628001</ns0:v>
      </ns0:c>
      <ns0:c r="K400" t="n">
        <ns0:v>0.2</ns0:v>
      </ns0:c>
      <ns0:c r="L400" t="inlineStr">
        <ns0:is>
          <ns0:t>Estimation. Adapted from dataset ''iron pellet production, Quebec, 2011''.
Premise 2.5.4: Original amount 5.97e-06; scale 0.684931506849315.</ns0:t>
        </ns0:is>
      </ns0:c>
      <ns0:c r="N400" t="b">
        <ns0:v>0</ns0:v>
      </ns0:c>
    </ns0:row>
    <ns0:row r="401">
      <ns0:c r="A401" t="inlineStr">
        <ns0:is>
          <ns0:t>market for dolomite</ns0:t>
        </ns0:is>
      </ns0:c>
      <ns0:c r="B401" t="n">
        <ns0:v>0.0009383561643835616</ns0:v>
      </ns0:c>
      <ns0:c r="C401" t="inlineStr">
        <ns0:is>
          <ns0:t>dolomite</ns0:t>
        </ns0:is>
      </ns0:c>
      <ns0:c r="D401" t="inlineStr">
        <ns0:is>
          <ns0:t>RoW</ns0:t>
        </ns0:is>
      </ns0:c>
      <ns0:c r="E401" t="inlineStr">
        <ns0:is>
          <ns0:t>kilogram</ns0:t>
        </ns0:is>
      </ns0:c>
      <ns0:c r="G401" t="inlineStr">
        <ns0:is>
          <ns0:t>technosphere</ns0:t>
        </ns0:is>
      </ns0:c>
      <ns0:c r="L401" t="inlineStr">
        <ns0:is>
          <ns0:t>Premise 2.5.4: Original amount 0.00137; scale 0.684931506849315.</ns0:t>
        </ns0:is>
      </ns0:c>
    </ns0:row>
    <ns0:row r="402">
      <ns0:c r="A402" t="inlineStr">
        <ns0:is>
          <ns0:t>market for electricity, high voltage</ns0:t>
        </ns0:is>
      </ns0:c>
      <ns0:c r="B402" t="n">
        <ns0:v>0.001568493150684931</ns0:v>
      </ns0:c>
      <ns0:c r="C402" t="inlineStr">
        <ns0:is>
          <ns0:t>electricity, high voltage</ns0:t>
        </ns0:is>
      </ns0:c>
      <ns0:c r="D402" t="inlineStr">
        <ns0:is>
          <ns0:t>ZA</ns0:t>
        </ns0:is>
      </ns0:c>
      <ns0:c r="E402" t="inlineStr">
        <ns0:is>
          <ns0:t>kilowatt hour</ns0:t>
        </ns0:is>
      </ns0:c>
      <ns0:c r="G402" t="inlineStr">
        <ns0:is>
          <ns0:t>technosphere</ns0:t>
        </ns0:is>
      </ns0:c>
      <ns0:c r="L402" t="inlineStr">
        <ns0:is>
          <ns0:t>Premise 2.5.4: Original amount 0.00229; scale 0.684931506849315.</ns0:t>
        </ns0:is>
      </ns0:c>
    </ns0:row>
    <ns0:row r="403">
      <ns0:c r="A403" t="inlineStr">
        <ns0:is>
          <ns0:t>market for electricity, medium voltage</ns0:t>
        </ns0:is>
      </ns0:c>
      <ns0:c r="B403" t="n">
        <ns0:v>0.01712328767123288</ns0:v>
      </ns0:c>
      <ns0:c r="C403" t="inlineStr">
        <ns0:is>
          <ns0:t>electricity, medium voltage</ns0:t>
        </ns0:is>
      </ns0:c>
      <ns0:c r="D403" t="inlineStr">
        <ns0:is>
          <ns0:t>ZA</ns0:t>
        </ns0:is>
      </ns0:c>
      <ns0:c r="E403" t="inlineStr">
        <ns0:is>
          <ns0:t>kilowatt hour</ns0:t>
        </ns0:is>
      </ns0:c>
      <ns0:c r="G403" t="inlineStr">
        <ns0:is>
          <ns0:t>technosphere</ns0:t>
        </ns0:is>
      </ns0:c>
      <ns0:c r="L403" t="inlineStr">
        <ns0:is>
          <ns0:t>Premise 2.5.4: Original amount 0.025; scale 0.684931506849315.</ns0:t>
        </ns0:is>
      </ns0:c>
    </ns0:row>
    <ns0:row r="404">
      <ns0:c r="A404" t="inlineStr">
        <ns0:is>
          <ns0:t>market for hard coal</ns0:t>
        </ns0:is>
      </ns0:c>
      <ns0:c r="B404" t="n">
        <ns0:v>0.008904109589041096</ns0:v>
      </ns0:c>
      <ns0:c r="C404" t="inlineStr">
        <ns0:is>
          <ns0:t>hard coal</ns0:t>
        </ns0:is>
      </ns0:c>
      <ns0:c r="D404" t="inlineStr">
        <ns0:is>
          <ns0:t>ZA</ns0:t>
        </ns0:is>
      </ns0:c>
      <ns0:c r="E404" t="inlineStr">
        <ns0:is>
          <ns0:t>kilogram</ns0:t>
        </ns0:is>
      </ns0:c>
      <ns0:c r="G404" t="inlineStr">
        <ns0:is>
          <ns0:t>technosphere</ns0:t>
        </ns0:is>
      </ns0:c>
      <ns0:c r="I404" t="n">
        <ns0:v>2</ns0:v>
      </ns0:c>
      <ns0:c r="J404" t="n">
        <ns0:v>-4.721242357240845</ns0:v>
      </ns0:c>
      <ns0:c r="K404" t="n">
        <ns0:v>0.2004993765576342</ns0:v>
      </ns0:c>
      <ns0:c r="L404" t="inlineStr">
        <ns0:is>
          <ns0:t>EcoSpold01Location=UCTE
Premise 2.5.4: Original amount 0.013; scale 0.684931506849315.</ns0:t>
        </ns0:is>
      </ns0:c>
      <ns0:c r="N404" t="b">
        <ns0:v>0</ns0:v>
      </ns0:c>
    </ns0:row>
    <ns0:row r="405">
      <ns0:c r="A405" t="inlineStr">
        <ns0:is>
          <ns0:t>market for heat, district or industrial, natural gas</ns0:t>
        </ns0:is>
      </ns0:c>
      <ns0:c r="B405" t="n">
        <ns0:v>0.04486301369863013</ns0:v>
      </ns0:c>
      <ns0:c r="C405" t="inlineStr">
        <ns0:is>
          <ns0:t>heat, district or industrial, natural gas</ns0:t>
        </ns0:is>
      </ns0:c>
      <ns0:c r="D405" t="inlineStr">
        <ns0:is>
          <ns0:t>RoW</ns0:t>
        </ns0:is>
      </ns0:c>
      <ns0:c r="E405" t="inlineStr">
        <ns0:is>
          <ns0:t>megajoule</ns0:t>
        </ns0:is>
      </ns0:c>
      <ns0:c r="G405" t="inlineStr">
        <ns0:is>
          <ns0:t>technosphere</ns0:t>
        </ns0:is>
      </ns0:c>
      <ns0:c r="I405" t="n">
        <ns0:v>2</ns0:v>
      </ns0:c>
      <ns0:c r="J405" t="n">
        <ns0:v>-3.104141572061176</ns0:v>
      </ns0:c>
      <ns0:c r="K405" t="n">
        <ns0:v>0.2004993765576342</ns0:v>
      </ns0:c>
      <ns0:c r="L405" t="inlineStr">
        <ns0:is>
          <ns0:t>EcoSpold01Location=RER
Premise 2.5.4: Original amount 0.0655; scale 0.684931506849315.</ns0:t>
        </ns0:is>
      </ns0:c>
      <ns0:c r="N405" t="b">
        <ns0:v>0</ns0:v>
      </ns0:c>
    </ns0:row>
    <ns0:row r="406">
      <ns0:c r="A406" t="inlineStr">
        <ns0:is>
          <ns0:t>market for lime</ns0:t>
        </ns0:is>
      </ns0:c>
      <ns0:c r="B406" t="n">
        <ns0:v>0.0003904109589041095</ns0:v>
      </ns0:c>
      <ns0:c r="C406" t="inlineStr">
        <ns0:is>
          <ns0:t>lime</ns0:t>
        </ns0:is>
      </ns0:c>
      <ns0:c r="D406" t="inlineStr">
        <ns0:is>
          <ns0:t>RoW</ns0:t>
        </ns0:is>
      </ns0:c>
      <ns0:c r="E406" t="inlineStr">
        <ns0:is>
          <ns0:t>kilogram</ns0:t>
        </ns0:is>
      </ns0:c>
      <ns0:c r="G406" t="inlineStr">
        <ns0:is>
          <ns0:t>technosphere</ns0:t>
        </ns0:is>
      </ns0:c>
      <ns0:c r="L406" t="inlineStr">
        <ns0:is>
          <ns0:t>Premise 2.5.4: Original amount 0.00057; scale 0.684931506849315.</ns0:t>
        </ns0:is>
      </ns0:c>
    </ns0:row>
    <ns0:row r="407">
      <ns0:c r="A407" t="inlineStr">
        <ns0:is>
          <ns0:t>market for lubricating oil</ns0:t>
        </ns0:is>
      </ns0:c>
      <ns0:c r="B407" t="n">
        <ns0:v>3.150684931506849e-07</ns0:v>
      </ns0:c>
      <ns0:c r="C407" t="inlineStr">
        <ns0:is>
          <ns0:t>lubricating oil</ns0:t>
        </ns0:is>
      </ns0:c>
      <ns0:c r="D407" t="inlineStr">
        <ns0:is>
          <ns0:t>RoW</ns0:t>
        </ns0:is>
      </ns0:c>
      <ns0:c r="E407" t="inlineStr">
        <ns0:is>
          <ns0:t>kilogram</ns0:t>
        </ns0:is>
      </ns0:c>
      <ns0:c r="G407" t="inlineStr">
        <ns0:is>
          <ns0:t>technosphere</ns0:t>
        </ns0:is>
      </ns0:c>
      <ns0:c r="L407" t="inlineStr">
        <ns0:is>
          <ns0:t>Premise 2.5.4: Original amount 4.6e-07; scale 0.684931506849315.</ns0:t>
        </ns0:is>
      </ns0:c>
    </ns0:row>
    <ns0:row r="408">
      <ns0:c r="A408" t="inlineStr">
        <ns0:is>
          <ns0:t>market for scrap steel</ns0:t>
        </ns0:is>
      </ns0:c>
      <ns0:c r="B408" t="n">
        <ns0:v>-2.232876712328767e-06</ns0:v>
      </ns0:c>
      <ns0:c r="C408" t="inlineStr">
        <ns0:is>
          <ns0:t>scrap steel</ns0:t>
        </ns0:is>
      </ns0:c>
      <ns0:c r="D408" t="inlineStr">
        <ns0:is>
          <ns0:t>RoW</ns0:t>
        </ns0:is>
      </ns0:c>
      <ns0:c r="E408" t="inlineStr">
        <ns0:is>
          <ns0:t>kilogram</ns0:t>
        </ns0:is>
      </ns0:c>
      <ns0:c r="G408" t="inlineStr">
        <ns0:is>
          <ns0:t>technosphere</ns0:t>
        </ns0:is>
      </ns0:c>
      <ns0:c r="L408" t="inlineStr">
        <ns0:is>
          <ns0:t>Premise 2.5.4: Original amount -3.26e-06; scale 0.684931506849315.</ns0:t>
        </ns0:is>
      </ns0:c>
    </ns0:row>
    <ns0:row r="409">
      <ns0:c r="A409" t="inlineStr">
        <ns0:is>
          <ns0:t>market for sodium hydroxide, without water, in 50% solution state</ns0:t>
        </ns0:is>
      </ns0:c>
      <ns0:c r="B409" t="n">
        <ns0:v>2.253424657534246e-06</ns0:v>
      </ns0:c>
      <ns0:c r="C409" t="inlineStr">
        <ns0:is>
          <ns0:t>sodium hydroxide, without water, in 50% solution state</ns0:t>
        </ns0:is>
      </ns0:c>
      <ns0:c r="D409" t="inlineStr">
        <ns0:is>
          <ns0:t>GLO</ns0:t>
        </ns0:is>
      </ns0:c>
      <ns0:c r="E409" t="inlineStr">
        <ns0:is>
          <ns0:t>kilogram</ns0:t>
        </ns0:is>
      </ns0:c>
      <ns0:c r="G409" t="inlineStr">
        <ns0:is>
          <ns0:t>technosphere</ns0:t>
        </ns0:is>
      </ns0:c>
      <ns0:c r="I409" t="n">
        <ns0:v>2</ns0:v>
      </ns0:c>
      <ns0:c r="J409" t="n">
        <ns0:v>-13.00305942890724</ns0:v>
      </ns0:c>
      <ns0:c r="K409" t="n">
        <ns0:v>0.2066397831977183</ns0:v>
      </ns0:c>
      <ns0:c r="L409" t="inlineStr">
        <ns0:is>
          <ns0:t>Estimation. Adapted from dataset ''iron pellet production, Quebec, 2011''.
Premise 2.5.4: Original amount 3.29e-06; scale 0.684931506849315.</ns0:t>
        </ns0:is>
      </ns0:c>
      <ns0:c r="N409" t="b">
        <ns0:v>0</ns0:v>
      </ns0:c>
    </ns0:row>
    <ns0:row r="410">
      <ns0:c r="A410" t="inlineStr">
        <ns0:is>
          <ns0:t>market for solvent, organic</ns0:t>
        </ns0:is>
      </ns0:c>
      <ns0:c r="B410" t="n">
        <ns0:v>2.73972602739726e-09</ns0:v>
      </ns0:c>
      <ns0:c r="C410" t="inlineStr">
        <ns0:is>
          <ns0:t>solvent, organic</ns0:t>
        </ns0:is>
      </ns0:c>
      <ns0:c r="D410" t="inlineStr">
        <ns0:is>
          <ns0:t>GLO</ns0:t>
        </ns0:is>
      </ns0:c>
      <ns0:c r="E410" t="inlineStr">
        <ns0:is>
          <ns0:t>kilogram</ns0:t>
        </ns0:is>
      </ns0:c>
      <ns0:c r="G410" t="inlineStr">
        <ns0:is>
          <ns0:t>technosphere</ns0:t>
        </ns0:is>
      </ns0:c>
      <ns0:c r="I410" t="n">
        <ns0:v>2</ns0:v>
      </ns0:c>
      <ns0:c r="J410" t="n">
        <ns0:v>-19.71540791154677</ns0:v>
      </ns0:c>
      <ns0:c r="K410" t="n">
        <ns0:v>0.2</ns0:v>
      </ns0:c>
      <ns0:c r="L410" t="inlineStr">
        <ns0:is>
          <ns0:t>Estimation. Adapted from dataset ''iron pellet production, Quebec, 2011''.
Premise 2.5.4: Original amount 4e-09; scale 0.684931506849315.</ns0:t>
        </ns0:is>
      </ns0:c>
      <ns0:c r="N410" t="b">
        <ns0:v>0</ns0:v>
      </ns0:c>
    </ns0:row>
    <ns0:row r="411">
      <ns0:c r="A411" t="inlineStr">
        <ns0:is>
          <ns0:t>market for spent solvent mixture</ns0:t>
        </ns0:is>
      </ns0:c>
      <ns0:c r="B411" t="n">
        <ns0:v>-1.076518865350938e-09</ns0:v>
      </ns0:c>
      <ns0:c r="C411" t="inlineStr">
        <ns0:is>
          <ns0:t>spent solvent mixture</ns0:t>
        </ns0:is>
      </ns0:c>
      <ns0:c r="D411" t="inlineStr">
        <ns0:is>
          <ns0:t>CH</ns0:t>
        </ns0:is>
      </ns0:c>
      <ns0:c r="E411" t="inlineStr">
        <ns0:is>
          <ns0:t>kilogram</ns0:t>
        </ns0:is>
      </ns0:c>
      <ns0:c r="G411" t="inlineStr">
        <ns0:is>
          <ns0:t>technosphere</ns0:t>
        </ns0:is>
      </ns0:c>
      <ns0:c r="I411" t="n">
        <ns0:v>2</ns0:v>
      </ns0:c>
      <ns0:c r="J411" t="n">
        <ns0:v>-20.64953327456711</ns0:v>
      </ns0:c>
      <ns0:c r="K411" t="n">
        <ns0:v>0.2066397831977183</ns0:v>
      </ns0:c>
      <ns0:c r="L411" t="inlineStr">
        <ns0:is>
          <ns0:t>Estimation. Adapted from dataset ''iron pellet production, Quebec, 2011''.
Premise 2.5.4: Original amount -1.57171754341237e-09; scale 0.684931506849315.</ns0:t>
        </ns0:is>
      </ns0:c>
      <ns0:c r="N411" t="b">
        <ns0:v>1</ns0:v>
      </ns0:c>
    </ns0:row>
    <ns0:row r="412">
      <ns0:c r="A412" t="inlineStr">
        <ns0:is>
          <ns0:t>market for spent solvent mixture</ns0:t>
        </ns0:is>
      </ns0:c>
      <ns0:c r="B412" t="n">
        <ns0:v>-4.594920342698322e-08</ns0:v>
      </ns0:c>
      <ns0:c r="C412" t="inlineStr">
        <ns0:is>
          <ns0:t>spent solvent mixture</ns0:t>
        </ns0:is>
      </ns0:c>
      <ns0:c r="D412" t="inlineStr">
        <ns0:is>
          <ns0:t>Europe without Switzerland</ns0:t>
        </ns0:is>
      </ns0:c>
      <ns0:c r="E412" t="inlineStr">
        <ns0:is>
          <ns0:t>kilogram</ns0:t>
        </ns0:is>
      </ns0:c>
      <ns0:c r="G412" t="inlineStr">
        <ns0:is>
          <ns0:t>technosphere</ns0:t>
        </ns0:is>
      </ns0:c>
      <ns0:c r="I412" t="n">
        <ns0:v>2</ns0:v>
      </ns0:c>
      <ns0:c r="J412" t="n">
        <ns0:v>-16.89572932394279</ns0:v>
      </ns0:c>
      <ns0:c r="K412" t="n">
        <ns0:v>0.2066397831977183</ns0:v>
      </ns0:c>
      <ns0:c r="L412" t="inlineStr">
        <ns0:is>
          <ns0:t>Estimation. Adapted from dataset ''iron pellet production, Quebec, 2011''.
Premise 2.5.4: Original amount -6.70858370033955e-08; scale 0.684931506849315.</ns0:t>
        </ns0:is>
      </ns0:c>
      <ns0:c r="N412" t="b">
        <ns0:v>1</ns0:v>
      </ns0:c>
    </ns0:row>
    <ns0:row r="413">
      <ns0:c r="A413" t="inlineStr">
        <ns0:is>
          <ns0:t>market for steel, unalloyed</ns0:t>
        </ns0:is>
      </ns0:c>
      <ns0:c r="B413" t="n">
        <ns0:v>2.315068493150685e-05</ns0:v>
      </ns0:c>
      <ns0:c r="C413" t="inlineStr">
        <ns0:is>
          <ns0:t>steel, unalloyed</ns0:t>
        </ns0:is>
      </ns0:c>
      <ns0:c r="D413" t="inlineStr">
        <ns0:is>
          <ns0:t>GLO</ns0:t>
        </ns0:is>
      </ns0:c>
      <ns0:c r="E413" t="inlineStr">
        <ns0:is>
          <ns0:t>kilogram</ns0:t>
        </ns0:is>
      </ns0:c>
      <ns0:c r="G413" t="inlineStr">
        <ns0:is>
          <ns0:t>technosphere</ns0:t>
        </ns0:is>
      </ns0:c>
      <ns0:c r="I413" t="n">
        <ns0:v>2</ns0:v>
      </ns0:c>
      <ns0:c r="J413" t="n">
        <ns0:v>-10.67348619119555</ns0:v>
      </ns0:c>
      <ns0:c r="K413" t="n">
        <ns0:v>0.2</ns0:v>
      </ns0:c>
      <ns0:c r="L413" t="inlineStr">
        <ns0:is>
          <ns0:t>Estimation. Adapted from dataset ''iron pellet production, Quebec, 2011''.
Premise 2.5.4: Original amount 3.38e-05; scale 0.684931506849315.</ns0:t>
        </ns0:is>
      </ns0:c>
      <ns0:c r="N413" t="b">
        <ns0:v>0</ns0:v>
      </ns0:c>
    </ns0:row>
    <ns0:row r="414">
      <ns0:c r="A414" t="inlineStr">
        <ns0:is>
          <ns0:t>market for tap water</ns0:t>
        </ns0:is>
      </ns0:c>
      <ns0:c r="B414" t="n">
        <ns0:v>0.01479452054794521</ns0:v>
      </ns0:c>
      <ns0:c r="C414" t="inlineStr">
        <ns0:is>
          <ns0:t>tap water</ns0:t>
        </ns0:is>
      </ns0:c>
      <ns0:c r="D414" t="inlineStr">
        <ns0:is>
          <ns0:t>RoW</ns0:t>
        </ns0:is>
      </ns0:c>
      <ns0:c r="E414" t="inlineStr">
        <ns0:is>
          <ns0:t>kilogram</ns0:t>
        </ns0:is>
      </ns0:c>
      <ns0:c r="G414" t="inlineStr">
        <ns0:is>
          <ns0:t>technosphere</ns0:t>
        </ns0:is>
      </ns0:c>
      <ns0:c r="I414" t="n">
        <ns0:v>2</ns0:v>
      </ns0:c>
      <ns0:c r="J414" t="n">
        <ns0:v>-4.213498400012263</ns0:v>
      </ns0:c>
      <ns0:c r="K414" t="n">
        <ns0:v>0.2066397831977183</ns0:v>
      </ns0:c>
      <ns0:c r="L414" t="inlineStr">
        <ns0:is>
          <ns0:t>Estimation. Adapted from dataset ''iron pellet production, Quebec, 2011''.
Premise 2.5.4: Original amount 0.0216; scale 0.684931506849315.</ns0:t>
        </ns0:is>
      </ns0:c>
      <ns0:c r="N414" t="b">
        <ns0:v>0</ns0:v>
      </ns0:c>
    </ns0:row>
    <ns0:row r="415">
      <ns0:c r="A415" t="inlineStr">
        <ns0:is>
          <ns0:t>market for waste mineral oil</ns0:t>
        </ns0:is>
      </ns0:c>
      <ns0:c r="B415" t="n">
        <ns0:v>-8.029105309618629e-10</ns0:v>
      </ns0:c>
      <ns0:c r="C415" t="inlineStr">
        <ns0:is>
          <ns0:t>waste mineral oil</ns0:t>
        </ns0:is>
      </ns0:c>
      <ns0:c r="D415" t="inlineStr">
        <ns0:is>
          <ns0:t>CH</ns0:t>
        </ns0:is>
      </ns0:c>
      <ns0:c r="E415" t="inlineStr">
        <ns0:is>
          <ns0:t>kilogram</ns0:t>
        </ns0:is>
      </ns0:c>
      <ns0:c r="G415" t="inlineStr">
        <ns0:is>
          <ns0:t>technosphere</ns0:t>
        </ns0:is>
      </ns0:c>
      <ns0:c r="I415" t="n">
        <ns0:v>2</ns0:v>
      </ns0:c>
      <ns0:c r="J415" t="n">
        <ns0:v>-20.94277782666767</ns0:v>
      </ns0:c>
      <ns0:c r="K415" t="n">
        <ns0:v>0.2066397831977183</ns0:v>
      </ns0:c>
      <ns0:c r="L415" t="inlineStr">
        <ns0:is>
          <ns0:t>Estimation. Adapted from dataset ''iron pellet production, Quebec, 2011''.
Premise 2.5.4: Original amount -1.17224937520432e-09; scale 0.684931506849315.</ns0:t>
        </ns0:is>
      </ns0:c>
      <ns0:c r="N415" t="b">
        <ns0:v>1</ns0:v>
      </ns0:c>
    </ns0:row>
    <ns0:row r="416">
      <ns0:c r="A416" t="inlineStr">
        <ns0:is>
          <ns0:t>market for waste mineral oil</ns0:t>
        </ns0:is>
      </ns0:c>
      <ns0:c r="B416" t="n">
        <ns0:v>-3.243293790129993e-08</ns0:v>
      </ns0:c>
      <ns0:c r="C416" t="inlineStr">
        <ns0:is>
          <ns0:t>waste mineral oil</ns0:t>
        </ns0:is>
      </ns0:c>
      <ns0:c r="D416" t="inlineStr">
        <ns0:is>
          <ns0:t>Europe without Switzerland</ns0:t>
        </ns0:is>
      </ns0:c>
      <ns0:c r="E416" t="inlineStr">
        <ns0:is>
          <ns0:t>kilogram</ns0:t>
        </ns0:is>
      </ns0:c>
      <ns0:c r="G416" t="inlineStr">
        <ns0:is>
          <ns0:t>technosphere</ns0:t>
        </ns0:is>
      </ns0:c>
      <ns0:c r="I416" t="n">
        <ns0:v>2</ns0:v>
      </ns0:c>
      <ns0:c r="J416" t="n">
        <ns0:v>-17.24409132864591</ns0:v>
      </ns0:c>
      <ns0:c r="K416" t="n">
        <ns0:v>0.2066397831977183</ns0:v>
      </ns0:c>
      <ns0:c r="L416" t="inlineStr">
        <ns0:is>
          <ns0:t>Estimation. Adapted from dataset ''iron pellet production, Quebec, 2011''.
Premise 2.5.4: Original amount -4.73520893358979e-08; scale 0.684931506849315.</ns0:t>
        </ns0:is>
      </ns0:c>
      <ns0:c r="N416" t="b">
        <ns0:v>1</ns0:v>
      </ns0:c>
    </ns0:row>
    <ns0:row r="417">
      <ns0:c r="A417" t="inlineStr">
        <ns0:is>
          <ns0:t>vanadium bearing magnetite production</ns0:t>
        </ns0:is>
      </ns0:c>
      <ns0:c r="B417" t="n">
        <ns0:v>1.047945205479452</ns0:v>
      </ns0:c>
      <ns0:c r="C417" t="inlineStr">
        <ns0:is>
          <ns0:t>vanadium bearing magnetite</ns0:t>
        </ns0:is>
      </ns0:c>
      <ns0:c r="D417" t="inlineStr">
        <ns0:is>
          <ns0:t>ZA</ns0:t>
        </ns0:is>
      </ns0:c>
      <ns0:c r="E417" t="inlineStr">
        <ns0:is>
          <ns0:t>kilogram</ns0:t>
        </ns0:is>
      </ns0:c>
      <ns0:c r="G417" t="inlineStr">
        <ns0:is>
          <ns0:t>technosphere</ns0:t>
        </ns0:is>
      </ns0:c>
      <ns0:c r="L417" t="inlineStr">
        <ns0:is>
          <ns0:t>Premise 2.5.4: Original amount 1.53; scale 0.684931506849315.</ns0:t>
        </ns0:is>
      </ns0:c>
    </ns0:row>
    <ns0:row r="418"/>
    <ns0:row r="419">
      <ns0:c r="A419" s="1" t="inlineStr">
        <ns0:is>
          <ns0:t>Activity</ns0:t>
        </ns0:is>
      </ns0:c>
      <ns0:c r="B419" s="1" t="inlineStr">
        <ns0:is>
          <ns0:t>vanadium bearing magnetite production</ns0:t>
        </ns0:is>
      </ns0:c>
    </ns0:row>
    <ns0:row r="420">
      <ns0:c r="A420" t="inlineStr">
        <ns0:is>
          <ns0:t>comment</ns0:t>
        </ns0:is>
      </ns0:c>
      <ns0:c r="B420" t="inlineStr">
        <ns0:is>
          <ns0:t xml:space="preserve">Premise 2.5.4: attributional mining inventory, Weber et al. (2018), doi:10.1021/acs.est.8b02073, supporting information, Table S9. Joint outputs: 1.53 kg vanadium-bearing magnetite and 0.46 kg ilmenite. Economic share of shared burdens: 0.5868558156610613; formula = (1.53 * 0.075168516669567) / (1.53 * 0.075168516669567 + 0.46 * 0.176011). Prices are EUR2005/kg from the magnetite and ilmenite production exchanges of ecoinvent 3.12 cut-off, ilmenite - magnetite mine operation, GLO. Ordinary magnetite is a price proxy: no vanadium premium is assumed. The ilmenite substitution credit is removed. Iron and vanadium extraction are assigned to the magnetite output; titanium extraction is assigned to the separated ilmenite. These product-specific resource flows are not economically scaled. This is a fixed foreground assumption for all supported background versions. Lognormal uncertainties of changed exchanges are centered on the corrected absolute amount (loc = ln(abs(amount))); relative scale is retained. 
Original source notes: WARNING: Original LCI exchanges have been normalized to 1. Uncertainty data must be checked. Source: Weber et al. (2018). Life cycle assessment of a vanadium redox flow battery. Environmental science &amp; technology, 52(18), 10864-10873. https://doi.org/10.1021/acs.est.8b02073. Comments on modelling. All the flows related to energy consumption are based on U.S. Department of Energy survay from 2007 on Mining Industry (http://www1.eere.energy.gov/manufacturing/industries_technologies/mining/pdfs/mining_bandwidth.pdf). The emissions are based on limestone quarry operation and production datasets. The land use and occupation is based on rough measurements from map.
Ilmenite and magnetite mining from hard-rock ore. Based on Tellnes mine (Norway) and Lac Allard mine (Canada).
Geography:  Data on energy consumption are based on survey of mining operation sites in the U.S. This data are considered to be representative for the global activity. </ns0:t>
        </ns0:is>
      </ns0:c>
    </ns0:row>
    <ns0:row r="421">
      <ns0:c r="A421" t="inlineStr">
        <ns0:is>
          <ns0:t>location</ns0:t>
        </ns0:is>
      </ns0:c>
      <ns0:c r="B421" t="inlineStr">
        <ns0:is>
          <ns0:t>ZA</ns0:t>
        </ns0:is>
      </ns0:c>
    </ns0:row>
    <ns0:row r="422">
      <ns0:c r="A422" t="inlineStr">
        <ns0:is>
          <ns0:t>production amount</ns0:t>
        </ns0:is>
      </ns0:c>
      <ns0:c r="B422" t="n">
        <ns0:v>1</ns0:v>
      </ns0:c>
    </ns0:row>
    <ns0:row r="423">
      <ns0:c r="A423" t="inlineStr">
        <ns0:is>
          <ns0:t>reference product</ns0:t>
        </ns0:is>
      </ns0:c>
      <ns0:c r="B423" t="inlineStr">
        <ns0:is>
          <ns0:t>vanadium bearing magnetite</ns0:t>
        </ns0:is>
      </ns0:c>
    </ns0:row>
    <ns0:row r="424">
      <ns0:c r="A424" t="inlineStr">
        <ns0:is>
          <ns0:t>unit</ns0:t>
        </ns0:is>
      </ns0:c>
      <ns0:c r="B424" t="inlineStr">
        <ns0:is>
          <ns0:t>kilogram</ns0:t>
        </ns0:is>
      </ns0:c>
    </ns0:row>
    <ns0:row r="425">
      <ns0:c r="A425" t="inlineStr">
        <ns0:is>
          <ns0:t>source</ns0:t>
        </ns0:is>
      </ns0:c>
      <ns0:c r="B425" t="inlineStr">
        <ns0:is>
          <ns0:t>Inventory provided by Zhang et al. (2024). Originally from Weber et al. (2018). Life cycle assessment of a vanadium redox flow battery. Environmental science &amp; technology, 52(18), 10864-10873. https://doi.org/10.1021/acs.est.8b02073</ns0:t>
        </ns0:is>
      </ns0:c>
    </ns0:row>
    <ns0:row r="426">
      <ns0:c r="A426" s="1" t="inlineStr">
        <ns0:is>
          <ns0:t>Exchanges</ns0:t>
        </ns0:is>
      </ns0:c>
    </ns0:row>
    <ns0:row r="427">
      <ns0:c r="A427" t="inlineStr">
        <ns0:is>
          <ns0:t>name</ns0:t>
        </ns0:is>
      </ns0:c>
      <ns0:c r="B427" t="inlineStr">
        <ns0:is>
          <ns0:t>amount</ns0:t>
        </ns0:is>
      </ns0:c>
      <ns0:c r="C427" t="inlineStr">
        <ns0:is>
          <ns0:t>reference product</ns0:t>
        </ns0:is>
      </ns0:c>
      <ns0:c r="D427" t="inlineStr">
        <ns0:is>
          <ns0:t>location</ns0:t>
        </ns0:is>
      </ns0:c>
      <ns0:c r="E427" t="inlineStr">
        <ns0:is>
          <ns0:t>unit</ns0:t>
        </ns0:is>
      </ns0:c>
      <ns0:c r="F427" t="inlineStr">
        <ns0:is>
          <ns0:t>categories</ns0:t>
        </ns0:is>
      </ns0:c>
      <ns0:c r="G427" t="inlineStr">
        <ns0:is>
          <ns0:t>type</ns0:t>
        </ns0:is>
      </ns0:c>
      <ns0:c r="H427" t="inlineStr">
        <ns0:is>
          <ns0:t>formula</ns0:t>
        </ns0:is>
      </ns0:c>
      <ns0:c r="I427" t="inlineStr">
        <ns0:is>
          <ns0:t>uncertainty type</ns0:t>
        </ns0:is>
      </ns0:c>
      <ns0:c r="J427" t="inlineStr">
        <ns0:is>
          <ns0:t>loc</ns0:t>
        </ns0:is>
      </ns0:c>
      <ns0:c r="K427" t="inlineStr">
        <ns0:is>
          <ns0:t>scale</ns0:t>
        </ns0:is>
      </ns0:c>
      <ns0:c r="L427" t="inlineStr">
        <ns0:is>
          <ns0:t>comment</ns0:t>
        </ns0:is>
      </ns0:c>
    </ns0:row>
    <ns0:row r="428">
      <ns0:c r="A428" t="inlineStr">
        <ns0:is>
          <ns0:t>Iron</ns0:t>
        </ns0:is>
      </ns0:c>
      <ns0:c r="B428" t="n">
        <ns0:v>0.7058823529411765</ns0:v>
      </ns0:c>
      <ns0:c r="E428" t="inlineStr">
        <ns0:is>
          <ns0:t>kilogram</ns0:t>
        </ns0:is>
      </ns0:c>
      <ns0:c r="F428" t="inlineStr">
        <ns0:is>
          <ns0:t>natural resource::in ground</ns0:t>
        </ns0:is>
      </ns0:c>
      <ns0:c r="G428" t="inlineStr">
        <ns0:is>
          <ns0:t>biosphere</ns0:t>
        </ns0:is>
      </ns0:c>
      <ns0:c r="L428" t="inlineStr">
        <ns0:is>
          <ns0:t>Premise 2.5.4: Element-specific extraction assigned to the magnetite output; no economic allocation of this flow.</ns0:t>
        </ns0:is>
      </ns0:c>
    </ns0:row>
    <ns0:row r="429">
      <ns0:c r="A429" t="inlineStr">
        <ns0:is>
          <ns0:t>Occupation, mineral extraction site</ns0:t>
        </ns0:is>
      </ns0:c>
      <ns0:c r="B429" t="n">
        <ns0:v>0.000955079072546433</ns0:v>
      </ns0:c>
      <ns0:c r="E429" t="inlineStr">
        <ns0:is>
          <ns0:t>square meter-year</ns0:t>
        </ns0:is>
      </ns0:c>
      <ns0:c r="F429" t="inlineStr">
        <ns0:is>
          <ns0:t>natural resource::land</ns0:t>
        </ns0:is>
      </ns0:c>
      <ns0:c r="G429" t="inlineStr">
        <ns0:is>
          <ns0:t>biosphere</ns0:t>
        </ns0:is>
      </ns0:c>
      <ns0:c r="I429" t="n">
        <ns0:v>2</ns0:v>
      </ns0:c>
      <ns0:c r="J429" t="n">
        <ns0:v>-6.953716422433208</ns0:v>
      </ns0:c>
      <ns0:c r="K429" t="n">
        <ns0:v>0.2097617696340303</ns0:v>
      </ns0:c>
      <ns0:c r="L429" t="inlineStr">
        <ns0:is>
          <ns0:t>Calculated based on literature values and assumtion. So far there is no mention in the literature thet either allard mine or tellnes mine are being recultivated. It is assumed that the used land is recultivated after 30 years.
Premise 2.5.4: Original amount 0.001627450980392157; scale 0.5868558156610613.</ns0:t>
        </ns0:is>
      </ns0:c>
    </ns0:row>
    <ns0:row r="430">
      <ns0:c r="A430" t="inlineStr">
        <ns0:is>
          <ns0:t>Particulate Matter, &lt; 2.5 um</ns0:t>
        </ns0:is>
      </ns0:c>
      <ns0:c r="B430" t="n">
        <ns0:v>6.789116298824042e-06</ns0:v>
      </ns0:c>
      <ns0:c r="E430" t="inlineStr">
        <ns0:is>
          <ns0:t>kilogram</ns0:t>
        </ns0:is>
      </ns0:c>
      <ns0:c r="F430" t="inlineStr">
        <ns0:is>
          <ns0:t>air::non-urban air or from high stacks</ns0:t>
        </ns0:is>
      </ns0:c>
      <ns0:c r="G430" t="inlineStr">
        <ns0:is>
          <ns0:t>biosphere</ns0:t>
        </ns0:is>
      </ns0:c>
      <ns0:c r="I430" t="n">
        <ns0:v>2</ns0:v>
      </ns0:c>
      <ns0:c r="J430" t="n">
        <ns0:v>-11.90018977231218</ns0:v>
      </ns0:c>
      <ns0:c r="K430" t="n">
        <ns0:v>0.4560701700396552</ns0:v>
      </ns0:c>
      <ns0:c r="L430" t="inlineStr">
        <ns0:is>
          <ns0:t>Estimate, based on "limestone quarry operation" and "limestone production, crushed, for mill" datasets.
Premise 2.5.4: Original amount 1.156862745098039e-05; scale 0.5868558156610613.</ns0:t>
        </ns0:is>
      </ns0:c>
    </ns0:row>
    <ns0:row r="431">
      <ns0:c r="A431" t="inlineStr">
        <ns0:is>
          <ns0:t>Particulate Matter, &gt; 10 um</ns0:t>
        </ns0:is>
      </ns0:c>
      <ns0:c r="B431" t="n">
        <ns0:v>9.090511654357615e-05</ns0:v>
      </ns0:c>
      <ns0:c r="E431" t="inlineStr">
        <ns0:is>
          <ns0:t>kilogram</ns0:t>
        </ns0:is>
      </ns0:c>
      <ns0:c r="F431" t="inlineStr">
        <ns0:is>
          <ns0:t>air::non-urban air or from high stacks</ns0:t>
        </ns0:is>
      </ns0:c>
      <ns0:c r="G431" t="inlineStr">
        <ns0:is>
          <ns0:t>biosphere</ns0:t>
        </ns0:is>
      </ns0:c>
      <ns0:c r="I431" t="n">
        <ns0:v>2</ns0:v>
      </ns0:c>
      <ns0:c r="J431" t="n">
        <ns0:v>-9.305694270756831</ns0:v>
      </ns0:c>
      <ns0:c r="K431" t="n">
        <ns0:v>0.4560701700396552</ns0:v>
      </ns0:c>
      <ns0:c r="L431" t="inlineStr">
        <ns0:is>
          <ns0:t>Estimate, based on "limestone quarry operation" and "limestone production, crushed, for mill" datasets.
Premise 2.5.4: Original amount 0.0001549019607843137; scale 0.5868558156610613.</ns0:t>
        </ns0:is>
      </ns0:c>
    </ns0:row>
    <ns0:row r="432">
      <ns0:c r="A432" t="inlineStr">
        <ns0:is>
          <ns0:t>Particulate Matter, &gt; 2.5 um and &lt; 10um</ns0:t>
        </ns0:is>
      </ns0:c>
      <ns0:c r="B432" t="n">
        <ns0:v>3.670725592076049e-05</ns0:v>
      </ns0:c>
      <ns0:c r="E432" t="inlineStr">
        <ns0:is>
          <ns0:t>kilogram</ns0:t>
        </ns0:is>
      </ns0:c>
      <ns0:c r="F432" t="inlineStr">
        <ns0:is>
          <ns0:t>air::non-urban air or from high stacks</ns0:t>
        </ns0:is>
      </ns0:c>
      <ns0:c r="G432" t="inlineStr">
        <ns0:is>
          <ns0:t>biosphere</ns0:t>
        </ns0:is>
      </ns0:c>
      <ns0:c r="I432" t="n">
        <ns0:v>2</ns0:v>
      </ns0:c>
      <ns0:c r="J432" t="n">
        <ns0:v>-10.21253611343305</ns0:v>
      </ns0:c>
      <ns0:c r="K432" t="n">
        <ns0:v>0.4560701700396552</ns0:v>
      </ns0:c>
      <ns0:c r="L432" t="inlineStr">
        <ns0:is>
          <ns0:t>Estimate, based on "limestone quarry operation" and "limestone production, crushed, for mill" datasets.
Premise 2.5.4: Original amount 6.254901960784313e-05; scale 0.5868558156610613.</ns0:t>
        </ns0:is>
      </ns0:c>
    </ns0:row>
    <ns0:row r="433">
      <ns0:c r="A433" t="inlineStr">
        <ns0:is>
          <ns0:t>Transformation, from forest, unspecified</ns0:t>
        </ns0:is>
      </ns0:c>
      <ns0:c r="B433" t="n">
        <ns0:v>3.179761249562221e-05</ns0:v>
      </ns0:c>
      <ns0:c r="E433" t="inlineStr">
        <ns0:is>
          <ns0:t>square meter</ns0:t>
        </ns0:is>
      </ns0:c>
      <ns0:c r="F433" t="inlineStr">
        <ns0:is>
          <ns0:t>natural resource::land</ns0:t>
        </ns0:is>
      </ns0:c>
      <ns0:c r="G433" t="inlineStr">
        <ns0:is>
          <ns0:t>biosphere</ns0:t>
        </ns0:is>
      </ns0:c>
      <ns0:c r="H433" t="inlineStr">
        <ns0:is>
          <ns0:t>CORINE 31</ns0:t>
        </ns0:is>
      </ns0:c>
      <ns0:c r="I433" t="n">
        <ns0:v>2</ns0:v>
      </ns0:c>
      <ns0:c r="J433" t="n">
        <ns0:v>-10.35611934975071</ns0:v>
      </ns0:c>
      <ns0:c r="K433" t="n">
        <ns0:v>0.2097617696340303</ns0:v>
      </ns0:c>
      <ns0:c r="L433" t="inlineStr">
        <ns0:is>
          <ns0:t>Area of Tellnes mine (Norway) and Allard mine (Canada).
Premise 2.5.4: Original amount 5.418300653594771e-05; scale 0.5868558156610613.</ns0:t>
        </ns0:is>
      </ns0:c>
    </ns0:row>
    <ns0:row r="434">
      <ns0:c r="A434" t="inlineStr">
        <ns0:is>
          <ns0:t>Transformation, to mineral extraction site</ns0:t>
        </ns0:is>
      </ns0:c>
      <ns0:c r="B434" t="n">
        <ns0:v>3.179761249562221e-05</ns0:v>
      </ns0:c>
      <ns0:c r="E434" t="inlineStr">
        <ns0:is>
          <ns0:t>square meter</ns0:t>
        </ns0:is>
      </ns0:c>
      <ns0:c r="F434" t="inlineStr">
        <ns0:is>
          <ns0:t>natural resource::land</ns0:t>
        </ns0:is>
      </ns0:c>
      <ns0:c r="G434" t="inlineStr">
        <ns0:is>
          <ns0:t>biosphere</ns0:t>
        </ns0:is>
      </ns0:c>
      <ns0:c r="H434" t="inlineStr">
        <ns0:is>
          <ns0:t>CORINE 131</ns0:t>
        </ns0:is>
      </ns0:c>
      <ns0:c r="I434" t="n">
        <ns0:v>2</ns0:v>
      </ns0:c>
      <ns0:c r="J434" t="n">
        <ns0:v>-10.35611934975071</ns0:v>
      </ns0:c>
      <ns0:c r="K434" t="n">
        <ns0:v>0.2097617696340303</ns0:v>
      </ns0:c>
      <ns0:c r="L434" t="inlineStr">
        <ns0:is>
          <ns0:t>Area of Tellnes mine (Norway) and Allard mine (Canada).
Premise 2.5.4: Original amount 5.418300653594771e-05; scale 0.5868558156610613.</ns0:t>
        </ns0:is>
      </ns0:c>
    </ns0:row>
    <ns0:row r="435">
      <ns0:c r="A435" t="inlineStr">
        <ns0:is>
          <ns0:t>Vanadium</ns0:t>
        </ns0:is>
      </ns0:c>
      <ns0:c r="B435" t="n">
        <ns0:v>0.01241830065359477</ns0:v>
      </ns0:c>
      <ns0:c r="E435" t="inlineStr">
        <ns0:is>
          <ns0:t>kilogram</ns0:t>
        </ns0:is>
      </ns0:c>
      <ns0:c r="F435" t="inlineStr">
        <ns0:is>
          <ns0:t>natural resource::in ground</ns0:t>
        </ns0:is>
      </ns0:c>
      <ns0:c r="G435" t="inlineStr">
        <ns0:is>
          <ns0:t>biosphere</ns0:t>
        </ns0:is>
      </ns0:c>
      <ns0:c r="L435" t="inlineStr">
        <ns0:is>
          <ns0:t>Premise 2.5.4: Element-specific extraction assigned to the magnetite output; no economic allocation of this flow.</ns0:t>
        </ns0:is>
      </ns0:c>
    </ns0:row>
    <ns0:row r="436">
      <ns0:c r="A436" t="inlineStr">
        <ns0:is>
          <ns0:t>Water</ns0:t>
        </ns0:is>
      </ns0:c>
      <ns0:c r="B436" t="n">
        <ns0:v>0.003371544195856685</ns0:v>
      </ns0:c>
      <ns0:c r="E436" t="inlineStr">
        <ns0:is>
          <ns0:t>cubic meter</ns0:t>
        </ns0:is>
      </ns0:c>
      <ns0:c r="F436" t="inlineStr">
        <ns0:is>
          <ns0:t>air</ns0:t>
        </ns0:is>
      </ns0:c>
      <ns0:c r="G436" t="inlineStr">
        <ns0:is>
          <ns0:t>biosphere</ns0:t>
        </ns0:is>
      </ns0:c>
      <ns0:c r="H436" t="inlineStr">
        <ns0:is>
          <ns0:t>H2O</ns0:t>
        </ns0:is>
      </ns0:c>
      <ns0:c r="I436" t="n">
        <ns0:v>2</ns0:v>
      </ns0:c>
      <ns0:c r="J436" t="n">
        <ns0:v>-5.692384421212739</ns0:v>
      </ns0:c>
      <ns0:c r="K436" t="n">
        <ns0:v>0.3605897946420558</ns0:v>
      </ns0:c>
      <ns0:c r="L436" t="inlineStr">
        <ns0:is>
          <ns0:t>Calculated value based on literature values and expert opinion. See comments in the parametres' comment field.
Premise 2.5.4: Original amount 0.005745098039215686; scale 0.5868558156610613.</ns0:t>
        </ns0:is>
      </ns0:c>
    </ns0:row>
    <ns0:row r="437">
      <ns0:c r="A437" t="inlineStr">
        <ns0:is>
          <ns0:t>Water</ns0:t>
        </ns0:is>
      </ns0:c>
      <ns0:c r="B437" t="n">
        <ns0:v>1.910158145092866e-05</ns0:v>
      </ns0:c>
      <ns0:c r="E437" t="inlineStr">
        <ns0:is>
          <ns0:t>cubic meter</ns0:t>
        </ns0:is>
      </ns0:c>
      <ns0:c r="F437" t="inlineStr">
        <ns0:is>
          <ns0:t>water</ns0:t>
        </ns0:is>
      </ns0:c>
      <ns0:c r="G437" t="inlineStr">
        <ns0:is>
          <ns0:t>biosphere</ns0:t>
        </ns0:is>
      </ns0:c>
      <ns0:c r="H437" t="inlineStr">
        <ns0:is>
          <ns0:t>H2O</ns0:t>
        </ns0:is>
      </ns0:c>
      <ns0:c r="I437" t="n">
        <ns0:v>2</ns0:v>
      </ns0:c>
      <ns0:c r="J437" t="n">
        <ns0:v>-10.86573942786135</ns0:v>
      </ns0:c>
      <ns0:c r="K437" t="n">
        <ns0:v>0.3605897946420558</ns0:v>
      </ns0:c>
      <ns0:c r="L437" t="inlineStr">
        <ns0:is>
          <ns0:t>Calculated value based on literature values and expert opinion. See comments in the parametres' comment field.
Premise 2.5.4: Original amount 3.254901960784314e-05; scale 0.5868558156610613.</ns0:t>
        </ns0:is>
      </ns0:c>
    </ns0:row>
    <ns0:row r="438">
      <ns0:c r="A438" t="inlineStr">
        <ns0:is>
          <ns0:t>Water, well, in ground</ns0:t>
        </ns0:is>
      </ns0:c>
      <ns0:c r="B438" t="n">
        <ns0:v>1.759033183412828e-05</ns0:v>
      </ns0:c>
      <ns0:c r="E438" t="inlineStr">
        <ns0:is>
          <ns0:t>cubic meter</ns0:t>
        </ns0:is>
      </ns0:c>
      <ns0:c r="F438" t="inlineStr">
        <ns0:is>
          <ns0:t>natural resource::in water</ns0:t>
        </ns0:is>
      </ns0:c>
      <ns0:c r="G438" t="inlineStr">
        <ns0:is>
          <ns0:t>biosphere</ns0:t>
        </ns0:is>
      </ns0:c>
      <ns0:c r="H438" t="inlineStr">
        <ns0:is>
          <ns0:t>H2O</ns0:t>
        </ns0:is>
      </ns0:c>
      <ns0:c r="I438" t="n">
        <ns0:v>2</ns0:v>
      </ns0:c>
      <ns0:c r="J438" t="n">
        <ns0:v>-10.9481611344622</ns0:v>
      </ns0:c>
      <ns0:c r="K438" t="n">
        <ns0:v>0.4560701700396552</ns0:v>
      </ns0:c>
      <ns0:c r="L438" t="inlineStr">
        <ns0:is>
          <ns0:t>Estimate, based on "limestone production, crushed, for mill" dataset.
Premise 2.5.4: Original amount 2.997385620915032e-05; scale 0.5868558156610613.</ns0:t>
        </ns0:is>
      </ns0:c>
    </ns0:row>
    <ns0:row r="439">
      <ns0:c r="A439" t="inlineStr">
        <ns0:is>
          <ns0:t>vanadium bearing magnetite production</ns0:t>
        </ns0:is>
      </ns0:c>
      <ns0:c r="B439" t="n">
        <ns0:v>1</ns0:v>
      </ns0:c>
      <ns0:c r="C439" t="inlineStr">
        <ns0:is>
          <ns0:t>vanadium bearing magnetite</ns0:t>
        </ns0:is>
      </ns0:c>
      <ns0:c r="D439" t="inlineStr">
        <ns0:is>
          <ns0:t>ZA</ns0:t>
        </ns0:is>
      </ns0:c>
      <ns0:c r="E439" t="inlineStr">
        <ns0:is>
          <ns0:t>kilogram</ns0:t>
        </ns0:is>
      </ns0:c>
      <ns0:c r="G439" t="inlineStr">
        <ns0:is>
          <ns0:t>production</ns0:t>
        </ns0:is>
      </ns0:c>
      <ns0:c r="I439" t="n">
        <ns0:v>0</ns0:v>
      </ns0:c>
      <ns0:c r="J439" t="n">
        <ns0:v>1</ns0:v>
      </ns0:c>
      <ns0:c r="L439" t="inlineStr">
        <ns0:is>
          <ns0:t>Premise 2.5.4: Original amount 1; scale 0.5868558156610613.</ns0:t>
        </ns0:is>
      </ns0:c>
    </ns0:row>
    <ns0:row r="440">
      <ns0:c r="A440" t="inlineStr">
        <ns0:is>
          <ns0:t>market for blasting</ns0:t>
        </ns0:is>
      </ns0:c>
      <ns0:c r="B440" t="n">
        <ns0:v>5.945271335128399e-05</ns0:v>
      </ns0:c>
      <ns0:c r="C440" t="inlineStr">
        <ns0:is>
          <ns0:t>blasting</ns0:t>
        </ns0:is>
      </ns0:c>
      <ns0:c r="D440" t="inlineStr">
        <ns0:is>
          <ns0:t>GLO</ns0:t>
        </ns0:is>
      </ns0:c>
      <ns0:c r="E440" t="inlineStr">
        <ns0:is>
          <ns0:t>kilogram</ns0:t>
        </ns0:is>
      </ns0:c>
      <ns0:c r="G440" t="inlineStr">
        <ns0:is>
          <ns0:t>technosphere</ns0:t>
        </ns0:is>
      </ns0:c>
      <ns0:c r="I440" t="n">
        <ns0:v>2</ns0:v>
      </ns0:c>
      <ns0:c r="J440" t="n">
        <ns0:v>-9.730329294972714</ns0:v>
      </ns0:c>
      <ns0:c r="K440" t="n">
        <ns0:v>0.6841052550594828</ns0:v>
      </ns0:c>
      <ns0:c r="L440" t="inlineStr">
        <ns0:is>
          <ns0:t>Estimate, based on "limestone production, crushed, for mill" dataset.
Premise 2.5.4: Original amount 0.0001013071895424837; scale 0.5868558156610613.</ns0:t>
        </ns0:is>
      </ns0:c>
    </ns0:row>
    <ns0:row r="441">
      <ns0:c r="A441" t="inlineStr">
        <ns0:is>
          <ns0:t>market for conveyor belt</ns0:t>
        </ns0:is>
      </ns0:c>
      <ns0:c r="B441" t="n">
        <ns0:v>2.132626362794445e-08</ns0:v>
      </ns0:c>
      <ns0:c r="C441" t="inlineStr">
        <ns0:is>
          <ns0:t>conveyor belt</ns0:t>
        </ns0:is>
      </ns0:c>
      <ns0:c r="D441" t="inlineStr">
        <ns0:is>
          <ns0:t>GLO</ns0:t>
        </ns0:is>
      </ns0:c>
      <ns0:c r="E441" t="inlineStr">
        <ns0:is>
          <ns0:t>meter</ns0:t>
        </ns0:is>
      </ns0:c>
      <ns0:c r="G441" t="inlineStr">
        <ns0:is>
          <ns0:t>technosphere</ns0:t>
        </ns0:is>
      </ns0:c>
      <ns0:c r="I441" t="n">
        <ns0:v>2</ns0:v>
      </ns0:c>
      <ns0:c r="J441" t="n">
        <ns0:v>-17.66332648961756</ns0:v>
      </ns0:c>
      <ns0:c r="K441" t="n">
        <ns0:v>0.6841052550594828</ns0:v>
      </ns0:c>
      <ns0:c r="L441" t="inlineStr">
        <ns0:is>
          <ns0:t>Estimate, based on "limestone production, crushed, for mill" dataset.
Premise 2.5.4: Original amount 3.633986928104575e-08; scale 0.5868558156610613.</ns0:t>
        </ns0:is>
      </ns0:c>
    </ns0:row>
    <ns0:row r="442">
      <ns0:c r="A442" t="inlineStr">
        <ns0:is>
          <ns0:t>market for diesel, burned in diesel-electric generating set, 10MW</ns0:t>
        </ns0:is>
      </ns0:c>
      <ns0:c r="B442" t="n">
        <ns0:v>0.009128868243616509</ns0:v>
      </ns0:c>
      <ns0:c r="C442" t="inlineStr">
        <ns0:is>
          <ns0:t>diesel, burned in diesel-electric generating set, 10MW</ns0:t>
        </ns0:is>
      </ns0:c>
      <ns0:c r="D442" t="inlineStr">
        <ns0:is>
          <ns0:t>GLO</ns0:t>
        </ns0:is>
      </ns0:c>
      <ns0:c r="E442" t="inlineStr">
        <ns0:is>
          <ns0:t>megajoule</ns0:t>
        </ns0:is>
      </ns0:c>
      <ns0:c r="G442" t="inlineStr">
        <ns0:is>
          <ns0:t>technosphere</ns0:t>
        </ns0:is>
      </ns0:c>
      <ns0:c r="I442" t="n">
        <ns0:v>2</ns0:v>
      </ns0:c>
      <ns0:c r="J442" t="n">
        <ns0:v>-4.696313552232396</ns0:v>
      </ns0:c>
      <ns0:c r="K442" t="n">
        <ns0:v>0.2275961335348208</ns0:v>
      </ns0:c>
      <ns0:c r="L442" t="inlineStr">
        <ns0:is>
          <ns0:t>Estimate based on U.S. Department of Energy (http://www1.eere.energy.gov/manufacturing/industries_technologies/mining/pdfs/mining_bandwidth.pdf) report describing energy consumption during mining of unspecified minerals.
Premise 2.5.4: Original amount 0.01555555555555556; scale 0.5868558156610613.</ns0:t>
        </ns0:is>
      </ns0:c>
    </ns0:row>
    <ns0:row r="443">
      <ns0:c r="A443" t="inlineStr">
        <ns0:is>
          <ns0:t>market for electricity, medium voltage</ns0:t>
        </ns0:is>
      </ns0:c>
      <ns0:c r="B443" t="n">
        <ns0:v>0.005523348853280576</ns0:v>
      </ns0:c>
      <ns0:c r="C443" t="inlineStr">
        <ns0:is>
          <ns0:t>electricity, medium voltage</ns0:t>
        </ns0:is>
      </ns0:c>
      <ns0:c r="D443" t="inlineStr">
        <ns0:is>
          <ns0:t>ZA</ns0:t>
        </ns0:is>
      </ns0:c>
      <ns0:c r="E443" t="inlineStr">
        <ns0:is>
          <ns0:t>kilowatt hour</ns0:t>
        </ns0:is>
      </ns0:c>
      <ns0:c r="G443" t="inlineStr">
        <ns0:is>
          <ns0:t>technosphere</ns0:t>
        </ns0:is>
      </ns0:c>
      <ns0:c r="L443" t="inlineStr">
        <ns0:is>
          <ns0:t>Premise 2.5.4: Original amount 0.009411764705882352; scale 0.5868558156610613.</ns0:t>
        </ns0:is>
      </ns0:c>
    </ns0:row>
    <ns0:row r="444">
      <ns0:c r="A444" t="inlineStr">
        <ns0:is>
          <ns0:t>market for industrial machine, heavy, unspecified</ns0:t>
        </ns0:is>
      </ns0:c>
      <ns0:c r="B444" t="n">
        <ns0:v>4.679503889584933e-06</ns0:v>
      </ns0:c>
      <ns0:c r="C444" t="inlineStr">
        <ns0:is>
          <ns0:t>industrial machine, heavy, unspecified</ns0:t>
        </ns0:is>
      </ns0:c>
      <ns0:c r="D444" t="inlineStr">
        <ns0:is>
          <ns0:t>RoW</ns0:t>
        </ns0:is>
      </ns0:c>
      <ns0:c r="E444" t="inlineStr">
        <ns0:is>
          <ns0:t>kilogram</ns0:t>
        </ns0:is>
      </ns0:c>
      <ns0:c r="G444" t="inlineStr">
        <ns0:is>
          <ns0:t>technosphere</ns0:t>
        </ns0:is>
      </ns0:c>
      <ns0:c r="I444" t="n">
        <ns0:v>2</ns0:v>
      </ns0:c>
      <ns0:c r="J444" t="n">
        <ns0:v>-12.27231846015275</ns0:v>
      </ns0:c>
      <ns0:c r="K444" t="n">
        <ns0:v>0.6841052550594828</ns0:v>
      </ns0:c>
      <ns0:c r="L444" t="inlineStr">
        <ns0:is>
          <ns0:t>Estimate, based on "limestone production, crushed, for mill" dataset.
Premise 2.5.4: Original amount 7.973856209150327e-06; scale 0.5868558156610613.</ns0:t>
        </ns0:is>
      </ns0:c>
    </ns0:row>
    <ns0:row r="445">
      <ns0:c r="A445" t="inlineStr">
        <ns0:is>
          <ns0:t>market for mine infrastructure, open cast, ilmenite from hard-rock ore</ns0:t>
        </ns0:is>
      </ns0:c>
      <ns0:c r="B445" t="n">
        <ns0:v>1.181382949173901e-11</ns0:v>
      </ns0:c>
      <ns0:c r="C445" t="inlineStr">
        <ns0:is>
          <ns0:t>mine infrastructure, open cast, ilmenite from hard-rock ore</ns0:t>
        </ns0:is>
      </ns0:c>
      <ns0:c r="D445" t="inlineStr">
        <ns0:is>
          <ns0:t>GLO</ns0:t>
        </ns0:is>
      </ns0:c>
      <ns0:c r="E445" t="inlineStr">
        <ns0:is>
          <ns0:t>unit</ns0:t>
        </ns0:is>
      </ns0:c>
      <ns0:c r="G445" t="inlineStr">
        <ns0:is>
          <ns0:t>technosphere</ns0:t>
        </ns0:is>
      </ns0:c>
      <ns0:c r="I445" t="n">
        <ns0:v>2</ns0:v>
      </ns0:c>
      <ns0:c r="J445" t="n">
        <ns0:v>-25.16175027987671</ns0:v>
      </ns0:c>
      <ns0:c r="K445" t="n">
        <ns0:v>0.6841052550594828</ns0:v>
      </ns0:c>
      <ns0:c r="L445" t="inlineStr">
        <ns0:is>
          <ns0:t>There are two mines, where hard-ore ilmenite is being mined (Cardarelli, 2008, Materials Handbook); Tellnes mine in Norway (http://www.ngu.no/filearchive/102/bulletin436_3.pdf) and Allard Lake mine in Canada (http://apps1.gdr.nrcan.gc.ca/gsc_minerals/gquerycache/vticanada/DP/dp51.html). The annual production of these mines is 550,000 ton of ilmenite/year, respectivelly 100,000 ton of ilmenite/year. Since magnetite is produced in the same amounts the production volume is estimated to be the same as in case of ilmenite. The lifetime of hard-rock ilmenite mine is estimated to be 100 years. Both of these mines are in operation for more than 50 years and there are no signs of possible closing of the mines.
Premise 2.5.4: Original amount 2.013071895424837e-11; scale 0.5868558156610613.</ns0:t>
        </ns0:is>
      </ns0:c>
    </ns0:row>
    <ns0:row r="446">
      <ns0:c r="A446" t="inlineStr">
        <ns0:is>
          <ns0:t>market for petrol, unleaded</ns0:t>
        </ns0:is>
      </ns0:c>
      <ns0:c r="B446" t="n">
        <ns0:v>0.02404958146532585</ns0:v>
      </ns0:c>
      <ns0:c r="C446" t="inlineStr">
        <ns0:is>
          <ns0:t>petrol, unleaded</ns0:t>
        </ns0:is>
      </ns0:c>
      <ns0:c r="D446" t="inlineStr">
        <ns0:is>
          <ns0:t>RoW</ns0:t>
        </ns0:is>
      </ns0:c>
      <ns0:c r="E446" t="inlineStr">
        <ns0:is>
          <ns0:t>kilogram</ns0:t>
        </ns0:is>
      </ns0:c>
      <ns0:c r="G446" t="inlineStr">
        <ns0:is>
          <ns0:t>technosphere</ns0:t>
        </ns0:is>
      </ns0:c>
      <ns0:c r="I446" t="n">
        <ns0:v>2</ns0:v>
      </ns0:c>
      <ns0:c r="J446" t="n">
        <ns0:v>-3.727637685270949</ns0:v>
      </ns0:c>
      <ns0:c r="K446" t="n">
        <ns0:v>0.2275961335348208</ns0:v>
      </ns0:c>
      <ns0:c r="L446" t="inlineStr">
        <ns0:is>
          <ns0:t>Estimate based on U.S. Department of Energy (http://www1.eere.energy.gov/manufacturing/industries_technologies/mining/pdfs/mining_bandwidth.pdf) report describing energy consumption during mining of unspecified minerals.
Premise 2.5.4: Original amount 0.04098039215686275; scale 0.5868558156610613.</ns0:t>
        </ns0:is>
      </ns0:c>
    </ns0:row>
    <ns0:row r="447">
      <ns0:c r="A447" t="inlineStr">
        <ns0:is>
          <ns0:t>market for recultivation, ilmenite mine</ns0:t>
        </ns0:is>
      </ns0:c>
      <ns0:c r="B447" t="n">
        <ns0:v>3.179761249562221e-05</ns0:v>
      </ns0:c>
      <ns0:c r="C447" t="inlineStr">
        <ns0:is>
          <ns0:t>recultivation, ilmenite mine</ns0:t>
        </ns0:is>
      </ns0:c>
      <ns0:c r="D447" t="inlineStr">
        <ns0:is>
          <ns0:t>GLO</ns0:t>
        </ns0:is>
      </ns0:c>
      <ns0:c r="E447" t="inlineStr">
        <ns0:is>
          <ns0:t>square meter</ns0:t>
        </ns0:is>
      </ns0:c>
      <ns0:c r="G447" t="inlineStr">
        <ns0:is>
          <ns0:t>technosphere</ns0:t>
        </ns0:is>
      </ns0:c>
      <ns0:c r="I447" t="n">
        <ns0:v>2</ns0:v>
      </ns0:c>
      <ns0:c r="J447" t="n">
        <ns0:v>-10.35611934975071</ns0:v>
      </ns0:c>
      <ns0:c r="K447" t="n">
        <ns0:v>0.2966479394838265</ns0:v>
      </ns0:c>
      <ns0:c r="L447" t="inlineStr">
        <ns0:is>
          <ns0:t>Calculated value.
Premise 2.5.4: Original amount 5.418300653594771e-05; scale 0.5868558156610613.</ns0:t>
        </ns0:is>
      </ns0:c>
    </ns0:row>
    <ns0:row r="448">
      <ns0:c r="A448" t="inlineStr">
        <ns0:is>
          <ns0:t>market group for heat, central or small-scale, natural gas</ns0:t>
        </ns0:is>
      </ns0:c>
      <ns0:c r="B448" t="n">
        <ns0:v>0.005906914745869506</ns0:v>
      </ns0:c>
      <ns0:c r="C448" t="inlineStr">
        <ns0:is>
          <ns0:t>heat, central or small-scale, natural gas</ns0:t>
        </ns0:is>
      </ns0:c>
      <ns0:c r="D448" t="inlineStr">
        <ns0:is>
          <ns0:t>GLO</ns0:t>
        </ns0:is>
      </ns0:c>
      <ns0:c r="E448" t="inlineStr">
        <ns0:is>
          <ns0:t>megajoule</ns0:t>
        </ns0:is>
      </ns0:c>
      <ns0:c r="G448" t="inlineStr">
        <ns0:is>
          <ns0:t>technosphere</ns0:t>
        </ns0:is>
      </ns0:c>
      <ns0:c r="I448" t="n">
        <ns0:v>2</ns0:v>
      </ns0:c>
      <ns0:c r="J448" t="n">
        <ns0:v>-5.131631623490241</ns0:v>
      </ns0:c>
      <ns0:c r="K448" t="n">
        <ns0:v>0.2275961335348208</ns0:v>
      </ns0:c>
      <ns0:c r="L448" t="inlineStr">
        <ns0:is>
          <ns0:t>Estimate based on U.S. Department of Energy (http://www1.eere.energy.gov/manufacturing/industries_technologies/mining/pdfs/mining_bandwidth.pdf) report describing energy consumption during mining of unspecified minerals.
Premise 2.5.4: Original amount 0.01006535947712418; scale 0.5868558156610613.</ns0:t>
        </ns0:is>
      </ns0:c>
    </ns0:row>
    <ns0:row r="449"/>
    <ns0:row r="450">
      <ns0:c r="A450" s="1" t="inlineStr">
        <ns0:is>
          <ns0:t>Activity</ns0:t>
        </ns0:is>
      </ns0:c>
      <ns0:c r="B450" s="1" t="inlineStr">
        <ns0:is>
          <ns0:t>vanadium slag production</ns0:t>
        </ns0:is>
      </ns0:c>
    </ns0:row>
    <ns0:row r="451">
      <ns0:c r="A451" t="inlineStr">
        <ns0:is>
          <ns0:t>comment</ns0:t>
        </ns0:is>
      </ns0:c>
      <ns0:c r="B451" t="inlineStr">
        <ns0:is>
          <ns0:t>Premise 2.5.4: normalized to 1 kg reference product from an output of 0.1226 kg; all non-production exchanges divided by that output. Weber et al. (2018), doi:10.1021/acs.est.8b02073, supporting information, Tables S12-S14: the inherited 0.1226 output encodes 0.0613 / 0.5, i.e. 50% economic allocation to the vanadium stream. This allocation is already included and is not applied again. The legacy reference product is measured as kg V2O5 contained in slag, not kg bulk slag at 25% V2O5. Published upstream yields are retained; the source tables do not close the physical vanadium balance. Lognormal uncertainties of changed exchanges are centered on the corrected absolute amount (loc = ln(abs(amount))); relative scale is retained. 
Original source notes: Source: Weber et al. (2018). Life cycle assessment of a vanadium redox flow battery. Environmental science &amp; technology, 52(18), 10864-10873. https://doi.org/10.1021/acs.est.8b02073This activity represents the production of secondary low-alloyed steel in an electric arc furnace (EAF). The process comprises the following operations: 1) mixing and pretreatment (if required) of ferrous materials (including alloying additions), principally ferrous scrap; 2) furnace charging and scrap melting; 3) steel and scrap tapping; 4) secondary metallurgical treatment in a ladle furnace; and 5) casting (continuous and/or ingot).
[This dataset is meant to replace the following datasets:
 - steel production, electric, low-alloyed, GLO, 2013 - 2023 (cdf2646d-f416-4155-894a-151671ae69f6)]
The data are a weighted average of the regional datasets covering the following geographies: Europe without Switzerland and Austria, IN, CH, AT, CA-QC.
Geography:  This dataset is a weighted average built from the following geographies: Europe without Switzerland and Austria, IN, CH, AT, CA-QC.
Technology:  Average technology mix of the technologies used in the regional datasets.
Time period:  The time period covers the time period of the regional datasets.</ns0:t>
        </ns0:is>
      </ns0:c>
    </ns0:row>
    <ns0:row r="452">
      <ns0:c r="A452" t="inlineStr">
        <ns0:is>
          <ns0:t>location</ns0:t>
        </ns0:is>
      </ns0:c>
      <ns0:c r="B452" t="inlineStr">
        <ns0:is>
          <ns0:t>ZA</ns0:t>
        </ns0:is>
      </ns0:c>
    </ns0:row>
    <ns0:row r="453">
      <ns0:c r="A453" t="inlineStr">
        <ns0:is>
          <ns0:t>reference product</ns0:t>
        </ns0:is>
      </ns0:c>
      <ns0:c r="B453" t="inlineStr">
        <ns0:is>
          <ns0:t>vanadium slag</ns0:t>
        </ns0:is>
      </ns0:c>
    </ns0:row>
    <ns0:row r="454">
      <ns0:c r="A454" t="inlineStr">
        <ns0:is>
          <ns0:t>unit</ns0:t>
        </ns0:is>
      </ns0:c>
      <ns0:c r="B454" t="inlineStr">
        <ns0:is>
          <ns0:t>kilogram</ns0:t>
        </ns0:is>
      </ns0:c>
    </ns0:row>
    <ns0:row r="455">
      <ns0:c r="A455" t="inlineStr">
        <ns0:is>
          <ns0:t>source</ns0:t>
        </ns0:is>
      </ns0:c>
      <ns0:c r="B455" t="inlineStr">
        <ns0:is>
          <ns0:t>Inventory provided by Zhang et al. (2024). Originally from Weber et al. (2018). Life cycle assessment of a vanadium redox flow battery. Environmental science &amp; technology, 52(18), 10864-10873. https://doi.org/10.1021/acs.est.8b02073</ns0:t>
        </ns0:is>
      </ns0:c>
    </ns0:row>
    <ns0:row r="456">
      <ns0:c r="A456" s="1" t="inlineStr">
        <ns0:is>
          <ns0:t>Exchanges</ns0:t>
        </ns0:is>
      </ns0:c>
    </ns0:row>
    <ns0:row r="457">
      <ns0:c r="A457" s="1" t="inlineStr">
        <ns0:is>
          <ns0:t>name</ns0:t>
        </ns0:is>
      </ns0:c>
      <ns0:c r="B457" s="1" t="inlineStr">
        <ns0:is>
          <ns0:t>amount</ns0:t>
        </ns0:is>
      </ns0:c>
      <ns0:c r="C457" s="1" t="inlineStr">
        <ns0:is>
          <ns0:t>reference product</ns0:t>
        </ns0:is>
      </ns0:c>
      <ns0:c r="D457" s="1" t="inlineStr">
        <ns0:is>
          <ns0:t>location</ns0:t>
        </ns0:is>
      </ns0:c>
      <ns0:c r="E457" s="1" t="inlineStr">
        <ns0:is>
          <ns0:t>unit</ns0:t>
        </ns0:is>
      </ns0:c>
      <ns0:c r="F457" s="1" t="inlineStr">
        <ns0:is>
          <ns0:t>categories</ns0:t>
        </ns0:is>
      </ns0:c>
      <ns0:c r="G457" s="1" t="inlineStr">
        <ns0:is>
          <ns0:t>type</ns0:t>
        </ns0:is>
      </ns0:c>
      <ns0:c r="H457" s="1" t="inlineStr">
        <ns0:is>
          <ns0:t>formula</ns0:t>
        </ns0:is>
      </ns0:c>
      <ns0:c r="I457" s="1" t="inlineStr">
        <ns0:is>
          <ns0:t>uncertainty type</ns0:t>
        </ns0:is>
      </ns0:c>
      <ns0:c r="J457" s="1" t="inlineStr">
        <ns0:is>
          <ns0:t>loc</ns0:t>
        </ns0:is>
      </ns0:c>
      <ns0:c r="K457" s="1" t="inlineStr">
        <ns0:is>
          <ns0:t>scale</ns0:t>
        </ns0:is>
      </ns0:c>
      <ns0:c r="L457" s="1" t="inlineStr">
        <ns0:is>
          <ns0:t>comment</ns0:t>
        </ns0:is>
      </ns0:c>
      <ns0:c r="M457" s="1" t="inlineStr">
        <ns0:is>
          <ns0:t>original_amount</ns0:t>
        </ns0:is>
      </ns0:c>
      <ns0:c r="N457" s="1" t="inlineStr">
        <ns0:is>
          <ns0:t>negative</ns0:t>
        </ns0:is>
      </ns0:c>
    </ns0:row>
    <ns0:row r="458">
      <ns0:c r="A458" t="inlineStr">
        <ns0:is>
          <ns0:t>Argon-40</ns0:t>
        </ns0:is>
      </ns0:c>
      <ns0:c r="B458" t="n">
        <ns0:v>0.02683523654159869</ns0:v>
      </ns0:c>
      <ns0:c r="E458" t="inlineStr">
        <ns0:is>
          <ns0:t>kilogram</ns0:t>
        </ns0:is>
      </ns0:c>
      <ns0:c r="F458" t="inlineStr">
        <ns0:is>
          <ns0:t>air</ns0:t>
        </ns0:is>
      </ns0:c>
      <ns0:c r="G458" t="inlineStr">
        <ns0:is>
          <ns0:t>biosphere</ns0:t>
        </ns0:is>
      </ns0:c>
      <ns0:c r="H458" t="inlineStr">
        <ns0:is>
          <ns0:t>Ar</ns0:t>
        </ns0:is>
      </ns0:c>
      <ns0:c r="I458" t="n">
        <ns0:v>2</ns0:v>
      </ns0:c>
      <ns0:c r="J458" t="n">
        <ns0:v>-3.618039458724831</ns0:v>
      </ns0:c>
      <ns0:c r="K458" t="n">
        <ns0:v>0.04472135954999579</ns0:v>
      </ns0:c>
      <ns0:c r="L458" t="inlineStr">
        <ns0:is>
          <ns0:t>Weighted average of amounts in regional datasets.
Premise 2.5.4: Original amount 0.00329; scale 8.156606851549755.</ns0:t>
        </ns0:is>
      </ns0:c>
      <ns0:c r="M458" t="n">
        <ns0:v>1.55606191968828e-05</ns0:v>
      </ns0:c>
      <ns0:c r="N458" t="b">
        <ns0:v>0</ns0:v>
      </ns0:c>
    </ns0:row>
    <ns0:row r="459">
      <ns0:c r="A459" t="inlineStr">
        <ns0:is>
          <ns0:t>Benzene</ns0:t>
        </ns0:is>
      </ns0:c>
      <ns0:c r="B459" t="n">
        <ns0:v>1.867862969004894e-05</ns0:v>
      </ns0:c>
      <ns0:c r="E459" t="inlineStr">
        <ns0:is>
          <ns0:t>kilogram</ns0:t>
        </ns0:is>
      </ns0:c>
      <ns0:c r="F459" t="inlineStr">
        <ns0:is>
          <ns0:t>air</ns0:t>
        </ns0:is>
      </ns0:c>
      <ns0:c r="G459" t="inlineStr">
        <ns0:is>
          <ns0:t>biosphere</ns0:t>
        </ns0:is>
      </ns0:c>
      <ns0:c r="H459" t="inlineStr">
        <ns0:is>
          <ns0:t>C6H6</ns0:t>
        </ns0:is>
      </ns0:c>
      <ns0:c r="I459" t="n">
        <ns0:v>2</ns0:v>
      </ns0:c>
      <ns0:c r="J459" t="n">
        <ns0:v>-10.8881304849181</ns0:v>
      </ns0:c>
      <ns0:c r="K459" t="n">
        <ns0:v>0.3560898762952971</ns0:v>
      </ns0:c>
      <ns0:c r="L459" t="inlineStr">
        <ns0:is>
          <ns0:t>Weighted average of amounts in regional datasets.
Premise 2.5.4: Original amount 2.29e-06; scale 8.156606851549755.</ns0:t>
        </ns0:is>
      </ns0:c>
      <ns0:c r="M459" t="n">
        <ns0:v>8.48636841404886e-07</ns0:v>
      </ns0:c>
      <ns0:c r="N459" t="b">
        <ns0:v>0</ns0:v>
      </ns0:c>
    </ns0:row>
    <ns0:row r="460">
      <ns0:c r="A460" t="inlineStr">
        <ns0:is>
          <ns0:t>Benzene, hexachloro-</ns0:t>
        </ns0:is>
      </ns0:c>
      <ns0:c r="B460" t="n">
        <ns0:v>1.631321370309951e-07</ns0:v>
      </ns0:c>
      <ns0:c r="E460" t="inlineStr">
        <ns0:is>
          <ns0:t>kilogram</ns0:t>
        </ns0:is>
      </ns0:c>
      <ns0:c r="F460" t="inlineStr">
        <ns0:is>
          <ns0:t>air</ns0:t>
        </ns0:is>
      </ns0:c>
      <ns0:c r="G460" t="inlineStr">
        <ns0:is>
          <ns0:t>biosphere</ns0:t>
        </ns0:is>
      </ns0:c>
      <ns0:c r="H460" t="inlineStr">
        <ns0:is>
          <ns0:t>C6Cl6</ns0:t>
        </ns0:is>
      </ns0:c>
      <ns0:c r="I460" t="n">
        <ns0:v>2</ns0:v>
      </ns0:c>
      <ns0:c r="J460" t="n">
        <ns0:v>-15.62870530791239</ns0:v>
      </ns0:c>
      <ns0:c r="K460" t="n">
        <ns0:v>0.3541186241925155</ns0:v>
      </ns0:c>
      <ns0:c r="L460" t="inlineStr">
        <ns0:is>
          <ns0:t>Weighted average of amounts in regional datasets.
Premise 2.5.4: Original amount 2e-08; scale 8.156606851549755.</ns0:t>
        </ns0:is>
      </ns0:c>
      <ns0:c r="M460" t="n">
        <ns0:v>6.42292570123289e-09</ns0:v>
      </ns0:c>
      <ns0:c r="N460" t="b">
        <ns0:v>0</ns0:v>
      </ns0:c>
    </ns0:row>
    <ns0:row r="461">
      <ns0:c r="A461" t="inlineStr">
        <ns0:is>
          <ns0:t>Cadmium II</ns0:t>
        </ns0:is>
      </ns0:c>
      <ns0:c r="B461" t="n">
        <ns0:v>2.977161500815661e-07</ns0:v>
      </ns0:c>
      <ns0:c r="E461" t="inlineStr">
        <ns0:is>
          <ns0:t>kilogram</ns0:t>
        </ns0:is>
      </ns0:c>
      <ns0:c r="F461" t="inlineStr">
        <ns0:is>
          <ns0:t>air</ns0:t>
        </ns0:is>
      </ns0:c>
      <ns0:c r="G461" t="inlineStr">
        <ns0:is>
          <ns0:t>biosphere</ns0:t>
        </ns0:is>
      </ns0:c>
      <ns0:c r="H461" t="inlineStr">
        <ns0:is>
          <ns0:t>Cd</ns0:t>
        </ns0:is>
      </ns0:c>
      <ns0:c r="I461" t="n">
        <ns0:v>2</ns0:v>
      </ns0:c>
      <ns0:c r="J461" t="n">
        <ns0:v>-15.02712532087794</ns0:v>
      </ns0:c>
      <ns0:c r="K461" t="n">
        <ns0:v>0.8104319835741924</ns0:v>
      </ns0:c>
      <ns0:c r="L461" t="inlineStr">
        <ns0:is>
          <ns0:t>Weighted average of amounts in regional datasets.
Premise 2.5.4: Original amount 3.65e-08; scale 8.156606851549755.</ns0:t>
        </ns0:is>
      </ns0:c>
      <ns0:c r="M461" t="n">
        <ns0:v>1.91118207484922e-08</ns0:v>
      </ns0:c>
      <ns0:c r="N461" t="b">
        <ns0:v>0</ns0:v>
      </ns0:c>
    </ns0:row>
    <ns0:row r="462">
      <ns0:c r="A462" t="inlineStr">
        <ns0:is>
          <ns0:t>Carbon monoxide, fossil</ns0:t>
        </ns0:is>
      </ns0:c>
      <ns0:c r="B462" t="n">
        <ns0:v>0.01892332789559543</ns0:v>
      </ns0:c>
      <ns0:c r="E462" t="inlineStr">
        <ns0:is>
          <ns0:t>kilogram</ns0:t>
        </ns0:is>
      </ns0:c>
      <ns0:c r="F462" t="inlineStr">
        <ns0:is>
          <ns0:t>air</ns0:t>
        </ns0:is>
      </ns0:c>
      <ns0:c r="G462" t="inlineStr">
        <ns0:is>
          <ns0:t>biosphere</ns0:t>
        </ns0:is>
      </ns0:c>
      <ns0:c r="H462" t="inlineStr">
        <ns0:is>
          <ns0:t>CO</ns0:t>
        </ns0:is>
      </ns0:c>
      <ns0:c r="I462" t="n">
        <ns0:v>2</ns0:v>
      </ns0:c>
      <ns0:c r="J462" t="n">
        <ns0:v>-3.967359837823893</ns0:v>
      </ns0:c>
      <ns0:c r="K462" t="n">
        <ns0:v>0.8104319835741924</ns0:v>
      </ns0:c>
      <ns0:c r="L462" t="inlineStr">
        <ns0:is>
          <ns0:t>Weighted average of amounts in regional datasets.
Premise 2.5.4: Original amount 0.00232; scale 8.156606851549755.</ns0:t>
        </ns0:is>
      </ns0:c>
      <ns0:c r="M462" t="n">
        <ns0:v>0.000926546497324025</ns0:v>
      </ns0:c>
      <ns0:c r="N462" t="b">
        <ns0:v>0</ns0:v>
      </ns0:c>
    </ns0:row>
    <ns0:row r="463">
      <ns0:c r="A463" t="inlineStr">
        <ns0:is>
          <ns0:t>Chloride</ns0:t>
        </ns0:is>
      </ns0:c>
      <ns0:c r="B463" t="n">
        <ns0:v>1.484502446982055e-05</ns0:v>
      </ns0:c>
      <ns0:c r="E463" t="inlineStr">
        <ns0:is>
          <ns0:t>kilogram</ns0:t>
        </ns0:is>
      </ns0:c>
      <ns0:c r="F463" t="inlineStr">
        <ns0:is>
          <ns0:t>water</ns0:t>
        </ns0:is>
      </ns0:c>
      <ns0:c r="G463" t="inlineStr">
        <ns0:is>
          <ns0:t>biosphere</ns0:t>
        </ns0:is>
      </ns0:c>
      <ns0:c r="H463" t="inlineStr">
        <ns0:is>
          <ns0:t>Cl-</ns0:t>
        </ns0:is>
      </ns0:c>
      <ns0:c r="I463" t="n">
        <ns0:v>2</ns0:v>
      </ns0:c>
      <ns0:c r="J463" t="n">
        <ns0:v>-11.11784580139554</ns0:v>
      </ns0:c>
      <ns0:c r="K463" t="n">
        <ns0:v>0.215870331449229</ns0:v>
      </ns0:c>
      <ns0:c r="L463" t="inlineStr">
        <ns0:is>
          <ns0:t>Weighted average of amounts in regional datasets.
Premise 2.5.4: Original amount 1.82e-06; scale 8.156606851549755.</ns0:t>
        </ns0:is>
      </ns0:c>
      <ns0:c r="M463" t="n">
        <ns0:v>7.17664459147306e-05</ns0:v>
      </ns0:c>
      <ns0:c r="N463" t="b">
        <ns0:v>0</ns0:v>
      </ns0:c>
    </ns0:row>
    <ns0:row r="464">
      <ns0:c r="A464" t="inlineStr">
        <ns0:is>
          <ns0:t>Chromium III</ns0:t>
        </ns0:is>
      </ns0:c>
      <ns0:c r="B464" t="n">
        <ns0:v>1.019575856443719e-05</ns0:v>
      </ns0:c>
      <ns0:c r="E464" t="inlineStr">
        <ns0:is>
          <ns0:t>kilogram</ns0:t>
        </ns0:is>
      </ns0:c>
      <ns0:c r="F464" t="inlineStr">
        <ns0:is>
          <ns0:t>air</ns0:t>
        </ns0:is>
      </ns0:c>
      <ns0:c r="G464" t="inlineStr">
        <ns0:is>
          <ns0:t>biosphere</ns0:t>
        </ns0:is>
      </ns0:c>
      <ns0:c r="H464" t="inlineStr">
        <ns0:is>
          <ns0:t>Cr</ns0:t>
        </ns0:is>
      </ns0:c>
      <ns0:c r="I464" t="n">
        <ns0:v>2</ns0:v>
      </ns0:c>
      <ns0:c r="J464" t="n">
        <ns0:v>-11.49353875117004</ns0:v>
      </ns0:c>
      <ns0:c r="K464" t="n">
        <ns0:v>0.8104319835741924</ns0:v>
      </ns0:c>
      <ns0:c r="L464" t="inlineStr">
        <ns0:is>
          <ns0:t>Weighted average of amounts in regional datasets.
Premise 2.5.4: Original amount 1.25e-06; scale 8.156606851549755.</ns0:t>
        </ns0:is>
      </ns0:c>
      <ns0:c r="M464" t="n">
        <ns0:v>4.73080454625828e-07</ns0:v>
      </ns0:c>
      <ns0:c r="N464" t="b">
        <ns0:v>0</ns0:v>
      </ns0:c>
    </ns0:row>
    <ns0:row r="465">
      <ns0:c r="A465" t="inlineStr">
        <ns0:is>
          <ns0:t>Chromium VI</ns0:t>
        </ns0:is>
      </ns0:c>
      <ns0:c r="B465" t="n">
        <ns0:v>1.566068515497553e-08</ns0:v>
      </ns0:c>
      <ns0:c r="E465" t="inlineStr">
        <ns0:is>
          <ns0:t>kilogram</ns0:t>
        </ns0:is>
      </ns0:c>
      <ns0:c r="F465" t="inlineStr">
        <ns0:is>
          <ns0:t>water</ns0:t>
        </ns0:is>
      </ns0:c>
      <ns0:c r="G465" t="inlineStr">
        <ns0:is>
          <ns0:t>biosphere</ns0:t>
        </ns0:is>
      </ns0:c>
      <ns0:c r="H465" t="inlineStr">
        <ns0:is>
          <ns0:t>Cr+6</ns0:t>
        </ns0:is>
      </ns0:c>
      <ns0:c r="I465" t="n">
        <ns0:v>2</ns0:v>
      </ns0:c>
      <ns0:c r="J465" t="n">
        <ns0:v>-17.9721123954267</ns0:v>
      </ns0:c>
      <ns0:c r="K465" t="n">
        <ns0:v>0.215870331449229</ns0:v>
      </ns0:c>
      <ns0:c r="L465" t="inlineStr">
        <ns0:is>
          <ns0:t>Weighted average of amounts in regional datasets.
Premise 2.5.4: Original amount 1.92e-09; scale 8.156606851549755.</ns0:t>
        </ns0:is>
      </ns0:c>
      <ns0:c r="M465" t="n">
        <ns0:v>7.55436126385394e-08</ns0:v>
      </ns0:c>
      <ns0:c r="N465" t="b">
        <ns0:v>0</ns0:v>
      </ns0:c>
    </ns0:row>
    <ns0:row r="466">
      <ns0:c r="A466" t="inlineStr">
        <ns0:is>
          <ns0:t>Copper ion</ns0:t>
        </ns0:is>
      </ns0:c>
      <ns0:c r="B466" t="n">
        <ns0:v>1.884176182707993e-06</ns0:v>
      </ns0:c>
      <ns0:c r="E466" t="inlineStr">
        <ns0:is>
          <ns0:t>kilogram</ns0:t>
        </ns0:is>
      </ns0:c>
      <ns0:c r="F466" t="inlineStr">
        <ns0:is>
          <ns0:t>air</ns0:t>
        </ns0:is>
      </ns0:c>
      <ns0:c r="G466" t="inlineStr">
        <ns0:is>
          <ns0:t>biosphere</ns0:t>
        </ns0:is>
      </ns0:c>
      <ns0:c r="H466" t="inlineStr">
        <ns0:is>
          <ns0:t>Cu</ns0:t>
        </ns0:is>
      </ns0:c>
      <ns0:c r="I466" t="n">
        <ns0:v>2</ns0:v>
      </ns0:c>
      <ns0:c r="J466" t="n">
        <ns0:v>-13.18201987094459</ns0:v>
      </ns0:c>
      <ns0:c r="K466" t="n">
        <ns0:v>0.8115417426109393</ns0:v>
      </ns0:c>
      <ns0:c r="L466" t="inlineStr">
        <ns0:is>
          <ns0:t>Weighted average of amounts in regional datasets.
Premise 2.5.4: Original amount 2.31e-07; scale 8.156606851549755.</ns0:t>
        </ns0:is>
      </ns0:c>
      <ns0:c r="M466" t="n">
        <ns0:v>1.10953178654857e-07</ns0:v>
      </ns0:c>
      <ns0:c r="N466" t="b">
        <ns0:v>0</ns0:v>
      </ns0:c>
    </ns0:row>
    <ns0:row r="467">
      <ns0:c r="A467" t="inlineStr">
        <ns0:is>
          <ns0:t>Dioxins, measured as 2,3,7,8-tetrachlorodibenzo-p-dioxin</ns0:t>
        </ns0:is>
      </ns0:c>
      <ns0:c r="B467" t="n">
        <ns0:v>3.703099510603589e-11</ns0:v>
      </ns0:c>
      <ns0:c r="E467" t="inlineStr">
        <ns0:is>
          <ns0:t>kilogram</ns0:t>
        </ns0:is>
      </ns0:c>
      <ns0:c r="F467" t="inlineStr">
        <ns0:is>
          <ns0:t>air</ns0:t>
        </ns0:is>
      </ns0:c>
      <ns0:c r="G467" t="inlineStr">
        <ns0:is>
          <ns0:t>biosphere</ns0:t>
        </ns0:is>
      </ns0:c>
      <ns0:c r="H467" t="inlineStr">
        <ns0:is>
          <ns0:t>C12H4Cl4O2</ns0:t>
        </ns0:is>
      </ns0:c>
      <ns0:c r="I467" t="n">
        <ns0:v>2</ns0:v>
      </ns0:c>
      <ns0:c r="J467" t="n">
        <ns0:v>-24.01926584839526</ns0:v>
      </ns0:c>
      <ns0:c r="K467" t="n">
        <ns0:v>0.5538952969650491</ns0:v>
      </ns0:c>
      <ns0:c r="L467" t="inlineStr">
        <ns0:is>
          <ns0:t>Weighted average of amounts in regional datasets.
Premise 2.5.4: Original amount 4.54e-12; scale 8.156606851549755.</ns0:t>
        </ns0:is>
      </ns0:c>
      <ns0:c r="M467" t="n">
        <ns0:v>1.56301257212487e-12</ns0:v>
      </ns0:c>
      <ns0:c r="N467" t="b">
        <ns0:v>0</ns0:v>
      </ns0:c>
    </ns0:row>
    <ns0:row r="468">
      <ns0:c r="A468" t="inlineStr">
        <ns0:is>
          <ns0:t>Hydrocarbons, aromatic</ns0:t>
        </ns0:is>
      </ns0:c>
      <ns0:c r="B468" t="n">
        <ns0:v>0.0006280587275693312</ns0:v>
      </ns0:c>
      <ns0:c r="E468" t="inlineStr">
        <ns0:is>
          <ns0:t>kilogram</ns0:t>
        </ns0:is>
      </ns0:c>
      <ns0:c r="F468" t="inlineStr">
        <ns0:is>
          <ns0:t>air</ns0:t>
        </ns0:is>
      </ns0:c>
      <ns0:c r="G468" t="inlineStr">
        <ns0:is>
          <ns0:t>biosphere</ns0:t>
        </ns0:is>
      </ns0:c>
      <ns0:c r="I468" t="n">
        <ns0:v>2</ns0:v>
      </ns0:c>
      <ns0:c r="J468" t="n">
        <ns0:v>-7.372876880630564</ns0:v>
      </ns0:c>
      <ns0:c r="K468" t="n">
        <ns0:v>0.2172556098240043</ns0:v>
      </ns0:c>
      <ns0:c r="L468" t="inlineStr">
        <ns0:is>
          <ns0:t>Weighted average of amounts in regional datasets.
Premise 2.5.4: Original amount 7.7e-05; scale 8.156606851549755.</ns0:t>
        </ns0:is>
      </ns0:c>
      <ns0:c r="N468" t="b">
        <ns0:v>0</ns0:v>
      </ns0:c>
    </ns0:row>
    <ns0:row r="469">
      <ns0:c r="A469" t="inlineStr">
        <ns0:is>
          <ns0:t>Hydrochloric acid</ns0:t>
        </ns0:is>
      </ns0:c>
      <ns0:c r="B469" t="n">
        <ns0:v>4.241435562805873e-05</ns0:v>
      </ns0:c>
      <ns0:c r="E469" t="inlineStr">
        <ns0:is>
          <ns0:t>kilogram</ns0:t>
        </ns0:is>
      </ns0:c>
      <ns0:c r="F469" t="inlineStr">
        <ns0:is>
          <ns0:t>air</ns0:t>
        </ns0:is>
      </ns0:c>
      <ns0:c r="G469" t="inlineStr">
        <ns0:is>
          <ns0:t>biosphere</ns0:t>
        </ns0:is>
      </ns0:c>
      <ns0:c r="H469" t="inlineStr">
        <ns0:is>
          <ns0:t>ClH</ns0:t>
        </ns0:is>
      </ns0:c>
      <ns0:c r="I469" t="n">
        <ns0:v>2</ns0:v>
      </ns0:c>
      <ns0:c r="J469" t="n">
        <ns0:v>-10.06802367689687</ns0:v>
      </ns0:c>
      <ns0:c r="K469" t="n">
        <ns0:v>0.2172556098240043</ns0:v>
      </ns0:c>
      <ns0:c r="L469" t="inlineStr">
        <ns0:is>
          <ns0:t>Weighted average of amounts in regional datasets.
Premise 2.5.4: Original amount 5.2e-06; scale 8.156606851549755.</ns0:t>
        </ns0:is>
      </ns0:c>
      <ns0:c r="M469" t="n">
        <ns0:v>4.71748110091291e-06</ns0:v>
      </ns0:c>
      <ns0:c r="N469" t="b">
        <ns0:v>0</ns0:v>
      </ns0:c>
    </ns0:row>
    <ns0:row r="470">
      <ns0:c r="A470" t="inlineStr">
        <ns0:is>
          <ns0:t>Hydrogen fluoride</ns0:t>
        </ns0:is>
      </ns0:c>
      <ns0:c r="B470" t="n">
        <ns0:v>1.916802610114193e-05</ns0:v>
      </ns0:c>
      <ns0:c r="E470" t="inlineStr">
        <ns0:is>
          <ns0:t>kilogram</ns0:t>
        </ns0:is>
      </ns0:c>
      <ns0:c r="F470" t="inlineStr">
        <ns0:is>
          <ns0:t>air</ns0:t>
        </ns0:is>
      </ns0:c>
      <ns0:c r="G470" t="inlineStr">
        <ns0:is>
          <ns0:t>biosphere</ns0:t>
        </ns0:is>
      </ns0:c>
      <ns0:c r="H470" t="inlineStr">
        <ns0:is>
          <ns0:t>FH</ns0:t>
        </ns0:is>
      </ns0:c>
      <ns0:c r="I470" t="n">
        <ns0:v>2</ns0:v>
      </ns0:c>
      <ns0:c r="J470" t="n">
        <ns0:v>-10.86226697432818</ns0:v>
      </ns0:c>
      <ns0:c r="K470" t="n">
        <ns0:v>0.2172556098240043</ns0:v>
      </ns0:c>
      <ns0:c r="L470" t="inlineStr">
        <ns0:is>
          <ns0:t>Weighted average of amounts in regional datasets.
Premise 2.5.4: Original amount 2.35e-06; scale 8.156606851549755.</ns0:t>
        </ns0:is>
      </ns0:c>
      <ns0:c r="M470" t="n">
        <ns0:v>6.68769720187513e-07</ns0:v>
      </ns0:c>
      <ns0:c r="N470" t="b">
        <ns0:v>0</ns0:v>
      </ns0:c>
    </ns0:row>
    <ns0:row r="471">
      <ns0:c r="A471" t="inlineStr">
        <ns0:is>
          <ns0:t>Lead II</ns0:t>
        </ns0:is>
      </ns0:c>
      <ns0:c r="B471" t="n">
        <ns0:v>1.476345840130506e-05</ns0:v>
      </ns0:c>
      <ns0:c r="E471" t="inlineStr">
        <ns0:is>
          <ns0:t>kilogram</ns0:t>
        </ns0:is>
      </ns0:c>
      <ns0:c r="F471" t="inlineStr">
        <ns0:is>
          <ns0:t>air</ns0:t>
        </ns0:is>
      </ns0:c>
      <ns0:c r="G471" t="inlineStr">
        <ns0:is>
          <ns0:t>biosphere</ns0:t>
        </ns0:is>
      </ns0:c>
      <ns0:c r="H471" t="inlineStr">
        <ns0:is>
          <ns0:t>Pb</ns0:t>
        </ns0:is>
      </ns0:c>
      <ns0:c r="I471" t="n">
        <ns0:v>2</ns0:v>
      </ns0:c>
      <ns0:c r="J471" t="n">
        <ns0:v>-11.12335545720651</ns0:v>
      </ns0:c>
      <ns0:c r="K471" t="n">
        <ns0:v>0.8104319835741924</ns0:v>
      </ns0:c>
      <ns0:c r="L471" t="inlineStr">
        <ns0:is>
          <ns0:t>Weighted average of amounts in regional datasets.
Premise 2.5.4: Original amount 1.81e-06; scale 8.156606851549755.</ns0:t>
        </ns0:is>
      </ns0:c>
      <ns0:c r="M471" t="n">
        <ns0:v>7.97328404016226e-07</ns0:v>
      </ns0:c>
      <ns0:c r="N471" t="b">
        <ns0:v>0</ns0:v>
      </ns0:c>
    </ns0:row>
    <ns0:row r="472">
      <ns0:c r="A472" t="inlineStr">
        <ns0:is>
          <ns0:t>Mercury II</ns0:t>
        </ns0:is>
      </ns0:c>
      <ns0:c r="B472" t="n">
        <ns0:v>1.827079934747145e-05</ns0:v>
      </ns0:c>
      <ns0:c r="E472" t="inlineStr">
        <ns0:is>
          <ns0:t>kilogram</ns0:t>
        </ns0:is>
      </ns0:c>
      <ns0:c r="F472" t="inlineStr">
        <ns0:is>
          <ns0:t>air</ns0:t>
        </ns0:is>
      </ns0:c>
      <ns0:c r="G472" t="inlineStr">
        <ns0:is>
          <ns0:t>biosphere</ns0:t>
        </ns0:is>
      </ns0:c>
      <ns0:c r="H472" t="inlineStr">
        <ns0:is>
          <ns0:t>Hg</ns0:t>
        </ns0:is>
      </ns0:c>
      <ns0:c r="I472" t="n">
        <ns0:v>2</ns0:v>
      </ns0:c>
      <ns0:c r="J472" t="n">
        <ns0:v>-10.9102064366173</ns0:v>
      </ns0:c>
      <ns0:c r="K472" t="n">
        <ns0:v>0.8104319835741924</ns0:v>
      </ns0:c>
      <ns0:c r="L472" t="inlineStr">
        <ns0:is>
          <ns0:t>Weighted average of amounts in regional datasets.
Premise 2.5.4: Original amount 2.24e-06; scale 8.156606851549755.</ns0:t>
        </ns0:is>
      </ns0:c>
      <ns0:c r="M472" t="n">
        <ns0:v>6.24269057158002e-07</ns0:v>
      </ns0:c>
      <ns0:c r="N472" t="b">
        <ns0:v>0</ns0:v>
      </ns0:c>
    </ns0:row>
    <ns0:row r="473">
      <ns0:c r="A473" t="inlineStr">
        <ns0:is>
          <ns0:t>Nickel II</ns0:t>
        </ns0:is>
      </ns0:c>
      <ns0:c r="B473" t="n">
        <ns0:v>5.717781402936379e-06</ns0:v>
      </ns0:c>
      <ns0:c r="E473" t="inlineStr">
        <ns0:is>
          <ns0:t>kilogram</ns0:t>
        </ns0:is>
      </ns0:c>
      <ns0:c r="F473" t="inlineStr">
        <ns0:is>
          <ns0:t>air</ns0:t>
        </ns0:is>
      </ns0:c>
      <ns0:c r="G473" t="inlineStr">
        <ns0:is>
          <ns0:t>biosphere</ns0:t>
        </ns0:is>
      </ns0:c>
      <ns0:c r="H473" t="inlineStr">
        <ns0:is>
          <ns0:t>Ni</ns0:t>
        </ns0:is>
      </ns0:c>
      <ns0:c r="I473" t="n">
        <ns0:v>2</ns0:v>
      </ns0:c>
      <ns0:c r="J473" t="n">
        <ns0:v>-12.07192969443179</ns0:v>
      </ns0:c>
      <ns0:c r="K473" t="n">
        <ns0:v>0.8104319835741924</ns0:v>
      </ns0:c>
      <ns0:c r="L473" t="inlineStr">
        <ns0:is>
          <ns0:t>Weighted average of amounts in regional datasets.
Premise 2.5.4: Original amount 7.01e-07; scale 8.156606851549755.</ns0:t>
        </ns0:is>
      </ns0:c>
      <ns0:c r="M473" t="n">
        <ns0:v>2.43482893582134e-07</ns0:v>
      </ns0:c>
      <ns0:c r="N473" t="b">
        <ns0:v>0</ns0:v>
      </ns0:c>
    </ns0:row>
    <ns0:row r="474">
      <ns0:c r="A474" t="inlineStr">
        <ns0:is>
          <ns0:t>Nitrogen oxides</ns0:t>
        </ns0:is>
      </ns0:c>
      <ns0:c r="B474" t="n">
        <ns0:v>0.001468189233278956</ns0:v>
      </ns0:c>
      <ns0:c r="E474" t="inlineStr">
        <ns0:is>
          <ns0:t>kilogram</ns0:t>
        </ns0:is>
      </ns0:c>
      <ns0:c r="F474" t="inlineStr">
        <ns0:is>
          <ns0:t>air</ns0:t>
        </ns0:is>
      </ns0:c>
      <ns0:c r="G474" t="inlineStr">
        <ns0:is>
          <ns0:t>biosphere</ns0:t>
        </ns0:is>
      </ns0:c>
      <ns0:c r="H474" t="inlineStr">
        <ns0:is>
          <ns0:t>H3NO</ns0:t>
        </ns0:is>
      </ns0:c>
      <ns0:c r="I474" t="n">
        <ns0:v>2</ns0:v>
      </ns0:c>
      <ns0:c r="J474" t="n">
        <ns0:v>-6.523725451594037</ns0:v>
      </ns0:c>
      <ns0:c r="K474" t="n">
        <ns0:v>0.2163330765278394</ns0:v>
      </ns0:c>
      <ns0:c r="L474" t="inlineStr">
        <ns0:is>
          <ns0:t>Weighted average of amounts in regional datasets.
Premise 2.5.4: Original amount 0.00018; scale 8.156606851549755.</ns0:t>
        </ns0:is>
      </ns0:c>
      <ns0:c r="M474" t="n">
        <ns0:v>0.000101936932435993</ns0:v>
      </ns0:c>
      <ns0:c r="N474" t="b">
        <ns0:v>0</ns0:v>
      </ns0:c>
    </ns0:row>
    <ns0:row r="475">
      <ns0:c r="A475" t="inlineStr">
        <ns0:is>
          <ns0:t>PAH, polycyclic aromatic hydrocarbons</ns0:t>
        </ns0:is>
      </ns0:c>
      <ns0:c r="B475" t="n">
        <ns0:v>3.042414355628059e-07</ns0:v>
      </ns0:c>
      <ns0:c r="E475" t="inlineStr">
        <ns0:is>
          <ns0:t>kilogram</ns0:t>
        </ns0:is>
      </ns0:c>
      <ns0:c r="F475" t="inlineStr">
        <ns0:is>
          <ns0:t>air</ns0:t>
        </ns0:is>
      </ns0:c>
      <ns0:c r="G475" t="inlineStr">
        <ns0:is>
          <ns0:t>biosphere</ns0:t>
        </ns0:is>
      </ns0:c>
      <ns0:c r="I475" t="n">
        <ns0:v>2</ns0:v>
      </ns0:c>
      <ns0:c r="J475" t="n">
        <ns0:v>-15.00544425481661</ns0:v>
      </ns0:c>
      <ns0:c r="K475" t="n">
        <ns0:v>0.5542562584220407</ns0:v>
      </ns0:c>
      <ns0:c r="L475" t="inlineStr">
        <ns0:is>
          <ns0:t>Weighted average of amounts in regional datasets.
Premise 2.5.4: Original amount 3.73e-08; scale 8.156606851549755.</ns0:t>
        </ns0:is>
      </ns0:c>
      <ns0:c r="N475" t="b">
        <ns0:v>0</ns0:v>
      </ns0:c>
    </ns0:row>
    <ns0:row r="476">
      <ns0:c r="A476" t="inlineStr">
        <ns0:is>
          <ns0:t>Particulate Matter, &lt; 2.5 um</ns0:t>
        </ns0:is>
      </ns0:c>
      <ns0:c r="B476" t="n">
        <ns0:v>0.001386623164763459</ns0:v>
      </ns0:c>
      <ns0:c r="E476" t="inlineStr">
        <ns0:is>
          <ns0:t>kilogram</ns0:t>
        </ns0:is>
      </ns0:c>
      <ns0:c r="F476" t="inlineStr">
        <ns0:is>
          <ns0:t>air</ns0:t>
        </ns0:is>
      </ns0:c>
      <ns0:c r="G476" t="inlineStr">
        <ns0:is>
          <ns0:t>biosphere</ns0:t>
        </ns0:is>
      </ns0:c>
      <ns0:c r="I476" t="n">
        <ns0:v>2</ns0:v>
      </ns0:c>
      <ns0:c r="J476" t="n">
        <ns0:v>-6.580883865433986</ns0:v>
      </ns0:c>
      <ns0:c r="K476" t="n">
        <ns0:v>0.5538952969650491</ns0:v>
      </ns0:c>
      <ns0:c r="L476" t="inlineStr">
        <ns0:is>
          <ns0:t>Weighted average of amounts in regional datasets.
Premise 2.5.4: Original amount 0.00017; scale 8.156606851549755.</ns0:t>
        </ns0:is>
      </ns0:c>
      <ns0:c r="N476" t="b">
        <ns0:v>0</ns0:v>
      </ns0:c>
    </ns0:row>
    <ns0:row r="477">
      <ns0:c r="A477" t="inlineStr">
        <ns0:is>
          <ns0:t>Particulate Matter, &gt; 10 um</ns0:t>
        </ns0:is>
      </ns0:c>
      <ns0:c r="B477" t="n">
        <ns0:v>0.0004779771615008157</ns0:v>
      </ns0:c>
      <ns0:c r="E477" t="inlineStr">
        <ns0:is>
          <ns0:t>kilogram</ns0:t>
        </ns0:is>
      </ns0:c>
      <ns0:c r="F477" t="inlineStr">
        <ns0:is>
          <ns0:t>air</ns0:t>
        </ns0:is>
      </ns0:c>
      <ns0:c r="G477" t="inlineStr">
        <ns0:is>
          <ns0:t>biosphere</ns0:t>
        </ns0:is>
      </ns0:c>
      <ns0:c r="I477" t="n">
        <ns0:v>2</ns0:v>
      </ns0:c>
      <ns0:c r="J477" t="n">
        <ns0:v>-7.645947605901281</ns0:v>
      </ns0:c>
      <ns0:c r="K477" t="n">
        <ns0:v>0.2172556098240043</ns0:v>
      </ns0:c>
      <ns0:c r="L477" t="inlineStr">
        <ns0:is>
          <ns0:t>Weighted average of amounts in regional datasets.
Premise 2.5.4: Original amount 5.86e-05; scale 8.156606851549755.</ns0:t>
        </ns0:is>
      </ns0:c>
      <ns0:c r="N477" t="b">
        <ns0:v>0</ns0:v>
      </ns0:c>
    </ns0:row>
    <ns0:row r="478">
      <ns0:c r="A478" t="inlineStr">
        <ns0:is>
          <ns0:t>Particulate Matter, &gt; 2.5 um and &lt; 10um</ns0:t>
        </ns0:is>
      </ns0:c>
      <ns0:c r="B478" t="n">
        <ns0:v>0.001386623164763459</ns0:v>
      </ns0:c>
      <ns0:c r="E478" t="inlineStr">
        <ns0:is>
          <ns0:t>kilogram</ns0:t>
        </ns0:is>
      </ns0:c>
      <ns0:c r="F478" t="inlineStr">
        <ns0:is>
          <ns0:t>air</ns0:t>
        </ns0:is>
      </ns0:c>
      <ns0:c r="G478" t="inlineStr">
        <ns0:is>
          <ns0:t>biosphere</ns0:t>
        </ns0:is>
      </ns0:c>
      <ns0:c r="I478" t="n">
        <ns0:v>2</ns0:v>
      </ns0:c>
      <ns0:c r="J478" t="n">
        <ns0:v>-6.580883865433986</ns0:v>
      </ns0:c>
      <ns0:c r="K478" t="n">
        <ns0:v>0.3560898762952971</ns0:v>
      </ns0:c>
      <ns0:c r="L478" t="inlineStr">
        <ns0:is>
          <ns0:t>Weighted average of amounts in regional datasets.
Premise 2.5.4: Original amount 0.00017; scale 8.156606851549755.</ns0:t>
        </ns0:is>
      </ns0:c>
      <ns0:c r="N478" t="b">
        <ns0:v>0</ns0:v>
      </ns0:c>
    </ns0:row>
    <ns0:row r="479">
      <ns0:c r="A479" t="inlineStr">
        <ns0:is>
          <ns0:t>Particulate Matter, &gt; 2.5 um and &lt; 10um</ns0:t>
        </ns0:is>
      </ns0:c>
      <ns0:c r="B479" t="n">
        <ns0:v>0.001386623164763459</ns0:v>
      </ns0:c>
      <ns0:c r="E479" t="inlineStr">
        <ns0:is>
          <ns0:t>kilogram</ns0:t>
        </ns0:is>
      </ns0:c>
      <ns0:c r="F479" t="inlineStr">
        <ns0:is>
          <ns0:t>air</ns0:t>
        </ns0:is>
      </ns0:c>
      <ns0:c r="G479" t="inlineStr">
        <ns0:is>
          <ns0:t>biosphere</ns0:t>
        </ns0:is>
      </ns0:c>
      <ns0:c r="L479" t="inlineStr">
        <ns0:is>
          <ns0:t>Premise 2.5.4: Original amount 0.00017; scale 8.156606851549755.</ns0:t>
        </ns0:is>
      </ns0:c>
    </ns0:row>
    <ns0:row r="480">
      <ns0:c r="A480" t="inlineStr">
        <ns0:is>
          <ns0:t>Polychlorinated biphenyls</ns0:t>
        </ns0:is>
      </ns0:c>
      <ns0:c r="B480" t="n">
        <ns0:v>1.900489396411093e-07</ns0:v>
      </ns0:c>
      <ns0:c r="E480" t="inlineStr">
        <ns0:is>
          <ns0:t>kilogram</ns0:t>
        </ns0:is>
      </ns0:c>
      <ns0:c r="F480" t="inlineStr">
        <ns0:is>
          <ns0:t>air</ns0:t>
        </ns0:is>
      </ns0:c>
      <ns0:c r="G480" t="inlineStr">
        <ns0:is>
          <ns0:t>biosphere</ns0:t>
        </ns0:is>
      </ns0:c>
      <ns0:c r="I480" t="n">
        <ns0:v>2</ns0:v>
      </ns0:c>
      <ns0:c r="J480" t="n">
        <ns0:v>-15.47598422089473</ns0:v>
      </ns0:c>
      <ns0:c r="K480" t="n">
        <ns0:v>0.552630075185924</ns0:v>
      </ns0:c>
      <ns0:c r="L480" t="inlineStr">
        <ns0:is>
          <ns0:t>Weighted average of amounts in regional datasets.
Premise 2.5.4: Original amount 2.33e-08; scale 8.156606851549755.</ns0:t>
        </ns0:is>
      </ns0:c>
      <ns0:c r="N480" t="b">
        <ns0:v>0</ns0:v>
      </ns0:c>
    </ns0:row>
    <ns0:row r="481">
      <ns0:c r="A481" t="inlineStr">
        <ns0:is>
          <ns0:t>Sulfur dioxide</ns0:t>
        </ns0:is>
      </ns0:c>
      <ns0:c r="B481" t="n">
        <ns0:v>0.0006280587275693312</ns0:v>
      </ns0:c>
      <ns0:c r="E481" t="inlineStr">
        <ns0:is>
          <ns0:t>kilogram</ns0:t>
        </ns0:is>
      </ns0:c>
      <ns0:c r="F481" t="inlineStr">
        <ns0:is>
          <ns0:t>air</ns0:t>
        </ns0:is>
      </ns0:c>
      <ns0:c r="G481" t="inlineStr">
        <ns0:is>
          <ns0:t>biosphere</ns0:t>
        </ns0:is>
      </ns0:c>
      <ns0:c r="H481" t="inlineStr">
        <ns0:is>
          <ns0:t>O2S</ns0:t>
        </ns0:is>
      </ns0:c>
      <ns0:c r="I481" t="n">
        <ns0:v>2</ns0:v>
      </ns0:c>
      <ns0:c r="J481" t="n">
        <ns0:v>-7.372876880630564</ns0:v>
      </ns0:c>
      <ns0:c r="K481" t="n">
        <ns0:v>0.2172556098240043</ns0:v>
      </ns0:c>
      <ns0:c r="L481" t="inlineStr">
        <ns0:is>
          <ns0:t>Weighted average of amounts in regional datasets.
Premise 2.5.4: Original amount 7.7e-05; scale 8.156606851549755.</ns0:t>
        </ns0:is>
      </ns0:c>
      <ns0:c r="M481" t="n">
        <ns0:v>5.20580602692922e-05</ns0:v>
      </ns0:c>
      <ns0:c r="N481" t="b">
        <ns0:v>0</ns0:v>
      </ns0:c>
    </ns0:row>
    <ns0:row r="482">
      <ns0:c r="A482" t="inlineStr">
        <ns0:is>
          <ns0:t>Water</ns0:t>
        </ns0:is>
      </ns0:c>
      <ns0:c r="B482" t="n">
        <ns0:v>0.01876019575856444</ns0:v>
      </ns0:c>
      <ns0:c r="E482" t="inlineStr">
        <ns0:is>
          <ns0:t>cubic meter</ns0:t>
        </ns0:is>
      </ns0:c>
      <ns0:c r="F482" t="inlineStr">
        <ns0:is>
          <ns0:t>water</ns0:t>
        </ns0:is>
      </ns0:c>
      <ns0:c r="G482" t="inlineStr">
        <ns0:is>
          <ns0:t>biosphere</ns0:t>
        </ns0:is>
      </ns0:c>
      <ns0:c r="H482" t="inlineStr">
        <ns0:is>
          <ns0:t>H2O</ns0:t>
        </ns0:is>
      </ns0:c>
      <ns0:c r="I482" t="n">
        <ns0:v>2</ns0:v>
      </ns0:c>
      <ns0:c r="J482" t="n">
        <ns0:v>-3.976017900567007</ns0:v>
      </ns0:c>
      <ns0:c r="K482" t="n">
        <ns0:v>0.2066397831977183</ns0:v>
      </ns0:c>
      <ns0:c r="L482" t="inlineStr">
        <ns0:is>
          <ns0:t>Weighted average of amounts in regional datasets.
Premise 2.5.4: Original amount 0.0023; scale 8.156606851549755.</ns0:t>
        </ns0:is>
      </ns0:c>
      <ns0:c r="M482" t="n">
        <ns0:v>0.00147176176815489</ns0:v>
      </ns0:c>
      <ns0:c r="N482" t="b">
        <ns0:v>0</ns0:v>
      </ns0:c>
    </ns0:row>
    <ns0:row r="483">
      <ns0:c r="A483" t="inlineStr">
        <ns0:is>
          <ns0:t>Water</ns0:t>
        </ns0:is>
      </ns0:c>
      <ns0:c r="B483" t="n">
        <ns0:v>0.07236258363577733</ns0:v>
      </ns0:c>
      <ns0:c r="E483" t="inlineStr">
        <ns0:is>
          <ns0:t>cubic meter</ns0:t>
        </ns0:is>
      </ns0:c>
      <ns0:c r="F483" t="inlineStr">
        <ns0:is>
          <ns0:t>air</ns0:t>
        </ns0:is>
      </ns0:c>
      <ns0:c r="G483" t="inlineStr">
        <ns0:is>
          <ns0:t>biosphere</ns0:t>
        </ns0:is>
      </ns0:c>
      <ns0:c r="H483" t="inlineStr">
        <ns0:is>
          <ns0:t>H2O</ns0:t>
        </ns0:is>
      </ns0:c>
      <ns0:c r="I483" t="n">
        <ns0:v>2</ns0:v>
      </ns0:c>
      <ns0:c r="J483" t="n">
        <ns0:v>-2.62606591378874</ns0:v>
      </ns0:c>
      <ns0:c r="K483" t="n">
        <ns0:v>0.2071231517720798</ns0:v>
      </ns0:c>
      <ns0:c r="L483" t="inlineStr">
        <ns0:is>
          <ns0:t>Weighted average of amounts in regional datasets.
Premise 2.5.4: Original amount 0.0088716527537463; scale 8.156606851549755.</ns0:t>
        </ns0:is>
      </ns0:c>
      <ns0:c r="M483" t="n">
        <ns0:v>0.0088716527537463</ns0:v>
      </ns0:c>
      <ns0:c r="N483" t="b">
        <ns0:v>0</ns0:v>
      </ns0:c>
    </ns0:row>
    <ns0:row r="484">
      <ns0:c r="A484" t="inlineStr">
        <ns0:is>
          <ns0:t>Water, unspecified natural origin</ns0:t>
        </ns0:is>
      </ns0:c>
      <ns0:c r="B484" t="n">
        <ns0:v>0.01876019575856444</ns0:v>
      </ns0:c>
      <ns0:c r="E484" t="inlineStr">
        <ns0:is>
          <ns0:t>cubic meter</ns0:t>
        </ns0:is>
      </ns0:c>
      <ns0:c r="F484" t="inlineStr">
        <ns0:is>
          <ns0:t>natural resource::in ground</ns0:t>
        </ns0:is>
      </ns0:c>
      <ns0:c r="G484" t="inlineStr">
        <ns0:is>
          <ns0:t>biosphere</ns0:t>
        </ns0:is>
      </ns0:c>
      <ns0:c r="I484" t="n">
        <ns0:v>2</ns0:v>
      </ns0:c>
      <ns0:c r="J484" t="n">
        <ns0:v>-3.976017900567007</ns0:v>
      </ns0:c>
      <ns0:c r="K484" t="n">
        <ns0:v>0.07615773105863909</ns0:v>
      </ns0:c>
      <ns0:c r="L484" t="inlineStr">
        <ns0:is>
          <ns0:t>Weighted average of amounts in regional datasets.
Premise 2.5.4: Original amount 0.0023; scale 8.156606851549755.</ns0:t>
        </ns0:is>
      </ns0:c>
      <ns0:c r="N484" t="b">
        <ns0:v>0</ns0:v>
      </ns0:c>
    </ns0:row>
    <ns0:row r="485">
      <ns0:c r="A485" t="inlineStr">
        <ns0:is>
          <ns0:t>Water, unspecified natural origin</ns0:t>
        </ns0:is>
      </ns0:c>
      <ns0:c r="B485" t="n">
        <ns0:v>0.04257748776508972</ns0:v>
      </ns0:c>
      <ns0:c r="E485" t="inlineStr">
        <ns0:is>
          <ns0:t>cubic meter</ns0:t>
        </ns0:is>
      </ns0:c>
      <ns0:c r="F485" t="inlineStr">
        <ns0:is>
          <ns0:t>natural resource::in water</ns0:t>
        </ns0:is>
      </ns0:c>
      <ns0:c r="G485" t="inlineStr">
        <ns0:is>
          <ns0:t>biosphere</ns0:t>
        </ns0:is>
      </ns0:c>
      <ns0:c r="L485" t="inlineStr">
        <ns0:is>
          <ns0:t>Premise 2.5.4: Original amount 0.00522; scale 8.156606851549755.</ns0:t>
        </ns0:is>
      </ns0:c>
    </ns0:row>
    <ns0:row r="486">
      <ns0:c r="A486" t="inlineStr">
        <ns0:is>
          <ns0:t>Zinc II</ns0:t>
        </ns0:is>
      </ns0:c>
      <ns0:c r="B486" t="n">
        <ns0:v>0.0001867862969004894</ns0:v>
      </ns0:c>
      <ns0:c r="E486" t="inlineStr">
        <ns0:is>
          <ns0:t>kilogram</ns0:t>
        </ns0:is>
      </ns0:c>
      <ns0:c r="F486" t="inlineStr">
        <ns0:is>
          <ns0:t>air</ns0:t>
        </ns0:is>
      </ns0:c>
      <ns0:c r="G486" t="inlineStr">
        <ns0:is>
          <ns0:t>biosphere</ns0:t>
        </ns0:is>
      </ns0:c>
      <ns0:c r="H486" t="inlineStr">
        <ns0:is>
          <ns0:t>Zn</ns0:t>
        </ns0:is>
      </ns0:c>
      <ns0:c r="I486" t="n">
        <ns0:v>2</ns0:v>
      </ns0:c>
      <ns0:c r="J486" t="n">
        <ns0:v>-8.585545391924054</ns0:v>
      </ns0:c>
      <ns0:c r="K486" t="n">
        <ns0:v>0.8104319835741924</ns0:v>
      </ns0:c>
      <ns0:c r="L486" t="inlineStr">
        <ns0:is>
          <ns0:t>Weighted average of amounts in regional datasets.
Premise 2.5.4: Original amount 2.29e-05; scale 8.156606851549755.</ns0:t>
        </ns0:is>
      </ns0:c>
      <ns0:c r="M486" t="n">
        <ns0:v>7.84637782718887e-06</ns0:v>
      </ns0:c>
      <ns0:c r="N486" t="b">
        <ns0:v>0</ns0:v>
      </ns0:c>
    </ns0:row>
    <ns0:row r="487">
      <ns0:c r="A487" t="inlineStr">
        <ns0:is>
          <ns0:t>vanadium slag production</ns0:t>
        </ns0:is>
      </ns0:c>
      <ns0:c r="B487" t="n">
        <ns0:v>1</ns0:v>
      </ns0:c>
      <ns0:c r="C487" t="inlineStr">
        <ns0:is>
          <ns0:t>vanadium slag</ns0:t>
        </ns0:is>
      </ns0:c>
      <ns0:c r="D487" t="inlineStr">
        <ns0:is>
          <ns0:t>ZA</ns0:t>
        </ns0:is>
      </ns0:c>
      <ns0:c r="E487" t="inlineStr">
        <ns0:is>
          <ns0:t>kilogram</ns0:t>
        </ns0:is>
      </ns0:c>
      <ns0:c r="G487" t="inlineStr">
        <ns0:is>
          <ns0:t>production</ns0:t>
        </ns0:is>
      </ns0:c>
      <ns0:c r="I487" t="n">
        <ns0:v>0</ns0:v>
      </ns0:c>
      <ns0:c r="J487" t="n">
        <ns0:v>1</ns0:v>
      </ns0:c>
      <ns0:c r="L487" t="inlineStr">
        <ns0:is>
          <ns0:t>Premise 2.5.4: Original amount 0.1226; scale 8.156606851549755.</ns0:t>
        </ns0:is>
      </ns0:c>
    </ns0:row>
    <ns0:row r="488">
      <ns0:c r="A488" t="inlineStr">
        <ns0:is>
          <ns0:t>vanadium pentoxide bearing cast iron, production</ns0:t>
        </ns0:is>
      </ns0:c>
      <ns0:c r="B488" t="n">
        <ns0:v>10.76672104404568</ns0:v>
      </ns0:c>
      <ns0:c r="C488" t="inlineStr">
        <ns0:is>
          <ns0:t>vanadium pentoxide bearing cast iron</ns0:t>
        </ns0:is>
      </ns0:c>
      <ns0:c r="D488" t="inlineStr">
        <ns0:is>
          <ns0:t>ZA</ns0:t>
        </ns0:is>
      </ns0:c>
      <ns0:c r="E488" t="inlineStr">
        <ns0:is>
          <ns0:t>kilogram</ns0:t>
        </ns0:is>
      </ns0:c>
      <ns0:c r="G488" t="inlineStr">
        <ns0:is>
          <ns0:t>technosphere</ns0:t>
        </ns0:is>
      </ns0:c>
      <ns0:c r="L488" t="inlineStr">
        <ns0:is>
          <ns0:t>Premise 2.5.4: Original amount 1.32; scale 8.156606851549755.</ns0:t>
        </ns0:is>
      </ns0:c>
    </ns0:row>
    <ns0:row r="489">
      <ns0:c r="A489" t="inlineStr">
        <ns0:is>
          <ns0:t>market for aluminium, wrought alloy</ns0:t>
        </ns0:is>
      </ns0:c>
      <ns0:c r="B489" t="n">
        <ns0:v>0.0001207177814029364</ns0:v>
      </ns0:c>
      <ns0:c r="C489" t="inlineStr">
        <ns0:is>
          <ns0:t>aluminium, wrought alloy</ns0:t>
        </ns0:is>
      </ns0:c>
      <ns0:c r="D489" t="inlineStr">
        <ns0:is>
          <ns0:t>GLO</ns0:t>
        </ns0:is>
      </ns0:c>
      <ns0:c r="E489" t="inlineStr">
        <ns0:is>
          <ns0:t>kilogram</ns0:t>
        </ns0:is>
      </ns0:c>
      <ns0:c r="G489" t="inlineStr">
        <ns0:is>
          <ns0:t>technosphere</ns0:t>
        </ns0:is>
      </ns0:c>
      <ns0:c r="I489" t="n">
        <ns0:v>2</ns0:v>
      </ns0:c>
      <ns0:c r="J489" t="n">
        <ns0:v>-9.022055121714178</ns0:v>
      </ns0:c>
      <ns0:c r="K489" t="n">
        <ns0:v>0.08485281374238571</ns0:v>
      </ns0:c>
      <ns0:c r="L489" t="inlineStr">
        <ns0:is>
          <ns0:t>Weighted average of amounts in regional datasets.
Premise 2.5.4: Original amount 1.48e-05; scale 8.156606851549755.</ns0:t>
        </ns0:is>
      </ns0:c>
      <ns0:c r="N489" t="b">
        <ns0:v>0</ns0:v>
      </ns0:c>
    </ns0:row>
    <ns0:row r="490">
      <ns0:c r="A490" t="inlineStr">
        <ns0:is>
          <ns0:t>market for anode, for metal electrolysis</ns0:t>
        </ns0:is>
      </ns0:c>
      <ns0:c r="B490" t="n">
        <ns0:v>0.02446982055464927</ns0:v>
      </ns0:c>
      <ns0:c r="C490" t="inlineStr">
        <ns0:is>
          <ns0:t>anode, for metal electrolysis</ns0:t>
        </ns0:is>
      </ns0:c>
      <ns0:c r="D490" t="inlineStr">
        <ns0:is>
          <ns0:t>GLO</ns0:t>
        </ns0:is>
      </ns0:c>
      <ns0:c r="E490" t="inlineStr">
        <ns0:is>
          <ns0:t>kilogram</ns0:t>
        </ns0:is>
      </ns0:c>
      <ns0:c r="G490" t="inlineStr">
        <ns0:is>
          <ns0:t>technosphere</ns0:t>
        </ns0:is>
      </ns0:c>
      <ns0:c r="I490" t="n">
        <ns0:v>2</ns0:v>
      </ns0:c>
      <ns0:c r="J490" t="n">
        <ns0:v>-3.710314734834001</ns0:v>
      </ns0:c>
      <ns0:c r="K490" t="n">
        <ns0:v>0.07348469228349534</ns0:v>
      </ns0:c>
      <ns0:c r="L490" t="inlineStr">
        <ns0:is>
          <ns0:t>Weighted average of amounts in regional datasets.
Premise 2.5.4: Original amount 0.003; scale 8.156606851549755.</ns0:t>
        </ns0:is>
      </ns0:c>
      <ns0:c r="N490" t="b">
        <ns0:v>0</ns0:v>
      </ns0:c>
    </ns0:row>
    <ns0:row r="491">
      <ns0:c r="A491" t="inlineStr">
        <ns0:is>
          <ns0:t>market for argon, liquid</ns0:t>
        </ns0:is>
      </ns0:c>
      <ns0:c r="B491" t="n">
        <ns0:v>0.02683523654159869</ns0:v>
      </ns0:c>
      <ns0:c r="C491" t="inlineStr">
        <ns0:is>
          <ns0:t>argon, liquid</ns0:t>
        </ns0:is>
      </ns0:c>
      <ns0:c r="D491" t="inlineStr">
        <ns0:is>
          <ns0:t>RoW</ns0:t>
        </ns0:is>
      </ns0:c>
      <ns0:c r="E491" t="inlineStr">
        <ns0:is>
          <ns0:t>kilogram</ns0:t>
        </ns0:is>
      </ns0:c>
      <ns0:c r="G491" t="inlineStr">
        <ns0:is>
          <ns0:t>technosphere</ns0:t>
        </ns0:is>
      </ns0:c>
      <ns0:c r="I491" t="n">
        <ns0:v>2</ns0:v>
      </ns0:c>
      <ns0:c r="J491" t="n">
        <ns0:v>-3.618039458724831</ns0:v>
      </ns0:c>
      <ns0:c r="K491" t="n">
        <ns0:v>0.07745966692414834</ns0:v>
      </ns0:c>
      <ns0:c r="L491" t="inlineStr">
        <ns0:is>
          <ns0:t>Weighted average of amounts in regional datasets.
Premise 2.5.4: Original amount 0.00329; scale 8.156606851549755.</ns0:t>
        </ns0:is>
      </ns0:c>
      <ns0:c r="N491" t="b">
        <ns0:v>0</ns0:v>
      </ns0:c>
    </ns0:row>
    <ns0:row r="492">
      <ns0:c r="A492" t="inlineStr">
        <ns0:is>
          <ns0:t>market for cast iron</ns0:t>
        </ns0:is>
      </ns0:c>
      <ns0:c r="B492" t="n">
        <ns0:v>0.0004200652528548124</ns0:v>
      </ns0:c>
      <ns0:c r="C492" t="inlineStr">
        <ns0:is>
          <ns0:t>cast iron</ns0:t>
        </ns0:is>
      </ns0:c>
      <ns0:c r="D492" t="inlineStr">
        <ns0:is>
          <ns0:t>GLO</ns0:t>
        </ns0:is>
      </ns0:c>
      <ns0:c r="E492" t="inlineStr">
        <ns0:is>
          <ns0:t>kilogram</ns0:t>
        </ns0:is>
      </ns0:c>
      <ns0:c r="G492" t="inlineStr">
        <ns0:is>
          <ns0:t>technosphere</ns0:t>
        </ns0:is>
      </ns0:c>
      <ns0:c r="I492" t="n">
        <ns0:v>2</ns0:v>
      </ns0:c>
      <ns0:c r="J492" t="n">
        <ns0:v>-7.775100494814557</ns0:v>
      </ns0:c>
      <ns0:c r="K492" t="n">
        <ns0:v>0.07211102550927978</ns0:v>
      </ns0:c>
      <ns0:c r="L492" t="inlineStr">
        <ns0:is>
          <ns0:t>Weighted average of amounts in regional datasets.
Premise 2.5.4: Original amount 5.15e-05; scale 8.156606851549755.</ns0:t>
        </ns0:is>
      </ns0:c>
      <ns0:c r="N492" t="b">
        <ns0:v>0</ns0:v>
      </ns0:c>
    </ns0:row>
    <ns0:row r="493">
      <ns0:c r="A493" t="inlineStr">
        <ns0:is>
          <ns0:t>market for diesel, burned in building machine</ns0:t>
        </ns0:is>
      </ns0:c>
      <ns0:c r="B493" t="n">
        <ns0:v>0.02822185970636215</ns0:v>
      </ns0:c>
      <ns0:c r="C493" t="inlineStr">
        <ns0:is>
          <ns0:t>diesel, burned in building machine</ns0:t>
        </ns0:is>
      </ns0:c>
      <ns0:c r="D493" t="inlineStr">
        <ns0:is>
          <ns0:t>GLO</ns0:t>
        </ns0:is>
      </ns0:c>
      <ns0:c r="E493" t="inlineStr">
        <ns0:is>
          <ns0:t>megajoule</ns0:t>
        </ns0:is>
      </ns0:c>
      <ns0:c r="G493" t="inlineStr">
        <ns0:is>
          <ns0:t>technosphere</ns0:t>
        </ns0:is>
      </ns0:c>
      <ns0:c r="I493" t="n">
        <ns0:v>2</ns0:v>
      </ns0:c>
      <ns0:c r="J493" t="n">
        <ns0:v>-3.567658434432478</ns0:v>
      </ns0:c>
      <ns0:c r="K493" t="n">
        <ns0:v>0.04472135954999579</ns0:v>
      </ns0:c>
      <ns0:c r="L493" t="inlineStr">
        <ns0:is>
          <ns0:t>Weighted average of amounts in regional datasets.
Premise 2.5.4: Original amount 0.00346; scale 8.156606851549755.</ns0:t>
        </ns0:is>
      </ns0:c>
      <ns0:c r="N493" t="b">
        <ns0:v>0</ns0:v>
      </ns0:c>
    </ns0:row>
    <ns0:row r="494">
      <ns0:c r="A494" t="inlineStr">
        <ns0:is>
          <ns0:t>market for electric arc furnace converter</ns0:t>
        </ns0:is>
      </ns0:c>
      <ns0:c r="B494" t="n">
        <ns0:v>3.282993529064234e-10</ns0:v>
      </ns0:c>
      <ns0:c r="C494" t="inlineStr">
        <ns0:is>
          <ns0:t>electric arc furnace converter</ns0:t>
        </ns0:is>
      </ns0:c>
      <ns0:c r="D494" t="inlineStr">
        <ns0:is>
          <ns0:t>GLO</ns0:t>
        </ns0:is>
      </ns0:c>
      <ns0:c r="E494" t="inlineStr">
        <ns0:is>
          <ns0:t>unit</ns0:t>
        </ns0:is>
      </ns0:c>
      <ns0:c r="G494" t="inlineStr">
        <ns0:is>
          <ns0:t>technosphere</ns0:t>
        </ns0:is>
      </ns0:c>
      <ns0:c r="I494" t="n">
        <ns0:v>2</ns0:v>
      </ns0:c>
      <ns0:c r="J494" t="n">
        <ns0:v>-21.83709526246643</ns0:v>
      </ns0:c>
      <ns0:c r="K494" t="n">
        <ns0:v>0.714142842854285</ns0:v>
      </ns0:c>
      <ns0:c r="L494" t="inlineStr">
        <ns0:is>
          <ns0:t>Weighted average of amounts in regional datasets.
Premise 2.5.4: Original amount 4.02495006663275e-11; scale 8.156606851549755.</ns0:t>
        </ns0:is>
      </ns0:c>
      <ns0:c r="N494" t="b">
        <ns0:v>0</ns0:v>
      </ns0:c>
    </ns0:row>
    <ns0:row r="495">
      <ns0:c r="A495" t="inlineStr">
        <ns0:is>
          <ns0:t>market for electric arc furnace secondary metallurgy slag</ns0:t>
        </ns0:is>
      </ns0:c>
      <ns0:c r="B495" t="n">
        <ns0:v>-0.4061990212071778</ns0:v>
      </ns0:c>
      <ns0:c r="C495" t="inlineStr">
        <ns0:is>
          <ns0:t>electric arc furnace secondary metallurgy slag</ns0:t>
        </ns0:is>
      </ns0:c>
      <ns0:c r="D495" t="inlineStr">
        <ns0:is>
          <ns0:t>RoW</ns0:t>
        </ns0:is>
      </ns0:c>
      <ns0:c r="E495" t="inlineStr">
        <ns0:is>
          <ns0:t>kilogram</ns0:t>
        </ns0:is>
      </ns0:c>
      <ns0:c r="G495" t="inlineStr">
        <ns0:is>
          <ns0:t>technosphere</ns0:t>
        </ns0:is>
      </ns0:c>
      <ns0:c r="I495" t="n">
        <ns0:v>2</ns0:v>
      </ns0:c>
      <ns0:c r="J495" t="n">
        <ns0:v>-0.9009120394715039</ns0:v>
      </ns0:c>
      <ns0:c r="K495" t="n">
        <ns0:v>0.08</ns0:v>
      </ns0:c>
      <ns0:c r="L495" t="inlineStr">
        <ns0:is>
          <ns0:t>Weighted average of amounts in regional datasets.
Premise 2.5.4: Original amount -0.0498; scale 8.156606851549755.</ns0:t>
        </ns0:is>
      </ns0:c>
      <ns0:c r="N495" t="b">
        <ns0:v>1</ns0:v>
      </ns0:c>
    </ns0:row>
    <ns0:row r="496">
      <ns0:c r="A496" t="inlineStr">
        <ns0:is>
          <ns0:t>market for electric arc furnace slag</ns0:t>
        </ns0:is>
      </ns0:c>
      <ns0:c r="B496" t="n">
        <ns0:v>0.7569331158238173</ns0:v>
      </ns0:c>
      <ns0:c r="C496" t="inlineStr">
        <ns0:is>
          <ns0:t>electric arc furnace slag</ns0:t>
        </ns0:is>
      </ns0:c>
      <ns0:c r="D496" t="inlineStr">
        <ns0:is>
          <ns0:t>RoW</ns0:t>
        </ns0:is>
      </ns0:c>
      <ns0:c r="E496" t="inlineStr">
        <ns0:is>
          <ns0:t>kilogram</ns0:t>
        </ns0:is>
      </ns0:c>
      <ns0:c r="G496" t="inlineStr">
        <ns0:is>
          <ns0:t>technosphere</ns0:t>
        </ns0:is>
      </ns0:c>
      <ns0:c r="I496" t="n">
        <ns0:v>2</ns0:v>
      </ns0:c>
      <ns0:c r="J496" t="n">
        <ns0:v>-0.2784803837099561</ns0:v>
      </ns0:c>
      <ns0:c r="K496" t="n">
        <ns0:v>0.08831760866327847</ns0:v>
      </ns0:c>
      <ns0:c r="L496" t="inlineStr">
        <ns0:is>
          <ns0:t>Weighted average of amounts in regional datasets.
Premise 2.5.4: Original amount 0.09279999999999999; scale 8.156606851549755.</ns0:t>
        </ns0:is>
      </ns0:c>
      <ns0:c r="N496" t="b">
        <ns0:v>0</ns0:v>
      </ns0:c>
    </ns0:row>
    <ns0:row r="497">
      <ns0:c r="A497" t="inlineStr">
        <ns0:is>
          <ns0:t>market for electricity, low voltage</ns0:t>
        </ns0:is>
      </ns0:c>
      <ns0:c r="B497" t="n">
        <ns0:v>0.2773246329526917</ns0:v>
      </ns0:c>
      <ns0:c r="C497" t="inlineStr">
        <ns0:is>
          <ns0:t>electricity, low voltage</ns0:t>
        </ns0:is>
      </ns0:c>
      <ns0:c r="D497" t="inlineStr">
        <ns0:is>
          <ns0:t>ZA</ns0:t>
        </ns0:is>
      </ns0:c>
      <ns0:c r="E497" t="inlineStr">
        <ns0:is>
          <ns0:t>kilowatt hour</ns0:t>
        </ns0:is>
      </ns0:c>
      <ns0:c r="G497" t="inlineStr">
        <ns0:is>
          <ns0:t>technosphere</ns0:t>
        </ns0:is>
      </ns0:c>
      <ns0:c r="L497" t="inlineStr">
        <ns0:is>
          <ns0:t>Premise 2.5.4: Original amount 0.034; scale 8.156606851549755.</ns0:t>
        </ns0:is>
      </ns0:c>
    </ns0:row>
    <ns0:row r="498">
      <ns0:c r="A498" t="inlineStr">
        <ns0:is>
          <ns0:t>market for electricity, medium voltage</ns0:t>
        </ns0:is>
      </ns0:c>
      <ns0:c r="B498" t="n">
        <ns0:v>4.404567699836868</ns0:v>
      </ns0:c>
      <ns0:c r="C498" t="inlineStr">
        <ns0:is>
          <ns0:t>electricity, medium voltage</ns0:t>
        </ns0:is>
      </ns0:c>
      <ns0:c r="D498" t="inlineStr">
        <ns0:is>
          <ns0:t>ZA</ns0:t>
        </ns0:is>
      </ns0:c>
      <ns0:c r="E498" t="inlineStr">
        <ns0:is>
          <ns0:t>kilowatt hour</ns0:t>
        </ns0:is>
      </ns0:c>
      <ns0:c r="G498" t="inlineStr">
        <ns0:is>
          <ns0:t>technosphere</ns0:t>
        </ns0:is>
      </ns0:c>
      <ns0:c r="L498" t="inlineStr">
        <ns0:is>
          <ns0:t>Premise 2.5.4: Original amount 0.54; scale 8.156606851549755.</ns0:t>
        </ns0:is>
      </ns0:c>
    </ns0:row>
    <ns0:row r="499">
      <ns0:c r="A499" t="inlineStr">
        <ns0:is>
          <ns0:t>market for ethylene glycol</ns0:t>
        </ns0:is>
      </ns0:c>
      <ns0:c r="B499" t="n">
        <ns0:v>2.707993474714518e-07</ns0:v>
      </ns0:c>
      <ns0:c r="C499" t="inlineStr">
        <ns0:is>
          <ns0:t>ethylene glycol</ns0:t>
        </ns0:is>
      </ns0:c>
      <ns0:c r="D499" t="inlineStr">
        <ns0:is>
          <ns0:t>GLO</ns0:t>
        </ns0:is>
      </ns0:c>
      <ns0:c r="E499" t="inlineStr">
        <ns0:is>
          <ns0:t>kilogram</ns0:t>
        </ns0:is>
      </ns0:c>
      <ns0:c r="G499" t="inlineStr">
        <ns0:is>
          <ns0:t>technosphere</ns0:t>
        </ns0:is>
      </ns0:c>
      <ns0:c r="I499" t="n">
        <ns0:v>2</ns0:v>
      </ns0:c>
      <ns0:c r="J499" t="n">
        <ns0:v>-15.12188770554394</ns0:v>
      </ns0:c>
      <ns0:c r="K499" t="n">
        <ns0:v>0.04472135954999579</ns0:v>
      </ns0:c>
      <ns0:c r="L499" t="inlineStr">
        <ns0:is>
          <ns0:t>Weighted average of amounts in regional datasets.
Premise 2.5.4: Original amount 3.32e-08; scale 8.156606851549755.</ns0:t>
        </ns0:is>
      </ns0:c>
      <ns0:c r="N499" t="b">
        <ns0:v>0</ns0:v>
      </ns0:c>
    </ns0:row>
    <ns0:row r="500">
      <ns0:c r="A500" t="inlineStr">
        <ns0:is>
          <ns0:t>market for ferrochromium, high-carbon, 68% Cr</ns0:t>
        </ns0:is>
      </ns0:c>
      <ns0:c r="B500" t="n">
        <ns0:v>0.0008972267536704731</ns0:v>
      </ns0:c>
      <ns0:c r="C500" t="inlineStr">
        <ns0:is>
          <ns0:t>ferrochromium, high-carbon, 68% Cr</ns0:t>
        </ns0:is>
      </ns0:c>
      <ns0:c r="D500" t="inlineStr">
        <ns0:is>
          <ns0:t>GLO</ns0:t>
        </ns0:is>
      </ns0:c>
      <ns0:c r="E500" t="inlineStr">
        <ns0:is>
          <ns0:t>kilogram</ns0:t>
        </ns0:is>
      </ns0:c>
      <ns0:c r="G500" t="inlineStr">
        <ns0:is>
          <ns0:t>technosphere</ns0:t>
        </ns0:is>
      </ns0:c>
      <ns0:c r="I500" t="n">
        <ns0:v>2</ns0:v>
      </ns0:c>
      <ns0:c r="J500" t="n">
        <ns0:v>-7.016201936691832</ns0:v>
      </ns0:c>
      <ns0:c r="K500" t="n">
        <ns0:v>0.08485281374238571</ns0:v>
      </ns0:c>
      <ns0:c r="L500" t="inlineStr">
        <ns0:is>
          <ns0:t>Weighted average of amounts in regional datasets.
Premise 2.5.4: Original amount 0.00011; scale 8.156606851549755.</ns0:t>
        </ns0:is>
      </ns0:c>
      <ns0:c r="N500" t="b">
        <ns0:v>0</ns0:v>
      </ns0:c>
    </ns0:row>
    <ns0:row r="501">
      <ns0:c r="A501" t="inlineStr">
        <ns0:is>
          <ns0:t>market for ferromanganese, high-coal, 74.5% Mn</ns0:t>
        </ns0:is>
      </ns0:c>
      <ns0:c r="B501" t="n">
        <ns0:v>0.0003629690048939641</ns0:v>
      </ns0:c>
      <ns0:c r="C501" t="inlineStr">
        <ns0:is>
          <ns0:t>ferromanganese, high-coal, 74.5% Mn</ns0:t>
        </ns0:is>
      </ns0:c>
      <ns0:c r="D501" t="inlineStr">
        <ns0:is>
          <ns0:t>GLO</ns0:t>
        </ns0:is>
      </ns0:c>
      <ns0:c r="E501" t="inlineStr">
        <ns0:is>
          <ns0:t>kilogram</ns0:t>
        </ns0:is>
      </ns0:c>
      <ns0:c r="G501" t="inlineStr">
        <ns0:is>
          <ns0:t>technosphere</ns0:t>
        </ns0:is>
      </ns0:c>
      <ns0:c r="I501" t="n">
        <ns0:v>2</ns0:v>
      </ns0:c>
      <ns0:c r="J501" t="n">
        <ns0:v>-7.921193113312054</ns0:v>
      </ns0:c>
      <ns0:c r="K501" t="n">
        <ns0:v>0.08602325267042626</ns0:v>
      </ns0:c>
      <ns0:c r="L501" t="inlineStr">
        <ns0:is>
          <ns0:t>Weighted average of amounts in regional datasets.
Premise 2.5.4: Original amount 4.45e-05; scale 8.156606851549755.</ns0:t>
        </ns0:is>
      </ns0:c>
      <ns0:c r="N501" t="b">
        <ns0:v>0</ns0:v>
      </ns0:c>
    </ns0:row>
    <ns0:row r="502">
      <ns0:c r="A502" t="inlineStr">
        <ns0:is>
          <ns0:t>market for ferrosilicon</ns0:t>
        </ns0:is>
      </ns0:c>
      <ns0:c r="B502" t="n">
        <ns0:v>0.0301794453507341</ns0:v>
      </ns0:c>
      <ns0:c r="C502" t="inlineStr">
        <ns0:is>
          <ns0:t>ferrosilicon</ns0:t>
        </ns0:is>
      </ns0:c>
      <ns0:c r="D502" t="inlineStr">
        <ns0:is>
          <ns0:t>GLO</ns0:t>
        </ns0:is>
      </ns0:c>
      <ns0:c r="E502" t="inlineStr">
        <ns0:is>
          <ns0:t>kilogram</ns0:t>
        </ns0:is>
      </ns0:c>
      <ns0:c r="G502" t="inlineStr">
        <ns0:is>
          <ns0:t>technosphere</ns0:t>
        </ns0:is>
      </ns0:c>
      <ns0:c r="I502" t="n">
        <ns0:v>2</ns0:v>
      </ns0:c>
      <ns0:c r="J502" t="n">
        <ns0:v>-3.500594203851932</ns0:v>
      </ns0:c>
      <ns0:c r="K502" t="n">
        <ns0:v>0.08602325267042626</ns0:v>
      </ns0:c>
      <ns0:c r="L502" t="inlineStr">
        <ns0:is>
          <ns0:t>Weighted average of amounts in regional datasets.
Premise 2.5.4: Original amount 0.0037; scale 8.156606851549755.</ns0:t>
        </ns0:is>
      </ns0:c>
      <ns0:c r="N502" t="b">
        <ns0:v>0</ns0:v>
      </ns0:c>
    </ns0:row>
    <ns0:row r="503">
      <ns0:c r="A503" t="inlineStr">
        <ns0:is>
          <ns0:t>market for hard coal</ns0:t>
        </ns0:is>
      </ns0:c>
      <ns0:c r="B503" t="n">
        <ns0:v>0.1141924959216966</ns0:v>
      </ns0:c>
      <ns0:c r="C503" t="inlineStr">
        <ns0:is>
          <ns0:t>hard coal</ns0:t>
        </ns0:is>
      </ns0:c>
      <ns0:c r="D503" t="inlineStr">
        <ns0:is>
          <ns0:t>RoW</ns0:t>
        </ns0:is>
      </ns0:c>
      <ns0:c r="E503" t="inlineStr">
        <ns0:is>
          <ns0:t>kilogram</ns0:t>
        </ns0:is>
      </ns0:c>
      <ns0:c r="G503" t="inlineStr">
        <ns0:is>
          <ns0:t>technosphere</ns0:t>
        </ns0:is>
      </ns0:c>
      <ns0:c r="L503" t="inlineStr">
        <ns0:is>
          <ns0:t>Premise 2.5.4: Original amount 0.014; scale 8.156606851549755.</ns0:t>
        </ns0:is>
      </ns0:c>
    </ns0:row>
    <ns0:row r="504">
      <ns0:c r="A504" t="inlineStr">
        <ns0:is>
          <ns0:t>market for heat, district or industrial, natural gas</ns0:t>
        </ns0:is>
      </ns0:c>
      <ns0:c r="B504" t="n">
        <ns0:v>10.0326264274062</ns0:v>
      </ns0:c>
      <ns0:c r="C504" t="inlineStr">
        <ns0:is>
          <ns0:t>heat, district or industrial, natural gas</ns0:t>
        </ns0:is>
      </ns0:c>
      <ns0:c r="D504" t="inlineStr">
        <ns0:is>
          <ns0:t>RoW</ns0:t>
        </ns0:is>
      </ns0:c>
      <ns0:c r="E504" t="inlineStr">
        <ns0:is>
          <ns0:t>megajoule</ns0:t>
        </ns0:is>
      </ns0:c>
      <ns0:c r="G504" t="inlineStr">
        <ns0:is>
          <ns0:t>technosphere</ns0:t>
        </ns0:is>
      </ns0:c>
      <ns0:c r="L504" t="inlineStr">
        <ns0:is>
          <ns0:t>Premise 2.5.4: Original amount 1.23; scale 8.156606851549755.</ns0:t>
        </ns0:is>
      </ns0:c>
    </ns0:row>
    <ns0:row r="505">
      <ns0:c r="A505" t="inlineStr">
        <ns0:is>
          <ns0:t>market for inert waste, for final disposal</ns0:t>
        </ns0:is>
      </ns0:c>
      <ns0:c r="B505" t="n">
        <ns0:v>-0.04078303425774878</ns0:v>
      </ns0:c>
      <ns0:c r="C505" t="inlineStr">
        <ns0:is>
          <ns0:t>inert waste, for final disposal</ns0:t>
        </ns0:is>
      </ns0:c>
      <ns0:c r="D505" t="inlineStr">
        <ns0:is>
          <ns0:t>RoW</ns0:t>
        </ns0:is>
      </ns0:c>
      <ns0:c r="E505" t="inlineStr">
        <ns0:is>
          <ns0:t>kilogram</ns0:t>
        </ns0:is>
      </ns0:c>
      <ns0:c r="G505" t="inlineStr">
        <ns0:is>
          <ns0:t>technosphere</ns0:t>
        </ns0:is>
      </ns0:c>
      <ns0:c r="I505" t="n">
        <ns0:v>2</ns0:v>
      </ns0:c>
      <ns0:c r="J505" t="n">
        <ns0:v>-3.199489111068011</ns0:v>
      </ns0:c>
      <ns0:c r="K505" t="n">
        <ns0:v>0.08831760866327847</ns0:v>
      </ns0:c>
      <ns0:c r="L505" t="inlineStr">
        <ns0:is>
          <ns0:t>Weighted average of amounts in regional datasets.
Premise 2.5.4: Original amount -0.005; scale 8.156606851549755.</ns0:t>
        </ns0:is>
      </ns0:c>
      <ns0:c r="N505" t="b">
        <ns0:v>1</ns0:v>
      </ns0:c>
    </ns0:row>
    <ns0:row r="506">
      <ns0:c r="A506" t="inlineStr">
        <ns0:is>
          <ns0:t>market for iron scrap, unsorted</ns0:t>
        </ns0:is>
      </ns0:c>
      <ns0:c r="B506" t="n">
        <ns0:v>-0.0004200652528548124</ns0:v>
      </ns0:c>
      <ns0:c r="C506" t="inlineStr">
        <ns0:is>
          <ns0:t>iron scrap, unsorted</ns0:t>
        </ns0:is>
      </ns0:c>
      <ns0:c r="D506" t="inlineStr">
        <ns0:is>
          <ns0:t>GLO</ns0:t>
        </ns0:is>
      </ns0:c>
      <ns0:c r="E506" t="inlineStr">
        <ns0:is>
          <ns0:t>kilogram</ns0:t>
        </ns0:is>
      </ns0:c>
      <ns0:c r="G506" t="inlineStr">
        <ns0:is>
          <ns0:t>technosphere</ns0:t>
        </ns0:is>
      </ns0:c>
      <ns0:c r="I506" t="n">
        <ns0:v>2</ns0:v>
      </ns0:c>
      <ns0:c r="J506" t="n">
        <ns0:v>-7.775100494814557</ns0:v>
      </ns0:c>
      <ns0:c r="K506" t="n">
        <ns0:v>0.05291502622129181</ns0:v>
      </ns0:c>
      <ns0:c r="L506" t="inlineStr">
        <ns0:is>
          <ns0:t>Weighted average of amounts in regional datasets.
Premise 2.5.4: Original amount -5.15e-05; scale 8.156606851549755.</ns0:t>
        </ns0:is>
      </ns0:c>
      <ns0:c r="N506" t="b">
        <ns0:v>1</ns0:v>
      </ns0:c>
    </ns0:row>
    <ns0:row r="507">
      <ns0:c r="A507" t="inlineStr">
        <ns0:is>
          <ns0:t>market for molybdenum trioxide</ns0:t>
        </ns0:is>
      </ns0:c>
      <ns0:c r="B507" t="n">
        <ns0:v>0.0001150081566068516</ns0:v>
      </ns0:c>
      <ns0:c r="C507" t="inlineStr">
        <ns0:is>
          <ns0:t>molybdenum trioxide</ns0:t>
        </ns0:is>
      </ns0:c>
      <ns0:c r="D507" t="inlineStr">
        <ns0:is>
          <ns0:t>GLO</ns0:t>
        </ns0:is>
      </ns0:c>
      <ns0:c r="E507" t="inlineStr">
        <ns0:is>
          <ns0:t>kilogram</ns0:t>
        </ns0:is>
      </ns0:c>
      <ns0:c r="G507" t="inlineStr">
        <ns0:is>
          <ns0:t>technosphere</ns0:t>
        </ns0:is>
      </ns0:c>
      <ns0:c r="I507" t="n">
        <ns0:v>2</ns0:v>
      </ns0:c>
      <ns0:c r="J507" t="n">
        <ns0:v>-9.070507505100126</ns0:v>
      </ns0:c>
      <ns0:c r="K507" t="n">
        <ns0:v>0.07211102550927978</ns0:v>
      </ns0:c>
      <ns0:c r="L507" t="inlineStr">
        <ns0:is>
          <ns0:t>Weighted average of amounts in regional datasets.
Premise 2.5.4: Original amount 1.41e-05; scale 8.156606851549755.</ns0:t>
        </ns0:is>
      </ns0:c>
      <ns0:c r="N507" t="b">
        <ns0:v>0</ns0:v>
      </ns0:c>
    </ns0:row>
    <ns0:row r="508">
      <ns0:c r="A508" t="inlineStr">
        <ns0:is>
          <ns0:t>market for natural gas, high pressure</ns0:t>
        </ns0:is>
      </ns0:c>
      <ns0:c r="B508" t="n">
        <ns0:v>0.2039151712887439</ns0:v>
      </ns0:c>
      <ns0:c r="C508" t="inlineStr">
        <ns0:is>
          <ns0:t>natural gas, high pressure</ns0:t>
        </ns0:is>
      </ns0:c>
      <ns0:c r="D508" t="inlineStr">
        <ns0:is>
          <ns0:t>RoW</ns0:t>
        </ns0:is>
      </ns0:c>
      <ns0:c r="E508" t="inlineStr">
        <ns0:is>
          <ns0:t>cubic meter</ns0:t>
        </ns0:is>
      </ns0:c>
      <ns0:c r="G508" t="inlineStr">
        <ns0:is>
          <ns0:t>technosphere</ns0:t>
        </ns0:is>
      </ns0:c>
      <ns0:c r="L508" t="inlineStr">
        <ns0:is>
          <ns0:t>Premise 2.5.4: Original amount 0.025; scale 8.156606851549755.</ns0:t>
        </ns0:is>
      </ns0:c>
    </ns0:row>
    <ns0:row r="509">
      <ns0:c r="A509" t="inlineStr">
        <ns0:is>
          <ns0:t>market for nickel, class 1</ns0:t>
        </ns0:is>
      </ns0:c>
      <ns0:c r="B509" t="n">
        <ns0:v>0.0002707993474714519</ns0:v>
      </ns0:c>
      <ns0:c r="C509" t="inlineStr">
        <ns0:is>
          <ns0:t>nickel, class 1</ns0:t>
        </ns0:is>
      </ns0:c>
      <ns0:c r="D509" t="inlineStr">
        <ns0:is>
          <ns0:t>GLO</ns0:t>
        </ns0:is>
      </ns0:c>
      <ns0:c r="E509" t="inlineStr">
        <ns0:is>
          <ns0:t>kilogram</ns0:t>
        </ns0:is>
      </ns0:c>
      <ns0:c r="G509" t="inlineStr">
        <ns0:is>
          <ns0:t>technosphere</ns0:t>
        </ns0:is>
      </ns0:c>
      <ns0:c r="I509" t="n">
        <ns0:v>2</ns0:v>
      </ns0:c>
      <ns0:c r="J509" t="n">
        <ns0:v>-8.214132426561806</ns0:v>
      </ns0:c>
      <ns0:c r="K509" t="n">
        <ns0:v>0.07211102550927978</ns0:v>
      </ns0:c>
      <ns0:c r="L509" t="inlineStr">
        <ns0:is>
          <ns0:t>Weighted average of amounts in regional datasets.
Premise 2.5.4: Original amount 3.32e-05; scale 8.156606851549755.</ns0:t>
        </ns0:is>
      </ns0:c>
      <ns0:c r="N509" t="b">
        <ns0:v>0</ns0:v>
      </ns0:c>
    </ns0:row>
    <ns0:row r="510">
      <ns0:c r="A510" t="inlineStr">
        <ns0:is>
          <ns0:t>market for oxygen, liquid</ns0:t>
        </ns0:is>
      </ns0:c>
      <ns0:c r="B510" t="n">
        <ns0:v>0.4135399673735726</ns0:v>
      </ns0:c>
      <ns0:c r="C510" t="inlineStr">
        <ns0:is>
          <ns0:t>oxygen, liquid</ns0:t>
        </ns0:is>
      </ns0:c>
      <ns0:c r="D510" t="inlineStr">
        <ns0:is>
          <ns0:t>RoW</ns0:t>
        </ns0:is>
      </ns0:c>
      <ns0:c r="E510" t="inlineStr">
        <ns0:is>
          <ns0:t>kilogram</ns0:t>
        </ns0:is>
      </ns0:c>
      <ns0:c r="G510" t="inlineStr">
        <ns0:is>
          <ns0:t>technosphere</ns0:t>
        </ns0:is>
      </ns0:c>
      <ns0:c r="I510" t="n">
        <ns0:v>2</ns0:v>
      </ns0:c>
      <ns0:c r="J510" t="n">
        <ns0:v>-0.8830011129049735</ns0:v>
      </ns0:c>
      <ns0:c r="K510" t="n">
        <ns0:v>0.08602325267042626</ns0:v>
      </ns0:c>
      <ns0:c r="L510" t="inlineStr">
        <ns0:is>
          <ns0:t>Weighted average of amounts in regional datasets.
Premise 2.5.4: Original amount 0.0507; scale 8.156606851549755.</ns0:t>
        </ns0:is>
      </ns0:c>
      <ns0:c r="N510" t="b">
        <ns0:v>0</ns0:v>
      </ns0:c>
    </ns0:row>
    <ns0:row r="511">
      <ns0:c r="A511" t="inlineStr">
        <ns0:is>
          <ns0:t>market for propane, burned in building machine</ns0:t>
        </ns0:is>
      </ns0:c>
      <ns0:c r="B511" t="n">
        <ns0:v>0.02226753670473083</ns0:v>
      </ns0:c>
      <ns0:c r="C511" t="inlineStr">
        <ns0:is>
          <ns0:t>propane, burned in building machine</ns0:t>
        </ns0:is>
      </ns0:c>
      <ns0:c r="D511" t="inlineStr">
        <ns0:is>
          <ns0:t>GLO</ns0:t>
        </ns0:is>
      </ns0:c>
      <ns0:c r="E511" t="inlineStr">
        <ns0:is>
          <ns0:t>megajoule</ns0:t>
        </ns0:is>
      </ns0:c>
      <ns0:c r="G511" t="inlineStr">
        <ns0:is>
          <ns0:t>technosphere</ns0:t>
        </ns0:is>
      </ns0:c>
      <ns0:c r="I511" t="n">
        <ns0:v>2</ns0:v>
      </ns0:c>
      <ns0:c r="J511" t="n">
        <ns0:v>-3.804625414305243</ns0:v>
      </ns0:c>
      <ns0:c r="K511" t="n">
        <ns0:v>0.04472135954999579</ns0:v>
      </ns0:c>
      <ns0:c r="L511" t="inlineStr">
        <ns0:is>
          <ns0:t>Weighted average of amounts in regional datasets.
Premise 2.5.4: Original amount 0.00273; scale 8.156606851549755.</ns0:t>
        </ns0:is>
      </ns0:c>
      <ns0:c r="N511" t="b">
        <ns0:v>0</ns0:v>
      </ns0:c>
    </ns0:row>
    <ns0:row r="512">
      <ns0:c r="A512" t="inlineStr">
        <ns0:is>
          <ns0:t>market for quicklime, in pieces, loose</ns0:t>
        </ns0:is>
      </ns0:c>
      <ns0:c r="B512" t="n">
        <ns0:v>0.4486133768352366</ns0:v>
      </ns0:c>
      <ns0:c r="C512" t="inlineStr">
        <ns0:is>
          <ns0:t>quicklime, in pieces, loose</ns0:t>
        </ns0:is>
      </ns0:c>
      <ns0:c r="D512" t="inlineStr">
        <ns0:is>
          <ns0:t>RoW</ns0:t>
        </ns0:is>
      </ns0:c>
      <ns0:c r="E512" t="inlineStr">
        <ns0:is>
          <ns0:t>kilogram</ns0:t>
        </ns0:is>
      </ns0:c>
      <ns0:c r="G512" t="inlineStr">
        <ns0:is>
          <ns0:t>technosphere</ns0:t>
        </ns0:is>
      </ns0:c>
      <ns0:c r="I512" t="n">
        <ns0:v>2</ns0:v>
      </ns0:c>
      <ns0:c r="J512" t="n">
        <ns0:v>-0.80159383826964</ns0:v>
      </ns0:c>
      <ns0:c r="K512" t="n">
        <ns0:v>0.07348469228349534</ns0:v>
      </ns0:c>
      <ns0:c r="L512" t="inlineStr">
        <ns0:is>
          <ns0:t>Weighted average of amounts in regional datasets.
Premise 2.5.4: Original amount 0.055; scale 8.156606851549755.</ns0:t>
        </ns0:is>
      </ns0:c>
      <ns0:c r="N512" t="b">
        <ns0:v>0</ns0:v>
      </ns0:c>
    </ns0:row>
    <ns0:row r="513">
      <ns0:c r="A513" t="inlineStr">
        <ns0:is>
          <ns0:t>market for refractory, basic, packed</ns0:t>
        </ns0:is>
      </ns0:c>
      <ns0:c r="B513" t="n">
        <ns0:v>0.1101141924959217</ns0:v>
      </ns0:c>
      <ns0:c r="C513" t="inlineStr">
        <ns0:is>
          <ns0:t>refractory, basic, packed</ns0:t>
        </ns0:is>
      </ns0:c>
      <ns0:c r="D513" t="inlineStr">
        <ns0:is>
          <ns0:t>GLO</ns0:t>
        </ns0:is>
      </ns0:c>
      <ns0:c r="E513" t="inlineStr">
        <ns0:is>
          <ns0:t>kilogram</ns0:t>
        </ns0:is>
      </ns0:c>
      <ns0:c r="G513" t="inlineStr">
        <ns0:is>
          <ns0:t>technosphere</ns0:t>
        </ns0:is>
      </ns0:c>
      <ns0:c r="L513" t="inlineStr">
        <ns0:is>
          <ns0:t>Premise 2.5.4: Original amount 0.0135; scale 8.156606851549755.</ns0:t>
        </ns0:is>
      </ns0:c>
    </ns0:row>
    <ns0:row r="514">
      <ns0:c r="A514" t="inlineStr">
        <ns0:is>
          <ns0:t>market for spent solvent mixture</ns0:t>
        </ns0:is>
      </ns0:c>
      <ns0:c r="B514" t="n">
        <ns0:v>-2.707993474714518e-07</ns0:v>
      </ns0:c>
      <ns0:c r="C514" t="inlineStr">
        <ns0:is>
          <ns0:t>spent solvent mixture</ns0:t>
        </ns0:is>
      </ns0:c>
      <ns0:c r="D514" t="inlineStr">
        <ns0:is>
          <ns0:t>RoW</ns0:t>
        </ns0:is>
      </ns0:c>
      <ns0:c r="E514" t="inlineStr">
        <ns0:is>
          <ns0:t>kilogram</ns0:t>
        </ns0:is>
      </ns0:c>
      <ns0:c r="G514" t="inlineStr">
        <ns0:is>
          <ns0:t>technosphere</ns0:t>
        </ns0:is>
      </ns0:c>
      <ns0:c r="I514" t="n">
        <ns0:v>2</ns0:v>
      </ns0:c>
      <ns0:c r="J514" t="n">
        <ns0:v>-15.12188770554394</ns0:v>
      </ns0:c>
      <ns0:c r="K514" t="n">
        <ns0:v>0.07211102550927978</ns0:v>
      </ns0:c>
      <ns0:c r="L514" t="inlineStr">
        <ns0:is>
          <ns0:t>Weighted average of amounts in regional datasets.
Premise 2.5.4: Original amount -3.32e-08; scale 8.156606851549755.</ns0:t>
        </ns0:is>
      </ns0:c>
      <ns0:c r="N514" t="b">
        <ns0:v>1</ns0:v>
      </ns0:c>
    </ns0:row>
    <ns0:row r="515">
      <ns0:c r="A515" t="inlineStr">
        <ns0:is>
          <ns0:t>treatment of electric arc furnace dust, residual material landfill</ns0:t>
        </ns0:is>
      </ns0:c>
      <ns0:c r="B515" t="n">
        <ns0:v>-0.07830342577487764</ns0:v>
      </ns0:c>
      <ns0:c r="C515" t="inlineStr">
        <ns0:is>
          <ns0:t>electric arc furnace dust</ns0:t>
        </ns0:is>
      </ns0:c>
      <ns0:c r="D515" t="inlineStr">
        <ns0:is>
          <ns0:t>CH</ns0:t>
        </ns0:is>
      </ns0:c>
      <ns0:c r="E515" t="inlineStr">
        <ns0:is>
          <ns0:t>kilogram</ns0:t>
        </ns0:is>
      </ns0:c>
      <ns0:c r="G515" t="inlineStr">
        <ns0:is>
          <ns0:t>technosphere</ns0:t>
        </ns0:is>
      </ns0:c>
      <ns0:c r="L515" t="inlineStr">
        <ns0:is>
          <ns0:t>Premise 2.5.4: Original amount -0.009599999999999999; scale 8.156606851549755.</ns0:t>
        </ns0:is>
      </ns0:c>
    </ns0:row>
    <ns0:row r="516"/>
  </ns0:sheetData>
  <ns0:autoFilter ref="A1:T518"/>
  <ns0:pageMargins left="0.7" right="0.7" top="0.75" bottom="0.75" header="0.3" footer="0.3"/>
  <ns0:pageSetup orientation="portrait" paperSize="9"/>
</ns0:worksheet>
</file>

<file path=xl/worksheets/sheet2.xml><?xml version="1.0" encoding="utf-8"?>
<ns0:worksheet xmlns:ns0="http://schemas.openxmlformats.org/spreadsheetml/2006/main">
  <ns0:sheetPr>
    <ns0:outlinePr summaryBelow="1" summaryRight="1"/>
    <ns0:pageSetUpPr/>
  </ns0:sheetPr>
  <ns0:dimension ref="A1:I273"/>
  <ns0:sheetViews>
    <ns0:sheetView zoomScaleNormal="100" workbookViewId="0">
      <ns0:selection activeCell="A3" sqref="A3"/>
    </ns0:sheetView>
  </ns0:sheetViews>
  <ns0:sheetFormatPr baseColWidth="10" defaultColWidth="8.83203125" defaultRowHeight="15"/>
  <ns0:cols>
    <ns0:col width="67" bestFit="1" customWidth="1" min="1" max="1"/>
    <ns0:col width="12.6640625" bestFit="1" customWidth="1" min="2" max="2"/>
    <ns0:col width="17.6640625" bestFit="1" customWidth="1" min="3" max="3"/>
    <ns0:col width="17.5" customWidth="1" min="4" max="4"/>
    <ns0:col width="13.83203125" bestFit="1" customWidth="1" min="6" max="6"/>
    <ns0:col width="49.1640625" bestFit="1" customWidth="1" min="7" max="7"/>
  </ns0:cols>
  <ns0:sheetData>
    <ns0:row r="1">
      <ns0:c r="A1" t="inlineStr">
        <ns0:is>
          <ns0:t>skip</ns0:t>
        </ns0:is>
      </ns0:c>
    </ns0:row>
    <ns0:row r="2">
      <ns0:c r="A2" t="inlineStr">
        <ns0:is>
          <ns0:t>This is the work I did to import the work from Weber et al. (2018). Finally, we are using the inventories created by Zhang et al (2024), also based on the work by Weber</ns0:t>
        </ns0:is>
      </ns0:c>
    </ns0:row>
    <ns0:row r="3"/>
    <ns0:row r="4">
      <ns0:c r="A4" s="1" t="inlineStr">
        <ns0:is>
          <ns0:t>database</ns0:t>
        </ns0:is>
      </ns0:c>
      <ns0:c r="B4" t="inlineStr">
        <ns0:is>
          <ns0:t>vanadium</ns0:t>
        </ns0:is>
      </ns0:c>
    </ns0:row>
    <ns0:row r="5">
      <ns0:c r="A5" s="1" t="n"/>
    </ns0:row>
    <ns0:row r="6">
      <ns0:c r="A6" s="1" t="inlineStr">
        <ns0:is>
          <ns0:t>Activity</ns0:t>
        </ns0:is>
      </ns0:c>
      <ns0:c r="B6" s="1" t="inlineStr">
        <ns0:is>
          <ns0:t>vanadium bearing magnetite production</ns0:t>
        </ns0:is>
      </ns0:c>
    </ns0:row>
    <ns0:row r="7">
      <ns0:c r="A7" t="inlineStr">
        <ns0:is>
          <ns0:t>comment</ns0:t>
        </ns0:is>
      </ns0:c>
      <ns0:c r="B7" t="inlineStr">
        <ns0:is>
          <ns0:t>Usually, vanadium is obtained from vanadium containing titanomagnetite ore. The principal product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 
Allocation has been performed in a separate sheet, taking the monetary values from ecoinvent and the original source. 77% is allocated to the vanadium bearing magnetite and 23% to the titanium dioxide</ns0:t>
        </ns0:is>
      </ns0:c>
    </ns0:row>
    <ns0:row r="8">
      <ns0:c r="A8" t="inlineStr">
        <ns0:is>
          <ns0:t>source</ns0:t>
        </ns0:is>
      </ns0:c>
      <ns0:c r="B8" t="inlineStr">
        <ns0:is>
          <ns0:t>Life Cycle Assessment of a Vanadium Redox Flow Battery, Selina Weber, Jens F. Peters, Manuel Baumann, and Marcel Weil, Environ. Sci. Technol. 2018, 52, 10864−10873, DOI: 10.1021/acs.est.8b02073</ns0:t>
        </ns0:is>
      </ns0:c>
    </ns0:row>
    <ns0:row r="9">
      <ns0:c r="A9" t="inlineStr">
        <ns0:is>
          <ns0:t>location</ns0:t>
        </ns0:is>
      </ns0:c>
      <ns0:c r="B9" t="inlineStr">
        <ns0:is>
          <ns0:t>ZA</ns0:t>
        </ns0:is>
      </ns0:c>
    </ns0:row>
    <ns0:row r="10">
      <ns0:c r="A10" t="inlineStr">
        <ns0:is>
          <ns0:t>production amount</ns0:t>
        </ns0:is>
      </ns0:c>
      <ns0:c r="B10" t="n">
        <ns0:v>1</ns0:v>
      </ns0:c>
    </ns0:row>
    <ns0:row r="11">
      <ns0:c r="A11" t="inlineStr">
        <ns0:is>
          <ns0:t>reference product</ns0:t>
        </ns0:is>
      </ns0:c>
      <ns0:c r="B11" t="inlineStr">
        <ns0:is>
          <ns0:t>vanadium bearing magnetite</ns0:t>
        </ns0:is>
      </ns0:c>
    </ns0:row>
    <ns0:row r="12">
      <ns0:c r="A12" t="inlineStr">
        <ns0:is>
          <ns0:t>unit</ns0:t>
        </ns0:is>
      </ns0:c>
      <ns0:c r="B12" t="inlineStr">
        <ns0:is>
          <ns0:t>kilogram</ns0:t>
        </ns0:is>
      </ns0:c>
    </ns0:row>
    <ns0:row r="13">
      <ns0:c r="A13" s="1" t="inlineStr">
        <ns0:is>
          <ns0:t>Exchanges</ns0:t>
        </ns0:is>
      </ns0:c>
    </ns0:row>
    <ns0:row r="14" customFormat="1" s="1">
      <ns0:c r="A14" s="1" t="inlineStr">
        <ns0:is>
          <ns0:t>name</ns0:t>
        </ns0:is>
      </ns0:c>
      <ns0:c r="B14" s="1" t="inlineStr">
        <ns0:is>
          <ns0:t>amount</ns0:t>
        </ns0:is>
      </ns0:c>
      <ns0:c r="C14" s="1" t="inlineStr">
        <ns0:is>
          <ns0:t>unit</ns0:t>
        </ns0:is>
      </ns0:c>
      <ns0:c r="D14" s="1" t="inlineStr">
        <ns0:is>
          <ns0:t>categories</ns0:t>
        </ns0:is>
      </ns0:c>
      <ns0:c r="E14" s="1" t="inlineStr">
        <ns0:is>
          <ns0:t>location</ns0:t>
        </ns0:is>
      </ns0:c>
      <ns0:c r="F14" s="1" t="inlineStr">
        <ns0:is>
          <ns0:t>type</ns0:t>
        </ns0:is>
      </ns0:c>
      <ns0:c r="G14" s="1" t="inlineStr">
        <ns0:is>
          <ns0:t>reference product</ns0:t>
        </ns0:is>
      </ns0:c>
      <ns0:c r="H14" s="1" t="inlineStr">
        <ns0:is>
          <ns0:t>Comment</ns0:t>
        </ns0:is>
      </ns0:c>
    </ns0:row>
    <ns0:row r="15">
      <ns0:c r="A15" t="str">
        <ns0:f>B6</ns0:f>
        <ns0:v>vanadium bearing magnetite production</ns0:v>
      </ns0:c>
      <ns0:c r="B15" s="4" t="n">
        <ns0:v>1</ns0:v>
      </ns0:c>
      <ns0:c r="C15" t="inlineStr">
        <ns0:is>
          <ns0:t>kilogram</ns0:t>
        </ns0:is>
      </ns0:c>
      <ns0:c r="E15" t="inlineStr">
        <ns0:is>
          <ns0:t>ZA</ns0:t>
        </ns0:is>
      </ns0:c>
      <ns0:c r="F15" t="inlineStr">
        <ns0:is>
          <ns0:t>production</ns0:t>
        </ns0:is>
      </ns0:c>
      <ns0:c r="G15" t="inlineStr">
        <ns0:is>
          <ns0:t>vanadium bearing magnetite</ns0:t>
        </ns0:is>
      </ns0:c>
      <ns0:c r="H15" s="4" t="n"/>
    </ns0:row>
    <ns0:row r="16">
      <ns0:c r="A16" t="inlineStr">
        <ns0:is>
          <ns0:t>market for ilmenite, 54% titanium dioxide</ns0:t>
        </ns0:is>
      </ns0:c>
      <ns0:c r="B16" s="4" t="n">
        <ns0:v>0.1918510159542468</ns0:v>
      </ns0:c>
      <ns0:c r="C16" t="inlineStr">
        <ns0:is>
          <ns0:t>kilogram</ns0:t>
        </ns0:is>
      </ns0:c>
      <ns0:c r="E16" t="inlineStr">
        <ns0:is>
          <ns0:t>GLO</ns0:t>
        </ns0:is>
      </ns0:c>
      <ns0:c r="F16" t="inlineStr">
        <ns0:is>
          <ns0:t>technosphere</ns0:t>
        </ns0:is>
      </ns0:c>
      <ns0:c r="G16" t="inlineStr">
        <ns0:is>
          <ns0:t>ilmenite, 54% titanium dioxide</ns0:t>
        </ns0:is>
      </ns0:c>
      <ns0:c r="H16" s="4" t="n"/>
    </ns0:row>
    <ns0:row r="17">
      <ns0:c r="A17" t="inlineStr">
        <ns0:is>
          <ns0:t>market for mine infrastructure, open cast, ilmenite from hard-rock ore</ns0:t>
        </ns0:is>
      </ns0:c>
      <ns0:c r="B17" s="4" t="n">
        <ns0:v>2.36360451655632e-11</ns0:v>
      </ns0:c>
      <ns0:c r="C17" t="inlineStr">
        <ns0:is>
          <ns0:t>unit</ns0:t>
        </ns0:is>
      </ns0:c>
      <ns0:c r="E17" t="inlineStr">
        <ns0:is>
          <ns0:t>GLO</ns0:t>
        </ns0:is>
      </ns0:c>
      <ns0:c r="F17" t="inlineStr">
        <ns0:is>
          <ns0:t>technosphere</ns0:t>
        </ns0:is>
      </ns0:c>
      <ns0:c r="G17" t="inlineStr">
        <ns0:is>
          <ns0:t>mine infrastructure, open cast, ilmenite from hard-rock ore</ns0:t>
        </ns0:is>
      </ns0:c>
      <ns0:c r="H17" s="4" t="n"/>
    </ns0:row>
    <ns0:row r="18">
      <ns0:c r="A18" t="inlineStr">
        <ns0:is>
          <ns0:t>market for industrial machine, heavy, unspecified</ns0:t>
        </ns0:is>
      </ns0:c>
      <ns0:c r="B18" s="4" t="n">
        <ns0:v>9.362329578567242e-06</ns0:v>
      </ns0:c>
      <ns0:c r="C18" t="inlineStr">
        <ns0:is>
          <ns0:t>kilogram</ns0:t>
        </ns0:is>
      </ns0:c>
      <ns0:c r="E18" t="inlineStr">
        <ns0:is>
          <ns0:t>RoW</ns0:t>
        </ns0:is>
      </ns0:c>
      <ns0:c r="F18" t="inlineStr">
        <ns0:is>
          <ns0:t>technosphere</ns0:t>
        </ns0:is>
      </ns0:c>
      <ns0:c r="G18" s="4" t="inlineStr">
        <ns0:is>
          <ns0:t>industrial machine, heavy, unspecified</ns0:t>
        </ns0:is>
      </ns0:c>
      <ns0:c r="H18" s="4" t="n"/>
    </ns0:row>
    <ns0:row r="19">
      <ns0:c r="A19" t="inlineStr">
        <ns0:is>
          <ns0:t>market for conveyor belt</ns0:t>
        </ns0:is>
      </ns0:c>
      <ns0:c r="B19" s="4" t="n">
        <ns0:v>4.266766594822448e-08</ns0:v>
      </ns0:c>
      <ns0:c r="C19" t="inlineStr">
        <ns0:is>
          <ns0:t>meter</ns0:t>
        </ns0:is>
      </ns0:c>
      <ns0:c r="E19" t="inlineStr">
        <ns0:is>
          <ns0:t>GLO</ns0:t>
        </ns0:is>
      </ns0:c>
      <ns0:c r="F19" t="inlineStr">
        <ns0:is>
          <ns0:t>technosphere</ns0:t>
        </ns0:is>
      </ns0:c>
      <ns0:c r="G19" t="inlineStr">
        <ns0:is>
          <ns0:t>conveyor belt</ns0:t>
        </ns0:is>
      </ns0:c>
      <ns0:c r="H19" s="4" t="n"/>
    </ns0:row>
    <ns0:row r="20">
      <ns0:c r="A20" t="inlineStr">
        <ns0:is>
          <ns0:t>market for diesel, burned in diesel-electric generating set, 10MW</ns0:t>
        </ns0:is>
      </ns0:c>
      <ns0:c r="B20" s="4" t="n">
        <ns0:v>0.01826421671884429</ns0:v>
      </ns0:c>
      <ns0:c r="C20" t="inlineStr">
        <ns0:is>
          <ns0:t>megajoule</ns0:t>
        </ns0:is>
      </ns0:c>
      <ns0:c r="E20" t="inlineStr">
        <ns0:is>
          <ns0:t>GLO</ns0:t>
        </ns0:is>
      </ns0:c>
      <ns0:c r="F20" t="inlineStr">
        <ns0:is>
          <ns0:t>technosphere</ns0:t>
        </ns0:is>
      </ns0:c>
      <ns0:c r="G20" t="inlineStr">
        <ns0:is>
          <ns0:t>diesel, burned in diesel-electric generating set, 10MW</ns0:t>
        </ns0:is>
      </ns0:c>
      <ns0:c r="H20" s="4" t="n"/>
    </ns0:row>
    <ns0:row r="21">
      <ns0:c r="A21" t="inlineStr">
        <ns0:is>
          <ns0:t>market for electricity, medium voltage</ns0:t>
        </ns0:is>
      </ns0:c>
      <ns0:c r="B21" s="4" t="n">
        <ns0:v>0.01105061851896461</ns0:v>
      </ns0:c>
      <ns0:c r="C21" t="inlineStr">
        <ns0:is>
          <ns0:t>kilowatt hour</ns0:t>
        </ns0:is>
      </ns0:c>
      <ns0:c r="E21" t="inlineStr">
        <ns0:is>
          <ns0:t>ZA</ns0:t>
        </ns0:is>
      </ns0:c>
      <ns0:c r="F21" t="inlineStr">
        <ns0:is>
          <ns0:t>technosphere</ns0:t>
        </ns0:is>
      </ns0:c>
      <ns0:c r="G21" t="inlineStr">
        <ns0:is>
          <ns0:t>electricity, medium voltage</ns0:t>
        </ns0:is>
      </ns0:c>
      <ns0:c r="H21" s="4" t="n"/>
    </ns0:row>
    <ns0:row r="22">
      <ns0:c r="A22" t="inlineStr">
        <ns0:is>
          <ns0:t>market for heat, central or small-scale, natural gas</ns0:t>
        </ns0:is>
      </ns0:c>
      <ns0:c r="B22" s="4" t="n">
        <ns0:v>0.0118180225827816</ns0:v>
      </ns0:c>
      <ns0:c r="C22" t="inlineStr">
        <ns0:is>
          <ns0:t>megajoule</ns0:t>
        </ns0:is>
      </ns0:c>
      <ns0:c r="E22" t="inlineStr">
        <ns0:is>
          <ns0:t>RoW</ns0:t>
        </ns0:is>
      </ns0:c>
      <ns0:c r="F22" t="inlineStr">
        <ns0:is>
          <ns0:t>technosphere</ns0:t>
        </ns0:is>
      </ns0:c>
      <ns0:c r="G22" t="inlineStr">
        <ns0:is>
          <ns0:t>heat, central or small-scale, natural gas</ns0:t>
        </ns0:is>
      </ns0:c>
      <ns0:c r="H22" s="4" t="n"/>
    </ns0:row>
    <ns0:row r="23">
      <ns0:c r="A23" t="inlineStr">
        <ns0:is>
          <ns0:t>market for petrol, unleaded, burned in machinery</ns0:t>
        </ns0:is>
      </ns0:c>
      <ns0:c r="B23" s="4" t="n">
        <ns0:v>0.04811623480132509</ns0:v>
      </ns0:c>
      <ns0:c r="C23" t="inlineStr">
        <ns0:is>
          <ns0:t>megajoule</ns0:t>
        </ns0:is>
      </ns0:c>
      <ns0:c r="E23" t="inlineStr">
        <ns0:is>
          <ns0:t>GLO</ns0:t>
        </ns0:is>
      </ns0:c>
      <ns0:c r="F23" t="inlineStr">
        <ns0:is>
          <ns0:t>technosphere</ns0:t>
        </ns0:is>
      </ns0:c>
      <ns0:c r="G23" t="inlineStr">
        <ns0:is>
          <ns0:t>petrol, unleaded, burned in machinery</ns0:t>
        </ns0:is>
      </ns0:c>
      <ns0:c r="H23" s="4" t="n"/>
    </ns0:row>
    <ns0:row r="24">
      <ns0:c r="A24" t="inlineStr">
        <ns0:is>
          <ns0:t>market for blasting</ns0:t>
        </ns0:is>
      </ns0:c>
      <ns0:c r="B24" s="4" t="n">
        <ns0:v>0.000118947629891633</ns0:v>
      </ns0:c>
      <ns0:c r="C24" t="inlineStr">
        <ns0:is>
          <ns0:t>kilogram</ns0:t>
        </ns0:is>
      </ns0:c>
      <ns0:c r="E24" t="inlineStr">
        <ns0:is>
          <ns0:t>GLO</ns0:t>
        </ns0:is>
      </ns0:c>
      <ns0:c r="F24" t="inlineStr">
        <ns0:is>
          <ns0:t>technosphere</ns0:t>
        </ns0:is>
      </ns0:c>
      <ns0:c r="G24" t="inlineStr">
        <ns0:is>
          <ns0:t>blasting</ns0:t>
        </ns0:is>
      </ns0:c>
      <ns0:c r="H24" s="4" t="n"/>
    </ns0:row>
    <ns0:row r="25">
      <ns0:c r="A25" t="inlineStr">
        <ns0:is>
          <ns0:t>market for recultivation, ilmenite mine</ns0:t>
        </ns0:is>
      </ns0:c>
      <ns0:c r="B25" s="4" t="n">
        <ns0:v>6.361779689042822e-05</ns0:v>
      </ns0:c>
      <ns0:c r="C25" t="inlineStr">
        <ns0:is>
          <ns0:t>square meter</ns0:t>
        </ns0:is>
      </ns0:c>
      <ns0:c r="E25" t="inlineStr">
        <ns0:is>
          <ns0:t>GLO</ns0:t>
        </ns0:is>
      </ns0:c>
      <ns0:c r="F25" t="inlineStr">
        <ns0:is>
          <ns0:t>technosphere</ns0:t>
        </ns0:is>
      </ns0:c>
      <ns0:c r="G25" t="inlineStr">
        <ns0:is>
          <ns0:t>recultivation, ilmenite mine</ns0:t>
        </ns0:is>
      </ns0:c>
      <ns0:c r="H25" s="4" t="n"/>
    </ns0:row>
    <ns0:row r="26">
      <ns0:c r="A26" t="inlineStr">
        <ns0:is>
          <ns0:t>Vanadium</ns0:t>
        </ns0:is>
      </ns0:c>
      <ns0:c r="B26" s="4" t="n">
        <ns0:v>0.0123233</ns0:v>
      </ns0:c>
      <ns0:c r="C26" t="inlineStr">
        <ns0:is>
          <ns0:t>kilogram</ns0:t>
        </ns0:is>
      </ns0:c>
      <ns0:c r="D26" t="inlineStr">
        <ns0:is>
          <ns0:t>natural resource::in ground</ns0:t>
        </ns0:is>
      </ns0:c>
      <ns0:c r="F26" t="inlineStr">
        <ns0:is>
          <ns0:t>biosphere</ns0:t>
        </ns0:is>
      </ns0:c>
      <ns0:c r="H26" s="4" t="inlineStr">
        <ns0:is>
          <ns0:t>0.56 kg V per kg V2O5. 2.2% V2O5 concentration.</ns0:t>
        </ns0:is>
      </ns0:c>
    </ns0:row>
    <ns0:row r="27">
      <ns0:c r="A27" t="inlineStr">
        <ns0:is>
          <ns0:t>Iron, 72% in magnetite, 14% in crude ore</ns0:t>
        </ns0:is>
      </ns0:c>
      <ns0:c r="B27" s="4" t="n">
        <ns0:v>0.828796388922346</ns0:v>
      </ns0:c>
      <ns0:c r="C27" t="inlineStr">
        <ns0:is>
          <ns0:t>kilogram</ns0:t>
        </ns0:is>
      </ns0:c>
      <ns0:c r="D27" t="inlineStr">
        <ns0:is>
          <ns0:t>natural resource::in ground</ns0:t>
        </ns0:is>
      </ns0:c>
      <ns0:c r="F27" t="inlineStr">
        <ns0:is>
          <ns0:t>biosphere</ns0:t>
        </ns0:is>
      </ns0:c>
      <ns0:c r="H27" s="4" t="n"/>
    </ns0:row>
    <ns0:row r="28">
      <ns0:c r="A28" t="inlineStr">
        <ns0:is>
          <ns0:t>Occupation, mineral extraction site</ns0:t>
        </ns0:is>
      </ns0:c>
      <ns0:c r="B28" s="4" t="n">
        <ns0:v>0.001910836118904298</ns0:v>
      </ns0:c>
      <ns0:c r="C28" t="inlineStr">
        <ns0:is>
          <ns0:t>square meter-year</ns0:t>
        </ns0:is>
      </ns0:c>
      <ns0:c r="D28" t="inlineStr">
        <ns0:is>
          <ns0:t>natural resource::land</ns0:t>
        </ns0:is>
      </ns0:c>
      <ns0:c r="F28" t="inlineStr">
        <ns0:is>
          <ns0:t>biosphere</ns0:t>
        </ns0:is>
      </ns0:c>
      <ns0:c r="H28" s="4" t="n"/>
    </ns0:row>
    <ns0:row r="29">
      <ns0:c r="A29" t="inlineStr">
        <ns0:is>
          <ns0:t>Transformation, from forest, unspecified</ns0:t>
        </ns0:is>
      </ns0:c>
      <ns0:c r="B29" s="4" t="n">
        <ns0:v>6.361779689042822e-05</ns0:v>
      </ns0:c>
      <ns0:c r="C29" t="inlineStr">
        <ns0:is>
          <ns0:t>square meter</ns0:t>
        </ns0:is>
      </ns0:c>
      <ns0:c r="D29" t="inlineStr">
        <ns0:is>
          <ns0:t>natural resource::land</ns0:t>
        </ns0:is>
      </ns0:c>
      <ns0:c r="F29" t="inlineStr">
        <ns0:is>
          <ns0:t>biosphere</ns0:t>
        </ns0:is>
      </ns0:c>
      <ns0:c r="H29" s="4" t="n"/>
    </ns0:row>
    <ns0:row r="30">
      <ns0:c r="A30" t="inlineStr">
        <ns0:is>
          <ns0:t>Transformation, to mineral extraction site</ns0:t>
        </ns0:is>
      </ns0:c>
      <ns0:c r="B30" s="4" t="n">
        <ns0:v>6.361779689042822e-05</ns0:v>
      </ns0:c>
      <ns0:c r="C30" t="inlineStr">
        <ns0:is>
          <ns0:t>square meter</ns0:t>
        </ns0:is>
      </ns0:c>
      <ns0:c r="D30" t="inlineStr">
        <ns0:is>
          <ns0:t>natural resource::land</ns0:t>
        </ns0:is>
      </ns0:c>
      <ns0:c r="F30" t="inlineStr">
        <ns0:is>
          <ns0:t>biosphere</ns0:t>
        </ns0:is>
      </ns0:c>
      <ns0:c r="H30" s="4" t="n"/>
    </ns0:row>
    <ns0:row r="31">
      <ns0:c r="A31" t="inlineStr">
        <ns0:is>
          <ns0:t>Water, well</ns0:t>
        </ns0:is>
      </ns0:c>
      <ns0:c r="B31" s="4" t="n">
        <ns0:v>4.496987813967544e-05</ns0:v>
      </ns0:c>
      <ns0:c r="C31" t="inlineStr">
        <ns0:is>
          <ns0:t>cubic meter</ns0:t>
        </ns0:is>
      </ns0:c>
      <ns0:c r="D31" t="inlineStr">
        <ns0:is>
          <ns0:t>natural resource::in water</ns0:t>
        </ns0:is>
      </ns0:c>
      <ns0:c r="F31" t="inlineStr">
        <ns0:is>
          <ns0:t>biosphere</ns0:t>
        </ns0:is>
      </ns0:c>
      <ns0:c r="H31" s="4" t="n"/>
    </ns0:row>
    <ns0:row r="32">
      <ns0:c r="A32" t="inlineStr">
        <ns0:is>
          <ns0:t>Particulates, &lt; 2.5 um</ns0:t>
        </ns0:is>
      </ns0:c>
      <ns0:c r="B32" s="4" t="n">
        <ns0:v>1.358305192956067e-05</ns0:v>
      </ns0:c>
      <ns0:c r="C32" t="inlineStr">
        <ns0:is>
          <ns0:t>kilogram</ns0:t>
        </ns0:is>
      </ns0:c>
      <ns0:c r="D32" t="inlineStr">
        <ns0:is>
          <ns0:t>air::non-urban air or from high stacks</ns0:t>
        </ns0:is>
      </ns0:c>
      <ns0:c r="F32" t="inlineStr">
        <ns0:is>
          <ns0:t>biosphere</ns0:t>
        </ns0:is>
      </ns0:c>
      <ns0:c r="H32" s="4" t="n"/>
    </ns0:row>
    <ns0:row r="33">
      <ns0:c r="A33" t="inlineStr">
        <ns0:is>
          <ns0:t>Particulates, &gt; 10 um</ns0:t>
        </ns0:is>
      </ns0:c>
      <ns0:c r="B33" s="4" t="n">
        <ns0:v>0.0001818747631246259</ns0:v>
      </ns0:c>
      <ns0:c r="C33" t="inlineStr">
        <ns0:is>
          <ns0:t>kilogram</ns0:t>
        </ns0:is>
      </ns0:c>
      <ns0:c r="D33" t="inlineStr">
        <ns0:is>
          <ns0:t>air::non-urban air or from high stacks</ns0:t>
        </ns0:is>
      </ns0:c>
      <ns0:c r="F33" t="inlineStr">
        <ns0:is>
          <ns0:t>biosphere</ns0:t>
        </ns0:is>
      </ns0:c>
      <ns0:c r="H33" s="4" t="n"/>
    </ns0:row>
    <ns0:row r="34">
      <ns0:c r="A34" t="inlineStr">
        <ns0:is>
          <ns0:t>Particulates, &gt; 2.5 um, and &lt; 10um</ns0:t>
        </ns0:is>
      </ns0:c>
      <ns0:c r="B34" s="4" t="n">
        <ns0:v>7.344056890728565e-05</ns0:v>
      </ns0:c>
      <ns0:c r="C34" t="inlineStr">
        <ns0:is>
          <ns0:t>kilogram</ns0:t>
        </ns0:is>
      </ns0:c>
      <ns0:c r="D34" t="inlineStr">
        <ns0:is>
          <ns0:t>air::non-urban air or from high stacks</ns0:t>
        </ns0:is>
      </ns0:c>
      <ns0:c r="F34" t="inlineStr">
        <ns0:is>
          <ns0:t>biosphere</ns0:t>
        </ns0:is>
      </ns0:c>
      <ns0:c r="H34" s="4" t="n"/>
    </ns0:row>
    <ns0:row r="35">
      <ns0:c r="A35" t="inlineStr">
        <ns0:is>
          <ns0:t>Water</ns0:t>
        </ns0:is>
      </ns0:c>
      <ns0:c r="B35" s="4" t="n">
        <ns0:v>6.745481720951316e-06</ns0:v>
      </ns0:c>
      <ns0:c r="C35" t="inlineStr">
        <ns0:is>
          <ns0:t>cubic meter</ns0:t>
        </ns0:is>
      </ns0:c>
      <ns0:c r="D35" t="inlineStr">
        <ns0:is>
          <ns0:t>air</ns0:t>
        </ns0:is>
      </ns0:c>
      <ns0:c r="F35" t="inlineStr">
        <ns0:is>
          <ns0:t>biosphere</ns0:t>
        </ns0:is>
      </ns0:c>
      <ns0:c r="H35" s="4" t="n"/>
    </ns0:row>
    <ns0:row r="36">
      <ns0:c r="A36" t="inlineStr">
        <ns0:is>
          <ns0:t>Water</ns0:t>
        </ns0:is>
      </ns0:c>
      <ns0:c r="B36" s="4" t="n">
        <ns0:v>3.821672237808595e-05</ns0:v>
      </ns0:c>
      <ns0:c r="C36" t="inlineStr">
        <ns0:is>
          <ns0:t>cubic meter</ns0:t>
        </ns0:is>
      </ns0:c>
      <ns0:c r="D36" t="inlineStr">
        <ns0:is>
          <ns0:t>water</ns0:t>
        </ns0:is>
      </ns0:c>
      <ns0:c r="F36" t="inlineStr">
        <ns0:is>
          <ns0:t>biosphere</ns0:t>
        </ns0:is>
      </ns0:c>
      <ns0:c r="H36" s="4" t="n"/>
    </ns0:row>
    <ns0:row r="37"/>
    <ns0:row r="38">
      <ns0:c r="A38" s="1" t="inlineStr">
        <ns0:is>
          <ns0:t>Activity</ns0:t>
        </ns0:is>
      </ns0:c>
      <ns0:c r="B38" s="1" t="inlineStr">
        <ns0:is>
          <ns0:t>pre-reduced vanadium pentoxide bearing magnetite production</ns0:t>
        </ns0:is>
      </ns0:c>
    </ns0:row>
    <ns0:row r="39">
      <ns0:c r="A39" t="inlineStr">
        <ns0:is>
          <ns0:t>comment</ns0:t>
        </ns0:is>
      </ns0:c>
      <ns0:c r="B39" t="inlineStr">
        <ns0:is>
          <ns0:t>Usually, vanadium is obtained from vanadium containing titanomagnetite ore. The principal product253 derived from titanomagnetite ore is pig iron, while the vanadium contained in the ore is concentrated in the slag from which it is recovered. One of the most important deposits of vanadium is the Evraz Highveld Steel &amp; Vanadium deposit in South Africa, why it is taken as a reference process. This mine produces titanomagnetite ore containing 1.7 % vanadium pentoxide. In order to produce vanadium pentoxide bearing slags, several process steps are carried out. The mining operation itself is approximated by the ecoinvent dataset “ilmenite-magnetite mine operation”, which is modified in such way that the ore has a vanadium pentoxide content of 1.7 %.</ns0:t>
        </ns0:is>
      </ns0:c>
    </ns0:row>
    <ns0:row r="40">
      <ns0:c r="A40" t="inlineStr">
        <ns0:is>
          <ns0:t>source</ns0:t>
        </ns0:is>
      </ns0:c>
      <ns0:c r="B40" t="inlineStr">
        <ns0:is>
          <ns0:t>Life Cycle Assessment of a Vanadium Redox Flow Battery, Selina Weber, Jens F. Peters, Manuel Baumann, and Marcel Weil, Environ. Sci. Technol. 2018, 52, 10864−10873, DOI: 10.1021/acs.est.8b02073</ns0:t>
        </ns0:is>
      </ns0:c>
    </ns0:row>
    <ns0:row r="41">
      <ns0:c r="A41" t="inlineStr">
        <ns0:is>
          <ns0:t>location</ns0:t>
        </ns0:is>
      </ns0:c>
      <ns0:c r="B41" t="inlineStr">
        <ns0:is>
          <ns0:t>ZA</ns0:t>
        </ns0:is>
      </ns0:c>
    </ns0:row>
    <ns0:row r="42">
      <ns0:c r="A42" t="inlineStr">
        <ns0:is>
          <ns0:t>production amount</ns0:t>
        </ns0:is>
      </ns0:c>
      <ns0:c r="B42" t="n">
        <ns0:v>1</ns0:v>
      </ns0:c>
    </ns0:row>
    <ns0:row r="43">
      <ns0:c r="A43" t="inlineStr">
        <ns0:is>
          <ns0:t>reference product</ns0:t>
        </ns0:is>
      </ns0:c>
      <ns0:c r="B43" t="inlineStr">
        <ns0:is>
          <ns0:t>pre-reduced vanadium pentoxide bearing magnetite</ns0:t>
        </ns0:is>
      </ns0:c>
    </ns0:row>
    <ns0:row r="44">
      <ns0:c r="A44" t="inlineStr">
        <ns0:is>
          <ns0:t>unit</ns0:t>
        </ns0:is>
      </ns0:c>
      <ns0:c r="B44" t="inlineStr">
        <ns0:is>
          <ns0:t>kilogram</ns0:t>
        </ns0:is>
      </ns0:c>
    </ns0:row>
    <ns0:row r="45">
      <ns0:c r="A45" s="1" t="inlineStr">
        <ns0:is>
          <ns0:t>Exchanges</ns0:t>
        </ns0:is>
      </ns0:c>
    </ns0:row>
    <ns0:row r="46" customFormat="1" s="1">
      <ns0:c r="A46" s="1" t="inlineStr">
        <ns0:is>
          <ns0:t>name</ns0:t>
        </ns0:is>
      </ns0:c>
      <ns0:c r="B46" s="1" t="inlineStr">
        <ns0:is>
          <ns0:t>amount</ns0:t>
        </ns0:is>
      </ns0:c>
      <ns0:c r="C46" s="1" t="inlineStr">
        <ns0:is>
          <ns0:t>unit</ns0:t>
        </ns0:is>
      </ns0:c>
      <ns0:c r="D46" s="1" t="inlineStr">
        <ns0:is>
          <ns0:t>categories</ns0:t>
        </ns0:is>
      </ns0:c>
      <ns0:c r="E46" s="1" t="inlineStr">
        <ns0:is>
          <ns0:t>location</ns0:t>
        </ns0:is>
      </ns0:c>
      <ns0:c r="F46" s="1" t="inlineStr">
        <ns0:is>
          <ns0:t>type</ns0:t>
        </ns0:is>
      </ns0:c>
      <ns0:c r="G46" s="1" t="inlineStr">
        <ns0:is>
          <ns0:t>reference product</ns0:t>
        </ns0:is>
      </ns0:c>
      <ns0:c r="H46" s="1" t="inlineStr">
        <ns0:is>
          <ns0:t>Comment</ns0:t>
        </ns0:is>
      </ns0:c>
    </ns0:row>
    <ns0:row r="47">
      <ns0:c r="A47" t="inlineStr">
        <ns0:is>
          <ns0:t>pre-reduced vanadium pentoxide bearing magnetite production</ns0:t>
        </ns0:is>
      </ns0:c>
      <ns0:c r="B47" s="4" t="n">
        <ns0:v>1</ns0:v>
      </ns0:c>
      <ns0:c r="C47" t="inlineStr">
        <ns0:is>
          <ns0:t>kilogram</ns0:t>
        </ns0:is>
      </ns0:c>
      <ns0:c r="E47" t="inlineStr">
        <ns0:is>
          <ns0:t>ZA</ns0:t>
        </ns0:is>
      </ns0:c>
      <ns0:c r="F47" t="inlineStr">
        <ns0:is>
          <ns0:t>production</ns0:t>
        </ns0:is>
      </ns0:c>
      <ns0:c r="G47" t="inlineStr">
        <ns0:is>
          <ns0:t>pre-reduced vanadium pentoxide bearing magnetite</ns0:t>
        </ns0:is>
      </ns0:c>
      <ns0:c r="H47" s="4" t="n"/>
    </ns0:row>
    <ns0:row r="48">
      <ns0:c r="A48" t="inlineStr">
        <ns0:is>
          <ns0:t>vanadium bearing magnetite production</ns0:t>
        </ns0:is>
      </ns0:c>
      <ns0:c r="B48" s="4" t="n">
        <ns0:v>1.047945205479452</ns0:v>
      </ns0:c>
      <ns0:c r="C48" t="inlineStr">
        <ns0:is>
          <ns0:t>kilogram</ns0:t>
        </ns0:is>
      </ns0:c>
      <ns0:c r="E48" t="inlineStr">
        <ns0:is>
          <ns0:t>ZA</ns0:t>
        </ns0:is>
      </ns0:c>
      <ns0:c r="F48" t="inlineStr">
        <ns0:is>
          <ns0:t>technosphere</ns0:t>
        </ns0:is>
      </ns0:c>
      <ns0:c r="G48" t="inlineStr">
        <ns0:is>
          <ns0:t>vanadium bearing magnetite</ns0:t>
        </ns0:is>
      </ns0:c>
      <ns0:c r="H48" s="4" t="n"/>
    </ns0:row>
    <ns0:row r="49">
      <ns0:c r="A49" t="inlineStr">
        <ns0:is>
          <ns0:t>market for dolomite</ns0:t>
        </ns0:is>
      </ns0:c>
      <ns0:c r="B49" s="4" t="n">
        <ns0:v>0.0009383561643835616</ns0:v>
      </ns0:c>
      <ns0:c r="C49" t="inlineStr">
        <ns0:is>
          <ns0:t>kilogram</ns0:t>
        </ns0:is>
      </ns0:c>
      <ns0:c r="E49" t="inlineStr">
        <ns0:is>
          <ns0:t>RoW</ns0:t>
        </ns0:is>
      </ns0:c>
      <ns0:c r="F49" t="inlineStr">
        <ns0:is>
          <ns0:t>technosphere</ns0:t>
        </ns0:is>
      </ns0:c>
      <ns0:c r="G49" t="inlineStr">
        <ns0:is>
          <ns0:t>dolomite</ns0:t>
        </ns0:is>
      </ns0:c>
      <ns0:c r="H49" s="4" t="n"/>
    </ns0:row>
    <ns0:row r="50">
      <ns0:c r="A50" t="inlineStr">
        <ns0:is>
          <ns0:t>market for steel, unalloyed</ns0:t>
        </ns0:is>
      </ns0:c>
      <ns0:c r="B50" s="4" t="n">
        <ns0:v>2.315068493150685e-05</ns0:v>
      </ns0:c>
      <ns0:c r="C50" t="inlineStr">
        <ns0:is>
          <ns0:t>kilogram</ns0:t>
        </ns0:is>
      </ns0:c>
      <ns0:c r="E50" t="inlineStr">
        <ns0:is>
          <ns0:t>GLO</ns0:t>
        </ns0:is>
      </ns0:c>
      <ns0:c r="F50" t="inlineStr">
        <ns0:is>
          <ns0:t>technosphere</ns0:t>
        </ns0:is>
      </ns0:c>
      <ns0:c r="G50" t="inlineStr">
        <ns0:is>
          <ns0:t>steel, unalloyed</ns0:t>
        </ns0:is>
      </ns0:c>
      <ns0:c r="H50" s="4" t="n"/>
    </ns0:row>
    <ns0:row r="51">
      <ns0:c r="A51" t="inlineStr">
        <ns0:is>
          <ns0:t>market for lime</ns0:t>
        </ns0:is>
      </ns0:c>
      <ns0:c r="B51" s="4" t="n">
        <ns0:v>0.0003904109589041096</ns0:v>
      </ns0:c>
      <ns0:c r="C51" t="inlineStr">
        <ns0:is>
          <ns0:t>kilogram</ns0:t>
        </ns0:is>
      </ns0:c>
      <ns0:c r="E51" t="inlineStr">
        <ns0:is>
          <ns0:t>RoW</ns0:t>
        </ns0:is>
      </ns0:c>
      <ns0:c r="F51" t="inlineStr">
        <ns0:is>
          <ns0:t>technosphere</ns0:t>
        </ns0:is>
      </ns0:c>
      <ns0:c r="G51" t="inlineStr">
        <ns0:is>
          <ns0:t>lime</ns0:t>
        </ns0:is>
      </ns0:c>
      <ns0:c r="H51" s="4" t="n"/>
    </ns0:row>
    <ns0:row r="52">
      <ns0:c r="A52" t="inlineStr">
        <ns0:is>
          <ns0:t>market for chromium</ns0:t>
        </ns0:is>
      </ns0:c>
      <ns0:c r="B52" s="4" t="n">
        <ns0:v>4.089041095890411e-06</ns0:v>
      </ns0:c>
      <ns0:c r="C52" t="inlineStr">
        <ns0:is>
          <ns0:t>kilogram</ns0:t>
        </ns0:is>
      </ns0:c>
      <ns0:c r="E52" t="inlineStr">
        <ns0:is>
          <ns0:t>GLO</ns0:t>
        </ns0:is>
      </ns0:c>
      <ns0:c r="F52" t="inlineStr">
        <ns0:is>
          <ns0:t>technosphere</ns0:t>
        </ns0:is>
      </ns0:c>
      <ns0:c r="G52" t="inlineStr">
        <ns0:is>
          <ns0:t>chromium</ns0:t>
        </ns0:is>
      </ns0:c>
      <ns0:c r="H52" s="4" t="n"/>
    </ns0:row>
    <ns0:row r="53">
      <ns0:c r="A53" t="inlineStr">
        <ns0:is>
          <ns0:t>market for lubricating oil</ns0:t>
        </ns0:is>
      </ns0:c>
      <ns0:c r="B53" s="4" t="n">
        <ns0:v>3.15068493150685e-07</ns0:v>
      </ns0:c>
      <ns0:c r="C53" t="inlineStr">
        <ns0:is>
          <ns0:t>kilogram</ns0:t>
        </ns0:is>
      </ns0:c>
      <ns0:c r="E53" t="inlineStr">
        <ns0:is>
          <ns0:t>RoW</ns0:t>
        </ns0:is>
      </ns0:c>
      <ns0:c r="F53" t="inlineStr">
        <ns0:is>
          <ns0:t>technosphere</ns0:t>
        </ns0:is>
      </ns0:c>
      <ns0:c r="G53" t="inlineStr">
        <ns0:is>
          <ns0:t>lubricating oil</ns0:t>
        </ns0:is>
      </ns0:c>
      <ns0:c r="H53" s="4" t="n"/>
    </ns0:row>
    <ns0:row r="54">
      <ns0:c r="A54" t="inlineStr">
        <ns0:is>
          <ns0:t>market for sodium hydroxide, without water, in 50% solution state</ns0:t>
        </ns0:is>
      </ns0:c>
      <ns0:c r="B54" s="4" t="n">
        <ns0:v>2.253424657534246e-06</ns0:v>
      </ns0:c>
      <ns0:c r="C54" t="inlineStr">
        <ns0:is>
          <ns0:t>kilogram</ns0:t>
        </ns0:is>
      </ns0:c>
      <ns0:c r="E54" t="inlineStr">
        <ns0:is>
          <ns0:t>GLO</ns0:t>
        </ns0:is>
      </ns0:c>
      <ns0:c r="F54" t="inlineStr">
        <ns0:is>
          <ns0:t>technosphere</ns0:t>
        </ns0:is>
      </ns0:c>
      <ns0:c r="G54" t="inlineStr">
        <ns0:is>
          <ns0:t>sodium hydroxide, without water, in 50% solution state</ns0:t>
        </ns0:is>
      </ns0:c>
      <ns0:c r="H54" s="4" t="n"/>
    </ns0:row>
    <ns0:row r="55">
      <ns0:c r="A55" t="inlineStr">
        <ns0:is>
          <ns0:t>market for solvent, organic</ns0:t>
        </ns0:is>
      </ns0:c>
      <ns0:c r="B55" s="4" t="n">
        <ns0:v>2.73972602739726e-09</ns0:v>
      </ns0:c>
      <ns0:c r="C55" t="inlineStr">
        <ns0:is>
          <ns0:t>kilogram</ns0:t>
        </ns0:is>
      </ns0:c>
      <ns0:c r="E55" t="inlineStr">
        <ns0:is>
          <ns0:t>GLO</ns0:t>
        </ns0:is>
      </ns0:c>
      <ns0:c r="F55" t="inlineStr">
        <ns0:is>
          <ns0:t>technosphere</ns0:t>
        </ns0:is>
      </ns0:c>
      <ns0:c r="G55" t="inlineStr">
        <ns0:is>
          <ns0:t>solvent, organic</ns0:t>
        </ns0:is>
      </ns0:c>
      <ns0:c r="H55" s="4" t="n"/>
    </ns0:row>
    <ns0:row r="56">
      <ns0:c r="A56" t="inlineStr">
        <ns0:is>
          <ns0:t>market for hard coal</ns0:t>
        </ns0:is>
      </ns0:c>
      <ns0:c r="B56" s="4" t="n">
        <ns0:v>0.008904109589041096</ns0:v>
      </ns0:c>
      <ns0:c r="C56" t="inlineStr">
        <ns0:is>
          <ns0:t>kilogram</ns0:t>
        </ns0:is>
      </ns0:c>
      <ns0:c r="E56" t="inlineStr">
        <ns0:is>
          <ns0:t>ZA</ns0:t>
        </ns0:is>
      </ns0:c>
      <ns0:c r="F56" t="inlineStr">
        <ns0:is>
          <ns0:t>technosphere</ns0:t>
        </ns0:is>
      </ns0:c>
      <ns0:c r="G56" t="inlineStr">
        <ns0:is>
          <ns0:t>hard coal</ns0:t>
        </ns0:is>
      </ns0:c>
      <ns0:c r="H56" s="4" t="n"/>
    </ns0:row>
    <ns0:row r="57">
      <ns0:c r="A57" t="inlineStr">
        <ns0:is>
          <ns0:t>market for aluminium oxide factory</ns0:t>
        </ns0:is>
      </ns0:c>
      <ns0:c r="B57" s="4" t="n">
        <ns0:v>1.712328767123288e-11</ns0:v>
      </ns0:c>
      <ns0:c r="C57" t="inlineStr">
        <ns0:is>
          <ns0:t>unit</ns0:t>
        </ns0:is>
      </ns0:c>
      <ns0:c r="E57" t="inlineStr">
        <ns0:is>
          <ns0:t>GLO</ns0:t>
        </ns0:is>
      </ns0:c>
      <ns0:c r="F57" t="inlineStr">
        <ns0:is>
          <ns0:t>technosphere</ns0:t>
        </ns0:is>
      </ns0:c>
      <ns0:c r="G57" t="inlineStr">
        <ns0:is>
          <ns0:t>aluminium oxide factory</ns0:t>
        </ns0:is>
      </ns0:c>
      <ns0:c r="H57" s="4" t="n"/>
    </ns0:row>
    <ns0:row r="58">
      <ns0:c r="A58" t="inlineStr">
        <ns0:is>
          <ns0:t>market for electricity, high voltage</ns0:t>
        </ns0:is>
      </ns0:c>
      <ns0:c r="B58" s="4" t="n">
        <ns0:v>0.001568493150684932</ns0:v>
      </ns0:c>
      <ns0:c r="C58" t="inlineStr">
        <ns0:is>
          <ns0:t>kilowatt hour</ns0:t>
        </ns0:is>
      </ns0:c>
      <ns0:c r="E58" t="inlineStr">
        <ns0:is>
          <ns0:t>ZA</ns0:t>
        </ns0:is>
      </ns0:c>
      <ns0:c r="F58" t="inlineStr">
        <ns0:is>
          <ns0:t>technosphere</ns0:t>
        </ns0:is>
      </ns0:c>
      <ns0:c r="G58" t="inlineStr">
        <ns0:is>
          <ns0:t>electricity, high voltage</ns0:t>
        </ns0:is>
      </ns0:c>
      <ns0:c r="H58" s="4" t="n"/>
    </ns0:row>
    <ns0:row r="59">
      <ns0:c r="A59" t="inlineStr">
        <ns0:is>
          <ns0:t>market for electricity, medium voltage</ns0:t>
        </ns0:is>
      </ns0:c>
      <ns0:c r="B59" s="4" t="n">
        <ns0:v>0.01712328767123288</ns0:v>
      </ns0:c>
      <ns0:c r="C59" t="inlineStr">
        <ns0:is>
          <ns0:t>kilowatt hour</ns0:t>
        </ns0:is>
      </ns0:c>
      <ns0:c r="E59" t="inlineStr">
        <ns0:is>
          <ns0:t>ZA</ns0:t>
        </ns0:is>
      </ns0:c>
      <ns0:c r="F59" t="inlineStr">
        <ns0:is>
          <ns0:t>technosphere</ns0:t>
        </ns0:is>
      </ns0:c>
      <ns0:c r="G59" t="inlineStr">
        <ns0:is>
          <ns0:t>electricity, medium voltage</ns0:t>
        </ns0:is>
      </ns0:c>
      <ns0:c r="H59" s="4" t="n"/>
    </ns0:row>
    <ns0:row r="60">
      <ns0:c r="A60" t="inlineStr">
        <ns0:is>
          <ns0:t>market for heat, district or industrial, natural gas</ns0:t>
        </ns0:is>
      </ns0:c>
      <ns0:c r="B60" s="4" t="n">
        <ns0:v>0.04486301369863014</ns0:v>
      </ns0:c>
      <ns0:c r="C60" t="inlineStr">
        <ns0:is>
          <ns0:t>megajoule</ns0:t>
        </ns0:is>
      </ns0:c>
      <ns0:c r="E60" t="inlineStr">
        <ns0:is>
          <ns0:t>RoW</ns0:t>
        </ns0:is>
      </ns0:c>
      <ns0:c r="F60" t="inlineStr">
        <ns0:is>
          <ns0:t>technosphere</ns0:t>
        </ns0:is>
      </ns0:c>
      <ns0:c r="G60" t="inlineStr">
        <ns0:is>
          <ns0:t>heat, district or industrial, natural gas</ns0:t>
        </ns0:is>
      </ns0:c>
      <ns0:c r="H60" s="4" t="n"/>
    </ns0:row>
    <ns0:row r="61">
      <ns0:c r="A61" t="inlineStr">
        <ns0:is>
          <ns0:t>market for heat, district or industrial, other than natural gas</ns0:t>
        </ns0:is>
      </ns0:c>
      <ns0:c r="B61" s="4" t="n">
        <ns0:v>0.01595890410958904</ns0:v>
      </ns0:c>
      <ns0:c r="C61" t="inlineStr">
        <ns0:is>
          <ns0:t>megajoule</ns0:t>
        </ns0:is>
      </ns0:c>
      <ns0:c r="E61" t="inlineStr">
        <ns0:is>
          <ns0:t>RoW</ns0:t>
        </ns0:is>
      </ns0:c>
      <ns0:c r="F61" t="inlineStr">
        <ns0:is>
          <ns0:t>technosphere</ns0:t>
        </ns0:is>
      </ns0:c>
      <ns0:c r="G61" t="inlineStr">
        <ns0:is>
          <ns0:t>heat, district or industrial, other than natural gas</ns0:t>
        </ns0:is>
      </ns0:c>
      <ns0:c r="H61" s="4" t="n"/>
    </ns0:row>
    <ns0:row r="62">
      <ns0:c r="A62" t="inlineStr">
        <ns0:is>
          <ns0:t>market group for tap water</ns0:t>
        </ns0:is>
      </ns0:c>
      <ns0:c r="B62" s="4" t="n">
        <ns0:v>0.01479452054794521</ns0:v>
      </ns0:c>
      <ns0:c r="C62" t="inlineStr">
        <ns0:is>
          <ns0:t>kilogram</ns0:t>
        </ns0:is>
      </ns0:c>
      <ns0:c r="E62" t="inlineStr">
        <ns0:is>
          <ns0:t>GLO</ns0:t>
        </ns0:is>
      </ns0:c>
      <ns0:c r="F62" t="inlineStr">
        <ns0:is>
          <ns0:t>technosphere</ns0:t>
        </ns0:is>
      </ns0:c>
      <ns0:c r="G62" t="inlineStr">
        <ns0:is>
          <ns0:t>tap water</ns0:t>
        </ns0:is>
      </ns0:c>
      <ns0:c r="H62" s="4" t="n"/>
    </ns0:row>
    <ns0:row r="63">
      <ns0:c r="A63" t="inlineStr">
        <ns0:is>
          <ns0:t>market for waste mineral oil</ns0:t>
        </ns0:is>
      </ns0:c>
      <ns0:c r="B63" s="4" t="n">
        <ns0:v>-5.931506849315068e-08</ns0:v>
      </ns0:c>
      <ns0:c r="C63" t="inlineStr">
        <ns0:is>
          <ns0:t>kilogram</ns0:t>
        </ns0:is>
      </ns0:c>
      <ns0:c r="E63" t="inlineStr">
        <ns0:is>
          <ns0:t>RoW</ns0:t>
        </ns0:is>
      </ns0:c>
      <ns0:c r="F63" t="inlineStr">
        <ns0:is>
          <ns0:t>technosphere</ns0:t>
        </ns0:is>
      </ns0:c>
      <ns0:c r="G63" t="inlineStr">
        <ns0:is>
          <ns0:t>waste mineral oil</ns0:t>
        </ns0:is>
      </ns0:c>
      <ns0:c r="H63" s="4" t="n"/>
    </ns0:row>
    <ns0:row r="64">
      <ns0:c r="A64" t="inlineStr">
        <ns0:is>
          <ns0:t>market for scrap steel</ns0:t>
        </ns0:is>
      </ns0:c>
      <ns0:c r="B64" s="4" t="n">
        <ns0:v>-2.232876712328767e-06</ns0:v>
      </ns0:c>
      <ns0:c r="C64" t="inlineStr">
        <ns0:is>
          <ns0:t>kilogram</ns0:t>
        </ns0:is>
      </ns0:c>
      <ns0:c r="E64" t="inlineStr">
        <ns0:is>
          <ns0:t>RoW</ns0:t>
        </ns0:is>
      </ns0:c>
      <ns0:c r="F64" t="inlineStr">
        <ns0:is>
          <ns0:t>technosphere</ns0:t>
        </ns0:is>
      </ns0:c>
      <ns0:c r="G64" t="inlineStr">
        <ns0:is>
          <ns0:t>scrap steel</ns0:t>
        </ns0:is>
      </ns0:c>
      <ns0:c r="H64" s="4" t="n"/>
    </ns0:row>
    <ns0:row r="65">
      <ns0:c r="A65" t="inlineStr">
        <ns0:is>
          <ns0:t>market for spent solvent mixture</ns0:t>
        </ns0:is>
      </ns0:c>
      <ns0:c r="B65" s="4" t="n">
        <ns0:v>-8.424657534246576e-08</ns0:v>
      </ns0:c>
      <ns0:c r="C65" t="inlineStr">
        <ns0:is>
          <ns0:t>kilogram</ns0:t>
        </ns0:is>
      </ns0:c>
      <ns0:c r="E65" t="inlineStr">
        <ns0:is>
          <ns0:t>RoW</ns0:t>
        </ns0:is>
      </ns0:c>
      <ns0:c r="F65" t="inlineStr">
        <ns0:is>
          <ns0:t>technosphere</ns0:t>
        </ns0:is>
      </ns0:c>
      <ns0:c r="G65" t="inlineStr">
        <ns0:is>
          <ns0:t>spent solvent mixture</ns0:t>
        </ns0:is>
      </ns0:c>
      <ns0:c r="H65" s="4" t="n"/>
    </ns0:row>
    <ns0:row r="66">
      <ns0:c r="A66" t="inlineStr">
        <ns0:is>
          <ns0:t>Arsenic, ion</ns0:t>
        </ns0:is>
      </ns0:c>
      <ns0:c r="B66" s="4" t="n">
        <ns0:v>4.246575342465753e-12</ns0:v>
      </ns0:c>
      <ns0:c r="C66" t="inlineStr">
        <ns0:is>
          <ns0:t>kilogram</ns0:t>
        </ns0:is>
      </ns0:c>
      <ns0:c r="D66" t="inlineStr">
        <ns0:is>
          <ns0:t>water::surface water</ns0:t>
        </ns0:is>
      </ns0:c>
      <ns0:c r="F66" t="inlineStr">
        <ns0:is>
          <ns0:t>biosphere</ns0:t>
        </ns0:is>
      </ns0:c>
      <ns0:c r="H66" s="4" t="n"/>
    </ns0:row>
    <ns0:row r="67">
      <ns0:c r="A67" t="inlineStr">
        <ns0:is>
          <ns0:t>Cadmium</ns0:t>
        </ns0:is>
      </ns0:c>
      <ns0:c r="B67" s="4" t="n">
        <ns0:v>1.438356164383562e-10</ns0:v>
      </ns0:c>
      <ns0:c r="C67" t="inlineStr">
        <ns0:is>
          <ns0:t>kilogram</ns0:t>
        </ns0:is>
      </ns0:c>
      <ns0:c r="D67" t="inlineStr">
        <ns0:is>
          <ns0:t>air</ns0:t>
        </ns0:is>
      </ns0:c>
      <ns0:c r="F67" t="inlineStr">
        <ns0:is>
          <ns0:t>biosphere</ns0:t>
        </ns0:is>
      </ns0:c>
      <ns0:c r="H67" s="4" t="n"/>
    </ns0:row>
    <ns0:row r="68">
      <ns0:c r="A68" t="inlineStr">
        <ns0:is>
          <ns0:t>Cadmium, ion</ns0:t>
        </ns0:is>
      </ns0:c>
      <ns0:c r="B68" s="4" t="n">
        <ns0:v>2.123287671232877e-12</ns0:v>
      </ns0:c>
      <ns0:c r="C68" t="inlineStr">
        <ns0:is>
          <ns0:t>kilogram</ns0:t>
        </ns0:is>
      </ns0:c>
      <ns0:c r="D68" t="inlineStr">
        <ns0:is>
          <ns0:t>water::surface water</ns0:t>
        </ns0:is>
      </ns0:c>
      <ns0:c r="F68" t="inlineStr">
        <ns0:is>
          <ns0:t>biosphere</ns0:t>
        </ns0:is>
      </ns0:c>
      <ns0:c r="H68" s="4" t="n"/>
    </ns0:row>
    <ns0:row r="69">
      <ns0:c r="A69" t="inlineStr">
        <ns0:is>
          <ns0:t>Carbon dioxide, fossil</ns0:t>
        </ns0:is>
      </ns0:c>
      <ns0:c r="B69" s="4" t="n">
        <ns0:v>0.01648535793538554</ns0:v>
      </ns0:c>
      <ns0:c r="C69" t="inlineStr">
        <ns0:is>
          <ns0:t>kilogram</ns0:t>
        </ns0:is>
      </ns0:c>
      <ns0:c r="D69" t="inlineStr">
        <ns0:is>
          <ns0:t>air</ns0:t>
        </ns0:is>
      </ns0:c>
      <ns0:c r="F69" t="inlineStr">
        <ns0:is>
          <ns0:t>biosphere</ns0:t>
        </ns0:is>
      </ns0:c>
      <ns0:c r="H69" s="4" t="n"/>
    </ns0:row>
    <ns0:row r="70">
      <ns0:c r="A70" t="inlineStr">
        <ns0:is>
          <ns0:t>Carbon dioxide, fossil</ns0:t>
        </ns0:is>
      </ns0:c>
      <ns0:c r="B70" s="4" t="n">
        <ns0:v>0.0002954639824226794</ns0:v>
      </ns0:c>
      <ns0:c r="C70" t="inlineStr">
        <ns0:is>
          <ns0:t>kilogram</ns0:t>
        </ns0:is>
      </ns0:c>
      <ns0:c r="D70" t="inlineStr">
        <ns0:is>
          <ns0:t>air::non-urban air or from high stacks</ns0:t>
        </ns0:is>
      </ns0:c>
      <ns0:c r="F70" t="inlineStr">
        <ns0:is>
          <ns0:t>biosphere</ns0:t>
        </ns0:is>
      </ns0:c>
      <ns0:c r="H70" s="4" t="n"/>
    </ns0:row>
    <ns0:row r="71">
      <ns0:c r="A71" t="inlineStr">
        <ns0:is>
          <ns0:t>Carbon monoxide, fossil</ns0:t>
        </ns0:is>
      </ns0:c>
      <ns0:c r="B71" s="4" t="n">
        <ns0:v>0.0001438276007388068</ns0:v>
      </ns0:c>
      <ns0:c r="C71" t="inlineStr">
        <ns0:is>
          <ns0:t>kilogram</ns0:t>
        </ns0:is>
      </ns0:c>
      <ns0:c r="D71" t="inlineStr">
        <ns0:is>
          <ns0:t>air</ns0:t>
        </ns0:is>
      </ns0:c>
      <ns0:c r="F71" t="inlineStr">
        <ns0:is>
          <ns0:t>biosphere</ns0:t>
        </ns0:is>
      </ns0:c>
      <ns0:c r="H71" s="4" t="n"/>
    </ns0:row>
    <ns0:row r="72">
      <ns0:c r="A72" t="inlineStr">
        <ns0:is>
          <ns0:t>Carbon monoxide, fossil</ns0:t>
        </ns0:is>
      </ns0:c>
      <ns0:c r="B72" s="4" t="n">
        <ns0:v>8.015699549361329e-09</ns0:v>
      </ns0:c>
      <ns0:c r="C72" t="inlineStr">
        <ns0:is>
          <ns0:t>kilogram</ns0:t>
        </ns0:is>
      </ns0:c>
      <ns0:c r="D72" t="inlineStr">
        <ns0:is>
          <ns0:t>air::non-urban air or from high stacks</ns0:t>
        </ns0:is>
      </ns0:c>
      <ns0:c r="F72" t="inlineStr">
        <ns0:is>
          <ns0:t>biosphere</ns0:t>
        </ns0:is>
      </ns0:c>
      <ns0:c r="H72" s="4" t="n"/>
    </ns0:row>
    <ns0:row r="73">
      <ns0:c r="A73" t="inlineStr">
        <ns0:is>
          <ns0:t>Chromium</ns0:t>
        </ns0:is>
      </ns0:c>
      <ns0:c r="B73" s="4" t="n">
        <ns0:v>1.849315068493151e-09</ns0:v>
      </ns0:c>
      <ns0:c r="C73" t="inlineStr">
        <ns0:is>
          <ns0:t>kilogram</ns0:t>
        </ns0:is>
      </ns0:c>
      <ns0:c r="D73" t="inlineStr">
        <ns0:is>
          <ns0:t>air</ns0:t>
        </ns0:is>
      </ns0:c>
      <ns0:c r="F73" t="inlineStr">
        <ns0:is>
          <ns0:t>biosphere</ns0:t>
        </ns0:is>
      </ns0:c>
      <ns0:c r="H73" s="4" t="n"/>
    </ns0:row>
    <ns0:row r="74">
      <ns0:c r="A74" t="inlineStr">
        <ns0:is>
          <ns0:t>Chromium, ion</ns0:t>
        </ns0:is>
      </ns0:c>
      <ns0:c r="B74" s="4" t="n">
        <ns0:v>3.397260273972603e-11</ns0:v>
      </ns0:c>
      <ns0:c r="C74" t="inlineStr">
        <ns0:is>
          <ns0:t>kilogram</ns0:t>
        </ns0:is>
      </ns0:c>
      <ns0:c r="D74" t="inlineStr">
        <ns0:is>
          <ns0:t>water::surface water</ns0:t>
        </ns0:is>
      </ns0:c>
      <ns0:c r="F74" t="inlineStr">
        <ns0:is>
          <ns0:t>biosphere</ns0:t>
        </ns0:is>
      </ns0:c>
      <ns0:c r="H74" s="4" t="n"/>
    </ns0:row>
    <ns0:row r="75">
      <ns0:c r="A75" t="inlineStr">
        <ns0:is>
          <ns0:t>Cobalt</ns0:t>
        </ns0:is>
      </ns0:c>
      <ns0:c r="B75" s="4" t="n">
        <ns0:v>4.246575342465753e-12</ns0:v>
      </ns0:c>
      <ns0:c r="C75" t="inlineStr">
        <ns0:is>
          <ns0:t>kilogram</ns0:t>
        </ns0:is>
      </ns0:c>
      <ns0:c r="D75" t="inlineStr">
        <ns0:is>
          <ns0:t>water::surface water</ns0:t>
        </ns0:is>
      </ns0:c>
      <ns0:c r="F75" t="inlineStr">
        <ns0:is>
          <ns0:t>biosphere</ns0:t>
        </ns0:is>
      </ns0:c>
      <ns0:c r="H75" s="4" t="n"/>
    </ns0:row>
    <ns0:row r="76">
      <ns0:c r="A76" t="inlineStr">
        <ns0:is>
          <ns0:t>Copper</ns0:t>
        </ns0:is>
      </ns0:c>
      <ns0:c r="B76" s="4" t="n">
        <ns0:v>3.150684931506849e-09</ns0:v>
      </ns0:c>
      <ns0:c r="C76" t="inlineStr">
        <ns0:is>
          <ns0:t>kilogram</ns0:t>
        </ns0:is>
      </ns0:c>
      <ns0:c r="D76" t="inlineStr">
        <ns0:is>
          <ns0:t>air</ns0:t>
        </ns0:is>
      </ns0:c>
      <ns0:c r="F76" t="inlineStr">
        <ns0:is>
          <ns0:t>biosphere</ns0:t>
        </ns0:is>
      </ns0:c>
      <ns0:c r="H76" s="4" t="n"/>
    </ns0:row>
    <ns0:row r="77">
      <ns0:c r="A77" t="inlineStr">
        <ns0:is>
          <ns0:t>Copper, ion</ns0:t>
        </ns0:is>
      </ns0:c>
      <ns0:c r="B77" s="4" t="n">
        <ns0:v>4.246575342465753e-12</ns0:v>
      </ns0:c>
      <ns0:c r="C77" t="inlineStr">
        <ns0:is>
          <ns0:t>kilogram</ns0:t>
        </ns0:is>
      </ns0:c>
      <ns0:c r="D77" t="inlineStr">
        <ns0:is>
          <ns0:t>water::surface water</ns0:t>
        </ns0:is>
      </ns0:c>
      <ns0:c r="F77" t="inlineStr">
        <ns0:is>
          <ns0:t>biosphere</ns0:t>
        </ns0:is>
      </ns0:c>
      <ns0:c r="H77" s="4" t="n"/>
    </ns0:row>
    <ns0:row r="78">
      <ns0:c r="A78" t="inlineStr">
        <ns0:is>
          <ns0:t>Dinitrogen monoxide</ns0:t>
        </ns0:is>
      </ns0:c>
      <ns0:c r="B78" s="4" t="n">
        <ns0:v>1.027397260273973e-09</ns0:v>
      </ns0:c>
      <ns0:c r="C78" t="inlineStr">
        <ns0:is>
          <ns0:t>kilogram</ns0:t>
        </ns0:is>
      </ns0:c>
      <ns0:c r="D78" t="inlineStr">
        <ns0:is>
          <ns0:t>air::non-urban air or from high stacks</ns0:t>
        </ns0:is>
      </ns0:c>
      <ns0:c r="F78" t="inlineStr">
        <ns0:is>
          <ns0:t>biosphere</ns0:t>
        </ns0:is>
      </ns0:c>
      <ns0:c r="H78" s="4" t="n"/>
    </ns0:row>
    <ns0:row r="79">
      <ns0:c r="A79" t="inlineStr">
        <ns0:is>
          <ns0:t>Dioxins, measured as 2,3,7,8-tetrachlorodibenzo-p-dioxin</ns0:t>
        </ns0:is>
      </ns0:c>
      <ns0:c r="B79" s="4" t="n">
        <ns0:v>3.904109589041097e-15</ns0:v>
      </ns0:c>
      <ns0:c r="C79" t="inlineStr">
        <ns0:is>
          <ns0:t>kilogram</ns0:t>
        </ns0:is>
      </ns0:c>
      <ns0:c r="D79" t="inlineStr">
        <ns0:is>
          <ns0:t>air</ns0:t>
        </ns0:is>
      </ns0:c>
      <ns0:c r="F79" t="inlineStr">
        <ns0:is>
          <ns0:t>biosphere</ns0:t>
        </ns0:is>
      </ns0:c>
      <ns0:c r="H79" s="4" t="n"/>
    </ns0:row>
    <ns0:row r="80">
      <ns0:c r="A80" t="inlineStr">
        <ns0:is>
          <ns0:t>Hydrocarbons, aliphatic, alkanes, unspecified</ns0:t>
        </ns0:is>
      </ns0:c>
      <ns0:c r="B80" s="4" t="n">
        <ns0:v>1.541095890410959e-05</ns0:v>
      </ns0:c>
      <ns0:c r="C80" t="inlineStr">
        <ns0:is>
          <ns0:t>kilogram</ns0:t>
        </ns0:is>
      </ns0:c>
      <ns0:c r="D80" t="inlineStr">
        <ns0:is>
          <ns0:t>air</ns0:t>
        </ns0:is>
      </ns0:c>
      <ns0:c r="F80" t="inlineStr">
        <ns0:is>
          <ns0:t>biosphere</ns0:t>
        </ns0:is>
      </ns0:c>
      <ns0:c r="H80" s="4" t="n"/>
    </ns0:row>
    <ns0:row r="81">
      <ns0:c r="A81" t="inlineStr">
        <ns0:is>
          <ns0:t>Hydrogen chloride</ns0:t>
        </ns0:is>
      </ns0:c>
      <ns0:c r="B81" s="4" t="n">
        <ns0:v>1.718404752121648e-05</ns0:v>
      </ns0:c>
      <ns0:c r="C81" t="inlineStr">
        <ns0:is>
          <ns0:t>kilogram</ns0:t>
        </ns0:is>
      </ns0:c>
      <ns0:c r="D81" t="inlineStr">
        <ns0:is>
          <ns0:t>air</ns0:t>
        </ns0:is>
      </ns0:c>
      <ns0:c r="F81" t="inlineStr">
        <ns0:is>
          <ns0:t>biosphere</ns0:t>
        </ns0:is>
      </ns0:c>
      <ns0:c r="H81" s="4" t="n"/>
    </ns0:row>
    <ns0:row r="82">
      <ns0:c r="A82" t="inlineStr">
        <ns0:is>
          <ns0:t>Hydrogen chloride</ns0:t>
        </ns0:is>
      </ns0:c>
      <ns0:c r="B82" s="4" t="n">
        <ns0:v>7.62264513862561e-08</ns0:v>
      </ns0:c>
      <ns0:c r="C82" t="inlineStr">
        <ns0:is>
          <ns0:t>kilogram</ns0:t>
        </ns0:is>
      </ns0:c>
      <ns0:c r="D82" t="inlineStr">
        <ns0:is>
          <ns0:t>air::non-urban air or from high stacks</ns0:t>
        </ns0:is>
      </ns0:c>
      <ns0:c r="F82" t="inlineStr">
        <ns0:is>
          <ns0:t>biosphere</ns0:t>
        </ns0:is>
      </ns0:c>
      <ns0:c r="H82" s="4" t="n"/>
    </ns0:row>
    <ns0:row r="83">
      <ns0:c r="A83" t="inlineStr">
        <ns0:is>
          <ns0:t>Hydrogen fluoride</ns0:t>
        </ns0:is>
      </ns0:c>
      <ns0:c r="B83" s="4" t="n">
        <ns0:v>1.379279061773375e-05</ns0:v>
      </ns0:c>
      <ns0:c r="C83" t="inlineStr">
        <ns0:is>
          <ns0:t>kilogram</ns0:t>
        </ns0:is>
      </ns0:c>
      <ns0:c r="D83" t="inlineStr">
        <ns0:is>
          <ns0:t>air</ns0:t>
        </ns0:is>
      </ns0:c>
      <ns0:c r="F83" t="inlineStr">
        <ns0:is>
          <ns0:t>biosphere</ns0:t>
        </ns0:is>
      </ns0:c>
      <ns0:c r="H83" s="4" t="n"/>
    </ns0:row>
    <ns0:row r="84">
      <ns0:c r="A84" t="inlineStr">
        <ns0:is>
          <ns0:t>Hydrogen fluoride</ns0:t>
        </ns0:is>
      </ns0:c>
      <ns0:c r="B84" s="4" t="n">
        <ns0:v>1.798121219922727e-07</ns0:v>
      </ns0:c>
      <ns0:c r="C84" t="inlineStr">
        <ns0:is>
          <ns0:t>kilogram</ns0:t>
        </ns0:is>
      </ns0:c>
      <ns0:c r="D84" t="inlineStr">
        <ns0:is>
          <ns0:t>air::non-urban air or from high stacks</ns0:t>
        </ns0:is>
      </ns0:c>
      <ns0:c r="F84" t="inlineStr">
        <ns0:is>
          <ns0:t>biosphere</ns0:t>
        </ns0:is>
      </ns0:c>
      <ns0:c r="H84" s="4" t="n"/>
    </ns0:row>
    <ns0:row r="85">
      <ns0:c r="A85" t="inlineStr">
        <ns0:is>
          <ns0:t>Iron, ion</ns0:t>
        </ns0:is>
      </ns0:c>
      <ns0:c r="B85" s="4" t="n">
        <ns0:v>8.082191780821918e-09</ns0:v>
      </ns0:c>
      <ns0:c r="C85" t="inlineStr">
        <ns0:is>
          <ns0:t>kilogram</ns0:t>
        </ns0:is>
      </ns0:c>
      <ns0:c r="D85" t="inlineStr">
        <ns0:is>
          <ns0:t>water::surface water</ns0:t>
        </ns0:is>
      </ns0:c>
      <ns0:c r="F85" t="inlineStr">
        <ns0:is>
          <ns0:t>biosphere</ns0:t>
        </ns0:is>
      </ns0:c>
      <ns0:c r="H85" s="4" t="n"/>
    </ns0:row>
    <ns0:row r="86">
      <ns0:c r="A86" t="inlineStr">
        <ns0:is>
          <ns0:t>Lead</ns0:t>
        </ns0:is>
      </ns0:c>
      <ns0:c r="B86" s="4" t="n">
        <ns0:v>4.554794520547946e-08</ns0:v>
      </ns0:c>
      <ns0:c r="C86" t="inlineStr">
        <ns0:is>
          <ns0:t>kilogram</ns0:t>
        </ns0:is>
      </ns0:c>
      <ns0:c r="D86" t="inlineStr">
        <ns0:is>
          <ns0:t>air</ns0:t>
        </ns0:is>
      </ns0:c>
      <ns0:c r="F86" t="inlineStr">
        <ns0:is>
          <ns0:t>biosphere</ns0:t>
        </ns0:is>
      </ns0:c>
      <ns0:c r="H86" s="4" t="n"/>
    </ns0:row>
    <ns0:row r="87">
      <ns0:c r="A87" t="inlineStr">
        <ns0:is>
          <ns0:t>Lead</ns0:t>
        </ns0:is>
      </ns0:c>
      <ns0:c r="B87" s="4" t="n">
        <ns0:v>4.246575342465753e-12</ns0:v>
      </ns0:c>
      <ns0:c r="C87" t="inlineStr">
        <ns0:is>
          <ns0:t>kilogram</ns0:t>
        </ns0:is>
      </ns0:c>
      <ns0:c r="D87" t="inlineStr">
        <ns0:is>
          <ns0:t>water::surface water</ns0:t>
        </ns0:is>
      </ns0:c>
      <ns0:c r="F87" t="inlineStr">
        <ns0:is>
          <ns0:t>biosphere</ns0:t>
        </ns0:is>
      </ns0:c>
      <ns0:c r="H87" s="4" t="n"/>
    </ns0:row>
    <ns0:row r="88">
      <ns0:c r="A88" t="inlineStr">
        <ns0:is>
          <ns0:t>Manganese</ns0:t>
        </ns0:is>
      </ns0:c>
      <ns0:c r="B88" s="4" t="n">
        <ns0:v>1.273972602739726e-09</ns0:v>
      </ns0:c>
      <ns0:c r="C88" t="inlineStr">
        <ns0:is>
          <ns0:t>kilogram</ns0:t>
        </ns0:is>
      </ns0:c>
      <ns0:c r="D88" t="inlineStr">
        <ns0:is>
          <ns0:t>water::surface water</ns0:t>
        </ns0:is>
      </ns0:c>
      <ns0:c r="F88" t="inlineStr">
        <ns0:is>
          <ns0:t>biosphere</ns0:t>
        </ns0:is>
      </ns0:c>
      <ns0:c r="H88" s="4" t="n"/>
    </ns0:row>
    <ns0:row r="89">
      <ns0:c r="A89" t="inlineStr">
        <ns0:is>
          <ns0:t>Manganese</ns0:t>
        </ns0:is>
      </ns0:c>
      <ns0:c r="B89" s="4" t="n">
        <ns0:v>1.575342465753425e-08</ns0:v>
      </ns0:c>
      <ns0:c r="C89" t="inlineStr">
        <ns0:is>
          <ns0:t>kilogram</ns0:t>
        </ns0:is>
      </ns0:c>
      <ns0:c r="D89" t="inlineStr">
        <ns0:is>
          <ns0:t>air</ns0:t>
        </ns0:is>
      </ns0:c>
      <ns0:c r="F89" t="inlineStr">
        <ns0:is>
          <ns0:t>biosphere</ns0:t>
        </ns0:is>
      </ns0:c>
      <ns0:c r="H89" s="4" t="n"/>
    </ns0:row>
    <ns0:row r="90">
      <ns0:c r="A90" t="inlineStr">
        <ns0:is>
          <ns0:t>Mercury</ns0:t>
        </ns0:is>
      </ns0:c>
      <ns0:c r="B90" s="4" t="n">
        <ns0:v>1.957061181818704e-10</ns0:v>
      </ns0:c>
      <ns0:c r="C90" t="inlineStr">
        <ns0:is>
          <ns0:t>kilogram</ns0:t>
        </ns0:is>
      </ns0:c>
      <ns0:c r="D90" t="inlineStr">
        <ns0:is>
          <ns0:t>air</ns0:t>
        </ns0:is>
      </ns0:c>
      <ns0:c r="F90" t="inlineStr">
        <ns0:is>
          <ns0:t>biosphere</ns0:t>
        </ns0:is>
      </ns0:c>
      <ns0:c r="H90" s="4" t="n"/>
    </ns0:row>
    <ns0:row r="91">
      <ns0:c r="A91" t="inlineStr">
        <ns0:is>
          <ns0:t>Mercury</ns0:t>
        </ns0:is>
      </ns0:c>
      <ns0:c r="B91" s="4" t="n">
        <ns0:v>4.33349777085406e-11</ns0:v>
      </ns0:c>
      <ns0:c r="C91" t="inlineStr">
        <ns0:is>
          <ns0:t>kilogram</ns0:t>
        </ns0:is>
      </ns0:c>
      <ns0:c r="D91" t="inlineStr">
        <ns0:is>
          <ns0:t>air::non-urban air or from high stacks</ns0:t>
        </ns0:is>
      </ns0:c>
      <ns0:c r="F91" t="inlineStr">
        <ns0:is>
          <ns0:t>biosphere</ns0:t>
        </ns0:is>
      </ns0:c>
      <ns0:c r="H91" s="4" t="n"/>
    </ns0:row>
    <ns0:row r="92">
      <ns0:c r="A92" t="inlineStr">
        <ns0:is>
          <ns0:t>Mercury</ns0:t>
        </ns0:is>
      </ns0:c>
      <ns0:c r="B92" s="4" t="n">
        <ns0:v>5.520547945205479e-13</ns0:v>
      </ns0:c>
      <ns0:c r="C92" t="inlineStr">
        <ns0:is>
          <ns0:t>kilogram</ns0:t>
        </ns0:is>
      </ns0:c>
      <ns0:c r="D92" t="inlineStr">
        <ns0:is>
          <ns0:t>water::surface water</ns0:t>
        </ns0:is>
      </ns0:c>
      <ns0:c r="F92" t="inlineStr">
        <ns0:is>
          <ns0:t>biosphere</ns0:t>
        </ns0:is>
      </ns0:c>
      <ns0:c r="H92" s="4" t="n"/>
    </ns0:row>
    <ns0:row r="93">
      <ns0:c r="A93" t="inlineStr">
        <ns0:is>
          <ns0:t>Methane, fossil</ns0:t>
        </ns0:is>
      </ns0:c>
      <ns0:c r="B93" s="4" t="n">
        <ns0:v>4.178082191780822e-11</ns0:v>
      </ns0:c>
      <ns0:c r="C93" t="inlineStr">
        <ns0:is>
          <ns0:t>kilogram</ns0:t>
        </ns0:is>
      </ns0:c>
      <ns0:c r="D93" t="inlineStr">
        <ns0:is>
          <ns0:t>air::non-urban air or from high stacks</ns0:t>
        </ns0:is>
      </ns0:c>
      <ns0:c r="F93" t="inlineStr">
        <ns0:is>
          <ns0:t>biosphere</ns0:t>
        </ns0:is>
      </ns0:c>
      <ns0:c r="H93" s="4" t="n"/>
    </ns0:row>
    <ns0:row r="94">
      <ns0:c r="A94" t="inlineStr">
        <ns0:is>
          <ns0:t>Nickel</ns0:t>
        </ns0:is>
      </ns0:c>
      <ns0:c r="B94" s="4" t="n">
        <ns0:v>1.027397260273973e-08</ns0:v>
      </ns0:c>
      <ns0:c r="C94" t="inlineStr">
        <ns0:is>
          <ns0:t>kilogram</ns0:t>
        </ns0:is>
      </ns0:c>
      <ns0:c r="D94" t="inlineStr">
        <ns0:is>
          <ns0:t>air</ns0:t>
        </ns0:is>
      </ns0:c>
      <ns0:c r="F94" t="inlineStr">
        <ns0:is>
          <ns0:t>biosphere</ns0:t>
        </ns0:is>
      </ns0:c>
      <ns0:c r="H94" s="4" t="n"/>
    </ns0:row>
    <ns0:row r="95">
      <ns0:c r="A95" t="inlineStr">
        <ns0:is>
          <ns0:t>Nickel, ion</ns0:t>
        </ns0:is>
      </ns0:c>
      <ns0:c r="B95" s="4" t="n">
        <ns0:v>4.246575342465753e-12</ns0:v>
      </ns0:c>
      <ns0:c r="C95" t="inlineStr">
        <ns0:is>
          <ns0:t>kilogram</ns0:t>
        </ns0:is>
      </ns0:c>
      <ns0:c r="D95" t="inlineStr">
        <ns0:is>
          <ns0:t>water::surface water</ns0:t>
        </ns0:is>
      </ns0:c>
      <ns0:c r="F95" t="inlineStr">
        <ns0:is>
          <ns0:t>biosphere</ns0:t>
        </ns0:is>
      </ns0:c>
      <ns0:c r="H95" s="4" t="n"/>
    </ns0:row>
    <ns0:row r="96">
      <ns0:c r="A96" t="inlineStr">
        <ns0:is>
          <ns0:t>Nitrate</ns0:t>
        </ns0:is>
      </ns0:c>
      <ns0:c r="B96" s="4" t="n">
        <ns0:v>7.808219178082192e-09</ns0:v>
      </ns0:c>
      <ns0:c r="C96" t="inlineStr">
        <ns0:is>
          <ns0:t>kilogram</ns0:t>
        </ns0:is>
      </ns0:c>
      <ns0:c r="D96" t="inlineStr">
        <ns0:is>
          <ns0:t>water::surface water</ns0:t>
        </ns0:is>
      </ns0:c>
      <ns0:c r="F96" t="inlineStr">
        <ns0:is>
          <ns0:t>biosphere</ns0:t>
        </ns0:is>
      </ns0:c>
      <ns0:c r="H96" s="4" t="n"/>
    </ns0:row>
    <ns0:row r="97">
      <ns0:c r="A97" t="inlineStr">
        <ns0:is>
          <ns0:t>Nitrogen oxides</ns0:t>
        </ns0:is>
      </ns0:c>
      <ns0:c r="B97" s="4" t="n">
        <ns0:v>0.0002191015565086674</ns0:v>
      </ns0:c>
      <ns0:c r="C97" t="inlineStr">
        <ns0:is>
          <ns0:t>kilogram</ns0:t>
        </ns0:is>
      </ns0:c>
      <ns0:c r="D97" t="inlineStr">
        <ns0:is>
          <ns0:t>air</ns0:t>
        </ns0:is>
      </ns0:c>
      <ns0:c r="F97" t="inlineStr">
        <ns0:is>
          <ns0:t>biosphere</ns0:t>
        </ns0:is>
      </ns0:c>
      <ns0:c r="H97" s="4" t="n"/>
    </ns0:row>
    <ns0:row r="98">
      <ns0:c r="A98" t="inlineStr">
        <ns0:is>
          <ns0:t>Nitrogen oxides</ns0:t>
        </ns0:is>
      </ns0:c>
      <ns0:c r="B98" s="4" t="n">
        <ns0:v>7.652568311343119e-08</ns0:v>
      </ns0:c>
      <ns0:c r="C98" t="inlineStr">
        <ns0:is>
          <ns0:t>kilogram</ns0:t>
        </ns0:is>
      </ns0:c>
      <ns0:c r="D98" t="inlineStr">
        <ns0:is>
          <ns0:t>air::non-urban air or from high stacks</ns0:t>
        </ns0:is>
      </ns0:c>
      <ns0:c r="F98" t="inlineStr">
        <ns0:is>
          <ns0:t>biosphere</ns0:t>
        </ns0:is>
      </ns0:c>
      <ns0:c r="H98" s="4" t="n"/>
    </ns0:row>
    <ns0:row r="99">
      <ns0:c r="A99" t="inlineStr">
        <ns0:is>
          <ns0:t>NMVOC, non-methane volatile organic compounds, unspecified origin</ns0:t>
        </ns0:is>
      </ns0:c>
      <ns0:c r="B99" s="4" t="n">
        <ns0:v>2.876712328767123e-11</ns0:v>
      </ns0:c>
      <ns0:c r="C99" t="inlineStr">
        <ns0:is>
          <ns0:t>kilogram</ns0:t>
        </ns0:is>
      </ns0:c>
      <ns0:c r="D99" t="inlineStr">
        <ns0:is>
          <ns0:t>air::non-urban air or from high stacks</ns0:t>
        </ns0:is>
      </ns0:c>
      <ns0:c r="F99" t="inlineStr">
        <ns0:is>
          <ns0:t>biosphere</ns0:t>
        </ns0:is>
      </ns0:c>
      <ns0:c r="H99" s="4" t="n"/>
    </ns0:row>
    <ns0:row r="100">
      <ns0:c r="A100" t="inlineStr">
        <ns0:is>
          <ns0:t>PAH, polycyclic aromatic hydrocarbons</ns0:t>
        </ns0:is>
      </ns0:c>
      <ns0:c r="B100" s="4" t="n">
        <ns0:v>1.301369863013698e-10</ns0:v>
      </ns0:c>
      <ns0:c r="C100" t="inlineStr">
        <ns0:is>
          <ns0:t>kilogram</ns0:t>
        </ns0:is>
      </ns0:c>
      <ns0:c r="D100" t="inlineStr">
        <ns0:is>
          <ns0:t>air</ns0:t>
        </ns0:is>
      </ns0:c>
      <ns0:c r="F100" t="inlineStr">
        <ns0:is>
          <ns0:t>biosphere</ns0:t>
        </ns0:is>
      </ns0:c>
      <ns0:c r="H100" s="4" t="n"/>
    </ns0:row>
    <ns0:row r="101">
      <ns0:c r="A101" t="inlineStr">
        <ns0:is>
          <ns0:t>Particulates, &lt; 2.5 um</ns0:t>
        </ns0:is>
      </ns0:c>
      <ns0:c r="B101" s="4" t="n">
        <ns0:v>5.144513671538505e-05</ns0:v>
      </ns0:c>
      <ns0:c r="C101" t="inlineStr">
        <ns0:is>
          <ns0:t>kilogram</ns0:t>
        </ns0:is>
      </ns0:c>
      <ns0:c r="D101" t="inlineStr">
        <ns0:is>
          <ns0:t>air</ns0:t>
        </ns0:is>
      </ns0:c>
      <ns0:c r="F101" t="inlineStr">
        <ns0:is>
          <ns0:t>biosphere</ns0:t>
        </ns0:is>
      </ns0:c>
      <ns0:c r="H101" s="4" t="n"/>
    </ns0:row>
    <ns0:row r="102">
      <ns0:c r="A102" t="inlineStr">
        <ns0:is>
          <ns0:t>Particulates, &lt; 2.5 um</ns0:t>
        </ns0:is>
      </ns0:c>
      <ns0:c r="B102" s="4" t="n">
        <ns0:v>1.302057503683703e-07</ns0:v>
      </ns0:c>
      <ns0:c r="C102" t="inlineStr">
        <ns0:is>
          <ns0:t>kilogram</ns0:t>
        </ns0:is>
      </ns0:c>
      <ns0:c r="D102" t="inlineStr">
        <ns0:is>
          <ns0:t>air::non-urban air or from high stacks</ns0:t>
        </ns0:is>
      </ns0:c>
      <ns0:c r="F102" t="inlineStr">
        <ns0:is>
          <ns0:t>biosphere</ns0:t>
        </ns0:is>
      </ns0:c>
      <ns0:c r="H102" s="4" t="n"/>
    </ns0:row>
    <ns0:row r="103">
      <ns0:c r="A103" t="inlineStr">
        <ns0:is>
          <ns0:t>Particulates, &gt; 10 um</ns0:t>
        </ns0:is>
      </ns0:c>
      <ns0:c r="B103" s="4" t="n">
        <ns0:v>4.013698630136986e-07</ns0:v>
      </ns0:c>
      <ns0:c r="C103" t="inlineStr">
        <ns0:is>
          <ns0:t>kilogram</ns0:t>
        </ns0:is>
      </ns0:c>
      <ns0:c r="D103" t="inlineStr">
        <ns0:is>
          <ns0:t>air::non-urban air or from high stacks</ns0:t>
        </ns0:is>
      </ns0:c>
      <ns0:c r="F103" t="inlineStr">
        <ns0:is>
          <ns0:t>biosphere</ns0:t>
        </ns0:is>
      </ns0:c>
      <ns0:c r="H103" s="4" t="n"/>
    </ns0:row>
    <ns0:row r="104">
      <ns0:c r="A104" t="inlineStr">
        <ns0:is>
          <ns0:t>Particulates, &gt; 2.5 um, and &lt; 10um</ns0:t>
        </ns0:is>
      </ns0:c>
      <ns0:c r="B104" s="4" t="n">
        <ns0:v>2.746575342465754e-07</ns0:v>
      </ns0:c>
      <ns0:c r="C104" t="inlineStr">
        <ns0:is>
          <ns0:t>kilogram</ns0:t>
        </ns0:is>
      </ns0:c>
      <ns0:c r="D104" t="inlineStr">
        <ns0:is>
          <ns0:t>air::non-urban air or from high stacks</ns0:t>
        </ns0:is>
      </ns0:c>
      <ns0:c r="F104" t="inlineStr">
        <ns0:is>
          <ns0:t>biosphere</ns0:t>
        </ns0:is>
      </ns0:c>
      <ns0:c r="H104" s="4" t="n"/>
    </ns0:row>
    <ns0:row r="105">
      <ns0:c r="A105" t="inlineStr">
        <ns0:is>
          <ns0:t>Phosphorus</ns0:t>
        </ns0:is>
      </ns0:c>
      <ns0:c r="B105" s="4" t="n">
        <ns0:v>5.095890410958904e-10</ns0:v>
      </ns0:c>
      <ns0:c r="C105" t="inlineStr">
        <ns0:is>
          <ns0:t>kilogram</ns0:t>
        </ns0:is>
      </ns0:c>
      <ns0:c r="D105" t="inlineStr">
        <ns0:is>
          <ns0:t>water::surface water</ns0:t>
        </ns0:is>
      </ns0:c>
      <ns0:c r="F105" t="inlineStr">
        <ns0:is>
          <ns0:t>biosphere</ns0:t>
        </ns0:is>
      </ns0:c>
      <ns0:c r="H105" s="4" t="n"/>
    </ns0:row>
    <ns0:row r="106">
      <ns0:c r="A106" t="inlineStr">
        <ns0:is>
          <ns0:t>Silver</ns0:t>
        </ns0:is>
      </ns0:c>
      <ns0:c r="B106" s="4" t="n">
        <ns0:v>3.863013698630137e-11</ns0:v>
      </ns0:c>
      <ns0:c r="C106" t="inlineStr">
        <ns0:is>
          <ns0:t>kilogram</ns0:t>
        </ns0:is>
      </ns0:c>
      <ns0:c r="D106" t="inlineStr">
        <ns0:is>
          <ns0:t>air::non-urban air or from high stacks</ns0:t>
        </ns0:is>
      </ns0:c>
      <ns0:c r="F106" t="inlineStr">
        <ns0:is>
          <ns0:t>biosphere</ns0:t>
        </ns0:is>
      </ns0:c>
      <ns0:c r="H106" s="4" t="n"/>
    </ns0:row>
    <ns0:row r="107">
      <ns0:c r="A107" t="inlineStr">
        <ns0:is>
          <ns0:t>Sulfur dioxide</ns0:t>
        </ns0:is>
      </ns0:c>
      <ns0:c r="B107" s="4" t="n">
        <ns0:v>8.937496372347181e-05</ns0:v>
      </ns0:c>
      <ns0:c r="C107" t="inlineStr">
        <ns0:is>
          <ns0:t>kilogram</ns0:t>
        </ns0:is>
      </ns0:c>
      <ns0:c r="D107" t="inlineStr">
        <ns0:is>
          <ns0:t>air</ns0:t>
        </ns0:is>
      </ns0:c>
      <ns0:c r="F107" t="inlineStr">
        <ns0:is>
          <ns0:t>biosphere</ns0:t>
        </ns0:is>
      </ns0:c>
      <ns0:c r="H107" s="4" t="n"/>
    </ns0:row>
    <ns0:row r="108">
      <ns0:c r="A108" t="inlineStr">
        <ns0:is>
          <ns0:t>Sulfur dioxide</ns0:t>
        </ns0:is>
      </ns0:c>
      <ns0:c r="B108" s="4" t="n">
        <ns0:v>3.510636737884773e-07</ns0:v>
      </ns0:c>
      <ns0:c r="C108" t="inlineStr">
        <ns0:is>
          <ns0:t>kilogram</ns0:t>
        </ns0:is>
      </ns0:c>
      <ns0:c r="D108" t="inlineStr">
        <ns0:is>
          <ns0:t>air::non-urban air or from high stacks</ns0:t>
        </ns0:is>
      </ns0:c>
      <ns0:c r="F108" t="inlineStr">
        <ns0:is>
          <ns0:t>biosphere</ns0:t>
        </ns0:is>
      </ns0:c>
      <ns0:c r="H108" s="4" t="n"/>
    </ns0:row>
    <ns0:row r="109">
      <ns0:c r="A109" t="inlineStr">
        <ns0:is>
          <ns0:t>Suspended solids, unspecified</ns0:t>
        </ns0:is>
      </ns0:c>
      <ns0:c r="B109" s="4" t="n">
        <ns0:v>2.719178082191781e-08</ns0:v>
      </ns0:c>
      <ns0:c r="C109" t="inlineStr">
        <ns0:is>
          <ns0:t>kilogram</ns0:t>
        </ns0:is>
      </ns0:c>
      <ns0:c r="D109" t="inlineStr">
        <ns0:is>
          <ns0:t>water::surface water</ns0:t>
        </ns0:is>
      </ns0:c>
      <ns0:c r="F109" t="inlineStr">
        <ns0:is>
          <ns0:t>biosphere</ns0:t>
        </ns0:is>
      </ns0:c>
      <ns0:c r="H109" s="4" t="n"/>
    </ns0:row>
    <ns0:row r="110">
      <ns0:c r="A110" t="inlineStr">
        <ns0:is>
          <ns0:t>Water</ns0:t>
        </ns0:is>
      </ns0:c>
      <ns0:c r="B110" s="4" t="n">
        <ns0:v>1.26027397260274e-05</ns0:v>
      </ns0:c>
      <ns0:c r="C110" t="inlineStr">
        <ns0:is>
          <ns0:t>cubic meter</ns0:t>
        </ns0:is>
      </ns0:c>
      <ns0:c r="D110" t="inlineStr">
        <ns0:is>
          <ns0:t>water</ns0:t>
        </ns0:is>
      </ns0:c>
      <ns0:c r="F110" t="inlineStr">
        <ns0:is>
          <ns0:t>biosphere</ns0:t>
        </ns0:is>
      </ns0:c>
      <ns0:c r="H110" s="4" t="n"/>
    </ns0:row>
    <ns0:row r="111">
      <ns0:c r="A111" t="inlineStr">
        <ns0:is>
          <ns0:t>Water</ns0:t>
        </ns0:is>
      </ns0:c>
      <ns0:c r="B111" s="4" t="n">
        <ns0:v>0.002226027397260274</ns0:v>
      </ns0:c>
      <ns0:c r="C111" t="inlineStr">
        <ns0:is>
          <ns0:t>cubic meter</ns0:t>
        </ns0:is>
      </ns0:c>
      <ns0:c r="D111" t="inlineStr">
        <ns0:is>
          <ns0:t>air</ns0:t>
        </ns0:is>
      </ns0:c>
      <ns0:c r="F111" t="inlineStr">
        <ns0:is>
          <ns0:t>biosphere</ns0:t>
        </ns0:is>
      </ns0:c>
      <ns0:c r="H111" s="4" t="n"/>
    </ns0:row>
    <ns0:row r="112">
      <ns0:c r="A112" t="inlineStr">
        <ns0:is>
          <ns0:t>Water, unspecified natural origin</ns0:t>
        </ns0:is>
      </ns0:c>
      <ns0:c r="B112" s="4" t="n">
        <ns0:v>6.164383561643837e-05</ns0:v>
      </ns0:c>
      <ns0:c r="C112" t="inlineStr">
        <ns0:is>
          <ns0:t>cubic meter</ns0:t>
        </ns0:is>
      </ns0:c>
      <ns0:c r="D112" t="inlineStr">
        <ns0:is>
          <ns0:t>natural resource::in water</ns0:t>
        </ns0:is>
      </ns0:c>
      <ns0:c r="F112" t="inlineStr">
        <ns0:is>
          <ns0:t>biosphere</ns0:t>
        </ns0:is>
      </ns0:c>
      <ns0:c r="H112" s="4" t="n"/>
    </ns0:row>
    <ns0:row r="113">
      <ns0:c r="A113" t="inlineStr">
        <ns0:is>
          <ns0:t>Zinc</ns0:t>
        </ns0:is>
      </ns0:c>
      <ns0:c r="B113" s="4" t="n">
        <ns0:v>3.849315068493151e-08</ns0:v>
      </ns0:c>
      <ns0:c r="C113" t="inlineStr">
        <ns0:is>
          <ns0:t>kilogram</ns0:t>
        </ns0:is>
      </ns0:c>
      <ns0:c r="D113" t="inlineStr">
        <ns0:is>
          <ns0:t>air</ns0:t>
        </ns0:is>
      </ns0:c>
      <ns0:c r="F113" t="inlineStr">
        <ns0:is>
          <ns0:t>biosphere</ns0:t>
        </ns0:is>
      </ns0:c>
      <ns0:c r="H113" s="4" t="n"/>
    </ns0:row>
    <ns0:row r="114">
      <ns0:c r="A114" t="inlineStr">
        <ns0:is>
          <ns0:t>Zinc, ion</ns0:t>
        </ns0:is>
      </ns0:c>
      <ns0:c r="B114" s="4" t="n">
        <ns0:v>1.698630136986301e-11</ns0:v>
      </ns0:c>
      <ns0:c r="C114" t="inlineStr">
        <ns0:is>
          <ns0:t>kilogram</ns0:t>
        </ns0:is>
      </ns0:c>
      <ns0:c r="D114" t="inlineStr">
        <ns0:is>
          <ns0:t>water::surface water</ns0:t>
        </ns0:is>
      </ns0:c>
      <ns0:c r="F114" t="inlineStr">
        <ns0:is>
          <ns0:t>biosphere</ns0:t>
        </ns0:is>
      </ns0:c>
      <ns0:c r="H114" s="4" t="n"/>
    </ns0:row>
    <ns0:row r="115">
      <ns0:c r="H115" s="4" t="n"/>
    </ns0:row>
    <ns0:row r="116">
      <ns0:c r="A116" s="1" t="inlineStr">
        <ns0:is>
          <ns0:t>Activity</ns0:t>
        </ns0:is>
      </ns0:c>
      <ns0:c r="B116" s="1" t="inlineStr">
        <ns0:is>
          <ns0:t>vanadium pentoxide bearing cast iron, production</ns0:t>
        </ns0:is>
      </ns0:c>
    </ns0:row>
    <ns0:row r="117">
      <ns0:c r="A117" t="inlineStr">
        <ns0:is>
          <ns0:t>comment</ns0:t>
        </ns0:is>
      </ns0:c>
      <ns0:c r="B117" t="inlineStr">
        <ns0:is>
          <ns0:t>A reduction is performed on vanadium pentoxide-bearing magnetite in an electric arc furnace to obtain a cast iron (pig iron) which still contains the vanadium from the ore (1.4 % vanadium pentoxide in the iron).</ns0:t>
        </ns0:is>
      </ns0:c>
    </ns0:row>
    <ns0:row r="118">
      <ns0:c r="A118" t="inlineStr">
        <ns0:is>
          <ns0:t>source</ns0:t>
        </ns0:is>
      </ns0:c>
      <ns0:c r="B118" t="inlineStr">
        <ns0:is>
          <ns0:t>Life Cycle Assessment of a Vanadium Redox Flow Battery, Selina Weber, Jens F. Peters, Manuel Baumann, and Marcel Weil, Environ. Sci. Technol. 2018, 52, 10864−10873, DOI: 10.1021/acs.est.8b02073</ns0:t>
        </ns0:is>
      </ns0:c>
    </ns0:row>
    <ns0:row r="119">
      <ns0:c r="A119" t="inlineStr">
        <ns0:is>
          <ns0:t>location</ns0:t>
        </ns0:is>
      </ns0:c>
      <ns0:c r="B119" t="inlineStr">
        <ns0:is>
          <ns0:t>ZA</ns0:t>
        </ns0:is>
      </ns0:c>
    </ns0:row>
    <ns0:row r="120">
      <ns0:c r="A120" t="inlineStr">
        <ns0:is>
          <ns0:t>production amount</ns0:t>
        </ns0:is>
      </ns0:c>
      <ns0:c r="B120" t="n">
        <ns0:v>1</ns0:v>
      </ns0:c>
    </ns0:row>
    <ns0:row r="121">
      <ns0:c r="A121" t="inlineStr">
        <ns0:is>
          <ns0:t>reference product</ns0:t>
        </ns0:is>
      </ns0:c>
      <ns0:c r="B121" t="inlineStr">
        <ns0:is>
          <ns0:t>vanadium pentoxide bearing cast iron</ns0:t>
        </ns0:is>
      </ns0:c>
    </ns0:row>
    <ns0:row r="122">
      <ns0:c r="A122" t="inlineStr">
        <ns0:is>
          <ns0:t>unit</ns0:t>
        </ns0:is>
      </ns0:c>
      <ns0:c r="B122" t="inlineStr">
        <ns0:is>
          <ns0:t>kilogram</ns0:t>
        </ns0:is>
      </ns0:c>
    </ns0:row>
    <ns0:row r="123">
      <ns0:c r="A123" s="1" t="inlineStr">
        <ns0:is>
          <ns0:t>Exchanges</ns0:t>
        </ns0:is>
      </ns0:c>
    </ns0:row>
    <ns0:row r="124" customFormat="1" s="1">
      <ns0:c r="A124" s="1" t="inlineStr">
        <ns0:is>
          <ns0:t>name</ns0:t>
        </ns0:is>
      </ns0:c>
      <ns0:c r="B124" s="1" t="inlineStr">
        <ns0:is>
          <ns0:t>amount</ns0:t>
        </ns0:is>
      </ns0:c>
      <ns0:c r="C124" s="1" t="inlineStr">
        <ns0:is>
          <ns0:t>unit</ns0:t>
        </ns0:is>
      </ns0:c>
      <ns0:c r="D124" s="1" t="inlineStr">
        <ns0:is>
          <ns0:t>categories</ns0:t>
        </ns0:is>
      </ns0:c>
      <ns0:c r="E124" s="1" t="inlineStr">
        <ns0:is>
          <ns0:t>location</ns0:t>
        </ns0:is>
      </ns0:c>
      <ns0:c r="F124" s="1" t="inlineStr">
        <ns0:is>
          <ns0:t>type</ns0:t>
        </ns0:is>
      </ns0:c>
      <ns0:c r="G124" s="1" t="inlineStr">
        <ns0:is>
          <ns0:t>reference product</ns0:t>
        </ns0:is>
      </ns0:c>
      <ns0:c r="H124" s="1" t="inlineStr">
        <ns0:is>
          <ns0:t>Comment</ns0:t>
        </ns0:is>
      </ns0:c>
    </ns0:row>
    <ns0:row r="125">
      <ns0:c r="A125" t="inlineStr">
        <ns0:is>
          <ns0:t>vanadium pentoxide bearing cast iron, production</ns0:t>
        </ns0:is>
      </ns0:c>
      <ns0:c r="B125" s="4" t="n">
        <ns0:v>1</ns0:v>
      </ns0:c>
      <ns0:c r="C125" t="inlineStr">
        <ns0:is>
          <ns0:t>kilogram</ns0:t>
        </ns0:is>
      </ns0:c>
      <ns0:c r="E125" t="inlineStr">
        <ns0:is>
          <ns0:t>ZA</ns0:t>
        </ns0:is>
      </ns0:c>
      <ns0:c r="F125" t="inlineStr">
        <ns0:is>
          <ns0:t>production</ns0:t>
        </ns0:is>
      </ns0:c>
      <ns0:c r="G125" t="inlineStr">
        <ns0:is>
          <ns0:t>vanadium pentoxide bearing cast iron</ns0:t>
        </ns0:is>
      </ns0:c>
      <ns0:c r="H125" s="4" t="n"/>
    </ns0:row>
    <ns0:row r="126">
      <ns0:c r="A126" t="inlineStr">
        <ns0:is>
          <ns0:t>pre-reduced vanadium pentoxide bearing magnetite production</ns0:t>
        </ns0:is>
      </ns0:c>
      <ns0:c r="B126" t="n">
        <ns0:v>1.106060606060606</ns0:v>
      </ns0:c>
      <ns0:c r="C126" t="inlineStr">
        <ns0:is>
          <ns0:t>kilogram</ns0:t>
        </ns0:is>
      </ns0:c>
      <ns0:c r="E126" t="inlineStr">
        <ns0:is>
          <ns0:t>ZA</ns0:t>
        </ns0:is>
      </ns0:c>
      <ns0:c r="F126" t="inlineStr">
        <ns0:is>
          <ns0:t>technosphere</ns0:t>
        </ns0:is>
      </ns0:c>
      <ns0:c r="G126" t="inlineStr">
        <ns0:is>
          <ns0:t>pre-reduced vanadium pentoxide bearing magnetite</ns0:t>
        </ns0:is>
      </ns0:c>
    </ns0:row>
    <ns0:row r="127">
      <ns0:c r="A127" t="inlineStr">
        <ns0:is>
          <ns0:t>market for anode, for metal electrolysis</ns0:t>
        </ns0:is>
      </ns0:c>
      <ns0:c r="B127" s="4" t="n">
        <ns0:v>0.002272727272727273</ns0:v>
      </ns0:c>
      <ns0:c r="C127" t="inlineStr">
        <ns0:is>
          <ns0:t>kilogram</ns0:t>
        </ns0:is>
      </ns0:c>
      <ns0:c r="E127" t="inlineStr">
        <ns0:is>
          <ns0:t>GLO</ns0:t>
        </ns0:is>
      </ns0:c>
      <ns0:c r="F127" t="inlineStr">
        <ns0:is>
          <ns0:t>technosphere</ns0:t>
        </ns0:is>
      </ns0:c>
      <ns0:c r="G127" t="inlineStr">
        <ns0:is>
          <ns0:t>anode, for metal electrolysis</ns0:t>
        </ns0:is>
      </ns0:c>
    </ns0:row>
    <ns0:row r="128">
      <ns0:c r="A128" t="inlineStr">
        <ns0:is>
          <ns0:t>market for electric arc furnace converter</ns0:t>
        </ns0:is>
      </ns0:c>
      <ns0:c r="B128" s="4" t="n">
        <ns0:v>3.03030303030303e-11</ns0:v>
      </ns0:c>
      <ns0:c r="C128" t="inlineStr">
        <ns0:is>
          <ns0:t>unit</ns0:t>
        </ns0:is>
      </ns0:c>
      <ns0:c r="E128" t="inlineStr">
        <ns0:is>
          <ns0:t>GLO</ns0:t>
        </ns0:is>
      </ns0:c>
      <ns0:c r="F128" t="inlineStr">
        <ns0:is>
          <ns0:t>technosphere</ns0:t>
        </ns0:is>
      </ns0:c>
      <ns0:c r="G128" t="inlineStr">
        <ns0:is>
          <ns0:t>electric arc furnace converter</ns0:t>
        </ns0:is>
      </ns0:c>
    </ns0:row>
    <ns0:row r="129">
      <ns0:c r="A129" t="inlineStr">
        <ns0:is>
          <ns0:t>market for electric arc furnace dust</ns0:t>
        </ns0:is>
      </ns0:c>
      <ns0:c r="B129" s="4" t="n">
        <ns0:v>0.007272727272727272</ns0:v>
      </ns0:c>
      <ns0:c r="C129" t="inlineStr">
        <ns0:is>
          <ns0:t>kilogram</ns0:t>
        </ns0:is>
      </ns0:c>
      <ns0:c r="E129" t="inlineStr">
        <ns0:is>
          <ns0:t>RoW</ns0:t>
        </ns0:is>
      </ns0:c>
      <ns0:c r="F129" t="inlineStr">
        <ns0:is>
          <ns0:t>technosphere</ns0:t>
        </ns0:is>
      </ns0:c>
      <ns0:c r="G129" t="inlineStr">
        <ns0:is>
          <ns0:t>electric arc furnace dust</ns0:t>
        </ns0:is>
      </ns0:c>
    </ns0:row>
    <ns0:row r="130">
      <ns0:c r="A130" t="inlineStr">
        <ns0:is>
          <ns0:t>market for electric arc furnace slag</ns0:t>
        </ns0:is>
      </ns0:c>
      <ns0:c r="B130" s="4" t="n">
        <ns0:v>-0.0703030303030303</ns0:v>
      </ns0:c>
      <ns0:c r="C130" t="inlineStr">
        <ns0:is>
          <ns0:t>kilogram</ns0:t>
        </ns0:is>
      </ns0:c>
      <ns0:c r="E130" t="inlineStr">
        <ns0:is>
          <ns0:t>RoW</ns0:t>
        </ns0:is>
      </ns0:c>
      <ns0:c r="F130" t="inlineStr">
        <ns0:is>
          <ns0:t>technosphere</ns0:t>
        </ns0:is>
      </ns0:c>
      <ns0:c r="G130" t="inlineStr">
        <ns0:is>
          <ns0:t>electric arc furnace slag</ns0:t>
        </ns0:is>
      </ns0:c>
    </ns0:row>
    <ns0:row r="131">
      <ns0:c r="A131" t="inlineStr">
        <ns0:is>
          <ns0:t>market for electricity, medium voltage</ns0:t>
        </ns0:is>
      </ns0:c>
      <ns0:c r="B131" t="n">
        <ns0:v>0.3181818181818182</ns0:v>
      </ns0:c>
      <ns0:c r="C131" t="inlineStr">
        <ns0:is>
          <ns0:t>kilowatt hour</ns0:t>
        </ns0:is>
      </ns0:c>
      <ns0:c r="E131" t="inlineStr">
        <ns0:is>
          <ns0:t>ZA</ns0:t>
        </ns0:is>
      </ns0:c>
      <ns0:c r="F131" t="inlineStr">
        <ns0:is>
          <ns0:t>technosphere</ns0:t>
        </ns0:is>
      </ns0:c>
      <ns0:c r="G131" t="inlineStr">
        <ns0:is>
          <ns0:t>electricity, medium voltage</ns0:t>
        </ns0:is>
      </ns0:c>
    </ns0:row>
    <ns0:row r="132">
      <ns0:c r="A132" t="inlineStr">
        <ns0:is>
          <ns0:t>market for hard coal</ns0:t>
        </ns0:is>
      </ns0:c>
      <ns0:c r="B132" s="4" t="n">
        <ns0:v>0.0106060606060606</ns0:v>
      </ns0:c>
      <ns0:c r="C132" t="inlineStr">
        <ns0:is>
          <ns0:t>kilogram</ns0:t>
        </ns0:is>
      </ns0:c>
      <ns0:c r="E132" t="inlineStr">
        <ns0:is>
          <ns0:t>ZA</ns0:t>
        </ns0:is>
      </ns0:c>
      <ns0:c r="F132" t="inlineStr">
        <ns0:is>
          <ns0:t>technosphere</ns0:t>
        </ns0:is>
      </ns0:c>
      <ns0:c r="G132" t="inlineStr">
        <ns0:is>
          <ns0:t>hard coal</ns0:t>
        </ns0:is>
      </ns0:c>
    </ns0:row>
    <ns0:row r="133">
      <ns0:c r="A133" t="inlineStr">
        <ns0:is>
          <ns0:t>market for inert waste, for final disposal</ns0:t>
        </ns0:is>
      </ns0:c>
      <ns0:c r="B133" s="4" t="n">
        <ns0:v>-0.003787878787878788</ns0:v>
      </ns0:c>
      <ns0:c r="C133" t="inlineStr">
        <ns0:is>
          <ns0:t>kilogram</ns0:t>
        </ns0:is>
      </ns0:c>
      <ns0:c r="E133" t="inlineStr">
        <ns0:is>
          <ns0:t>RoW</ns0:t>
        </ns0:is>
      </ns0:c>
      <ns0:c r="F133" t="inlineStr">
        <ns0:is>
          <ns0:t>technosphere</ns0:t>
        </ns0:is>
      </ns0:c>
      <ns0:c r="G133" t="inlineStr">
        <ns0:is>
          <ns0:t>inert waste, for final disposal</ns0:t>
        </ns0:is>
      </ns0:c>
    </ns0:row>
    <ns0:row r="134">
      <ns0:c r="A134" t="inlineStr">
        <ns0:is>
          <ns0:t>market for natural gas, high pressure</ns0:t>
        </ns0:is>
      </ns0:c>
      <ns0:c r="B134" s="4" t="n">
        <ns0:v>0.01893939393939394</ns0:v>
      </ns0:c>
      <ns0:c r="C134" t="inlineStr">
        <ns0:is>
          <ns0:t>cubic meter</ns0:t>
        </ns0:is>
      </ns0:c>
      <ns0:c r="E134" t="inlineStr">
        <ns0:is>
          <ns0:t>RoW</ns0:t>
        </ns0:is>
      </ns0:c>
      <ns0:c r="F134" t="inlineStr">
        <ns0:is>
          <ns0:t>technosphere</ns0:t>
        </ns0:is>
      </ns0:c>
      <ns0:c r="G134" t="inlineStr">
        <ns0:is>
          <ns0:t>natural gas, high pressure</ns0:t>
        </ns0:is>
      </ns0:c>
    </ns0:row>
    <ns0:row r="135">
      <ns0:c r="A135" t="inlineStr">
        <ns0:is>
          <ns0:t>market for oxygen, liquid</ns0:t>
        </ns0:is>
      </ns0:c>
      <ns0:c r="B135" s="4" t="n">
        <ns0:v>0.03840909090909091</ns0:v>
      </ns0:c>
      <ns0:c r="C135" t="inlineStr">
        <ns0:is>
          <ns0:t>kilogram</ns0:t>
        </ns0:is>
      </ns0:c>
      <ns0:c r="E135" t="inlineStr">
        <ns0:is>
          <ns0:t>RoW</ns0:t>
        </ns0:is>
      </ns0:c>
      <ns0:c r="F135" t="inlineStr">
        <ns0:is>
          <ns0:t>technosphere</ns0:t>
        </ns0:is>
      </ns0:c>
      <ns0:c r="G135" t="inlineStr">
        <ns0:is>
          <ns0:t>oxygen, liquid</ns0:t>
        </ns0:is>
      </ns0:c>
    </ns0:row>
    <ns0:row r="136">
      <ns0:c r="A136" t="inlineStr">
        <ns0:is>
          <ns0:t>market for quicklime, in pieces, loose</ns0:t>
        </ns0:is>
      </ns0:c>
      <ns0:c r="B136" s="4" t="n">
        <ns0:v>0.04166666666666666</ns0:v>
      </ns0:c>
      <ns0:c r="C136" t="inlineStr">
        <ns0:is>
          <ns0:t>kilogram</ns0:t>
        </ns0:is>
      </ns0:c>
      <ns0:c r="E136" t="inlineStr">
        <ns0:is>
          <ns0:t>RoW</ns0:t>
        </ns0:is>
      </ns0:c>
      <ns0:c r="F136" t="inlineStr">
        <ns0:is>
          <ns0:t>technosphere</ns0:t>
        </ns0:is>
      </ns0:c>
      <ns0:c r="G136" t="inlineStr">
        <ns0:is>
          <ns0:t>quicklime, in pieces, loose</ns0:t>
        </ns0:is>
      </ns0:c>
    </ns0:row>
    <ns0:row r="137">
      <ns0:c r="A137" t="inlineStr">
        <ns0:is>
          <ns0:t>market for refractory, basic, packed</ns0:t>
        </ns0:is>
      </ns0:c>
      <ns0:c r="B137" s="4" t="n">
        <ns0:v>0.01022727272727273</ns0:v>
      </ns0:c>
      <ns0:c r="C137" t="inlineStr">
        <ns0:is>
          <ns0:t>kilogram</ns0:t>
        </ns0:is>
      </ns0:c>
      <ns0:c r="E137" t="inlineStr">
        <ns0:is>
          <ns0:t>GLO</ns0:t>
        </ns0:is>
      </ns0:c>
      <ns0:c r="F137" t="inlineStr">
        <ns0:is>
          <ns0:t>technosphere</ns0:t>
        </ns0:is>
      </ns0:c>
      <ns0:c r="G137" t="inlineStr">
        <ns0:is>
          <ns0:t>refractory, basic, packed</ns0:t>
        </ns0:is>
      </ns0:c>
    </ns0:row>
    <ns0:row r="138">
      <ns0:c r="A138" t="inlineStr">
        <ns0:is>
          <ns0:t>Benzene</ns0:t>
        </ns0:is>
      </ns0:c>
      <ns0:c r="B138" s="4" t="n">
        <ns0:v>1.75e-06</ns0:v>
      </ns0:c>
      <ns0:c r="C138" t="inlineStr">
        <ns0:is>
          <ns0:t>kilogram</ns0:t>
        </ns0:is>
      </ns0:c>
      <ns0:c r="D138" t="inlineStr">
        <ns0:is>
          <ns0:t>air</ns0:t>
        </ns0:is>
      </ns0:c>
      <ns0:c r="F138" t="inlineStr">
        <ns0:is>
          <ns0:t>biosphere</ns0:t>
        </ns0:is>
      </ns0:c>
    </ns0:row>
    <ns0:row r="139">
      <ns0:c r="A139" t="inlineStr">
        <ns0:is>
          <ns0:t>Cadmium</ns0:t>
        </ns0:is>
      </ns0:c>
      <ns0:c r="B139" s="4" t="n">
        <ns0:v>2.765151515151515e-08</ns0:v>
      </ns0:c>
      <ns0:c r="C139" t="inlineStr">
        <ns0:is>
          <ns0:t>kilogram</ns0:t>
        </ns0:is>
      </ns0:c>
      <ns0:c r="D139" t="inlineStr">
        <ns0:is>
          <ns0:t>air</ns0:t>
        </ns0:is>
      </ns0:c>
      <ns0:c r="F139" t="inlineStr">
        <ns0:is>
          <ns0:t>biosphere</ns0:t>
        </ns0:is>
      </ns0:c>
    </ns0:row>
    <ns0:row r="140">
      <ns0:c r="A140" t="inlineStr">
        <ns0:is>
          <ns0:t>Carbon monoxide, fossil</ns0:t>
        </ns0:is>
      </ns0:c>
      <ns0:c r="B140" s="4" t="n">
        <ns0:v>0.001757575757575757</ns0:v>
      </ns0:c>
      <ns0:c r="C140" t="inlineStr">
        <ns0:is>
          <ns0:t>kilogram</ns0:t>
        </ns0:is>
      </ns0:c>
      <ns0:c r="D140" t="inlineStr">
        <ns0:is>
          <ns0:t>air</ns0:t>
        </ns0:is>
      </ns0:c>
      <ns0:c r="F140" t="inlineStr">
        <ns0:is>
          <ns0:t>biosphere</ns0:t>
        </ns0:is>
      </ns0:c>
    </ns0:row>
    <ns0:row r="141">
      <ns0:c r="A141" t="inlineStr">
        <ns0:is>
          <ns0:t>Chromium</ns0:t>
        </ns0:is>
      </ns0:c>
      <ns0:c r="B141" s="4" t="n">
        <ns0:v>9.469696969696971e-07</ns0:v>
      </ns0:c>
      <ns0:c r="C141" t="inlineStr">
        <ns0:is>
          <ns0:t>kilogram</ns0:t>
        </ns0:is>
      </ns0:c>
      <ns0:c r="D141" t="inlineStr">
        <ns0:is>
          <ns0:t>air</ns0:t>
        </ns0:is>
      </ns0:c>
      <ns0:c r="F141" t="inlineStr">
        <ns0:is>
          <ns0:t>biosphere</ns0:t>
        </ns0:is>
      </ns0:c>
    </ns0:row>
    <ns0:row r="142">
      <ns0:c r="A142" t="inlineStr">
        <ns0:is>
          <ns0:t>Copper</ns0:t>
        </ns0:is>
      </ns0:c>
      <ns0:c r="B142" s="4" t="n">
        <ns0:v>1.75e-07</ns0:v>
      </ns0:c>
      <ns0:c r="C142" t="inlineStr">
        <ns0:is>
          <ns0:t>kilogram</ns0:t>
        </ns0:is>
      </ns0:c>
      <ns0:c r="D142" t="inlineStr">
        <ns0:is>
          <ns0:t>air</ns0:t>
        </ns0:is>
      </ns0:c>
      <ns0:c r="F142" t="inlineStr">
        <ns0:is>
          <ns0:t>biosphere</ns0:t>
        </ns0:is>
      </ns0:c>
    </ns0:row>
    <ns0:row r="143">
      <ns0:c r="A143" t="inlineStr">
        <ns0:is>
          <ns0:t>Dioxins, measured as 2,3,7,8-tetrachlorodibenzo-p-dioxin</ns0:t>
        </ns0:is>
      </ns0:c>
      <ns0:c r="B143" s="4" t="n">
        <ns0:v>3.439393939393939e-12</ns0:v>
      </ns0:c>
      <ns0:c r="C143" t="inlineStr">
        <ns0:is>
          <ns0:t>kilogram</ns0:t>
        </ns0:is>
      </ns0:c>
      <ns0:c r="D143" t="inlineStr">
        <ns0:is>
          <ns0:t>air</ns0:t>
        </ns0:is>
      </ns0:c>
      <ns0:c r="F143" t="inlineStr">
        <ns0:is>
          <ns0:t>biosphere</ns0:t>
        </ns0:is>
      </ns0:c>
    </ns0:row>
    <ns0:row r="144">
      <ns0:c r="A144" t="inlineStr">
        <ns0:is>
          <ns0:t>Hydrocarbons, aromatic</ns0:t>
        </ns0:is>
      </ns0:c>
      <ns0:c r="B144" s="4" t="n">
        <ns0:v>5.833333333333333e-05</ns0:v>
      </ns0:c>
      <ns0:c r="C144" t="inlineStr">
        <ns0:is>
          <ns0:t>kilogram</ns0:t>
        </ns0:is>
      </ns0:c>
      <ns0:c r="D144" t="inlineStr">
        <ns0:is>
          <ns0:t>air</ns0:t>
        </ns0:is>
      </ns0:c>
      <ns0:c r="F144" t="inlineStr">
        <ns0:is>
          <ns0:t>biosphere</ns0:t>
        </ns0:is>
      </ns0:c>
    </ns0:row>
    <ns0:row r="145">
      <ns0:c r="A145" t="inlineStr">
        <ns0:is>
          <ns0:t>Hydrogen chloride</ns0:t>
        </ns0:is>
      </ns0:c>
      <ns0:c r="B145" s="4" t="n">
        <ns0:v>3.939393939393939e-06</ns0:v>
      </ns0:c>
      <ns0:c r="C145" t="inlineStr">
        <ns0:is>
          <ns0:t>kilogram</ns0:t>
        </ns0:is>
      </ns0:c>
      <ns0:c r="D145" t="inlineStr">
        <ns0:is>
          <ns0:t>air</ns0:t>
        </ns0:is>
      </ns0:c>
      <ns0:c r="F145" t="inlineStr">
        <ns0:is>
          <ns0:t>biosphere</ns0:t>
        </ns0:is>
      </ns0:c>
    </ns0:row>
    <ns0:row r="146">
      <ns0:c r="A146" t="inlineStr">
        <ns0:is>
          <ns0:t>Hydrogen fluoride</ns0:t>
        </ns0:is>
      </ns0:c>
      <ns0:c r="B146" s="4" t="n">
        <ns0:v>1.78030303030303e-06</ns0:v>
      </ns0:c>
      <ns0:c r="C146" t="inlineStr">
        <ns0:is>
          <ns0:t>kilogram</ns0:t>
        </ns0:is>
      </ns0:c>
      <ns0:c r="D146" t="inlineStr">
        <ns0:is>
          <ns0:t>air</ns0:t>
        </ns0:is>
      </ns0:c>
      <ns0:c r="F146" t="inlineStr">
        <ns0:is>
          <ns0:t>biosphere</ns0:t>
        </ns0:is>
      </ns0:c>
    </ns0:row>
    <ns0:row r="147">
      <ns0:c r="A147" t="inlineStr">
        <ns0:is>
          <ns0:t>Lead</ns0:t>
        </ns0:is>
      </ns0:c>
      <ns0:c r="B147" s="4" t="n">
        <ns0:v>1.371212121212121e-06</ns0:v>
      </ns0:c>
      <ns0:c r="C147" t="inlineStr">
        <ns0:is>
          <ns0:t>kilogram</ns0:t>
        </ns0:is>
      </ns0:c>
      <ns0:c r="D147" t="inlineStr">
        <ns0:is>
          <ns0:t>air</ns0:t>
        </ns0:is>
      </ns0:c>
      <ns0:c r="F147" t="inlineStr">
        <ns0:is>
          <ns0:t>biosphere</ns0:t>
        </ns0:is>
      </ns0:c>
    </ns0:row>
    <ns0:row r="148">
      <ns0:c r="A148" t="inlineStr">
        <ns0:is>
          <ns0:t>Mercury</ns0:t>
        </ns0:is>
      </ns0:c>
      <ns0:c r="B148" s="4" t="n">
        <ns0:v>1.696969696969697e-06</ns0:v>
      </ns0:c>
      <ns0:c r="C148" t="inlineStr">
        <ns0:is>
          <ns0:t>kilogram</ns0:t>
        </ns0:is>
      </ns0:c>
      <ns0:c r="D148" t="inlineStr">
        <ns0:is>
          <ns0:t>air</ns0:t>
        </ns0:is>
      </ns0:c>
      <ns0:c r="F148" t="inlineStr">
        <ns0:is>
          <ns0:t>biosphere</ns0:t>
        </ns0:is>
      </ns0:c>
    </ns0:row>
    <ns0:row r="149">
      <ns0:c r="A149" t="inlineStr">
        <ns0:is>
          <ns0:t>Nickel</ns0:t>
        </ns0:is>
      </ns0:c>
      <ns0:c r="B149" s="4" t="n">
        <ns0:v>5.310606060606061e-07</ns0:v>
      </ns0:c>
      <ns0:c r="C149" t="inlineStr">
        <ns0:is>
          <ns0:t>kilogram</ns0:t>
        </ns0:is>
      </ns0:c>
      <ns0:c r="D149" t="inlineStr">
        <ns0:is>
          <ns0:t>air</ns0:t>
        </ns0:is>
      </ns0:c>
      <ns0:c r="F149" t="inlineStr">
        <ns0:is>
          <ns0:t>biosphere</ns0:t>
        </ns0:is>
      </ns0:c>
    </ns0:row>
    <ns0:row r="150">
      <ns0:c r="A150" t="inlineStr">
        <ns0:is>
          <ns0:t>Nitrogen oxides</ns0:t>
        </ns0:is>
      </ns0:c>
      <ns0:c r="B150" s="4" t="n">
        <ns0:v>0.0001363636363636364</ns0:v>
      </ns0:c>
      <ns0:c r="C150" t="inlineStr">
        <ns0:is>
          <ns0:t>kilogram</ns0:t>
        </ns0:is>
      </ns0:c>
      <ns0:c r="D150" t="inlineStr">
        <ns0:is>
          <ns0:t>air</ns0:t>
        </ns0:is>
      </ns0:c>
      <ns0:c r="F150" t="inlineStr">
        <ns0:is>
          <ns0:t>biosphere</ns0:t>
        </ns0:is>
      </ns0:c>
    </ns0:row>
    <ns0:row r="151">
      <ns0:c r="A151" t="inlineStr">
        <ns0:is>
          <ns0:t>PAH, polycyclic aromatic hydrocarbons</ns0:t>
        </ns0:is>
      </ns0:c>
      <ns0:c r="B151" s="4" t="n">
        <ns0:v>2.825757575757576e-08</ns0:v>
      </ns0:c>
      <ns0:c r="C151" t="inlineStr">
        <ns0:is>
          <ns0:t>kilogram</ns0:t>
        </ns0:is>
      </ns0:c>
      <ns0:c r="D151" t="inlineStr">
        <ns0:is>
          <ns0:t>air</ns0:t>
        </ns0:is>
      </ns0:c>
      <ns0:c r="F151" t="inlineStr">
        <ns0:is>
          <ns0:t>biosphere</ns0:t>
        </ns0:is>
      </ns0:c>
    </ns0:row>
    <ns0:row r="152">
      <ns0:c r="A152" t="inlineStr">
        <ns0:is>
          <ns0:t>Particulates, &lt; 2.5 um</ns0:t>
        </ns0:is>
      </ns0:c>
      <ns0:c r="B152" s="4" t="n">
        <ns0:v>0.0001287878787878788</ns0:v>
      </ns0:c>
      <ns0:c r="C152" t="inlineStr">
        <ns0:is>
          <ns0:t>kilogram</ns0:t>
        </ns0:is>
      </ns0:c>
      <ns0:c r="D152" t="inlineStr">
        <ns0:is>
          <ns0:t>air</ns0:t>
        </ns0:is>
      </ns0:c>
      <ns0:c r="F152" t="inlineStr">
        <ns0:is>
          <ns0:t>biosphere</ns0:t>
        </ns0:is>
      </ns0:c>
    </ns0:row>
    <ns0:row r="153">
      <ns0:c r="A153" t="inlineStr">
        <ns0:is>
          <ns0:t>Particulates, &gt; 10 um</ns0:t>
        </ns0:is>
      </ns0:c>
      <ns0:c r="B153" s="4" t="n">
        <ns0:v>4.439393939393939e-05</ns0:v>
      </ns0:c>
      <ns0:c r="C153" t="inlineStr">
        <ns0:is>
          <ns0:t>kilogram</ns0:t>
        </ns0:is>
      </ns0:c>
      <ns0:c r="D153" t="inlineStr">
        <ns0:is>
          <ns0:t>air</ns0:t>
        </ns0:is>
      </ns0:c>
      <ns0:c r="F153" t="inlineStr">
        <ns0:is>
          <ns0:t>biosphere</ns0:t>
        </ns0:is>
      </ns0:c>
    </ns0:row>
    <ns0:row r="154">
      <ns0:c r="A154" t="inlineStr">
        <ns0:is>
          <ns0:t>Particulates, &gt; 2.5 um, and &lt; 10um</ns0:t>
        </ns0:is>
      </ns0:c>
      <ns0:c r="B154" s="4" t="n">
        <ns0:v>0.0001287878787878788</ns0:v>
      </ns0:c>
      <ns0:c r="C154" t="inlineStr">
        <ns0:is>
          <ns0:t>kilogram</ns0:t>
        </ns0:is>
      </ns0:c>
      <ns0:c r="D154" t="inlineStr">
        <ns0:is>
          <ns0:t>air</ns0:t>
        </ns0:is>
      </ns0:c>
      <ns0:c r="F154" t="inlineStr">
        <ns0:is>
          <ns0:t>biosphere</ns0:t>
        </ns0:is>
      </ns0:c>
    </ns0:row>
    <ns0:row r="155">
      <ns0:c r="A155" t="inlineStr">
        <ns0:is>
          <ns0:t>Polychlorinated biphenyls</ns0:t>
        </ns0:is>
      </ns0:c>
      <ns0:c r="B155" s="4" t="n">
        <ns0:v>1.765151515151515e-08</ns0:v>
      </ns0:c>
      <ns0:c r="C155" t="inlineStr">
        <ns0:is>
          <ns0:t>kilogram</ns0:t>
        </ns0:is>
      </ns0:c>
      <ns0:c r="D155" t="inlineStr">
        <ns0:is>
          <ns0:t>air</ns0:t>
        </ns0:is>
      </ns0:c>
      <ns0:c r="F155" t="inlineStr">
        <ns0:is>
          <ns0:t>biosphere</ns0:t>
        </ns0:is>
      </ns0:c>
    </ns0:row>
    <ns0:row r="156">
      <ns0:c r="A156" t="inlineStr">
        <ns0:is>
          <ns0:t>Sulfur dioxide</ns0:t>
        </ns0:is>
      </ns0:c>
      <ns0:c r="B156" s="4" t="n">
        <ns0:v>5.833333333333333e-05</ns0:v>
      </ns0:c>
      <ns0:c r="C156" t="inlineStr">
        <ns0:is>
          <ns0:t>kilogram</ns0:t>
        </ns0:is>
      </ns0:c>
      <ns0:c r="D156" t="inlineStr">
        <ns0:is>
          <ns0:t>air</ns0:t>
        </ns0:is>
      </ns0:c>
      <ns0:c r="F156" t="inlineStr">
        <ns0:is>
          <ns0:t>biosphere</ns0:t>
        </ns0:is>
      </ns0:c>
    </ns0:row>
    <ns0:row r="157">
      <ns0:c r="A157" t="inlineStr">
        <ns0:is>
          <ns0:t>Water</ns0:t>
        </ns0:is>
      </ns0:c>
      <ns0:c r="B157" s="4" t="n">
        <ns0:v>0.002424242424242424</ns0:v>
      </ns0:c>
      <ns0:c r="C157" t="inlineStr">
        <ns0:is>
          <ns0:t>cubic meter</ns0:t>
        </ns0:is>
      </ns0:c>
      <ns0:c r="D157" t="inlineStr">
        <ns0:is>
          <ns0:t>water</ns0:t>
        </ns0:is>
      </ns0:c>
      <ns0:c r="F157" t="inlineStr">
        <ns0:is>
          <ns0:t>biosphere</ns0:t>
        </ns0:is>
      </ns0:c>
    </ns0:row>
    <ns0:row r="158">
      <ns0:c r="A158" t="inlineStr">
        <ns0:is>
          <ns0:t>Water</ns0:t>
        </ns0:is>
      </ns0:c>
      <ns0:c r="B158" s="4" t="n">
        <ns0:v>0.001531321518659583</ns0:v>
      </ns0:c>
      <ns0:c r="C158" t="inlineStr">
        <ns0:is>
          <ns0:t>cubic meter</ns0:t>
        </ns0:is>
      </ns0:c>
      <ns0:c r="D158" t="inlineStr">
        <ns0:is>
          <ns0:t>air</ns0:t>
        </ns0:is>
      </ns0:c>
      <ns0:c r="F158" t="inlineStr">
        <ns0:is>
          <ns0:t>biosphere</ns0:t>
        </ns0:is>
      </ns0:c>
    </ns0:row>
    <ns0:row r="159">
      <ns0:c r="A159" t="inlineStr">
        <ns0:is>
          <ns0:t>Water, cooling, unspecified natural origin</ns0:t>
        </ns0:is>
      </ns0:c>
      <ns0:c r="B159" s="4" t="n">
        <ns0:v>0.003954545454545455</ns0:v>
      </ns0:c>
      <ns0:c r="C159" t="inlineStr">
        <ns0:is>
          <ns0:t>cubic meter</ns0:t>
        </ns0:is>
      </ns0:c>
      <ns0:c r="D159" t="inlineStr">
        <ns0:is>
          <ns0:t>natural resource::in water</ns0:t>
        </ns0:is>
      </ns0:c>
      <ns0:c r="F159" t="inlineStr">
        <ns0:is>
          <ns0:t>biosphere</ns0:t>
        </ns0:is>
      </ns0:c>
    </ns0:row>
    <ns0:row r="160">
      <ns0:c r="A160" t="inlineStr">
        <ns0:is>
          <ns0:t>Zinc</ns0:t>
        </ns0:is>
      </ns0:c>
      <ns0:c r="B160" s="4" t="n">
        <ns0:v>1.734848484848485e-05</ns0:v>
      </ns0:c>
      <ns0:c r="C160" t="inlineStr">
        <ns0:is>
          <ns0:t>kilogram</ns0:t>
        </ns0:is>
      </ns0:c>
      <ns0:c r="D160" t="inlineStr">
        <ns0:is>
          <ns0:t>air</ns0:t>
        </ns0:is>
      </ns0:c>
      <ns0:c r="F160" t="inlineStr">
        <ns0:is>
          <ns0:t>biosphere</ns0:t>
        </ns0:is>
      </ns0:c>
    </ns0:row>
    <ns0:row r="161">
      <ns0:c r="B161" s="4" t="n"/>
    </ns0:row>
    <ns0:row r="162">
      <ns0:c r="A162" s="1" t="inlineStr">
        <ns0:is>
          <ns0:t>Activity</ns0:t>
        </ns0:is>
      </ns0:c>
      <ns0:c r="B162" s="1" t="inlineStr">
        <ns0:is>
          <ns0:t>vanadium slag production</ns0:t>
        </ns0:is>
      </ns0:c>
    </ns0:row>
    <ns0:row r="163">
      <ns0:c r="A163" t="inlineStr">
        <ns0:is>
          <ns0:t>comment</ns0:t>
        </ns0:is>
      </ns0:c>
      <ns0:c r="B163" t="inlineStr">
        <ns0:is>
          <ns0:t>After reduction, a slag is also formed during the reduction stage. It contains about 30 % titanium dioxide which is deposited on slag piles. In a heat-resistant ladle, the molten pig iron is oxidized with oxygen lances, with the vanadium being transferred to the slag. The resulting slag contains 25 % vanadium pentoxide, being the principal raw material for the vanadium production.
In order to model this process, the ecoinvent dataset “steel production, electric arc furnace” is modified. Steel and vanadium pentoxide bearing slag are outputs of the process. The amount of the slag is adjusted so that the ladle slag (vanadium slag) has targeted vanadium pentoxide concentration of 25 %. In addition, the allocation between the two by-products, vanadium slag and steel, is done based on their market prices. Since no price for vanadium bearing slag is available, this is approximated by the market price for vanadium pentoxide and the corresponding V2O5 content of the slag. Original values were multiplied by 50%, following allocation in Table S12 from the original paper</ns0:t>
        </ns0:is>
      </ns0:c>
    </ns0:row>
    <ns0:row r="164">
      <ns0:c r="A164" t="inlineStr">
        <ns0:is>
          <ns0:t>source</ns0:t>
        </ns0:is>
      </ns0:c>
      <ns0:c r="B164" t="inlineStr">
        <ns0:is>
          <ns0:t>Life Cycle Assessment of a Vanadium Redox Flow Battery, Selina Weber, Jens F. Peters, Manuel Baumann, and Marcel Weil, Environ. Sci. Technol. 2018, 52, 10864−10873, DOI: 10.1021/acs.est.8b02073</ns0:t>
        </ns0:is>
      </ns0:c>
    </ns0:row>
    <ns0:row r="165">
      <ns0:c r="A165" t="inlineStr">
        <ns0:is>
          <ns0:t>location</ns0:t>
        </ns0:is>
      </ns0:c>
      <ns0:c r="B165" t="inlineStr">
        <ns0:is>
          <ns0:t>ZA</ns0:t>
        </ns0:is>
      </ns0:c>
    </ns0:row>
    <ns0:row r="166">
      <ns0:c r="A166" t="inlineStr">
        <ns0:is>
          <ns0:t>production amount</ns0:t>
        </ns0:is>
      </ns0:c>
      <ns0:c r="B166" t="n">
        <ns0:v>1</ns0:v>
      </ns0:c>
    </ns0:row>
    <ns0:row r="167">
      <ns0:c r="A167" t="inlineStr">
        <ns0:is>
          <ns0:t>reference product</ns0:t>
        </ns0:is>
      </ns0:c>
      <ns0:c r="B167" t="inlineStr">
        <ns0:is>
          <ns0:t>vanadium slag</ns0:t>
        </ns0:is>
      </ns0:c>
    </ns0:row>
    <ns0:row r="168">
      <ns0:c r="A168" t="inlineStr">
        <ns0:is>
          <ns0:t>unit</ns0:t>
        </ns0:is>
      </ns0:c>
      <ns0:c r="B168" t="inlineStr">
        <ns0:is>
          <ns0:t>kilogram</ns0:t>
        </ns0:is>
      </ns0:c>
    </ns0:row>
    <ns0:row r="169">
      <ns0:c r="A169" s="1" t="inlineStr">
        <ns0:is>
          <ns0:t>Exchanges</ns0:t>
        </ns0:is>
      </ns0:c>
    </ns0:row>
    <ns0:row r="170" customFormat="1" s="1">
      <ns0:c r="A170" s="1" t="inlineStr">
        <ns0:is>
          <ns0:t>name</ns0:t>
        </ns0:is>
      </ns0:c>
      <ns0:c r="B170" s="1" t="inlineStr">
        <ns0:is>
          <ns0:t>amount</ns0:t>
        </ns0:is>
      </ns0:c>
      <ns0:c r="C170" s="1" t="inlineStr">
        <ns0:is>
          <ns0:t>unit</ns0:t>
        </ns0:is>
      </ns0:c>
      <ns0:c r="D170" s="1" t="inlineStr">
        <ns0:is>
          <ns0:t>categories</ns0:t>
        </ns0:is>
      </ns0:c>
      <ns0:c r="E170" s="1" t="inlineStr">
        <ns0:is>
          <ns0:t>location</ns0:t>
        </ns0:is>
      </ns0:c>
      <ns0:c r="F170" s="1" t="inlineStr">
        <ns0:is>
          <ns0:t>type</ns0:t>
        </ns0:is>
      </ns0:c>
      <ns0:c r="G170" s="1" t="inlineStr">
        <ns0:is>
          <ns0:t>reference product</ns0:t>
        </ns0:is>
      </ns0:c>
      <ns0:c r="H170" s="1" t="inlineStr">
        <ns0:is>
          <ns0:t>Comment</ns0:t>
        </ns0:is>
      </ns0:c>
    </ns0:row>
    <ns0:row r="171">
      <ns0:c r="A171" t="inlineStr">
        <ns0:is>
          <ns0:t>vanadium slag production</ns0:t>
        </ns0:is>
      </ns0:c>
      <ns0:c r="B171" s="4" t="n">
        <ns0:v>1</ns0:v>
      </ns0:c>
      <ns0:c r="C171" t="inlineStr">
        <ns0:is>
          <ns0:t>kilogram</ns0:t>
        </ns0:is>
      </ns0:c>
      <ns0:c r="E171" t="inlineStr">
        <ns0:is>
          <ns0:t>ZA</ns0:t>
        </ns0:is>
      </ns0:c>
      <ns0:c r="F171" t="inlineStr">
        <ns0:is>
          <ns0:t>production</ns0:t>
        </ns0:is>
      </ns0:c>
      <ns0:c r="G171" t="inlineStr">
        <ns0:is>
          <ns0:t>vanadium slag</ns0:t>
        </ns0:is>
      </ns0:c>
      <ns0:c r="H171" s="4" t="n"/>
      <ns0:c r="I171" s="4" t="n"/>
    </ns0:row>
    <ns0:row r="172">
      <ns0:c r="A172" t="inlineStr">
        <ns0:is>
          <ns0:t>vanadium pentoxide bearing cast iron, production</ns0:t>
        </ns0:is>
      </ns0:c>
      <ns0:c r="B172" s="4" t="n">
        <ns0:v>10.76672104404568</ns0:v>
      </ns0:c>
      <ns0:c r="C172" t="inlineStr">
        <ns0:is>
          <ns0:t>kilogram</ns0:t>
        </ns0:is>
      </ns0:c>
      <ns0:c r="E172" t="inlineStr">
        <ns0:is>
          <ns0:t>ZA</ns0:t>
        </ns0:is>
      </ns0:c>
      <ns0:c r="F172" t="inlineStr">
        <ns0:is>
          <ns0:t>technosphere</ns0:t>
        </ns0:is>
      </ns0:c>
      <ns0:c r="G172" t="inlineStr">
        <ns0:is>
          <ns0:t>vanadium pentoxide bearing cast iron</ns0:t>
        </ns0:is>
      </ns0:c>
      <ns0:c r="H172" s="4" t="n"/>
      <ns0:c r="I172" s="4" t="n"/>
    </ns0:row>
    <ns0:row r="173">
      <ns0:c r="A173" t="inlineStr">
        <ns0:is>
          <ns0:t>market for aluminium, wrought alloy</ns0:t>
        </ns0:is>
      </ns0:c>
      <ns0:c r="B173" s="4" t="n">
        <ns0:v>0.0001207177814029364</ns0:v>
      </ns0:c>
      <ns0:c r="C173" t="inlineStr">
        <ns0:is>
          <ns0:t>kilogram</ns0:t>
        </ns0:is>
      </ns0:c>
      <ns0:c r="E173" t="inlineStr">
        <ns0:is>
          <ns0:t>GLO</ns0:t>
        </ns0:is>
      </ns0:c>
      <ns0:c r="F173" t="inlineStr">
        <ns0:is>
          <ns0:t>technosphere</ns0:t>
        </ns0:is>
      </ns0:c>
      <ns0:c r="G173" t="inlineStr">
        <ns0:is>
          <ns0:t>aluminium, wrought alloy</ns0:t>
        </ns0:is>
      </ns0:c>
      <ns0:c r="H173" s="4" t="n"/>
      <ns0:c r="I173" s="4" t="n"/>
    </ns0:row>
    <ns0:row r="174">
      <ns0:c r="A174" t="inlineStr">
        <ns0:is>
          <ns0:t>market for anode, for metal electrolysis</ns0:t>
        </ns0:is>
      </ns0:c>
      <ns0:c r="B174" s="4" t="n">
        <ns0:v>0.02446982055464927</ns0:v>
      </ns0:c>
      <ns0:c r="C174" t="inlineStr">
        <ns0:is>
          <ns0:t>kilogram</ns0:t>
        </ns0:is>
      </ns0:c>
      <ns0:c r="E174" t="inlineStr">
        <ns0:is>
          <ns0:t>GLO</ns0:t>
        </ns0:is>
      </ns0:c>
      <ns0:c r="F174" t="inlineStr">
        <ns0:is>
          <ns0:t>technosphere</ns0:t>
        </ns0:is>
      </ns0:c>
      <ns0:c r="G174" t="inlineStr">
        <ns0:is>
          <ns0:t>anode, for metal electrolysis</ns0:t>
        </ns0:is>
      </ns0:c>
      <ns0:c r="H174" s="4" t="n"/>
      <ns0:c r="I174" s="4" t="n"/>
    </ns0:row>
    <ns0:row r="175">
      <ns0:c r="A175" t="inlineStr">
        <ns0:is>
          <ns0:t>market for argon, liquid</ns0:t>
        </ns0:is>
      </ns0:c>
      <ns0:c r="B175" s="4" t="n">
        <ns0:v>0.02683523654159869</ns0:v>
      </ns0:c>
      <ns0:c r="C175" t="inlineStr">
        <ns0:is>
          <ns0:t>kilogram</ns0:t>
        </ns0:is>
      </ns0:c>
      <ns0:c r="E175" t="inlineStr">
        <ns0:is>
          <ns0:t>RoW</ns0:t>
        </ns0:is>
      </ns0:c>
      <ns0:c r="F175" t="inlineStr">
        <ns0:is>
          <ns0:t>technosphere</ns0:t>
        </ns0:is>
      </ns0:c>
      <ns0:c r="G175" t="inlineStr">
        <ns0:is>
          <ns0:t>argon, liquid</ns0:t>
        </ns0:is>
      </ns0:c>
      <ns0:c r="H175" s="4" t="n"/>
      <ns0:c r="I175" s="4" t="n"/>
    </ns0:row>
    <ns0:row r="176">
      <ns0:c r="A176" t="inlineStr">
        <ns0:is>
          <ns0:t>market for cast iron</ns0:t>
        </ns0:is>
      </ns0:c>
      <ns0:c r="B176" s="4" t="n">
        <ns0:v>0.0004200652528548124</ns0:v>
      </ns0:c>
      <ns0:c r="C176" t="inlineStr">
        <ns0:is>
          <ns0:t>kilogram</ns0:t>
        </ns0:is>
      </ns0:c>
      <ns0:c r="E176" t="inlineStr">
        <ns0:is>
          <ns0:t>GLO</ns0:t>
        </ns0:is>
      </ns0:c>
      <ns0:c r="F176" t="inlineStr">
        <ns0:is>
          <ns0:t>technosphere</ns0:t>
        </ns0:is>
      </ns0:c>
      <ns0:c r="G176" t="inlineStr">
        <ns0:is>
          <ns0:t>cast iron</ns0:t>
        </ns0:is>
      </ns0:c>
      <ns0:c r="H176" s="4" t="n"/>
      <ns0:c r="I176" s="4" t="n"/>
    </ns0:row>
    <ns0:row r="177">
      <ns0:c r="A177" t="inlineStr">
        <ns0:is>
          <ns0:t>market for diesel, burned in building machine</ns0:t>
        </ns0:is>
      </ns0:c>
      <ns0:c r="B177" s="4" t="n">
        <ns0:v>0.02822185970636215</ns0:v>
      </ns0:c>
      <ns0:c r="C177" t="inlineStr">
        <ns0:is>
          <ns0:t>megajoule</ns0:t>
        </ns0:is>
      </ns0:c>
      <ns0:c r="E177" t="inlineStr">
        <ns0:is>
          <ns0:t>GLO</ns0:t>
        </ns0:is>
      </ns0:c>
      <ns0:c r="F177" t="inlineStr">
        <ns0:is>
          <ns0:t>technosphere</ns0:t>
        </ns0:is>
      </ns0:c>
      <ns0:c r="G177" t="inlineStr">
        <ns0:is>
          <ns0:t>diesel, burned in building machine</ns0:t>
        </ns0:is>
      </ns0:c>
      <ns0:c r="H177" s="4" t="n"/>
      <ns0:c r="I177" s="4" t="n"/>
    </ns0:row>
    <ns0:row r="178">
      <ns0:c r="A178" t="inlineStr">
        <ns0:is>
          <ns0:t>market for electric arc furnace converter</ns0:t>
        </ns0:is>
      </ns0:c>
      <ns0:c r="B178" s="4" t="n">
        <ns0:v>3.262642740619902e-10</ns0:v>
      </ns0:c>
      <ns0:c r="C178" t="inlineStr">
        <ns0:is>
          <ns0:t>unit</ns0:t>
        </ns0:is>
      </ns0:c>
      <ns0:c r="E178" t="inlineStr">
        <ns0:is>
          <ns0:t>GLO</ns0:t>
        </ns0:is>
      </ns0:c>
      <ns0:c r="F178" t="inlineStr">
        <ns0:is>
          <ns0:t>technosphere</ns0:t>
        </ns0:is>
      </ns0:c>
      <ns0:c r="G178" t="inlineStr">
        <ns0:is>
          <ns0:t>electric arc furnace converter</ns0:t>
        </ns0:is>
      </ns0:c>
      <ns0:c r="H178" s="4" t="n"/>
      <ns0:c r="I178" s="4" t="n"/>
    </ns0:row>
    <ns0:row r="179">
      <ns0:c r="A179" t="inlineStr">
        <ns0:is>
          <ns0:t>market for electric arc furnace dust</ns0:t>
        </ns0:is>
      </ns0:c>
      <ns0:c r="B179" s="4" t="n">
        <ns0:v>-0.07830342577487764</ns0:v>
      </ns0:c>
      <ns0:c r="C179" t="inlineStr">
        <ns0:is>
          <ns0:t>kilogram</ns0:t>
        </ns0:is>
      </ns0:c>
      <ns0:c r="E179" t="inlineStr">
        <ns0:is>
          <ns0:t>RoW</ns0:t>
        </ns0:is>
      </ns0:c>
      <ns0:c r="F179" t="inlineStr">
        <ns0:is>
          <ns0:t>technosphere</ns0:t>
        </ns0:is>
      </ns0:c>
      <ns0:c r="G179" t="inlineStr">
        <ns0:is>
          <ns0:t>electric arc furnace dust</ns0:t>
        </ns0:is>
      </ns0:c>
      <ns0:c r="H179" s="4" t="n"/>
      <ns0:c r="I179" s="4" t="n"/>
    </ns0:row>
    <ns0:row r="180">
      <ns0:c r="A180" t="inlineStr">
        <ns0:is>
          <ns0:t>market for electric arc furnace slag</ns0:t>
        </ns0:is>
      </ns0:c>
      <ns0:c r="B180" s="4" t="n">
        <ns0:v>0.7569331158238173</ns0:v>
      </ns0:c>
      <ns0:c r="C180" t="inlineStr">
        <ns0:is>
          <ns0:t>kilogram</ns0:t>
        </ns0:is>
      </ns0:c>
      <ns0:c r="E180" t="inlineStr">
        <ns0:is>
          <ns0:t>RoW</ns0:t>
        </ns0:is>
      </ns0:c>
      <ns0:c r="F180" t="inlineStr">
        <ns0:is>
          <ns0:t>technosphere</ns0:t>
        </ns0:is>
      </ns0:c>
      <ns0:c r="G180" t="inlineStr">
        <ns0:is>
          <ns0:t>electric arc furnace slag</ns0:t>
        </ns0:is>
      </ns0:c>
      <ns0:c r="H180" s="4" t="n"/>
      <ns0:c r="I180" s="4" t="n"/>
    </ns0:row>
    <ns0:row r="181">
      <ns0:c r="A181" t="inlineStr">
        <ns0:is>
          <ns0:t>market for electric arc furnace slag</ns0:t>
        </ns0:is>
      </ns0:c>
      <ns0:c r="B181" s="4" t="n">
        <ns0:v>-0.4061990212071778</ns0:v>
      </ns0:c>
      <ns0:c r="C181" t="inlineStr">
        <ns0:is>
          <ns0:t>kilogram</ns0:t>
        </ns0:is>
      </ns0:c>
      <ns0:c r="E181" t="inlineStr">
        <ns0:is>
          <ns0:t>RoW</ns0:t>
        </ns0:is>
      </ns0:c>
      <ns0:c r="F181" t="inlineStr">
        <ns0:is>
          <ns0:t>technosphere</ns0:t>
        </ns0:is>
      </ns0:c>
      <ns0:c r="G181" t="inlineStr">
        <ns0:is>
          <ns0:t>electric arc furnace slag</ns0:t>
        </ns0:is>
      </ns0:c>
      <ns0:c r="H181" s="4" t="n"/>
      <ns0:c r="I181" s="4" t="n"/>
    </ns0:row>
    <ns0:row r="182">
      <ns0:c r="A182" t="inlineStr">
        <ns0:is>
          <ns0:t>market for electricity, low voltage</ns0:t>
        </ns0:is>
      </ns0:c>
      <ns0:c r="B182" s="4" t="n">
        <ns0:v>0.2822185970636215</ns0:v>
      </ns0:c>
      <ns0:c r="C182" t="inlineStr">
        <ns0:is>
          <ns0:t>kilowatt hour</ns0:t>
        </ns0:is>
      </ns0:c>
      <ns0:c r="E182" t="inlineStr">
        <ns0:is>
          <ns0:t>ZA</ns0:t>
        </ns0:is>
      </ns0:c>
      <ns0:c r="F182" t="inlineStr">
        <ns0:is>
          <ns0:t>technosphere</ns0:t>
        </ns0:is>
      </ns0:c>
      <ns0:c r="G182" t="inlineStr">
        <ns0:is>
          <ns0:t>electricity, low voltage</ns0:t>
        </ns0:is>
      </ns0:c>
      <ns0:c r="H182" s="4" t="n"/>
      <ns0:c r="I182" s="4" t="n"/>
    </ns0:row>
    <ns0:row r="183">
      <ns0:c r="A183" t="inlineStr">
        <ns0:is>
          <ns0:t>market for electricity, medium voltage</ns0:t>
        </ns0:is>
      </ns0:c>
      <ns0:c r="B183" s="4" t="n">
        <ns0:v>4.404567699836868</ns0:v>
      </ns0:c>
      <ns0:c r="C183" t="inlineStr">
        <ns0:is>
          <ns0:t>kilowatt hour</ns0:t>
        </ns0:is>
      </ns0:c>
      <ns0:c r="E183" t="inlineStr">
        <ns0:is>
          <ns0:t>ZA</ns0:t>
        </ns0:is>
      </ns0:c>
      <ns0:c r="F183" t="inlineStr">
        <ns0:is>
          <ns0:t>technosphere</ns0:t>
        </ns0:is>
      </ns0:c>
      <ns0:c r="G183" t="inlineStr">
        <ns0:is>
          <ns0:t>electricity, medium voltage</ns0:t>
        </ns0:is>
      </ns0:c>
      <ns0:c r="I183" s="4" t="n"/>
    </ns0:row>
    <ns0:row r="184">
      <ns0:c r="A184" t="inlineStr">
        <ns0:is>
          <ns0:t>market for ethylene glycol</ns0:t>
        </ns0:is>
      </ns0:c>
      <ns0:c r="B184" s="4" t="n">
        <ns0:v>2.707993474714518e-07</ns0:v>
      </ns0:c>
      <ns0:c r="C184" t="inlineStr">
        <ns0:is>
          <ns0:t>kilogram</ns0:t>
        </ns0:is>
      </ns0:c>
      <ns0:c r="E184" t="inlineStr">
        <ns0:is>
          <ns0:t>GLO</ns0:t>
        </ns0:is>
      </ns0:c>
      <ns0:c r="F184" t="inlineStr">
        <ns0:is>
          <ns0:t>technosphere</ns0:t>
        </ns0:is>
      </ns0:c>
      <ns0:c r="G184" t="inlineStr">
        <ns0:is>
          <ns0:t>ethylene glycol</ns0:t>
        </ns0:is>
      </ns0:c>
      <ns0:c r="H184" s="4" t="n"/>
      <ns0:c r="I184" s="4" t="n"/>
    </ns0:row>
    <ns0:row r="185">
      <ns0:c r="A185" t="inlineStr">
        <ns0:is>
          <ns0:t>market for ferrochromium, high-carbon, 68% Cr</ns0:t>
        </ns0:is>
      </ns0:c>
      <ns0:c r="B185" s="4" t="n">
        <ns0:v>0.0008972267536704731</ns0:v>
      </ns0:c>
      <ns0:c r="C185" t="inlineStr">
        <ns0:is>
          <ns0:t>kilogram</ns0:t>
        </ns0:is>
      </ns0:c>
      <ns0:c r="E185" t="inlineStr">
        <ns0:is>
          <ns0:t>GLO</ns0:t>
        </ns0:is>
      </ns0:c>
      <ns0:c r="F185" t="inlineStr">
        <ns0:is>
          <ns0:t>technosphere</ns0:t>
        </ns0:is>
      </ns0:c>
      <ns0:c r="G185" t="inlineStr">
        <ns0:is>
          <ns0:t>ferrochromium, high-carbon, 68% Cr</ns0:t>
        </ns0:is>
      </ns0:c>
      <ns0:c r="H185" s="4" t="n"/>
      <ns0:c r="I185" s="4" t="n"/>
    </ns0:row>
    <ns0:row r="186">
      <ns0:c r="A186" t="inlineStr">
        <ns0:is>
          <ns0:t>market for ferromanganese, high-coal, 74.5% Mn</ns0:t>
        </ns0:is>
      </ns0:c>
      <ns0:c r="B186" s="4" t="n">
        <ns0:v>0.0003629690048939641</ns0:v>
      </ns0:c>
      <ns0:c r="C186" t="inlineStr">
        <ns0:is>
          <ns0:t>kilogram</ns0:t>
        </ns0:is>
      </ns0:c>
      <ns0:c r="E186" t="inlineStr">
        <ns0:is>
          <ns0:t>GLO</ns0:t>
        </ns0:is>
      </ns0:c>
      <ns0:c r="F186" t="inlineStr">
        <ns0:is>
          <ns0:t>technosphere</ns0:t>
        </ns0:is>
      </ns0:c>
      <ns0:c r="G186" t="inlineStr">
        <ns0:is>
          <ns0:t>ferromanganese, high-coal, 74.5% Mn</ns0:t>
        </ns0:is>
      </ns0:c>
      <ns0:c r="H186" s="4" t="n"/>
      <ns0:c r="I186" s="4" t="n"/>
    </ns0:row>
    <ns0:row r="187">
      <ns0:c r="A187" t="inlineStr">
        <ns0:is>
          <ns0:t>market for ferrosilicon</ns0:t>
        </ns0:is>
      </ns0:c>
      <ns0:c r="B187" s="4" t="n">
        <ns0:v>0.0301794453507341</ns0:v>
      </ns0:c>
      <ns0:c r="C187" t="inlineStr">
        <ns0:is>
          <ns0:t>kilogram</ns0:t>
        </ns0:is>
      </ns0:c>
      <ns0:c r="E187" t="inlineStr">
        <ns0:is>
          <ns0:t>GLO</ns0:t>
        </ns0:is>
      </ns0:c>
      <ns0:c r="F187" t="inlineStr">
        <ns0:is>
          <ns0:t>technosphere</ns0:t>
        </ns0:is>
      </ns0:c>
      <ns0:c r="G187" t="inlineStr">
        <ns0:is>
          <ns0:t>ferrosilicon</ns0:t>
        </ns0:is>
      </ns0:c>
      <ns0:c r="H187" s="4" t="n"/>
      <ns0:c r="I187" s="4" t="n"/>
    </ns0:row>
    <ns0:row r="188">
      <ns0:c r="A188" t="inlineStr">
        <ns0:is>
          <ns0:t>market for hard coal</ns0:t>
        </ns0:is>
      </ns0:c>
      <ns0:c r="B188" s="4" t="n">
        <ns0:v>0.1141924959216966</ns0:v>
      </ns0:c>
      <ns0:c r="C188" t="inlineStr">
        <ns0:is>
          <ns0:t>kilogram</ns0:t>
        </ns0:is>
      </ns0:c>
      <ns0:c r="E188" t="inlineStr">
        <ns0:is>
          <ns0:t>ZA</ns0:t>
        </ns0:is>
      </ns0:c>
      <ns0:c r="F188" t="inlineStr">
        <ns0:is>
          <ns0:t>technosphere</ns0:t>
        </ns0:is>
      </ns0:c>
      <ns0:c r="G188" t="inlineStr">
        <ns0:is>
          <ns0:t>hard coal</ns0:t>
        </ns0:is>
      </ns0:c>
      <ns0:c r="H188" s="4" t="n"/>
      <ns0:c r="I188" s="4" t="n"/>
    </ns0:row>
    <ns0:row r="189">
      <ns0:c r="A189" t="inlineStr">
        <ns0:is>
          <ns0:t>market for heat, district or industrial, natural gas</ns0:t>
        </ns0:is>
      </ns0:c>
      <ns0:c r="B189" s="4" t="n">
        <ns0:v>10.0326264274062</ns0:v>
      </ns0:c>
      <ns0:c r="C189" t="inlineStr">
        <ns0:is>
          <ns0:t>megajoule</ns0:t>
        </ns0:is>
      </ns0:c>
      <ns0:c r="E189" t="inlineStr">
        <ns0:is>
          <ns0:t>RoW</ns0:t>
        </ns0:is>
      </ns0:c>
      <ns0:c r="F189" t="inlineStr">
        <ns0:is>
          <ns0:t>technosphere</ns0:t>
        </ns0:is>
      </ns0:c>
      <ns0:c r="G189" t="inlineStr">
        <ns0:is>
          <ns0:t>heat, district or industrial, natural gas</ns0:t>
        </ns0:is>
      </ns0:c>
      <ns0:c r="I189" s="4" t="n"/>
    </ns0:row>
    <ns0:row r="190">
      <ns0:c r="A190" t="inlineStr">
        <ns0:is>
          <ns0:t>market for inert waste, for final disposal</ns0:t>
        </ns0:is>
      </ns0:c>
      <ns0:c r="B190" s="4" t="n">
        <ns0:v>-0.04078303425774878</ns0:v>
      </ns0:c>
      <ns0:c r="C190" t="inlineStr">
        <ns0:is>
          <ns0:t>kilogram</ns0:t>
        </ns0:is>
      </ns0:c>
      <ns0:c r="E190" t="inlineStr">
        <ns0:is>
          <ns0:t>RoW</ns0:t>
        </ns0:is>
      </ns0:c>
      <ns0:c r="F190" t="inlineStr">
        <ns0:is>
          <ns0:t>technosphere</ns0:t>
        </ns0:is>
      </ns0:c>
      <ns0:c r="G190" t="inlineStr">
        <ns0:is>
          <ns0:t>inert waste, for final disposal</ns0:t>
        </ns0:is>
      </ns0:c>
      <ns0:c r="H190" s="4" t="n"/>
      <ns0:c r="I190" s="4" t="n"/>
    </ns0:row>
    <ns0:row r="191">
      <ns0:c r="A191" t="inlineStr">
        <ns0:is>
          <ns0:t>market for iron scrap, unsorted</ns0:t>
        </ns0:is>
      </ns0:c>
      <ns0:c r="B191" s="4" t="n">
        <ns0:v>-0.0004200652528548124</ns0:v>
      </ns0:c>
      <ns0:c r="C191" t="inlineStr">
        <ns0:is>
          <ns0:t>kilogram</ns0:t>
        </ns0:is>
      </ns0:c>
      <ns0:c r="E191" t="inlineStr">
        <ns0:is>
          <ns0:t>GLO</ns0:t>
        </ns0:is>
      </ns0:c>
      <ns0:c r="F191" t="inlineStr">
        <ns0:is>
          <ns0:t>technosphere</ns0:t>
        </ns0:is>
      </ns0:c>
      <ns0:c r="G191" t="inlineStr">
        <ns0:is>
          <ns0:t>iron scrap, unsorted</ns0:t>
        </ns0:is>
      </ns0:c>
      <ns0:c r="H191" s="4" t="n"/>
      <ns0:c r="I191" s="4" t="n"/>
    </ns0:row>
    <ns0:row r="192">
      <ns0:c r="A192" t="inlineStr">
        <ns0:is>
          <ns0:t>market for molybdenum trioxide</ns0:t>
        </ns0:is>
      </ns0:c>
      <ns0:c r="B192" s="4" t="n">
        <ns0:v>0.0001150081566068516</ns0:v>
      </ns0:c>
      <ns0:c r="C192" t="inlineStr">
        <ns0:is>
          <ns0:t>kilogram</ns0:t>
        </ns0:is>
      </ns0:c>
      <ns0:c r="E192" t="inlineStr">
        <ns0:is>
          <ns0:t>GLO</ns0:t>
        </ns0:is>
      </ns0:c>
      <ns0:c r="F192" t="inlineStr">
        <ns0:is>
          <ns0:t>technosphere</ns0:t>
        </ns0:is>
      </ns0:c>
      <ns0:c r="G192" t="inlineStr">
        <ns0:is>
          <ns0:t>molybdenum trioxide</ns0:t>
        </ns0:is>
      </ns0:c>
      <ns0:c r="H192" s="4" t="n"/>
      <ns0:c r="I192" s="4" t="n"/>
    </ns0:row>
    <ns0:row r="193">
      <ns0:c r="A193" t="inlineStr">
        <ns0:is>
          <ns0:t>market for natural gas, high pressure</ns0:t>
        </ns0:is>
      </ns0:c>
      <ns0:c r="B193" s="4" t="n">
        <ns0:v>0.2039151712887439</ns0:v>
      </ns0:c>
      <ns0:c r="C193" t="inlineStr">
        <ns0:is>
          <ns0:t>cubic meter</ns0:t>
        </ns0:is>
      </ns0:c>
      <ns0:c r="E193" t="inlineStr">
        <ns0:is>
          <ns0:t>RoW</ns0:t>
        </ns0:is>
      </ns0:c>
      <ns0:c r="F193" t="inlineStr">
        <ns0:is>
          <ns0:t>technosphere</ns0:t>
        </ns0:is>
      </ns0:c>
      <ns0:c r="G193" t="inlineStr">
        <ns0:is>
          <ns0:t>natural gas, high pressure</ns0:t>
        </ns0:is>
      </ns0:c>
      <ns0:c r="H193" s="4" t="n"/>
      <ns0:c r="I193" s="4" t="n"/>
    </ns0:row>
    <ns0:row r="194">
      <ns0:c r="A194" t="inlineStr">
        <ns0:is>
          <ns0:t>market for nickel, class 1</ns0:t>
        </ns0:is>
      </ns0:c>
      <ns0:c r="B194" s="4" t="n">
        <ns0:v>0.0002707993474714519</ns0:v>
      </ns0:c>
      <ns0:c r="C194" t="inlineStr">
        <ns0:is>
          <ns0:t>kilogram</ns0:t>
        </ns0:is>
      </ns0:c>
      <ns0:c r="E194" t="inlineStr">
        <ns0:is>
          <ns0:t>GLO</ns0:t>
        </ns0:is>
      </ns0:c>
      <ns0:c r="F194" t="inlineStr">
        <ns0:is>
          <ns0:t>technosphere</ns0:t>
        </ns0:is>
      </ns0:c>
      <ns0:c r="G194" t="inlineStr">
        <ns0:is>
          <ns0:t>nickel, class 1</ns0:t>
        </ns0:is>
      </ns0:c>
      <ns0:c r="H194" s="4" t="n"/>
      <ns0:c r="I194" s="4" t="n"/>
    </ns0:row>
    <ns0:row r="195">
      <ns0:c r="A195" t="inlineStr">
        <ns0:is>
          <ns0:t>market for oxygen, liquid</ns0:t>
        </ns0:is>
      </ns0:c>
      <ns0:c r="B195" s="4" t="n">
        <ns0:v>0.4135399673735726</ns0:v>
      </ns0:c>
      <ns0:c r="C195" t="inlineStr">
        <ns0:is>
          <ns0:t>kilogram</ns0:t>
        </ns0:is>
      </ns0:c>
      <ns0:c r="E195" t="inlineStr">
        <ns0:is>
          <ns0:t>RoW</ns0:t>
        </ns0:is>
      </ns0:c>
      <ns0:c r="F195" t="inlineStr">
        <ns0:is>
          <ns0:t>technosphere</ns0:t>
        </ns0:is>
      </ns0:c>
      <ns0:c r="G195" t="inlineStr">
        <ns0:is>
          <ns0:t>oxygen, liquid</ns0:t>
        </ns0:is>
      </ns0:c>
      <ns0:c r="H195" s="4" t="n"/>
      <ns0:c r="I195" s="4" t="n"/>
    </ns0:row>
    <ns0:row r="196">
      <ns0:c r="A196" t="inlineStr">
        <ns0:is>
          <ns0:t>market for propane, burned in building machine</ns0:t>
        </ns0:is>
      </ns0:c>
      <ns0:c r="B196" s="4" t="n">
        <ns0:v>0.02226753670473083</ns0:v>
      </ns0:c>
      <ns0:c r="C196" t="inlineStr">
        <ns0:is>
          <ns0:t>megajoule</ns0:t>
        </ns0:is>
      </ns0:c>
      <ns0:c r="E196" t="inlineStr">
        <ns0:is>
          <ns0:t>GLO</ns0:t>
        </ns0:is>
      </ns0:c>
      <ns0:c r="F196" t="inlineStr">
        <ns0:is>
          <ns0:t>technosphere</ns0:t>
        </ns0:is>
      </ns0:c>
      <ns0:c r="G196" t="inlineStr">
        <ns0:is>
          <ns0:t>propane, burned in building machine</ns0:t>
        </ns0:is>
      </ns0:c>
      <ns0:c r="H196" s="4" t="n"/>
      <ns0:c r="I196" s="4" t="n"/>
    </ns0:row>
    <ns0:row r="197">
      <ns0:c r="A197" t="inlineStr">
        <ns0:is>
          <ns0:t>market for quicklime, in pieces, loose</ns0:t>
        </ns0:is>
      </ns0:c>
      <ns0:c r="B197" s="4" t="n">
        <ns0:v>0.4486133768352366</ns0:v>
      </ns0:c>
      <ns0:c r="C197" t="inlineStr">
        <ns0:is>
          <ns0:t>kilogram</ns0:t>
        </ns0:is>
      </ns0:c>
      <ns0:c r="E197" t="inlineStr">
        <ns0:is>
          <ns0:t>RoW</ns0:t>
        </ns0:is>
      </ns0:c>
      <ns0:c r="F197" t="inlineStr">
        <ns0:is>
          <ns0:t>technosphere</ns0:t>
        </ns0:is>
      </ns0:c>
      <ns0:c r="G197" t="inlineStr">
        <ns0:is>
          <ns0:t>quicklime, in pieces, loose</ns0:t>
        </ns0:is>
      </ns0:c>
      <ns0:c r="H197" s="4" t="n"/>
      <ns0:c r="I197" s="4" t="n"/>
    </ns0:row>
    <ns0:row r="198">
      <ns0:c r="A198" t="inlineStr">
        <ns0:is>
          <ns0:t>market for refractory, basic, packed</ns0:t>
        </ns0:is>
      </ns0:c>
      <ns0:c r="B198" s="4" t="n">
        <ns0:v>0.1101141924959217</ns0:v>
      </ns0:c>
      <ns0:c r="C198" t="inlineStr">
        <ns0:is>
          <ns0:t>kilogram</ns0:t>
        </ns0:is>
      </ns0:c>
      <ns0:c r="E198" t="inlineStr">
        <ns0:is>
          <ns0:t>GLO</ns0:t>
        </ns0:is>
      </ns0:c>
      <ns0:c r="F198" t="inlineStr">
        <ns0:is>
          <ns0:t>technosphere</ns0:t>
        </ns0:is>
      </ns0:c>
      <ns0:c r="G198" t="inlineStr">
        <ns0:is>
          <ns0:t>refractory, basic, packed</ns0:t>
        </ns0:is>
      </ns0:c>
      <ns0:c r="H198" s="4" t="n"/>
      <ns0:c r="I198" s="4" t="n"/>
    </ns0:row>
    <ns0:row r="199">
      <ns0:c r="A199" t="inlineStr">
        <ns0:is>
          <ns0:t>market for spent solvent mixture</ns0:t>
        </ns0:is>
      </ns0:c>
      <ns0:c r="B199" s="4" t="n">
        <ns0:v>-2.707993474714518e-07</ns0:v>
      </ns0:c>
      <ns0:c r="C199" t="inlineStr">
        <ns0:is>
          <ns0:t>kilogram</ns0:t>
        </ns0:is>
      </ns0:c>
      <ns0:c r="E199" t="inlineStr">
        <ns0:is>
          <ns0:t>RoW</ns0:t>
        </ns0:is>
      </ns0:c>
      <ns0:c r="F199" t="inlineStr">
        <ns0:is>
          <ns0:t>technosphere</ns0:t>
        </ns0:is>
      </ns0:c>
      <ns0:c r="G199" t="inlineStr">
        <ns0:is>
          <ns0:t>spent solvent mixture</ns0:t>
        </ns0:is>
      </ns0:c>
      <ns0:c r="H199" s="4" t="n"/>
      <ns0:c r="I199" s="4" t="n"/>
    </ns0:row>
    <ns0:row r="200">
      <ns0:c r="A200" t="inlineStr">
        <ns0:is>
          <ns0:t>Argon-40</ns0:t>
        </ns0:is>
      </ns0:c>
      <ns0:c r="B200" s="4" t="n">
        <ns0:v>0.02683523654159869</ns0:v>
      </ns0:c>
      <ns0:c r="C200" t="inlineStr">
        <ns0:is>
          <ns0:t>kilogram</ns0:t>
        </ns0:is>
      </ns0:c>
      <ns0:c r="D200" t="inlineStr">
        <ns0:is>
          <ns0:t>air</ns0:t>
        </ns0:is>
      </ns0:c>
      <ns0:c r="F200" t="inlineStr">
        <ns0:is>
          <ns0:t>biosphere</ns0:t>
        </ns0:is>
      </ns0:c>
      <ns0:c r="H200" s="4" t="n"/>
      <ns0:c r="I200" s="4" t="n"/>
    </ns0:row>
    <ns0:row r="201">
      <ns0:c r="A201" t="inlineStr">
        <ns0:is>
          <ns0:t>Benzene</ns0:t>
        </ns0:is>
      </ns0:c>
      <ns0:c r="B201" s="4" t="n">
        <ns0:v>1.867862969004894e-05</ns0:v>
      </ns0:c>
      <ns0:c r="C201" t="inlineStr">
        <ns0:is>
          <ns0:t>kilogram</ns0:t>
        </ns0:is>
      </ns0:c>
      <ns0:c r="D201" t="inlineStr">
        <ns0:is>
          <ns0:t>air</ns0:t>
        </ns0:is>
      </ns0:c>
      <ns0:c r="F201" t="inlineStr">
        <ns0:is>
          <ns0:t>biosphere</ns0:t>
        </ns0:is>
      </ns0:c>
      <ns0:c r="H201" s="4" t="n"/>
      <ns0:c r="I201" s="4" t="n"/>
    </ns0:row>
    <ns0:row r="202">
      <ns0:c r="A202" t="inlineStr">
        <ns0:is>
          <ns0:t>Benzene, hexachloro-</ns0:t>
        </ns0:is>
      </ns0:c>
      <ns0:c r="B202" s="4" t="n">
        <ns0:v>1.631321370309951e-07</ns0:v>
      </ns0:c>
      <ns0:c r="C202" t="inlineStr">
        <ns0:is>
          <ns0:t>kilogram</ns0:t>
        </ns0:is>
      </ns0:c>
      <ns0:c r="D202" t="inlineStr">
        <ns0:is>
          <ns0:t>air</ns0:t>
        </ns0:is>
      </ns0:c>
      <ns0:c r="F202" t="inlineStr">
        <ns0:is>
          <ns0:t>biosphere</ns0:t>
        </ns0:is>
      </ns0:c>
      <ns0:c r="H202" s="4" t="n"/>
      <ns0:c r="I202" s="4" t="n"/>
    </ns0:row>
    <ns0:row r="203">
      <ns0:c r="A203" t="inlineStr">
        <ns0:is>
          <ns0:t>Cadmium</ns0:t>
        </ns0:is>
      </ns0:c>
      <ns0:c r="B203" s="4" t="n">
        <ns0:v>2.799182151488468e-07</ns0:v>
      </ns0:c>
      <ns0:c r="C203" t="inlineStr">
        <ns0:is>
          <ns0:t>kilogram</ns0:t>
        </ns0:is>
      </ns0:c>
      <ns0:c r="D203" t="inlineStr">
        <ns0:is>
          <ns0:t>air</ns0:t>
        </ns0:is>
      </ns0:c>
      <ns0:c r="F203" t="inlineStr">
        <ns0:is>
          <ns0:t>biosphere</ns0:t>
        </ns0:is>
      </ns0:c>
      <ns0:c r="H203" s="4" t="n"/>
      <ns0:c r="I203" s="4" t="n"/>
    </ns0:row>
    <ns0:row r="204">
      <ns0:c r="A204" t="inlineStr">
        <ns0:is>
          <ns0:t>Cadmium</ns0:t>
        </ns0:is>
      </ns0:c>
      <ns0:c r="B204" s="4" t="n">
        <ns0:v>1.779793493271924e-08</ns0:v>
      </ns0:c>
      <ns0:c r="C204" t="inlineStr">
        <ns0:is>
          <ns0:t>kilogram</ns0:t>
        </ns0:is>
      </ns0:c>
      <ns0:c r="D204" t="inlineStr">
        <ns0:is>
          <ns0:t>air::urban air close to ground</ns0:t>
        </ns0:is>
      </ns0:c>
      <ns0:c r="F204" t="inlineStr">
        <ns0:is>
          <ns0:t>biosphere</ns0:t>
        </ns0:is>
      </ns0:c>
      <ns0:c r="H204" s="4" t="n"/>
      <ns0:c r="I204" s="4" t="n"/>
    </ns0:row>
    <ns0:row r="205">
      <ns0:c r="A205" t="inlineStr">
        <ns0:is>
          <ns0:t>Carbon monoxide, fossil</ns0:t>
        </ns0:is>
      </ns0:c>
      <ns0:c r="B205" s="4" t="n">
        <ns0:v>0.01811891860810718</ns0:v>
      </ns0:c>
      <ns0:c r="C205" t="inlineStr">
        <ns0:is>
          <ns0:t>kilogram</ns0:t>
        </ns0:is>
      </ns0:c>
      <ns0:c r="D205" t="inlineStr">
        <ns0:is>
          <ns0:t>air</ns0:t>
        </ns0:is>
      </ns0:c>
      <ns0:c r="F205" t="inlineStr">
        <ns0:is>
          <ns0:t>biosphere</ns0:t>
        </ns0:is>
      </ns0:c>
      <ns0:c r="H205" s="4" t="n"/>
      <ns0:c r="I205" s="4" t="n"/>
    </ns0:row>
    <ns0:row r="206">
      <ns0:c r="A206" t="inlineStr">
        <ns0:is>
          <ns0:t>Carbon monoxide, fossil</ns0:t>
        </ns0:is>
      </ns0:c>
      <ns0:c r="B206" s="4" t="n">
        <ns0:v>0.0008044092874882501</ns0:v>
      </ns0:c>
      <ns0:c r="C206" t="inlineStr">
        <ns0:is>
          <ns0:t>kilogram</ns0:t>
        </ns0:is>
      </ns0:c>
      <ns0:c r="D206" t="inlineStr">
        <ns0:is>
          <ns0:t>air::urban air close to ground</ns0:t>
        </ns0:is>
      </ns0:c>
      <ns0:c r="F206" t="inlineStr">
        <ns0:is>
          <ns0:t>biosphere</ns0:t>
        </ns0:is>
      </ns0:c>
      <ns0:c r="H206" s="4" t="n"/>
      <ns0:c r="I206" s="4" t="n"/>
    </ns0:row>
    <ns0:row r="207">
      <ns0:c r="A207" t="inlineStr">
        <ns0:is>
          <ns0:t>Chloride</ns0:t>
        </ns0:is>
      </ns0:c>
      <ns0:c r="B207" s="4" t="n">
        <ns0:v>1.484502446982055e-05</ns0:v>
      </ns0:c>
      <ns0:c r="C207" t="inlineStr">
        <ns0:is>
          <ns0:t>kilogram</ns0:t>
        </ns0:is>
      </ns0:c>
      <ns0:c r="D207" t="inlineStr">
        <ns0:is>
          <ns0:t>water</ns0:t>
        </ns0:is>
      </ns0:c>
      <ns0:c r="F207" t="inlineStr">
        <ns0:is>
          <ns0:t>biosphere</ns0:t>
        </ns0:is>
      </ns0:c>
      <ns0:c r="H207" s="4" t="n"/>
      <ns0:c r="I207" s="4" t="n"/>
    </ns0:row>
    <ns0:row r="208">
      <ns0:c r="A208" t="inlineStr">
        <ns0:is>
          <ns0:t>Chromium</ns0:t>
        </ns0:is>
      </ns0:c>
      <ns0:c r="B208" s="4" t="n">
        <ns0:v>6.361900127729115e-08</ns0:v>
      </ns0:c>
      <ns0:c r="C208" t="inlineStr">
        <ns0:is>
          <ns0:t>kilogram</ns0:t>
        </ns0:is>
      </ns0:c>
      <ns0:c r="D208" t="inlineStr">
        <ns0:is>
          <ns0:t>air::urban air close to ground</ns0:t>
        </ns0:is>
      </ns0:c>
      <ns0:c r="F208" t="inlineStr">
        <ns0:is>
          <ns0:t>biosphere</ns0:t>
        </ns0:is>
      </ns0:c>
      <ns0:c r="H208" s="4" t="n"/>
      <ns0:c r="I208" s="4" t="n"/>
    </ns0:row>
    <ns0:row r="209">
      <ns0:c r="A209" t="inlineStr">
        <ns0:is>
          <ns0:t>Chromium</ns0:t>
        </ns0:is>
      </ns0:c>
      <ns0:c r="B209" s="4" t="n">
        <ns0:v>1.01321395631599e-05</ns0:v>
      </ns0:c>
      <ns0:c r="C209" t="inlineStr">
        <ns0:is>
          <ns0:t>kilogram</ns0:t>
        </ns0:is>
      </ns0:c>
      <ns0:c r="D209" t="inlineStr">
        <ns0:is>
          <ns0:t>air</ns0:t>
        </ns0:is>
      </ns0:c>
      <ns0:c r="F209" t="inlineStr">
        <ns0:is>
          <ns0:t>biosphere</ns0:t>
        </ns0:is>
      </ns0:c>
      <ns0:c r="H209" s="4" t="n"/>
      <ns0:c r="I209" s="4" t="n"/>
    </ns0:row>
    <ns0:row r="210">
      <ns0:c r="A210" t="inlineStr">
        <ns0:is>
          <ns0:t>Chromium VI</ns0:t>
        </ns0:is>
      </ns0:c>
      <ns0:c r="B210" s="4" t="n">
        <ns0:v>1.566068515497553e-08</ns0:v>
      </ns0:c>
      <ns0:c r="C210" t="inlineStr">
        <ns0:is>
          <ns0:t>kilogram</ns0:t>
        </ns0:is>
      </ns0:c>
      <ns0:c r="D210" t="inlineStr">
        <ns0:is>
          <ns0:t>water</ns0:t>
        </ns0:is>
      </ns0:c>
      <ns0:c r="F210" t="inlineStr">
        <ns0:is>
          <ns0:t>biosphere</ns0:t>
        </ns0:is>
      </ns0:c>
      <ns0:c r="H210" s="4" t="n"/>
      <ns0:c r="I210" s="4" t="n"/>
    </ns0:row>
    <ns0:row r="211">
      <ns0:c r="A211" t="inlineStr">
        <ns0:is>
          <ns0:t>Copper</ns0:t>
        </ns0:is>
      </ns0:c>
      <ns0:c r="B211" s="4" t="n">
        <ns0:v>1.815681079925738e-06</ns0:v>
      </ns0:c>
      <ns0:c r="C211" t="inlineStr">
        <ns0:is>
          <ns0:t>kilogram</ns0:t>
        </ns0:is>
      </ns0:c>
      <ns0:c r="D211" t="inlineStr">
        <ns0:is>
          <ns0:t>air</ns0:t>
        </ns0:is>
      </ns0:c>
      <ns0:c r="F211" t="inlineStr">
        <ns0:is>
          <ns0:t>biosphere</ns0:t>
        </ns0:is>
      </ns0:c>
      <ns0:c r="H211" s="4" t="n"/>
      <ns0:c r="I211" s="4" t="n"/>
    </ns0:row>
    <ns0:row r="212">
      <ns0:c r="A212" t="inlineStr">
        <ns0:is>
          <ns0:t>Copper</ns0:t>
        </ns0:is>
      </ns0:c>
      <ns0:c r="B212" s="4" t="n">
        <ns0:v>6.849510278225518e-08</ns0:v>
      </ns0:c>
      <ns0:c r="C212" t="inlineStr">
        <ns0:is>
          <ns0:t>kilogram</ns0:t>
        </ns0:is>
      </ns0:c>
      <ns0:c r="D212" t="inlineStr">
        <ns0:is>
          <ns0:t>air::urban air close to ground</ns0:t>
        </ns0:is>
      </ns0:c>
      <ns0:c r="F212" t="inlineStr">
        <ns0:is>
          <ns0:t>biosphere</ns0:t>
        </ns0:is>
      </ns0:c>
      <ns0:c r="H212" s="4" t="n"/>
      <ns0:c r="I212" s="4" t="n"/>
    </ns0:row>
    <ns0:row r="213">
      <ns0:c r="A213" t="inlineStr">
        <ns0:is>
          <ns0:t>Dioxins, measured as 2,3,7,8-tetrachlorodibenzo-p-dioxin</ns0:t>
        </ns0:is>
      </ns0:c>
      <ns0:c r="B213" s="4" t="n">
        <ns0:v>3.690347964471865e-11</ns0:v>
      </ns0:c>
      <ns0:c r="C213" t="inlineStr">
        <ns0:is>
          <ns0:t>kilogram</ns0:t>
        </ns0:is>
      </ns0:c>
      <ns0:c r="D213" t="inlineStr">
        <ns0:is>
          <ns0:t>air</ns0:t>
        </ns0:is>
      </ns0:c>
      <ns0:c r="F213" t="inlineStr">
        <ns0:is>
          <ns0:t>biosphere</ns0:t>
        </ns0:is>
      </ns0:c>
      <ns0:c r="H213" s="4" t="n"/>
      <ns0:c r="I213" s="4" t="n"/>
    </ns0:row>
    <ns0:row r="214">
      <ns0:c r="A214" t="inlineStr">
        <ns0:is>
          <ns0:t>Dioxins, measured as 2,3,7,8-tetrachlorodibenzo-p-dioxin</ns0:t>
        </ns0:is>
      </ns0:c>
      <ns0:c r="B214" s="4" t="n">
        <ns0:v>1.275154613172401e-13</ns0:v>
      </ns0:c>
      <ns0:c r="C214" t="inlineStr">
        <ns0:is>
          <ns0:t>kilogram</ns0:t>
        </ns0:is>
      </ns0:c>
      <ns0:c r="D214" t="inlineStr">
        <ns0:is>
          <ns0:t>air::urban air close to ground</ns0:t>
        </ns0:is>
      </ns0:c>
      <ns0:c r="F214" t="inlineStr">
        <ns0:is>
          <ns0:t>biosphere</ns0:t>
        </ns0:is>
      </ns0:c>
      <ns0:c r="H214" s="4" t="n"/>
      <ns0:c r="I214" s="4" t="n"/>
    </ns0:row>
    <ns0:row r="215">
      <ns0:c r="A215" t="inlineStr">
        <ns0:is>
          <ns0:t>Hydrocarbons, aromatic</ns0:t>
        </ns0:is>
      </ns0:c>
      <ns0:c r="B215" s="4" t="n">
        <ns0:v>0.0006280587275693312</ns0:v>
      </ns0:c>
      <ns0:c r="C215" t="inlineStr">
        <ns0:is>
          <ns0:t>kilogram</ns0:t>
        </ns0:is>
      </ns0:c>
      <ns0:c r="D215" t="inlineStr">
        <ns0:is>
          <ns0:t>air</ns0:t>
        </ns0:is>
      </ns0:c>
      <ns0:c r="F215" t="inlineStr">
        <ns0:is>
          <ns0:t>biosphere</ns0:t>
        </ns0:is>
      </ns0:c>
      <ns0:c r="H215" s="4" t="n"/>
      <ns0:c r="I215" s="4" t="n"/>
    </ns0:row>
    <ns0:row r="216">
      <ns0:c r="A216" t="inlineStr">
        <ns0:is>
          <ns0:t>Hydrogen chloride</ns0:t>
        </ns0:is>
      </ns0:c>
      <ns0:c r="B216" s="4" t="n">
        <ns0:v>4.19069973491374e-05</ns0:v>
      </ns0:c>
      <ns0:c r="C216" t="inlineStr">
        <ns0:is>
          <ns0:t>kilogram</ns0:t>
        </ns0:is>
      </ns0:c>
      <ns0:c r="D216" t="inlineStr">
        <ns0:is>
          <ns0:t>air</ns0:t>
        </ns0:is>
      </ns0:c>
      <ns0:c r="F216" t="inlineStr">
        <ns0:is>
          <ns0:t>biosphere</ns0:t>
        </ns0:is>
      </ns0:c>
      <ns0:c r="H216" s="4" t="n"/>
      <ns0:c r="I216" s="4" t="n"/>
    </ns0:row>
    <ns0:row r="217">
      <ns0:c r="A217" t="inlineStr">
        <ns0:is>
          <ns0:t>Hydrogen chloride</ns0:t>
        </ns0:is>
      </ns0:c>
      <ns0:c r="B217" s="4" t="n">
        <ns0:v>5.073582789213279e-07</ns0:v>
      </ns0:c>
      <ns0:c r="C217" t="inlineStr">
        <ns0:is>
          <ns0:t>kilogram</ns0:t>
        </ns0:is>
      </ns0:c>
      <ns0:c r="D217" t="inlineStr">
        <ns0:is>
          <ns0:t>air::urban air close to ground</ns0:t>
        </ns0:is>
      </ns0:c>
      <ns0:c r="F217" t="inlineStr">
        <ns0:is>
          <ns0:t>biosphere</ns0:t>
        </ns0:is>
      </ns0:c>
      <ns0:c r="H217" s="4" t="n"/>
      <ns0:c r="I217" s="4" t="n"/>
    </ns0:row>
    <ns0:row r="218">
      <ns0:c r="A218" t="inlineStr">
        <ns0:is>
          <ns0:t>Hydrogen fluoride</ns0:t>
        </ns0:is>
      </ns0:c>
      <ns0:c r="B218" s="4" t="n">
        <ns0:v>1.916802610114193e-05</ns0:v>
      </ns0:c>
      <ns0:c r="C218" t="inlineStr">
        <ns0:is>
          <ns0:t>kilogram</ns0:t>
        </ns0:is>
      </ns0:c>
      <ns0:c r="D218" t="inlineStr">
        <ns0:is>
          <ns0:t>air</ns0:t>
        </ns0:is>
      </ns0:c>
      <ns0:c r="F218" t="inlineStr">
        <ns0:is>
          <ns0:t>biosphere</ns0:t>
        </ns0:is>
      </ns0:c>
      <ns0:c r="H218" s="4" t="n"/>
      <ns0:c r="I218" s="4" t="n"/>
    </ns0:row>
    <ns0:row r="219">
      <ns0:c r="A219" t="inlineStr">
        <ns0:is>
          <ns0:t>Lead</ns0:t>
        </ns0:is>
      </ns0:c>
      <ns0:c r="B219" s="4" t="n">
        <ns0:v>1.390405864138468e-05</ns0:v>
      </ns0:c>
      <ns0:c r="C219" t="inlineStr">
        <ns0:is>
          <ns0:t>kilogram</ns0:t>
        </ns0:is>
      </ns0:c>
      <ns0:c r="D219" t="inlineStr">
        <ns0:is>
          <ns0:t>air</ns0:t>
        </ns0:is>
      </ns0:c>
      <ns0:c r="F219" t="inlineStr">
        <ns0:is>
          <ns0:t>biosphere</ns0:t>
        </ns0:is>
      </ns0:c>
      <ns0:c r="H219" s="4" t="n"/>
      <ns0:c r="I219" s="4" t="n"/>
    </ns0:row>
    <ns0:row r="220">
      <ns0:c r="A220" t="inlineStr">
        <ns0:is>
          <ns0:t>Lead</ns0:t>
        </ns0:is>
      </ns0:c>
      <ns0:c r="B220" s="4" t="n">
        <ns0:v>8.593997599203747e-07</ns0:v>
      </ns0:c>
      <ns0:c r="C220" t="inlineStr">
        <ns0:is>
          <ns0:t>kilogram</ns0:t>
        </ns0:is>
      </ns0:c>
      <ns0:c r="D220" t="inlineStr">
        <ns0:is>
          <ns0:t>air::urban air close to ground</ns0:t>
        </ns0:is>
      </ns0:c>
      <ns0:c r="F220" t="inlineStr">
        <ns0:is>
          <ns0:t>biosphere</ns0:t>
        </ns0:is>
      </ns0:c>
      <ns0:c r="H220" s="4" t="n"/>
      <ns0:c r="I220" s="4" t="n"/>
    </ns0:row>
    <ns0:row r="221">
      <ns0:c r="A221" t="inlineStr">
        <ns0:is>
          <ns0:t>Mercury</ns0:t>
        </ns0:is>
      </ns0:c>
      <ns0:c r="B221" s="4" t="n">
        <ns0:v>1.804058686279636e-05</ns0:v>
      </ns0:c>
      <ns0:c r="C221" t="inlineStr">
        <ns0:is>
          <ns0:t>kilogram</ns0:t>
        </ns0:is>
      </ns0:c>
      <ns0:c r="D221" t="inlineStr">
        <ns0:is>
          <ns0:t>air</ns0:t>
        </ns0:is>
      </ns0:c>
      <ns0:c r="F221" t="inlineStr">
        <ns0:is>
          <ns0:t>biosphere</ns0:t>
        </ns0:is>
      </ns0:c>
      <ns0:c r="H221" s="4" t="n"/>
      <ns0:c r="I221" s="4" t="n"/>
    </ns0:row>
    <ns0:row r="222">
      <ns0:c r="A222" t="inlineStr">
        <ns0:is>
          <ns0:t>Mercury</ns0:t>
        </ns0:is>
      </ns0:c>
      <ns0:c r="B222" s="4" t="n">
        <ns0:v>2.302124846750949e-07</ns0:v>
      </ns0:c>
      <ns0:c r="C222" t="inlineStr">
        <ns0:is>
          <ns0:t>kilogram</ns0:t>
        </ns0:is>
      </ns0:c>
      <ns0:c r="D222" t="inlineStr">
        <ns0:is>
          <ns0:t>air::urban air close to ground</ns0:t>
        </ns0:is>
      </ns0:c>
      <ns0:c r="F222" t="inlineStr">
        <ns0:is>
          <ns0:t>biosphere</ns0:t>
        </ns0:is>
      </ns0:c>
      <ns0:c r="H222" s="4" t="n"/>
      <ns0:c r="I222" s="4" t="n"/>
    </ns0:row>
    <ns0:row r="223">
      <ns0:c r="A223" t="inlineStr">
        <ns0:is>
          <ns0:t>Nickel</ns0:t>
        </ns0:is>
      </ns0:c>
      <ns0:c r="B223" s="4" t="n">
        <ns0:v>6.334403156917815e-09</ns0:v>
      </ns0:c>
      <ns0:c r="C223" t="inlineStr">
        <ns0:is>
          <ns0:t>kilogram</ns0:t>
        </ns0:is>
      </ns0:c>
      <ns0:c r="D223" t="inlineStr">
        <ns0:is>
          <ns0:t>air::urban air close to ground</ns0:t>
        </ns0:is>
      </ns0:c>
      <ns0:c r="F223" t="inlineStr">
        <ns0:is>
          <ns0:t>biosphere</ns0:t>
        </ns0:is>
      </ns0:c>
      <ns0:c r="H223" s="4" t="n"/>
      <ns0:c r="I223" s="4" t="n"/>
    </ns0:row>
    <ns0:row r="224">
      <ns0:c r="A224" t="inlineStr">
        <ns0:is>
          <ns0:t>Nickel</ns0:t>
        </ns0:is>
      </ns0:c>
      <ns0:c r="B224" s="4" t="n">
        <ns0:v>5.711446999779462e-06</ns0:v>
      </ns0:c>
      <ns0:c r="C224" t="inlineStr">
        <ns0:is>
          <ns0:t>kilogram</ns0:t>
        </ns0:is>
      </ns0:c>
      <ns0:c r="D224" t="inlineStr">
        <ns0:is>
          <ns0:t>air</ns0:t>
        </ns0:is>
      </ns0:c>
      <ns0:c r="F224" t="inlineStr">
        <ns0:is>
          <ns0:t>biosphere</ns0:t>
        </ns0:is>
      </ns0:c>
      <ns0:c r="H224" s="4" t="n"/>
      <ns0:c r="I224" s="4" t="n"/>
    </ns0:row>
    <ns0:row r="225">
      <ns0:c r="A225" t="inlineStr">
        <ns0:is>
          <ns0:t>Nitrogen oxides</ns0:t>
        </ns0:is>
      </ns0:c>
      <ns0:c r="B225" s="4" t="n">
        <ns0:v>9.831128120452985e-05</ns0:v>
      </ns0:c>
      <ns0:c r="C225" t="inlineStr">
        <ns0:is>
          <ns0:t>kilogram</ns0:t>
        </ns0:is>
      </ns0:c>
      <ns0:c r="D225" t="inlineStr">
        <ns0:is>
          <ns0:t>air::urban air close to ground</ns0:t>
        </ns0:is>
      </ns0:c>
      <ns0:c r="F225" t="inlineStr">
        <ns0:is>
          <ns0:t>biosphere</ns0:t>
        </ns0:is>
      </ns0:c>
      <ns0:c r="H225" s="4" t="n"/>
      <ns0:c r="I225" s="4" t="n"/>
    </ns0:row>
    <ns0:row r="226">
      <ns0:c r="A226" t="inlineStr">
        <ns0:is>
          <ns0:t>Nitrogen oxides</ns0:t>
        </ns0:is>
      </ns0:c>
      <ns0:c r="B226" s="4" t="n">
        <ns0:v>0.001369877952074426</ns0:v>
      </ns0:c>
      <ns0:c r="C226" t="inlineStr">
        <ns0:is>
          <ns0:t>kilogram</ns0:t>
        </ns0:is>
      </ns0:c>
      <ns0:c r="D226" t="inlineStr">
        <ns0:is>
          <ns0:t>air</ns0:t>
        </ns0:is>
      </ns0:c>
      <ns0:c r="F226" t="inlineStr">
        <ns0:is>
          <ns0:t>biosphere</ns0:t>
        </ns0:is>
      </ns0:c>
      <ns0:c r="H226" s="4" t="n"/>
      <ns0:c r="I226" s="4" t="n"/>
    </ns0:row>
    <ns0:row r="227">
      <ns0:c r="A227" t="inlineStr">
        <ns0:is>
          <ns0:t>PAH, polycyclic aromatic hydrocarbons</ns0:t>
        </ns0:is>
      </ns0:c>
      <ns0:c r="B227" s="4" t="n">
        <ns0:v>4.398075257501457e-08</ns0:v>
      </ns0:c>
      <ns0:c r="C227" t="inlineStr">
        <ns0:is>
          <ns0:t>kilogram</ns0:t>
        </ns0:is>
      </ns0:c>
      <ns0:c r="D227" t="inlineStr">
        <ns0:is>
          <ns0:t>air::urban air close to ground</ns0:t>
        </ns0:is>
      </ns0:c>
      <ns0:c r="F227" t="inlineStr">
        <ns0:is>
          <ns0:t>biosphere</ns0:t>
        </ns0:is>
      </ns0:c>
      <ns0:c r="H227" s="4" t="n"/>
      <ns0:c r="I227" s="4" t="n"/>
    </ns0:row>
    <ns0:row r="228">
      <ns0:c r="A228" t="inlineStr">
        <ns0:is>
          <ns0:t>PAH, polycyclic aromatic hydrocarbons</ns0:t>
        </ns0:is>
      </ns0:c>
      <ns0:c r="B228" s="4" t="n">
        <ns0:v>2.602606829877914e-07</ns0:v>
      </ns0:c>
      <ns0:c r="C228" t="inlineStr">
        <ns0:is>
          <ns0:t>kilogram</ns0:t>
        </ns0:is>
      </ns0:c>
      <ns0:c r="D228" t="inlineStr">
        <ns0:is>
          <ns0:t>air</ns0:t>
        </ns0:is>
      </ns0:c>
      <ns0:c r="F228" t="inlineStr">
        <ns0:is>
          <ns0:t>biosphere</ns0:t>
        </ns0:is>
      </ns0:c>
      <ns0:c r="H228" s="4" t="n"/>
      <ns0:c r="I228" s="4" t="n"/>
    </ns0:row>
    <ns0:row r="229">
      <ns0:c r="A229" t="inlineStr">
        <ns0:is>
          <ns0:t>Particulates, &lt; 2.5 um</ns0:t>
        </ns0:is>
      </ns0:c>
      <ns0:c r="B229" s="4" t="n">
        <ns0:v>0.001369294711599833</ns0:v>
      </ns0:c>
      <ns0:c r="C229" t="inlineStr">
        <ns0:is>
          <ns0:t>kilogram</ns0:t>
        </ns0:is>
      </ns0:c>
      <ns0:c r="D229" t="inlineStr">
        <ns0:is>
          <ns0:t>air</ns0:t>
        </ns0:is>
      </ns0:c>
      <ns0:c r="F229" t="inlineStr">
        <ns0:is>
          <ns0:t>biosphere</ns0:t>
        </ns0:is>
      </ns0:c>
      <ns0:c r="H229" s="4" t="n"/>
      <ns0:c r="I229" s="4" t="n"/>
    </ns0:row>
    <ns0:row r="230">
      <ns0:c r="A230" t="inlineStr">
        <ns0:is>
          <ns0:t>Particulates, &lt; 2.5 um</ns0:t>
        </ns0:is>
      </ns0:c>
      <ns0:c r="B230" s="4" t="n">
        <ns0:v>1.732845316362552e-05</ns0:v>
      </ns0:c>
      <ns0:c r="C230" t="inlineStr">
        <ns0:is>
          <ns0:t>kilogram</ns0:t>
        </ns0:is>
      </ns0:c>
      <ns0:c r="D230" t="inlineStr">
        <ns0:is>
          <ns0:t>air::urban air close to ground</ns0:t>
        </ns0:is>
      </ns0:c>
      <ns0:c r="F230" t="inlineStr">
        <ns0:is>
          <ns0:t>biosphere</ns0:t>
        </ns0:is>
      </ns0:c>
      <ns0:c r="H230" s="4" t="n"/>
      <ns0:c r="I230" s="4" t="n"/>
    </ns0:row>
    <ns0:row r="231">
      <ns0:c r="A231" t="inlineStr">
        <ns0:is>
          <ns0:t>Particulates, &gt; 10 um</ns0:t>
        </ns0:is>
      </ns0:c>
      <ns0:c r="B231" s="4" t="n">
        <ns0:v>0.0004718920055909982</ns0:v>
      </ns0:c>
      <ns0:c r="C231" t="inlineStr">
        <ns0:is>
          <ns0:t>kilogram</ns0:t>
        </ns0:is>
      </ns0:c>
      <ns0:c r="D231" t="inlineStr">
        <ns0:is>
          <ns0:t>air</ns0:t>
        </ns0:is>
      </ns0:c>
      <ns0:c r="F231" t="inlineStr">
        <ns0:is>
          <ns0:t>biosphere</ns0:t>
        </ns0:is>
      </ns0:c>
      <ns0:c r="H231" s="4" t="n"/>
      <ns0:c r="I231" s="4" t="n"/>
    </ns0:row>
    <ns0:row r="232">
      <ns0:c r="A232" t="inlineStr">
        <ns0:is>
          <ns0:t>Particulates, &gt; 10 um</ns0:t>
        </ns0:is>
      </ns0:c>
      <ns0:c r="B232" s="4" t="n">
        <ns0:v>6.085155909817475e-06</ns0:v>
      </ns0:c>
      <ns0:c r="C232" t="inlineStr">
        <ns0:is>
          <ns0:t>kilogram</ns0:t>
        </ns0:is>
      </ns0:c>
      <ns0:c r="D232" t="inlineStr">
        <ns0:is>
          <ns0:t>air::urban air close to ground</ns0:t>
        </ns0:is>
      </ns0:c>
      <ns0:c r="F232" t="inlineStr">
        <ns0:is>
          <ns0:t>biosphere</ns0:t>
        </ns0:is>
      </ns0:c>
      <ns0:c r="H232" s="4" t="n"/>
      <ns0:c r="I232" s="4" t="n"/>
    </ns0:row>
    <ns0:row r="233">
      <ns0:c r="A233" t="inlineStr">
        <ns0:is>
          <ns0:t>Particulates, &gt; 2.5 um, and &lt; 10um</ns0:t>
        </ns0:is>
      </ns0:c>
      <ns0:c r="B233" s="4" t="n">
        <ns0:v>1.730614628103265e-05</ns0:v>
      </ns0:c>
      <ns0:c r="C233" t="inlineStr">
        <ns0:is>
          <ns0:t>kilogram</ns0:t>
        </ns0:is>
      </ns0:c>
      <ns0:c r="D233" t="inlineStr">
        <ns0:is>
          <ns0:t>air::urban air close to ground</ns0:t>
        </ns0:is>
      </ns0:c>
      <ns0:c r="F233" t="inlineStr">
        <ns0:is>
          <ns0:t>biosphere</ns0:t>
        </ns0:is>
      </ns0:c>
      <ns0:c r="H233" s="4" t="n"/>
      <ns0:c r="I233" s="4" t="n"/>
    </ns0:row>
    <ns0:row r="234">
      <ns0:c r="A234" t="inlineStr">
        <ns0:is>
          <ns0:t>Particulates, &gt; 2.5 um, and &lt; 10um</ns0:t>
        </ns0:is>
      </ns0:c>
      <ns0:c r="B234" s="4" t="n">
        <ns0:v>0.001369317018482426</ns0:v>
      </ns0:c>
      <ns0:c r="C234" t="inlineStr">
        <ns0:is>
          <ns0:t>kilogram</ns0:t>
        </ns0:is>
      </ns0:c>
      <ns0:c r="D234" t="inlineStr">
        <ns0:is>
          <ns0:t>air</ns0:t>
        </ns0:is>
      </ns0:c>
      <ns0:c r="F234" t="inlineStr">
        <ns0:is>
          <ns0:t>biosphere</ns0:t>
        </ns0:is>
      </ns0:c>
      <ns0:c r="H234" s="4" t="n"/>
      <ns0:c r="I234" s="4" t="n"/>
    </ns0:row>
    <ns0:row r="235">
      <ns0:c r="A235" t="inlineStr">
        <ns0:is>
          <ns0:t>Polychlorinated biphenyls</ns0:t>
        </ns0:is>
      </ns0:c>
      <ns0:c r="B235" s="4" t="n">
        <ns0:v>1.879005865040217e-07</ns0:v>
      </ns0:c>
      <ns0:c r="C235" t="inlineStr">
        <ns0:is>
          <ns0:t>kilogram</ns0:t>
        </ns0:is>
      </ns0:c>
      <ns0:c r="D235" t="inlineStr">
        <ns0:is>
          <ns0:t>air</ns0:t>
        </ns0:is>
      </ns0:c>
      <ns0:c r="F235" t="inlineStr">
        <ns0:is>
          <ns0:t>biosphere</ns0:t>
        </ns0:is>
      </ns0:c>
      <ns0:c r="H235" s="4" t="n"/>
      <ns0:c r="I235" s="4" t="n"/>
    </ns0:row>
    <ns0:row r="236">
      <ns0:c r="A236" t="inlineStr">
        <ns0:is>
          <ns0:t>Polychlorinated biphenyls</ns0:t>
        </ns0:is>
      </ns0:c>
      <ns0:c r="B236" s="4" t="n">
        <ns0:v>2.148353137087635e-09</ns0:v>
      </ns0:c>
      <ns0:c r="C236" t="inlineStr">
        <ns0:is>
          <ns0:t>kilogram</ns0:t>
        </ns0:is>
      </ns0:c>
      <ns0:c r="D236" t="inlineStr">
        <ns0:is>
          <ns0:t>air::urban air close to ground</ns0:t>
        </ns0:is>
      </ns0:c>
      <ns0:c r="F236" t="inlineStr">
        <ns0:is>
          <ns0:t>biosphere</ns0:t>
        </ns0:is>
      </ns0:c>
      <ns0:c r="H236" s="4" t="n"/>
      <ns0:c r="I236" s="4" t="n"/>
    </ns0:row>
    <ns0:row r="237">
      <ns0:c r="A237" t="inlineStr">
        <ns0:is>
          <ns0:t>Sulfur dioxide</ns0:t>
        </ns0:is>
      </ns0:c>
      <ns0:c r="B237" s="4" t="n">
        <ns0:v>0.0006257718808091986</ns0:v>
      </ns0:c>
      <ns0:c r="C237" t="inlineStr">
        <ns0:is>
          <ns0:t>kilogram</ns0:t>
        </ns0:is>
      </ns0:c>
      <ns0:c r="D237" t="inlineStr">
        <ns0:is>
          <ns0:t>air</ns0:t>
        </ns0:is>
      </ns0:c>
      <ns0:c r="F237" t="inlineStr">
        <ns0:is>
          <ns0:t>biosphere</ns0:t>
        </ns0:is>
      </ns0:c>
      <ns0:c r="H237" s="4" t="n"/>
      <ns0:c r="I237" s="4" t="n"/>
    </ns0:row>
    <ns0:row r="238">
      <ns0:c r="A238" t="inlineStr">
        <ns0:is>
          <ns0:t>Sulfur dioxide</ns0:t>
        </ns0:is>
      </ns0:c>
      <ns0:c r="B238" s="4" t="n">
        <ns0:v>2.286846760132496e-06</ns0:v>
      </ns0:c>
      <ns0:c r="C238" t="inlineStr">
        <ns0:is>
          <ns0:t>kilogram</ns0:t>
        </ns0:is>
      </ns0:c>
      <ns0:c r="D238" t="inlineStr">
        <ns0:is>
          <ns0:t>air::urban air close to ground</ns0:t>
        </ns0:is>
      </ns0:c>
      <ns0:c r="F238" t="inlineStr">
        <ns0:is>
          <ns0:t>biosphere</ns0:t>
        </ns0:is>
      </ns0:c>
      <ns0:c r="H238" s="4" t="n"/>
      <ns0:c r="I238" s="4" t="n"/>
    </ns0:row>
    <ns0:row r="239">
      <ns0:c r="A239" t="inlineStr">
        <ns0:is>
          <ns0:t>Water</ns0:t>
        </ns0:is>
      </ns0:c>
      <ns0:c r="B239" s="4" t="n">
        <ns0:v>0.0001923280962871876</ns0:v>
      </ns0:c>
      <ns0:c r="C239" t="inlineStr">
        <ns0:is>
          <ns0:t>cubic meter</ns0:t>
        </ns0:is>
      </ns0:c>
      <ns0:c r="D239" t="inlineStr">
        <ns0:is>
          <ns0:t>air::urban air close to ground</ns0:t>
        </ns0:is>
      </ns0:c>
      <ns0:c r="F239" t="inlineStr">
        <ns0:is>
          <ns0:t>biosphere</ns0:t>
        </ns0:is>
      </ns0:c>
      <ns0:c r="H239" s="4" t="n"/>
      <ns0:c r="I239" s="4" t="n"/>
    </ns0:row>
    <ns0:row r="240">
      <ns0:c r="A240" t="inlineStr">
        <ns0:is>
          <ns0:t>Water</ns0:t>
        </ns0:is>
      </ns0:c>
      <ns0:c r="B240" s="4" t="n">
        <ns0:v>0.01876019575856444</ns0:v>
      </ns0:c>
      <ns0:c r="C240" t="inlineStr">
        <ns0:is>
          <ns0:t>cubic meter</ns0:t>
        </ns0:is>
      </ns0:c>
      <ns0:c r="D240" t="inlineStr">
        <ns0:is>
          <ns0:t>water</ns0:t>
        </ns0:is>
      </ns0:c>
      <ns0:c r="F240" t="inlineStr">
        <ns0:is>
          <ns0:t>biosphere</ns0:t>
        </ns0:is>
      </ns0:c>
      <ns0:c r="H240" s="4" t="n"/>
      <ns0:c r="I240" s="4" t="n"/>
    </ns0:row>
    <ns0:row r="241">
      <ns0:c r="A241" t="inlineStr">
        <ns0:is>
          <ns0:t>Water</ns0:t>
        </ns0:is>
      </ns0:c>
      <ns0:c r="B241" s="4" t="n">
        <ns0:v>0.0236249639102381</ns0:v>
      </ns0:c>
      <ns0:c r="C241" t="inlineStr">
        <ns0:is>
          <ns0:t>cubic meter</ns0:t>
        </ns0:is>
      </ns0:c>
      <ns0:c r="D241" t="inlineStr">
        <ns0:is>
          <ns0:t>air</ns0:t>
        </ns0:is>
      </ns0:c>
      <ns0:c r="F241" t="inlineStr">
        <ns0:is>
          <ns0:t>biosphere</ns0:t>
        </ns0:is>
      </ns0:c>
      <ns0:c r="H241" s="4" t="n"/>
      <ns0:c r="I241" s="4" t="n"/>
    </ns0:row>
    <ns0:row r="242">
      <ns0:c r="A242" t="inlineStr">
        <ns0:is>
          <ns0:t>Water, cooling, unspecified natural origin</ns0:t>
        </ns0:is>
      </ns0:c>
      <ns0:c r="B242" s="4" t="n">
        <ns0:v>0.004507264979687344</ns0:v>
      </ns0:c>
      <ns0:c r="C242" t="inlineStr">
        <ns0:is>
          <ns0:t>cubic meter</ns0:t>
        </ns0:is>
      </ns0:c>
      <ns0:c r="D242" t="inlineStr">
        <ns0:is>
          <ns0:t>natural resource::in water</ns0:t>
        </ns0:is>
      </ns0:c>
      <ns0:c r="F242" t="inlineStr">
        <ns0:is>
          <ns0:t>biosphere</ns0:t>
        </ns0:is>
      </ns0:c>
      <ns0:c r="H242" s="4" t="n"/>
      <ns0:c r="I242" s="4" t="n"/>
    </ns0:row>
    <ns0:row r="243">
      <ns0:c r="A243" t="inlineStr">
        <ns0:is>
          <ns0:t>Water, unspecified natural origin</ns0:t>
        </ns0:is>
      </ns0:c>
      <ns0:c r="B243" s="4" t="n">
        <ns0:v>0.004507264979687344</ns0:v>
      </ns0:c>
      <ns0:c r="C243" t="inlineStr">
        <ns0:is>
          <ns0:t>cubic meter</ns0:t>
        </ns0:is>
      </ns0:c>
      <ns0:c r="D243" t="inlineStr">
        <ns0:is>
          <ns0:t>natural resource::in ground</ns0:t>
        </ns0:is>
      </ns0:c>
      <ns0:c r="F243" t="inlineStr">
        <ns0:is>
          <ns0:t>biosphere</ns0:t>
        </ns0:is>
      </ns0:c>
      <ns0:c r="H243" s="4" t="n"/>
      <ns0:c r="I243" s="4" t="n"/>
    </ns0:row>
    <ns0:row r="244">
      <ns0:c r="A244" t="inlineStr">
        <ns0:is>
          <ns0:t>Zinc</ns0:t>
        </ns0:is>
      </ns0:c>
      <ns0:c r="B244" s="4" t="n">
        <ns0:v>1.57975495500382e-05</ns0:v>
      </ns0:c>
      <ns0:c r="C244" t="inlineStr">
        <ns0:is>
          <ns0:t>kilogram</ns0:t>
        </ns0:is>
      </ns0:c>
      <ns0:c r="D244" t="inlineStr">
        <ns0:is>
          <ns0:t>air::urban air close to ground</ns0:t>
        </ns0:is>
      </ns0:c>
      <ns0:c r="F244" t="inlineStr">
        <ns0:is>
          <ns0:t>biosphere</ns0:t>
        </ns0:is>
      </ns0:c>
      <ns0:c r="H244" s="4" t="n"/>
      <ns0:c r="I244" s="4" t="n"/>
    </ns0:row>
    <ns0:row r="245">
      <ns0:c r="A245" t="inlineStr">
        <ns0:is>
          <ns0:t>Zinc</ns0:t>
        </ns0:is>
      </ns0:c>
      <ns0:c r="B245" s="4" t="n">
        <ns0:v>0.0001709887473504512</ns0:v>
      </ns0:c>
      <ns0:c r="C245" t="inlineStr">
        <ns0:is>
          <ns0:t>kilogram</ns0:t>
        </ns0:is>
      </ns0:c>
      <ns0:c r="D245" t="inlineStr">
        <ns0:is>
          <ns0:t>air</ns0:t>
        </ns0:is>
      </ns0:c>
      <ns0:c r="F245" t="inlineStr">
        <ns0:is>
          <ns0:t>biosphere</ns0:t>
        </ns0:is>
      </ns0:c>
      <ns0:c r="H245" s="4" t="n"/>
      <ns0:c r="I245" s="4" t="n"/>
    </ns0:row>
    <ns0:row r="246"/>
    <ns0:row r="247">
      <ns0:c r="A247" s="1" t="inlineStr">
        <ns0:is>
          <ns0:t>Activity</ns0:t>
        </ns0:is>
      </ns0:c>
      <ns0:c r="B247" s="1" t="inlineStr">
        <ns0:is>
          <ns0:t>vanadium pentoxide production</ns0:t>
        </ns0:is>
      </ns0:c>
    </ns0:row>
    <ns0:row r="248">
      <ns0:c r="A248" t="inlineStr">
        <ns0:is>
          <ns0:t>comment</ns0:t>
        </ns0:is>
      </ns0:c>
      <ns0:c r="B248" t="inlineStr">
        <ns0:is>
          <ns0:t>The basic process for the preparation of the vanadium pentoxide is based on literature data. The obtained vanadium slag is first ground and the iron granulates are removed. Electricity demand for these process steps are taken from reference processes (grinding and crushing for aluminum oxide and sieving for soda ash). Afterwards, the material is mixed with sodium salts (Na2SO4 and Na2CO3) and roasted in a rotary kiln at 850 °C. Emissions, such as sulfur dioxide and carbon dioxide are calculated using stoichiometric relationships. Electricity and heat demand for driving the rotary kiln are taken from a reference process (rotary kiln for phosphorus production). After cooling, the roasted product is leached with water by adding sulfuric acid and ammonium at elevated temperature. The intermediate product ammonium polyvanadate is precipitated. A yield of 90 % is assumed. In addition, sodium sulfate is formed as a by-product. As reference process for the electricity demand, the digestor in the titanium dioxide production is used. Based on stoichiometric calculations, the required input of sulfuric acid and the output of sodium sulfate are computed.</ns0:t>
        </ns0:is>
      </ns0:c>
    </ns0:row>
    <ns0:row r="249">
      <ns0:c r="A249" t="inlineStr">
        <ns0:is>
          <ns0:t>source</ns0:t>
        </ns0:is>
      </ns0:c>
      <ns0:c r="B249" t="inlineStr">
        <ns0:is>
          <ns0:t>Life Cycle Assessment of a Vanadium Redox Flow Battery, Selina Weber, Jens F. Peters, Manuel Baumann, and Marcel Weil, Environ. Sci. Technol. 2018, 52, 10864−10873, DOI: 10.1021/acs.est.8b02073</ns0:t>
        </ns0:is>
      </ns0:c>
    </ns0:row>
    <ns0:row r="250">
      <ns0:c r="A250" t="inlineStr">
        <ns0:is>
          <ns0:t>location</ns0:t>
        </ns0:is>
      </ns0:c>
      <ns0:c r="B250" t="inlineStr">
        <ns0:is>
          <ns0:t>ZA</ns0:t>
        </ns0:is>
      </ns0:c>
    </ns0:row>
    <ns0:row r="251">
      <ns0:c r="A251" t="inlineStr">
        <ns0:is>
          <ns0:t>production amount</ns0:t>
        </ns0:is>
      </ns0:c>
      <ns0:c r="B251" t="n">
        <ns0:v>1</ns0:v>
      </ns0:c>
    </ns0:row>
    <ns0:row r="252">
      <ns0:c r="A252" t="inlineStr">
        <ns0:is>
          <ns0:t>reference product</ns0:t>
        </ns0:is>
      </ns0:c>
      <ns0:c r="B252" t="inlineStr">
        <ns0:is>
          <ns0:t>vanadium pentoxide</ns0:t>
        </ns0:is>
      </ns0:c>
    </ns0:row>
    <ns0:row r="253">
      <ns0:c r="A253" t="inlineStr">
        <ns0:is>
          <ns0:t>unit</ns0:t>
        </ns0:is>
      </ns0:c>
      <ns0:c r="B253" t="inlineStr">
        <ns0:is>
          <ns0:t>kilogram</ns0:t>
        </ns0:is>
      </ns0:c>
    </ns0:row>
    <ns0:row r="254">
      <ns0:c r="A254" s="1" t="inlineStr">
        <ns0:is>
          <ns0:t>Exchanges</ns0:t>
        </ns0:is>
      </ns0:c>
    </ns0:row>
    <ns0:row r="255">
      <ns0:c r="A255" s="1" t="inlineStr">
        <ns0:is>
          <ns0:t>name</ns0:t>
        </ns0:is>
      </ns0:c>
      <ns0:c r="B255" s="1" t="inlineStr">
        <ns0:is>
          <ns0:t>amount</ns0:t>
        </ns0:is>
      </ns0:c>
      <ns0:c r="C255" s="1" t="inlineStr">
        <ns0:is>
          <ns0:t>unit</ns0:t>
        </ns0:is>
      </ns0:c>
      <ns0:c r="D255" s="1" t="inlineStr">
        <ns0:is>
          <ns0:t>categories</ns0:t>
        </ns0:is>
      </ns0:c>
      <ns0:c r="E255" s="1" t="inlineStr">
        <ns0:is>
          <ns0:t>location</ns0:t>
        </ns0:is>
      </ns0:c>
      <ns0:c r="F255" s="1" t="inlineStr">
        <ns0:is>
          <ns0:t>type</ns0:t>
        </ns0:is>
      </ns0:c>
      <ns0:c r="G255" s="1" t="inlineStr">
        <ns0:is>
          <ns0:t>reference product</ns0:t>
        </ns0:is>
      </ns0:c>
      <ns0:c r="H255" s="1" t="inlineStr">
        <ns0:is>
          <ns0:t>Comment</ns0:t>
        </ns0:is>
      </ns0:c>
    </ns0:row>
    <ns0:row r="256">
      <ns0:c r="A256" t="inlineStr">
        <ns0:is>
          <ns0:t>vanadium pentoxide production</ns0:t>
        </ns0:is>
      </ns0:c>
      <ns0:c r="B256" t="n">
        <ns0:v>1</ns0:v>
      </ns0:c>
      <ns0:c r="C256" t="inlineStr">
        <ns0:is>
          <ns0:t>kilogram</ns0:t>
        </ns0:is>
      </ns0:c>
      <ns0:c r="E256" t="inlineStr">
        <ns0:is>
          <ns0:t>ZA</ns0:t>
        </ns0:is>
      </ns0:c>
      <ns0:c r="F256" t="inlineStr">
        <ns0:is>
          <ns0:t>production</ns0:t>
        </ns0:is>
      </ns0:c>
      <ns0:c r="G256" t="inlineStr">
        <ns0:is>
          <ns0:t>vanadium pentoxide</ns0:t>
        </ns0:is>
      </ns0:c>
    </ns0:row>
    <ns0:row r="257">
      <ns0:c r="A257" t="inlineStr">
        <ns0:is>
          <ns0:t>vanadium slag production</ns0:t>
        </ns0:is>
      </ns0:c>
      <ns0:c r="B257" s="4" t="n">
        <ns0:v>1.35</ns0:v>
      </ns0:c>
      <ns0:c r="C257" t="inlineStr">
        <ns0:is>
          <ns0:t>kilogram</ns0:t>
        </ns0:is>
      </ns0:c>
      <ns0:c r="E257" t="inlineStr">
        <ns0:is>
          <ns0:t>ZA</ns0:t>
        </ns0:is>
      </ns0:c>
      <ns0:c r="F257" t="inlineStr">
        <ns0:is>
          <ns0:t>technosphere</ns0:t>
        </ns0:is>
      </ns0:c>
      <ns0:c r="G257" t="inlineStr">
        <ns0:is>
          <ns0:t>vanadium slag</ns0:t>
        </ns0:is>
      </ns0:c>
      <ns0:c r="H257" s="4" t="n"/>
    </ns0:row>
    <ns0:row r="258">
      <ns0:c r="A258" t="inlineStr">
        <ns0:is>
          <ns0:t>market for ammonium sulfate</ns0:t>
        </ns0:is>
      </ns0:c>
      <ns0:c r="B258" t="n">
        <ns0:v>0.31</ns0:v>
      </ns0:c>
      <ns0:c r="C258" t="inlineStr">
        <ns0:is>
          <ns0:t>kilogram</ns0:t>
        </ns0:is>
      </ns0:c>
      <ns0:c r="E258" t="inlineStr">
        <ns0:is>
          <ns0:t>RoW</ns0:t>
        </ns0:is>
      </ns0:c>
      <ns0:c r="F258" t="inlineStr">
        <ns0:is>
          <ns0:t>technosphere</ns0:t>
        </ns0:is>
      </ns0:c>
      <ns0:c r="G258" t="inlineStr">
        <ns0:is>
          <ns0:t>ammonium sulfate</ns0:t>
        </ns0:is>
      </ns0:c>
    </ns0:row>
    <ns0:row r="259">
      <ns0:c r="A259" t="inlineStr">
        <ns0:is>
          <ns0:t>market for sulfuric acid</ns0:t>
        </ns0:is>
      </ns0:c>
      <ns0:c r="B259" t="n">
        <ns0:v>0.46</ns0:v>
      </ns0:c>
      <ns0:c r="C259" t="inlineStr">
        <ns0:is>
          <ns0:t>kilogram</ns0:t>
        </ns0:is>
      </ns0:c>
      <ns0:c r="E259" t="inlineStr">
        <ns0:is>
          <ns0:t>RoW</ns0:t>
        </ns0:is>
      </ns0:c>
      <ns0:c r="F259" t="inlineStr">
        <ns0:is>
          <ns0:t>technosphere</ns0:t>
        </ns0:is>
      </ns0:c>
      <ns0:c r="G259" t="inlineStr">
        <ns0:is>
          <ns0:t>sulfuric acid</ns0:t>
        </ns0:is>
      </ns0:c>
    </ns0:row>
    <ns0:row r="260">
      <ns0:c r="A260" t="inlineStr">
        <ns0:is>
          <ns0:t>market for sodium sulfate, anhydrite</ns0:t>
        </ns0:is>
      </ns0:c>
      <ns0:c r="B260" t="n">
        <ns0:v>0.5</ns0:v>
      </ns0:c>
      <ns0:c r="C260" t="inlineStr">
        <ns0:is>
          <ns0:t>kilogram</ns0:t>
        </ns0:is>
      </ns0:c>
      <ns0:c r="E260" t="inlineStr">
        <ns0:is>
          <ns0:t>RoW</ns0:t>
        </ns0:is>
      </ns0:c>
      <ns0:c r="F260" t="inlineStr">
        <ns0:is>
          <ns0:t>technosphere</ns0:t>
        </ns0:is>
      </ns0:c>
      <ns0:c r="G260" t="inlineStr">
        <ns0:is>
          <ns0:t>sodium sulfate, anhydrite</ns0:t>
        </ns0:is>
      </ns0:c>
    </ns0:row>
    <ns0:row r="261">
      <ns0:c r="A261" t="inlineStr">
        <ns0:is>
          <ns0:t>market for soda ash, dense</ns0:t>
        </ns0:is>
      </ns0:c>
      <ns0:c r="B261" t="n">
        <ns0:v>0.37</ns0:v>
      </ns0:c>
      <ns0:c r="C261" t="inlineStr">
        <ns0:is>
          <ns0:t>kilogram</ns0:t>
        </ns0:is>
      </ns0:c>
      <ns0:c r="E261" t="inlineStr">
        <ns0:is>
          <ns0:t>GLO</ns0:t>
        </ns0:is>
      </ns0:c>
      <ns0:c r="F261" t="inlineStr">
        <ns0:is>
          <ns0:t>technosphere</ns0:t>
        </ns0:is>
      </ns0:c>
      <ns0:c r="G261" t="inlineStr">
        <ns0:is>
          <ns0:t>soda ash, dense</ns0:t>
        </ns0:is>
      </ns0:c>
    </ns0:row>
    <ns0:row r="262">
      <ns0:c r="A262" t="inlineStr">
        <ns0:is>
          <ns0:t>market for water, deionised</ns0:t>
        </ns0:is>
      </ns0:c>
      <ns0:c r="B262" t="n">
        <ns0:v>3.16</ns0:v>
      </ns0:c>
      <ns0:c r="C262" t="inlineStr">
        <ns0:is>
          <ns0:t>kilogram</ns0:t>
        </ns0:is>
      </ns0:c>
      <ns0:c r="E262" t="inlineStr">
        <ns0:is>
          <ns0:t>RoW</ns0:t>
        </ns0:is>
      </ns0:c>
      <ns0:c r="F262" t="inlineStr">
        <ns0:is>
          <ns0:t>technosphere</ns0:t>
        </ns0:is>
      </ns0:c>
      <ns0:c r="G262" t="inlineStr">
        <ns0:is>
          <ns0:t>water, deionised</ns0:t>
        </ns0:is>
      </ns0:c>
    </ns0:row>
    <ns0:row r="263">
      <ns0:c r="A263" t="inlineStr">
        <ns0:is>
          <ns0:t>market for electricity, medium voltage</ns0:t>
        </ns0:is>
      </ns0:c>
      <ns0:c r="B263" t="n">
        <ns0:v>0.2</ns0:v>
      </ns0:c>
      <ns0:c r="C263" t="inlineStr">
        <ns0:is>
          <ns0:t>kilowatt hour</ns0:t>
        </ns0:is>
      </ns0:c>
      <ns0:c r="E263" t="inlineStr">
        <ns0:is>
          <ns0:t>ZA</ns0:t>
        </ns0:is>
      </ns0:c>
      <ns0:c r="F263" t="inlineStr">
        <ns0:is>
          <ns0:t>technosphere</ns0:t>
        </ns0:is>
      </ns0:c>
      <ns0:c r="G263" t="inlineStr">
        <ns0:is>
          <ns0:t>electricity, medium voltage</ns0:t>
        </ns0:is>
      </ns0:c>
    </ns0:row>
    <ns0:row r="264">
      <ns0:c r="A264" t="inlineStr">
        <ns0:is>
          <ns0:t>market for heat, district or industrial, natural gas</ns0:t>
        </ns0:is>
      </ns0:c>
      <ns0:c r="B264" t="n">
        <ns0:v>0.93</ns0:v>
      </ns0:c>
      <ns0:c r="C264" t="inlineStr">
        <ns0:is>
          <ns0:t>megajoule</ns0:t>
        </ns0:is>
      </ns0:c>
      <ns0:c r="E264" t="inlineStr">
        <ns0:is>
          <ns0:t>RoW</ns0:t>
        </ns0:is>
      </ns0:c>
      <ns0:c r="F264" t="inlineStr">
        <ns0:is>
          <ns0:t>technosphere</ns0:t>
        </ns0:is>
      </ns0:c>
      <ns0:c r="G264" t="inlineStr">
        <ns0:is>
          <ns0:t>heat, district or industrial, natural gas</ns0:t>
        </ns0:is>
      </ns0:c>
    </ns0:row>
    <ns0:row r="265">
      <ns0:c r="A265" t="inlineStr">
        <ns0:is>
          <ns0:t>market group for transport, freight, lorry, unspecified</ns0:t>
        </ns0:is>
      </ns0:c>
      <ns0:c r="B265" s="4" t="n">
        <ns0:v>0.0771</ns0:v>
      </ns0:c>
      <ns0:c r="C265" t="inlineStr">
        <ns0:is>
          <ns0:t>ton kilometer</ns0:t>
        </ns0:is>
      </ns0:c>
      <ns0:c r="E265" t="inlineStr">
        <ns0:is>
          <ns0:t>GLO</ns0:t>
        </ns0:is>
      </ns0:c>
      <ns0:c r="F265" t="inlineStr">
        <ns0:is>
          <ns0:t>technosphere</ns0:t>
        </ns0:is>
      </ns0:c>
      <ns0:c r="G265" t="inlineStr">
        <ns0:is>
          <ns0:t>transport, freight, lorry, unspecified</ns0:t>
        </ns0:is>
      </ns0:c>
    </ns0:row>
    <ns0:row r="266">
      <ns0:c r="A266" t="inlineStr">
        <ns0:is>
          <ns0:t>market group for transport, freight train</ns0:t>
        </ns0:is>
      </ns0:c>
      <ns0:c r="B266" t="n">
        <ns0:v>0.46</ns0:v>
      </ns0:c>
      <ns0:c r="C266" t="inlineStr">
        <ns0:is>
          <ns0:t>ton kilometer</ns0:t>
        </ns0:is>
      </ns0:c>
      <ns0:c r="E266" t="inlineStr">
        <ns0:is>
          <ns0:t>GLO</ns0:t>
        </ns0:is>
      </ns0:c>
      <ns0:c r="F266" t="inlineStr">
        <ns0:is>
          <ns0:t>technosphere</ns0:t>
        </ns0:is>
      </ns0:c>
      <ns0:c r="G266" t="inlineStr">
        <ns0:is>
          <ns0:t>transport, freight train</ns0:t>
        </ns0:is>
      </ns0:c>
    </ns0:row>
    <ns0:row r="267">
      <ns0:c r="A267" t="inlineStr">
        <ns0:is>
          <ns0:t>treatment of basic oxygen furnace slag, residual material landfill</ns0:t>
        </ns0:is>
      </ns0:c>
      <ns0:c r="B267" t="n">
        <ns0:v>-0.47</ns0:v>
      </ns0:c>
      <ns0:c r="C267" t="inlineStr">
        <ns0:is>
          <ns0:t>kilogram</ns0:t>
        </ns0:is>
      </ns0:c>
      <ns0:c r="E267" t="inlineStr">
        <ns0:is>
          <ns0:t>GLO</ns0:t>
        </ns0:is>
      </ns0:c>
      <ns0:c r="F267" t="inlineStr">
        <ns0:is>
          <ns0:t>technosphere</ns0:t>
        </ns0:is>
      </ns0:c>
      <ns0:c r="G267" t="inlineStr">
        <ns0:is>
          <ns0:t>basic oxygen furnace slag</ns0:t>
        </ns0:is>
      </ns0:c>
    </ns0:row>
    <ns0:row r="268">
      <ns0:c r="A268" t="inlineStr">
        <ns0:is>
          <ns0:t>market for iron scrap, unsorted</ns0:t>
        </ns0:is>
      </ns0:c>
      <ns0:c r="B268" s="4" t="n">
        <ns0:v>-0.065</ns0:v>
      </ns0:c>
      <ns0:c r="C268" t="inlineStr">
        <ns0:is>
          <ns0:t>kilogram</ns0:t>
        </ns0:is>
      </ns0:c>
      <ns0:c r="E268" t="inlineStr">
        <ns0:is>
          <ns0:t>GLO</ns0:t>
        </ns0:is>
      </ns0:c>
      <ns0:c r="F268" t="inlineStr">
        <ns0:is>
          <ns0:t>technosphere</ns0:t>
        </ns0:is>
      </ns0:c>
      <ns0:c r="G268" t="inlineStr">
        <ns0:is>
          <ns0:t>iron scrap, unsorted</ns0:t>
        </ns0:is>
      </ns0:c>
    </ns0:row>
    <ns0:row r="269">
      <ns0:c r="A269" t="inlineStr">
        <ns0:is>
          <ns0:t>market for spent solvent mixture</ns0:t>
        </ns0:is>
      </ns0:c>
      <ns0:c r="B269" s="4" t="n">
        <ns0:v>-0.06320000000000001</ns0:v>
      </ns0:c>
      <ns0:c r="C269" t="inlineStr">
        <ns0:is>
          <ns0:t>kilogram</ns0:t>
        </ns0:is>
      </ns0:c>
      <ns0:c r="E269" t="inlineStr">
        <ns0:is>
          <ns0:t>RoW</ns0:t>
        </ns0:is>
      </ns0:c>
      <ns0:c r="F269" t="inlineStr">
        <ns0:is>
          <ns0:t>technosphere</ns0:t>
        </ns0:is>
      </ns0:c>
      <ns0:c r="G269" t="inlineStr">
        <ns0:is>
          <ns0:t>spent solvent mixture</ns0:t>
        </ns0:is>
      </ns0:c>
    </ns0:row>
    <ns0:row r="270">
      <ns0:c r="A270" t="inlineStr">
        <ns0:is>
          <ns0:t>Oxygen</ns0:t>
        </ns0:is>
      </ns0:c>
      <ns0:c r="B270" s="4" t="n">
        <ns0:v>0.0564</ns0:v>
      </ns0:c>
      <ns0:c r="C270" t="inlineStr">
        <ns0:is>
          <ns0:t>kilogram</ns0:t>
        </ns0:is>
      </ns0:c>
      <ns0:c r="D270" t="inlineStr">
        <ns0:is>
          <ns0:t>air</ns0:t>
        </ns0:is>
      </ns0:c>
      <ns0:c r="F270" t="inlineStr">
        <ns0:is>
          <ns0:t>biosphere</ns0:t>
        </ns0:is>
      </ns0:c>
    </ns0:row>
    <ns0:row r="271">
      <ns0:c r="A271" t="inlineStr">
        <ns0:is>
          <ns0:t>Sulfur dioxide</ns0:t>
        </ns0:is>
      </ns0:c>
      <ns0:c r="B271" s="4" t="n">
        <ns0:f>(0.0000520580602692922/(0.0000520580602692922+1.90243138300923E-07)) * 0.000077</ns0:f>
        <ns0:v>7.671963258720775e-05</ns0:v>
      </ns0:c>
      <ns0:c r="C271" t="inlineStr">
        <ns0:is>
          <ns0:t>kilogram</ns0:t>
        </ns0:is>
      </ns0:c>
      <ns0:c r="D271" t="inlineStr">
        <ns0:is>
          <ns0:t>air</ns0:t>
        </ns0:is>
      </ns0:c>
      <ns0:c r="F271" t="inlineStr">
        <ns0:is>
          <ns0:t>biosphere</ns0:t>
        </ns0:is>
      </ns0:c>
    </ns0:row>
    <ns0:row r="272">
      <ns0:c r="A272" t="inlineStr">
        <ns0:is>
          <ns0:t>Carbon dioxide, fossil</ns0:t>
        </ns0:is>
      </ns0:c>
      <ns0:c r="B272" s="4" t="n">
        <ns0:v>0.16</ns0:v>
      </ns0:c>
      <ns0:c r="C272" t="inlineStr">
        <ns0:is>
          <ns0:t>kilogram</ns0:t>
        </ns0:is>
      </ns0:c>
      <ns0:c r="D272" t="inlineStr">
        <ns0:is>
          <ns0:t>air</ns0:t>
        </ns0:is>
      </ns0:c>
      <ns0:c r="F272" t="inlineStr">
        <ns0:is>
          <ns0:t>biosphere</ns0:t>
        </ns0:is>
      </ns0:c>
    </ns0:row>
    <ns0:row r="273">
      <ns0:c r="A273" t="inlineStr">
        <ns0:is>
          <ns0:t>Water</ns0:t>
        </ns0:is>
      </ns0:c>
      <ns0:c r="B273" s="4" t="n">
        <ns0:v>8.449999999999999e-05</ns0:v>
      </ns0:c>
      <ns0:c r="C273" t="inlineStr">
        <ns0:is>
          <ns0:t>cubic meter</ns0:t>
        </ns0:is>
      </ns0:c>
      <ns0:c r="D273" t="inlineStr">
        <ns0:is>
          <ns0:t>air</ns0:t>
        </ns0:is>
      </ns0:c>
      <ns0:c r="F273" t="inlineStr">
        <ns0:is>
          <ns0:t>biosphere</ns0:t>
        </ns0:is>
      </ns0:c>
    </ns0:row>
  </ns0:sheetData>
  <ns0:autoFilter ref="A4:I273"/>
  <ns0:pageMargins left="0.7" right="0.7" top="0.75" bottom="0.75" header="0.3" footer="0.3"/>
  <ns0:pageSetup orientation="portrait" paperSize="9"/>
</ns0:worksheet>
</file>

<file path=xl/worksheets/sheet3.xml><?xml version="1.0" encoding="utf-8"?>
<ns0:worksheet xmlns:ns0="http://schemas.openxmlformats.org/spreadsheetml/2006/main">
  <ns0:sheetPr>
    <ns0:outlinePr summaryBelow="1" summaryRight="1"/>
    <ns0:pageSetUpPr/>
  </ns0:sheetPr>
  <ns0:dimension ref="A1:G6"/>
  <ns0:sheetViews>
    <ns0:sheetView workbookViewId="0">
      <ns0:selection activeCell="I11" sqref="I11"/>
    </ns0:sheetView>
  </ns0:sheetViews>
  <ns0:sheetFormatPr baseColWidth="10" defaultColWidth="8.83203125" defaultRowHeight="15"/>
  <ns0:cols>
    <ns0:col width="31" bestFit="1" customWidth="1" min="1" max="1"/>
    <ns0:col width="13.33203125" bestFit="1" customWidth="1" min="3" max="3"/>
    <ns0:col width="11" bestFit="1" customWidth="1" min="4" max="4"/>
    <ns0:col width="10" bestFit="1" customWidth="1" min="5" max="5"/>
  </ns0:cols>
  <ns0:sheetData>
    <ns0:row r="1">
      <ns0:c r="A1" t="inlineStr">
        <ns0:is>
          <ns0:t>skip</ns0:t>
        </ns0:is>
      </ns0:c>
    </ns0:row>
    <ns0:row r="2">
      <ns0:c r="A2" s="1" t="inlineStr">
        <ns0:is>
          <ns0:t>Product</ns0:t>
        </ns0:is>
      </ns0:c>
      <ns0:c r="B2" s="1" t="inlineStr">
        <ns0:is>
          <ns0:t>mass</ns0:t>
        </ns0:is>
      </ns0:c>
      <ns0:c r="C2" s="1" t="inlineStr">
        <ns0:is>
          <ns0:t>price (eur/kg)</ns0:t>
        </ns0:is>
      </ns0:c>
      <ns0:c r="D2" s="1" t="inlineStr">
        <ns0:is>
          <ns0:t>Value (eur)</ns0:t>
        </ns0:is>
      </ns0:c>
      <ns0:c r="E2" s="1" t="inlineStr">
        <ns0:is>
          <ns0:t>Allocation</ns0:t>
        </ns0:is>
      </ns0:c>
    </ns0:row>
    <ns0:row r="3">
      <ns0:c r="A3" t="inlineStr">
        <ns0:is>
          <ns0:t>V2O5</ns0:t>
        </ns0:is>
      </ns0:c>
      <ns0:c r="B3" t="n">
        <ns0:f>1.53*0.022</ns0:f>
        <ns0:v>0.033659999999999995</ns0:v>
      </ns0:c>
      <ns0:c r="C3" t="n">
        <ns0:v>9.619999999999999</ns0:v>
      </ns0:c>
      <ns0:c r="D3" t="n">
        <ns0:f>B3*C3</ns0:f>
        <ns0:v>0.3238091999999999</ns0:v>
      </ns0:c>
      <ns0:c r="E3" t="n">
        <ns0:f>D3/SUM($D$3:$D$5)</ns0:f>
        <ns0:v>0.6621982682588029</ns0:v>
      </ns0:c>
      <ns0:c r="G3" s="3" t="n">
        <ns0:f>E3+E4</ns0:f>
        <ns0:v>0.7674040638169866</ns0:v>
      </ns0:c>
    </ns0:row>
    <ns0:row r="4">
      <ns0:c r="A4" t="inlineStr">
        <ns0:is>
          <ns0:t>Fe</ns0:t>
        </ns0:is>
      </ns0:c>
      <ns0:c r="B4" s="2" t="n">
        <ns0:f>1.53*0.72</ns0:f>
        <ns0:v>1.1016</ns0:v>
      </ns0:c>
      <ns0:c r="C4" t="n">
        <ns0:v>0.0467</ns0:v>
      </ns0:c>
      <ns0:c r="D4" t="n">
        <ns0:f>B4*C4</ns0:f>
        <ns0:v>0.05144471999999999</ns0:v>
      </ns0:c>
      <ns0:c r="E4" t="n">
        <ns0:f>D4/SUM($D$3:$D$5)</ns0:f>
        <ns0:v>0.10520579555818367</ns0:v>
      </ns0:c>
      <ns0:c r="G4" s="3" t="n"/>
    </ns0:row>
    <ns0:row r="5">
      <ns0:c r="A5" t="inlineStr">
        <ns0:is>
          <ns0:t>titania slag, 94% titanium dioxide</ns0:t>
        </ns0:is>
      </ns0:c>
      <ns0:c r="B5" t="n">
        <ns0:f>0.46*0.54</ns0:f>
        <ns0:v>0.24840000000000004</ns0:v>
      </ns0:c>
      <ns0:c r="C5" t="n">
        <ns0:v>0.45788</ns0:v>
      </ns0:c>
      <ns0:c r="D5" t="n">
        <ns0:f>B5*C5</ns0:f>
        <ns0:v>0.11373739200000002</ns0:v>
      </ns0:c>
      <ns0:c r="E5" t="n">
        <ns0:f>D5/SUM($D$3:$D$5)</ns0:f>
        <ns0:v>0.2325959361830135</ns0:v>
      </ns0:c>
      <ns0:c r="G5" s="3" t="n">
        <ns0:f>E5</ns0:f>
        <ns0:v>0.2325959361830135</ns0:v>
      </ns0:c>
    </ns0:row>
    <ns0:row r="6">
      <ns0:c r="B6" t="n">
        <ns0:f>SUM(B3:B5)</ns0:f>
        <ns0:v>1.38366</ns0:v>
      </ns0:c>
      <ns0:c r="G6" s="3" t="n"/>
    </ns0:row>
  </ns0:sheetData>
  <ns0:pageMargins left="0.7" right="0.7" top="0.75" bottom="0.75" header="0.3" footer="0.3"/>
</ns0:worksheet>
</file>

<file path=xl/worksheets/sheet4.xml><?xml version="1.0" encoding="utf-8"?>
<ns0:worksheet xmlns:ns0="http://schemas.openxmlformats.org/spreadsheetml/2006/main">
  <ns0:sheetPr>
    <ns0:outlinePr summaryBelow="1" summaryRight="1"/>
    <ns0:pageSetUpPr/>
  </ns0:sheetPr>
  <ns0:dimension ref="A1:B16"/>
  <ns0:sheetViews>
    <ns0:sheetView workbookViewId="0">
      <ns0:selection activeCell="A1" sqref="A1"/>
    </ns0:sheetView>
  </ns0:sheetViews>
  <ns0:sheetFormatPr baseColWidth="8" defaultRowHeight="15"/>
  <ns0:cols>
    <ns0:col width="40" customWidth="1" min="1" max="1"/>
    <ns0:col width="110" customWidth="1" min="2" max="2"/>
  </ns0:cols>
  <ns0:sheetData>
    <ns0:row r="1">
      <ns0:c r="A1" t="inlineStr">
        <ns0:is>
          <ns0:t>skip</ns0:t>
        </ns0:is>
      </ns0:c>
    </ns0:row>
    <ns0:row r="2">
      <ns0:c r="A2" t="inlineStr">
        <ns0:is>
          <ns0:t>Method</ns0:t>
        </ns0:is>
      </ns0:c>
      <ns0:c r="B2" t="inlineStr">
        <ns0:is>
          <ns0:t>Attributional allocation; product-specific metal resources assigned by element</ns0:t>
        </ns0:is>
      </ns0:c>
    </ns0:row>
    <ns0:row r="3">
      <ns0:c r="A3" t="inlineStr">
        <ns0:is>
          <ns0:t>Mining share, magnetite</ns0:t>
        </ns0:is>
      </ns0:c>
      <ns0:c r="B3" t="n">
        <ns0:v>0.5868558156610613</ns0:v>
      </ns0:c>
    </ns0:row>
    <ns0:row r="4">
      <ns0:c r="A4" t="inlineStr">
        <ns0:is>
          <ns0:t>Mining share, ilmenite</ns0:t>
        </ns0:is>
      </ns0:c>
      <ns0:c r="B4" t="n">
        <ns0:v>0.4131441843389387</ns0:v>
      </ns0:c>
    </ns0:row>
    <ns0:row r="5">
      <ns0:c r="A5" t="inlineStr">
        <ns0:is>
          <ns0:t>Magnetite price EUR2005/kg</ns0:t>
        </ns0:is>
      </ns0:c>
      <ns0:c r="B5" t="n">
        <ns0:v>0.075168516669567</ns0:v>
      </ns0:c>
    </ns0:row>
    <ns0:row r="6">
      <ns0:c r="A6" t="inlineStr">
        <ns0:is>
          <ns0:t>Ilmenite price EUR2005/kg</ns0:t>
        </ns0:is>
      </ns0:c>
      <ns0:c r="B6" t="n">
        <ns0:v>0.176011</ns0:v>
      </ns0:c>
    </ns0:row>
    <ns0:row r="7">
      <ns0:c r="A7" t="inlineStr">
        <ns0:is>
          <ns0:t>Mining price source</ns0:t>
        </ns0:is>
      </ns0:c>
      <ns0:c r="B7" t="inlineStr">
        <ns0:is>
          <ns0:t>ecoinvent 3.12 cut-off, ilmenite - magnetite mine operation, GLO, production-exchange price properties</ns0:t>
        </ns0:is>
      </ns0:c>
    </ns0:row>
    <ns0:row r="8">
      <ns0:c r="A8" t="inlineStr">
        <ns0:is>
          <ns0:t>Mining proxy limitation</ns0:t>
        </ns0:is>
      </ns0:c>
      <ns0:c r="B8" t="inlineStr">
        <ns0:is>
          <ns0:t>Ordinary magnetite price used for V-bearing magnetite; no vanadium premium. Original 77/23 sheet is historical and is not used.</ns0:t>
        </ns0:is>
      </ns0:c>
    </ns0:row>
    <ns0:row r="9">
      <ns0:c r="A9" t="inlineStr">
        <ns0:is>
          <ns0:t>Refinery share, V2O5</ns0:t>
        </ns0:is>
      </ns0:c>
      <ns0:c r="B9" t="n">
        <ns0:v>0.9892802450229708</ns0:v>
      </ns0:c>
    </ns0:row>
    <ns0:row r="10">
      <ns0:c r="A10" t="inlineStr">
        <ns0:is>
          <ns0:t>Refinery share, sodium sulfate</ns0:t>
        </ns0:is>
      </ns0:c>
      <ns0:c r="B10" t="n">
        <ns0:v>0.01071975497702915</ns0:v>
      </ns0:c>
    </ns0:row>
    <ns0:row r="11">
      <ns0:c r="A11" t="inlineStr">
        <ns0:is>
          <ns0:t>V2O5 price USD2010/lb</ns0:t>
        </ns0:is>
      </ns0:c>
      <ns0:c r="B11" t="n">
        <ns0:v>6.46</ns0:v>
      </ns0:c>
    </ns0:row>
    <ns0:row r="12">
      <ns0:c r="A12" t="inlineStr">
        <ns0:is>
          <ns0:t>Sodium sulfate price USD2010/short ton</ns0:t>
        </ns0:is>
      </ns0:c>
      <ns0:c r="B12" t="n">
        <ns0:v>140</ns0:v>
      </ns0:c>
    </ns0:row>
    <ns0:row r="13">
      <ns0:c r="A13" t="inlineStr">
        <ns0:is>
          <ns0:t>V2O5 price source</ns0:t>
        </ns0:is>
      </ns0:c>
      <ns0:c r="B13" t="inlineStr">
        <ns0:is>
          <ns0:t>https://d9-wret.s3.us-west-2.amazonaws.com/assets/palladium/production/mineral-pubs/vanadium/mcs-2014-vanad.pdf</ns0:t>
        </ns0:is>
      </ns0:c>
    </ns0:row>
    <ns0:row r="14">
      <ns0:c r="A14" t="inlineStr">
        <ns0:is>
          <ns0:t>Sodium sulfate price source</ns0:t>
        </ns0:is>
      </ns0:c>
      <ns0:c r="B14" t="inlineStr">
        <ns0:is>
          <ns0:t>https://d9-wret.s3.us-west-2.amazonaws.com/assets/palladium/production/mineral-pubs/sodium-sulfate/mcs-2011-nasul.pdf</ns0:t>
        </ns0:is>
      </ns0:c>
    </ns0:row>
    <ns0:row r="15">
      <ns0:c r="A15" t="inlineStr">
        <ns0:is>
          <ns0:t>Steel/slag allocation</ns0:t>
        </ns0:is>
      </ns0:c>
      <ns0:c r="B15" t="inlineStr">
        <ns0:is>
          <ns0:t>Original 50% retained; normalize 0.1226 kg accounting output to 1 kg V2O5 contained in slag.</ns0:t>
        </ns0:is>
      </ns0:c>
    </ns0:row>
    <ns0:row r="16">
      <ns0:c r="A16" t="inlineStr">
        <ns0:is>
          <ns0:t>Limitation</ns0:t>
        </ns0:is>
      </ns0:c>
      <ns0:c r="B16" t="inlineStr">
        <ns0:is>
          <ns0:t>Published ore-to-slag vanadium yields are inconsistent; this correction resolves allocation/substitution and normalization, not the source metallurgical balance.</ns0:t>
        </ns0:is>
      </ns0:c>
    </ns0:row>
  </ns0:sheetData>
  <ns0:pageMargins left="0.75" right="0.75" top="1" bottom="1" header="0.5" footer="0.5"/>
</ns0: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Sacchi Romain</dc:creator>
  <dcterms:created xmlns:dcterms="http://purl.org/dc/terms/" xmlns:xsi="http://www.w3.org/2001/XMLSchema-instance" xsi:type="dcterms:W3CDTF">2021-12-06T10:43:53Z</dcterms:created>
  <dcterms:modified xmlns:dcterms="http://purl.org/dc/terms/" xmlns:xsi="http://www.w3.org/2001/XMLSchema-instance" xsi:type="dcterms:W3CDTF">2026-10-07T11:49:45Z</dcterms:modified>
  <cp:lastModifiedBy>Romain Sacchi</cp:lastModifiedBy>
</cp:coreProperties>
</file>