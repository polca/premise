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680" yWindow="1140" windowWidth="25800" windowHeight="18880" tabRatio="600" firstSheet="0" activeTab="0" autoFilterDateGrouping="1"/>
  </bookViews>
  <sheets>
    <sheet xmlns:r="http://schemas.openxmlformats.org/officeDocument/2006/relationships" name="Sheet1" sheetId="1" state="visible" r:id="rId1"/>
    <sheet xmlns:r="http://schemas.openxmlformats.org/officeDocument/2006/relationships" name="vanadium" sheetId="2" state="visible" r:id="rId2"/>
    <sheet xmlns:r="http://schemas.openxmlformats.org/officeDocument/2006/relationships" name="Allocation titanium-vanadium" sheetId="3" state="visible" r:id="rId3"/>
  </sheets>
  <definedNames>
    <definedName name="_xlnm._FilterDatabase" localSheetId="0" hidden="1">'Sheet1'!$A$1:$T$518</definedName>
    <definedName name="_xlnm._FilterDatabase" localSheetId="1" hidden="1">'vanadium'!$A$4:$I$273</definedName>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color theme="1"/>
      <sz val="12"/>
      <scheme val="minor"/>
    </font>
    <font>
      <name val="Calibri"/>
      <family val="2"/>
      <b val="1"/>
      <color theme="1"/>
      <sz val="11"/>
      <scheme val="minor"/>
    </font>
    <font>
      <name val="Calibri"/>
      <family val="2"/>
      <color theme="1"/>
      <sz val="11"/>
      <scheme val="minor"/>
    </font>
    <font>
      <name val="Calibri"/>
      <family val="2"/>
      <i val="1"/>
      <color theme="1"/>
      <sz val="11"/>
      <scheme val="minor"/>
    </font>
  </fonts>
  <fills count="2">
    <fill>
      <patternFill/>
    </fill>
    <fill>
      <patternFill patternType="gray125"/>
    </fill>
  </fills>
  <borders count="1">
    <border>
      <left/>
      <right/>
      <top/>
      <bottom/>
      <diagonal/>
    </border>
  </borders>
  <cellStyleXfs count="4">
    <xf numFmtId="0" fontId="3" fillId="0" borderId="0"/>
    <xf numFmtId="0" fontId="1" fillId="0" borderId="0"/>
    <xf numFmtId="9" fontId="1" fillId="0" borderId="0"/>
    <xf numFmtId="9" fontId="3" fillId="0" borderId="0"/>
  </cellStyleXfs>
  <cellXfs count="5">
    <xf numFmtId="0" fontId="0" fillId="0" borderId="0" pivotButton="0" quotePrefix="0" xfId="0"/>
    <xf numFmtId="0" fontId="2" fillId="0" borderId="0" pivotButton="0" quotePrefix="0" xfId="0"/>
    <xf numFmtId="0" fontId="0" fillId="0" borderId="0" applyAlignment="1" pivotButton="0" quotePrefix="0" xfId="0">
      <alignment vertical="center" wrapText="1"/>
    </xf>
    <xf numFmtId="9" fontId="0" fillId="0" borderId="0" pivotButton="0" quotePrefix="0" xfId="3"/>
    <xf numFmtId="11" fontId="0" fillId="0" borderId="0" pivotButton="0" quotePrefix="0" xfId="0"/>
  </cellXfs>
  <cellStyles count="4">
    <cellStyle name="Normal" xfId="0" builtinId="0"/>
    <cellStyle name="Normal 2" xfId="1"/>
    <cellStyle name="Per cent 2" xfId="2"/>
    <cellStyle name="Per 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518"/>
  <sheetViews>
    <sheetView tabSelected="1" topLeftCell="A377" workbookViewId="0">
      <selection activeCell="B414" sqref="B414"/>
    </sheetView>
  </sheetViews>
  <sheetFormatPr baseColWidth="10" defaultColWidth="8.83203125" defaultRowHeight="15"/>
  <cols>
    <col width="54.5" customWidth="1" min="1" max="1"/>
    <col width="12" bestFit="1" customWidth="1" min="2" max="2"/>
    <col width="36.5" customWidth="1" min="3" max="3"/>
    <col width="29.5" bestFit="1" customWidth="1" min="6" max="6"/>
  </cols>
  <sheetData>
    <row r="1">
      <c r="A1" t="inlineStr">
        <is>
          <t>Database</t>
        </is>
      </c>
      <c r="B1" t="inlineStr">
        <is>
          <t>vanadium</t>
        </is>
      </c>
    </row>
    <row r="2">
      <c r="A2" t="inlineStr">
        <is>
          <t>format</t>
        </is>
      </c>
      <c r="B2" t="inlineStr">
        <is>
          <t>Excel</t>
        </is>
      </c>
    </row>
    <row r="3"/>
    <row r="4">
      <c r="A4" s="1" t="inlineStr">
        <is>
          <t>Activity</t>
        </is>
      </c>
      <c r="B4" s="1" t="inlineStr">
        <is>
          <t>vanadium pentoxide production</t>
        </is>
      </c>
    </row>
    <row r="5">
      <c r="A5" t="inlineStr">
        <is>
          <t>comment</t>
        </is>
      </c>
      <c r="B5" t="inlineStr">
        <is>
          <t>Source: Weber et al. (2018). Life cycle assessment of a vanadium redox flow battery. Environmental science &amp; technology, 52(18), 10864-10873. https://doi.org/10.1021/acs.est.8b02073</t>
        </is>
      </c>
    </row>
    <row r="6">
      <c r="A6" t="inlineStr">
        <is>
          <t>location</t>
        </is>
      </c>
      <c r="B6" t="inlineStr">
        <is>
          <t>ZA</t>
        </is>
      </c>
    </row>
    <row r="7">
      <c r="A7" t="inlineStr">
        <is>
          <t>reference product</t>
        </is>
      </c>
      <c r="B7" t="inlineStr">
        <is>
          <t>vanadium pentoxide</t>
        </is>
      </c>
    </row>
    <row r="8">
      <c r="A8" t="inlineStr">
        <is>
          <t>type</t>
        </is>
      </c>
      <c r="B8" t="inlineStr">
        <is>
          <t>process</t>
        </is>
      </c>
    </row>
    <row r="9">
      <c r="A9" t="inlineStr">
        <is>
          <t>unit</t>
        </is>
      </c>
      <c r="B9" t="inlineStr">
        <is>
          <t>kilogram</t>
        </is>
      </c>
    </row>
    <row r="10">
      <c r="A10" t="inlineStr">
        <is>
          <t>source</t>
        </is>
      </c>
      <c r="B10" t="inlineStr">
        <is>
          <t>Originally from Weber et al. (2018). Life cycle assessment of a vanadium redox flow battery. Environmental science &amp; technology, 52(18), 10864-10873. https://doi.org/10.1021/acs.est.8b02073</t>
        </is>
      </c>
    </row>
    <row r="11">
      <c r="A11" s="1" t="inlineStr">
        <is>
          <t>Exchanges</t>
        </is>
      </c>
    </row>
    <row r="12">
      <c r="A12" t="inlineStr">
        <is>
          <t>name</t>
        </is>
      </c>
      <c r="B12" t="inlineStr">
        <is>
          <t>amount</t>
        </is>
      </c>
      <c r="C12" t="inlineStr">
        <is>
          <t>location</t>
        </is>
      </c>
      <c r="D12" t="inlineStr">
        <is>
          <t>unit</t>
        </is>
      </c>
      <c r="E12" t="inlineStr">
        <is>
          <t>categories</t>
        </is>
      </c>
      <c r="F12" t="inlineStr">
        <is>
          <t>type</t>
        </is>
      </c>
      <c r="G12" t="inlineStr">
        <is>
          <t>reference product</t>
        </is>
      </c>
    </row>
    <row r="13">
      <c r="A13" t="inlineStr">
        <is>
          <t>Carbon dioxide, fossil</t>
        </is>
      </c>
      <c r="B13" t="n">
        <v>0.16</v>
      </c>
      <c r="D13" t="inlineStr">
        <is>
          <t>kilogram</t>
        </is>
      </c>
      <c r="E13" t="inlineStr">
        <is>
          <t>air</t>
        </is>
      </c>
      <c r="F13" t="inlineStr">
        <is>
          <t>biosphere</t>
        </is>
      </c>
    </row>
    <row r="14">
      <c r="A14" t="inlineStr">
        <is>
          <t>Oxygen</t>
        </is>
      </c>
      <c r="B14" t="n">
        <v>0.0564</v>
      </c>
      <c r="D14" t="inlineStr">
        <is>
          <t>kilogram</t>
        </is>
      </c>
      <c r="E14" t="inlineStr">
        <is>
          <t>air</t>
        </is>
      </c>
      <c r="F14" t="inlineStr">
        <is>
          <t>biosphere</t>
        </is>
      </c>
    </row>
    <row r="15">
      <c r="A15" t="inlineStr">
        <is>
          <t>Sulfur dioxide</t>
        </is>
      </c>
      <c r="B15" t="n">
        <v>0.23</v>
      </c>
      <c r="D15" t="inlineStr">
        <is>
          <t>kilogram</t>
        </is>
      </c>
      <c r="E15" t="inlineStr">
        <is>
          <t>air</t>
        </is>
      </c>
      <c r="F15" t="inlineStr">
        <is>
          <t>biosphere</t>
        </is>
      </c>
    </row>
    <row r="16">
      <c r="A16" t="inlineStr">
        <is>
          <t>Transformation, from dump site, slag compartment</t>
        </is>
      </c>
      <c r="B16" t="n">
        <v>0.47</v>
      </c>
      <c r="D16" t="inlineStr">
        <is>
          <t>square meter</t>
        </is>
      </c>
      <c r="E16" t="inlineStr">
        <is>
          <t>natural resource::land</t>
        </is>
      </c>
      <c r="F16" t="inlineStr">
        <is>
          <t>biosphere</t>
        </is>
      </c>
    </row>
    <row r="17">
      <c r="A17" t="inlineStr">
        <is>
          <t>Water</t>
        </is>
      </c>
      <c r="B17" t="n">
        <v>8.449999999999999e-05</v>
      </c>
      <c r="D17" t="inlineStr">
        <is>
          <t>cubic meter</t>
        </is>
      </c>
      <c r="E17" t="inlineStr">
        <is>
          <t>air</t>
        </is>
      </c>
      <c r="F17" t="inlineStr">
        <is>
          <t>biosphere</t>
        </is>
      </c>
    </row>
    <row r="18">
      <c r="A18" t="inlineStr">
        <is>
          <t>vanadium pentoxide production</t>
        </is>
      </c>
      <c r="B18" t="n">
        <v>1</v>
      </c>
      <c r="C18" t="inlineStr">
        <is>
          <t>ZA</t>
        </is>
      </c>
      <c r="D18" t="inlineStr">
        <is>
          <t>kilogram</t>
        </is>
      </c>
      <c r="F18" t="inlineStr">
        <is>
          <t>production</t>
        </is>
      </c>
      <c r="G18" t="inlineStr">
        <is>
          <t>vanadium pentoxide</t>
        </is>
      </c>
    </row>
    <row r="19">
      <c r="A19" t="inlineStr">
        <is>
          <t>market for sodium sulfate, anhydrite</t>
        </is>
      </c>
      <c r="B19" t="n">
        <v>-0.5</v>
      </c>
      <c r="C19" t="inlineStr">
        <is>
          <t>RoW</t>
        </is>
      </c>
      <c r="D19" t="inlineStr">
        <is>
          <t>kilogram</t>
        </is>
      </c>
      <c r="F19" t="inlineStr">
        <is>
          <t>technosphere</t>
        </is>
      </c>
      <c r="G19" t="inlineStr">
        <is>
          <t>sodium sulfate, anhydrite</t>
        </is>
      </c>
    </row>
    <row r="20">
      <c r="A20" t="inlineStr">
        <is>
          <t>market for iron scrap, unsorted</t>
        </is>
      </c>
      <c r="B20" t="n">
        <v>-0.065</v>
      </c>
      <c r="C20" t="inlineStr">
        <is>
          <t>GLO</t>
        </is>
      </c>
      <c r="D20" t="inlineStr">
        <is>
          <t>kilogram</t>
        </is>
      </c>
      <c r="F20" t="inlineStr">
        <is>
          <t>technosphere</t>
        </is>
      </c>
      <c r="G20" t="inlineStr">
        <is>
          <t>iron scrap, unsorted</t>
        </is>
      </c>
    </row>
    <row r="21">
      <c r="A21" t="inlineStr">
        <is>
          <t>market for ammonium sulfate</t>
        </is>
      </c>
      <c r="B21" t="n">
        <v>0.31</v>
      </c>
      <c r="C21" t="inlineStr">
        <is>
          <t>RoW</t>
        </is>
      </c>
      <c r="D21" t="inlineStr">
        <is>
          <t>kilogram</t>
        </is>
      </c>
      <c r="F21" t="inlineStr">
        <is>
          <t>technosphere</t>
        </is>
      </c>
      <c r="G21" t="inlineStr">
        <is>
          <t>ammonium sulfate</t>
        </is>
      </c>
    </row>
    <row r="22">
      <c r="A22" t="inlineStr">
        <is>
          <t>market for electricity, medium voltage</t>
        </is>
      </c>
      <c r="B22" t="n">
        <v>0.2</v>
      </c>
      <c r="C22" t="inlineStr">
        <is>
          <t>ZA</t>
        </is>
      </c>
      <c r="D22" t="inlineStr">
        <is>
          <t>kilowatt hour</t>
        </is>
      </c>
      <c r="F22" t="inlineStr">
        <is>
          <t>technosphere</t>
        </is>
      </c>
      <c r="G22" t="inlineStr">
        <is>
          <t>electricity, medium voltage</t>
        </is>
      </c>
    </row>
    <row r="23">
      <c r="A23" t="inlineStr">
        <is>
          <t>market for soda ash, dense</t>
        </is>
      </c>
      <c r="B23" t="n">
        <v>0.37</v>
      </c>
      <c r="C23" t="inlineStr">
        <is>
          <t>GLO</t>
        </is>
      </c>
      <c r="D23" t="inlineStr">
        <is>
          <t>kilogram</t>
        </is>
      </c>
      <c r="F23" t="inlineStr">
        <is>
          <t>technosphere</t>
        </is>
      </c>
      <c r="G23" t="inlineStr">
        <is>
          <t>soda ash, dense</t>
        </is>
      </c>
    </row>
    <row r="24">
      <c r="A24" t="inlineStr">
        <is>
          <t>market for sodium sulfate, anhydrite</t>
        </is>
      </c>
      <c r="B24" t="n">
        <v>0.5</v>
      </c>
      <c r="C24" t="inlineStr">
        <is>
          <t>RER</t>
        </is>
      </c>
      <c r="D24" t="inlineStr">
        <is>
          <t>kilogram</t>
        </is>
      </c>
      <c r="F24" t="inlineStr">
        <is>
          <t>technosphere</t>
        </is>
      </c>
      <c r="G24" t="inlineStr">
        <is>
          <t>sodium sulfate, anhydrite</t>
        </is>
      </c>
    </row>
    <row r="25">
      <c r="A25" t="inlineStr">
        <is>
          <t>market for sulfuric acid</t>
        </is>
      </c>
      <c r="B25" t="n">
        <v>0.46</v>
      </c>
      <c r="C25" t="inlineStr">
        <is>
          <t>RoW</t>
        </is>
      </c>
      <c r="D25" t="inlineStr">
        <is>
          <t>kilogram</t>
        </is>
      </c>
      <c r="F25" t="inlineStr">
        <is>
          <t>technosphere</t>
        </is>
      </c>
      <c r="G25" t="inlineStr">
        <is>
          <t>sulfuric acid</t>
        </is>
      </c>
    </row>
    <row r="26">
      <c r="A26" t="inlineStr">
        <is>
          <t>market for transport, freight, lorry, unspecified</t>
        </is>
      </c>
      <c r="B26" t="n">
        <v>0.0771</v>
      </c>
      <c r="C26" t="inlineStr">
        <is>
          <t>RER</t>
        </is>
      </c>
      <c r="D26" t="inlineStr">
        <is>
          <t>ton kilometer</t>
        </is>
      </c>
      <c r="F26" t="inlineStr">
        <is>
          <t>technosphere</t>
        </is>
      </c>
      <c r="G26" t="inlineStr">
        <is>
          <t>transport, freight, lorry, unspecified</t>
        </is>
      </c>
    </row>
    <row r="27">
      <c r="A27" t="inlineStr">
        <is>
          <t>market for water, deionised</t>
        </is>
      </c>
      <c r="B27" t="n">
        <v>3.16</v>
      </c>
      <c r="C27" t="inlineStr">
        <is>
          <t>Europe without Switzerland</t>
        </is>
      </c>
      <c r="D27" t="inlineStr">
        <is>
          <t>kilogram</t>
        </is>
      </c>
      <c r="F27" t="inlineStr">
        <is>
          <t>technosphere</t>
        </is>
      </c>
      <c r="G27" t="inlineStr">
        <is>
          <t>water, deionised</t>
        </is>
      </c>
    </row>
    <row r="28">
      <c r="A28" t="inlineStr">
        <is>
          <t>market group for heat, district or industrial, natural gas</t>
        </is>
      </c>
      <c r="B28" t="n">
        <v>0.93</v>
      </c>
      <c r="C28" t="inlineStr">
        <is>
          <t>GLO</t>
        </is>
      </c>
      <c r="D28" t="inlineStr">
        <is>
          <t>megajoule</t>
        </is>
      </c>
      <c r="F28" t="inlineStr">
        <is>
          <t>technosphere</t>
        </is>
      </c>
      <c r="G28" t="inlineStr">
        <is>
          <t>heat, district or industrial, natural gas</t>
        </is>
      </c>
    </row>
    <row r="29">
      <c r="A29" t="inlineStr">
        <is>
          <t>market group for transport, freight train</t>
        </is>
      </c>
      <c r="B29" t="n">
        <v>0.46</v>
      </c>
      <c r="C29" t="inlineStr">
        <is>
          <t>GLO</t>
        </is>
      </c>
      <c r="D29" t="inlineStr">
        <is>
          <t>ton kilometer</t>
        </is>
      </c>
      <c r="F29" t="inlineStr">
        <is>
          <t>technosphere</t>
        </is>
      </c>
      <c r="G29" t="inlineStr">
        <is>
          <t>transport, freight train</t>
        </is>
      </c>
    </row>
    <row r="30">
      <c r="A30" t="inlineStr">
        <is>
          <t>market group for transport, freight, lorry, unspecified</t>
        </is>
      </c>
      <c r="B30" t="n">
        <v>0.0771</v>
      </c>
      <c r="C30" t="inlineStr">
        <is>
          <t>GLO</t>
        </is>
      </c>
      <c r="D30" t="inlineStr">
        <is>
          <t>ton kilometer</t>
        </is>
      </c>
      <c r="F30" t="inlineStr">
        <is>
          <t>technosphere</t>
        </is>
      </c>
      <c r="G30" t="inlineStr">
        <is>
          <t>transport, freight, lorry, unspecified</t>
        </is>
      </c>
    </row>
    <row r="31">
      <c r="A31" t="inlineStr">
        <is>
          <t>treatment of spent solvent mixture, hazardous waste incineration, with energy recovery</t>
        </is>
      </c>
      <c r="B31" t="n">
        <v>-0.06320000000000001</v>
      </c>
      <c r="C31" t="inlineStr">
        <is>
          <t>RoW</t>
        </is>
      </c>
      <c r="D31" t="inlineStr">
        <is>
          <t>kilogram</t>
        </is>
      </c>
      <c r="F31" t="inlineStr">
        <is>
          <t>technosphere</t>
        </is>
      </c>
      <c r="G31" t="inlineStr">
        <is>
          <t>spent solvent mixture</t>
        </is>
      </c>
    </row>
    <row r="32">
      <c r="A32" t="inlineStr">
        <is>
          <t>vanadium slag production</t>
        </is>
      </c>
      <c r="B32" t="n">
        <v>1.35</v>
      </c>
      <c r="C32" t="inlineStr">
        <is>
          <t>ZA</t>
        </is>
      </c>
      <c r="D32" t="inlineStr">
        <is>
          <t>kilogram</t>
        </is>
      </c>
      <c r="F32" t="inlineStr">
        <is>
          <t>technosphere</t>
        </is>
      </c>
      <c r="G32" t="inlineStr">
        <is>
          <t>vanadium slag</t>
        </is>
      </c>
    </row>
    <row r="33"/>
    <row r="34">
      <c r="A34" s="1" t="inlineStr">
        <is>
          <t>Activity</t>
        </is>
      </c>
      <c r="B34" s="1" t="inlineStr">
        <is>
          <t>vanadium pentoxide and unalloyed steel production</t>
        </is>
      </c>
    </row>
    <row r="35">
      <c r="A35" t="inlineStr">
        <is>
          <t>comment</t>
        </is>
      </c>
      <c r="B35" t="inlineStr">
        <is>
          <t>Source: Chen, S.Y., Fu, X.J., Chu, M.S., Liu, Z.G., Tang, J., 2015. Life cycle assessment of the comprehensive utilisation of vanadium titano-magnetite. J. Clean. Prod. 101, 122–128. https://doi.org/10.1016/j.jclepro.2015.03.076. Inventory provided by Zhang et al. (2024).</t>
        </is>
      </c>
    </row>
    <row r="36">
      <c r="A36" t="inlineStr">
        <is>
          <t>comment</t>
        </is>
      </c>
      <c r="B36" t="inlineStr">
        <is>
          <t xml:space="preserve">Update on 16th of March: pig iron input will only be from pig iron produced based on pellet and sinter iron production; change product amount and alllocation to: 1 kg unalloyed steel, 0.01926525 kg V2O5, 0.00319 kg cast iron. the allocation factors are unalloyed steel (0.552428457870102), V2O5 (0.443822080894567), cast iron (0.00374946123533111)
pig iron 0.074*0.86 kg =63.87 kg is from  "VT ore operation and beneficiation_V2O5" activity, and 0.796 is from "pig iron production_V2O5" activity. 
modeled based on data provided from Gao et al., 2015, this process produces three products: 1 kg unalloyed steel, 0.013145 kg V2O5, 0.002874 kg cast iron. the allocation factors are unalloyed steel (0.64), V2O5 (0.35), cast iron (0.1)
References:
Remus, R., Aguado-Monsonet, M. A., Roudier, S. &amp; Samcho, L. D. (2013). JRC reference report - Best available techniques (BAT) reference document for iron and steel production. Joint Research Centre - European Commission, Luxemboug.
Worldsteel (2010). Steel industry by-products. World Steel Association: Brussels, Belgium."
"Background:
This activity represents the production of primary steel (carbon; unalloyed) in a basic oxygen furnace (BOF), a discontinuous process involving the following steps: 1) pretreatment of hot metal (pig iron) from the blast furnace (desulphurisation, deslagging, etc.); 2) mixing of charge, weighing, transfer and reladling ; 3) oxidation in the BOF (decarburisation and oxidation of impurities); 4) secondary metallurgical treatment in a ladle furnace; and 5) casting (continuous and/or ingot).
Modelling approach:
Data on were mostly taken from the IPPC Best Available Technology report from the European Commission (Remus et al., 2013); note that where only data ranges were provided, the geometric mean of reported values was used here. The proportion of each by-product that is recycled internally (i.e. returned as an input to the process after it has been produced) is based on measured data from plants worldwide reported by worldsteel (2010): slag (including desulphurisation slag, BOF slag, slag from secondary metallurgy and slag from continuous casting), 14%; spittings, 100%; dust and sludge, 22%; and mill scale, 89%.
The ratio of pig iron to iron scrap inputs was based on average data from European steelmakers. The values were then adjusted to ensure Fe balance. This ratio is, however, highly variable among regions, globally, and the value used may not be representative of a) the average global situation or b) the situation in other regions. We advise caution when appliying these data elsewhere. 
Geography:  Data are taken from basic oxygen furnace plants across Europe and are considered representative of the average situation globally. 
Technology:  Represents average European technology; LD converter and secondary metallurgy
Time period:  Data are mostly compiled from reports published between 2005 and 2010 but are considered representative of modern operations. </t>
        </is>
      </c>
    </row>
    <row r="37">
      <c r="A37" t="inlineStr">
        <is>
          <t>location</t>
        </is>
      </c>
      <c r="B37" t="inlineStr">
        <is>
          <t>CN</t>
        </is>
      </c>
    </row>
    <row r="38">
      <c r="A38" t="inlineStr">
        <is>
          <t>reference product</t>
        </is>
      </c>
      <c r="B38" t="inlineStr">
        <is>
          <t>vanadium pentoxide and unalloyed steel</t>
        </is>
      </c>
    </row>
    <row r="39">
      <c r="A39" t="inlineStr">
        <is>
          <t>unit</t>
        </is>
      </c>
      <c r="B39" t="inlineStr">
        <is>
          <t>unit</t>
        </is>
      </c>
    </row>
    <row r="40">
      <c r="A40" t="inlineStr">
        <is>
          <t>source</t>
        </is>
      </c>
      <c r="B40" t="inlineStr">
        <is>
          <t>Inventory provided by Zhang et al. (2024). Originally from Weber et al. (2018). Life cycle assessment of a vanadium redox flow battery. Environmental science &amp; technology, 52(18), 10864-10873. https://doi.org/10.1021/acs.est.8b02073</t>
        </is>
      </c>
    </row>
    <row r="41">
      <c r="A41" s="1" t="inlineStr">
        <is>
          <t>Exchanges</t>
        </is>
      </c>
    </row>
    <row r="42">
      <c r="A42" s="1" t="inlineStr">
        <is>
          <t>name</t>
        </is>
      </c>
      <c r="B42" s="1" t="inlineStr">
        <is>
          <t>amount</t>
        </is>
      </c>
      <c r="C42" s="1" t="inlineStr">
        <is>
          <t>reference product</t>
        </is>
      </c>
      <c r="D42" s="1" t="inlineStr">
        <is>
          <t>location</t>
        </is>
      </c>
      <c r="E42" s="1" t="inlineStr">
        <is>
          <t>unit</t>
        </is>
      </c>
      <c r="F42" s="1" t="inlineStr">
        <is>
          <t>categories</t>
        </is>
      </c>
      <c r="G42" s="1" t="inlineStr">
        <is>
          <t>type</t>
        </is>
      </c>
      <c r="H42" s="1" t="inlineStr">
        <is>
          <t>formula</t>
        </is>
      </c>
      <c r="I42" s="1" t="inlineStr">
        <is>
          <t>uncertainty type</t>
        </is>
      </c>
      <c r="J42" s="1" t="inlineStr">
        <is>
          <t>loc</t>
        </is>
      </c>
      <c r="K42" s="1" t="inlineStr">
        <is>
          <t>scale</t>
        </is>
      </c>
      <c r="L42" s="1" t="inlineStr">
        <is>
          <t>comment</t>
        </is>
      </c>
      <c r="M42" s="1" t="inlineStr">
        <is>
          <t>production volume</t>
        </is>
      </c>
      <c r="N42" s="1" t="inlineStr">
        <is>
          <t>negative</t>
        </is>
      </c>
    </row>
    <row r="43">
      <c r="A43" t="inlineStr">
        <is>
          <t>Carbon dioxide, fossil</t>
        </is>
      </c>
      <c r="B43" t="n">
        <v>0.0627088510499116</v>
      </c>
      <c r="E43" t="inlineStr">
        <is>
          <t>kilogram</t>
        </is>
      </c>
      <c r="F43" t="inlineStr">
        <is>
          <t>air</t>
        </is>
      </c>
      <c r="G43" t="inlineStr">
        <is>
          <t>biosphere</t>
        </is>
      </c>
      <c r="H43" t="inlineStr">
        <is>
          <t>CO2</t>
        </is>
      </c>
      <c r="I43" t="n">
        <v>2</v>
      </c>
      <c r="J43">
        <f>LN(B43)</f>
        <v>-2.7692526762357526</v>
      </c>
      <c r="K43" t="n">
        <v>0.058309518948453</v>
      </c>
      <c r="L43" t="inlineStr">
        <is>
          <t>geometric mean of Remus et al. (2013) data range</t>
        </is>
      </c>
    </row>
    <row r="44">
      <c r="A44" t="inlineStr">
        <is>
          <t>Carbon monoxide, fossil</t>
        </is>
      </c>
      <c r="B44" t="n">
        <v>0.00168214149226514</v>
      </c>
      <c r="E44" t="inlineStr">
        <is>
          <t>kilogram</t>
        </is>
      </c>
      <c r="F44" t="inlineStr">
        <is>
          <t>air</t>
        </is>
      </c>
      <c r="G44" t="inlineStr">
        <is>
          <t>biosphere</t>
        </is>
      </c>
      <c r="H44" t="inlineStr">
        <is>
          <t>CO</t>
        </is>
      </c>
      <c r="I44" t="n">
        <v>2</v>
      </c>
      <c r="J44">
        <f>LN(B44)</f>
        <v>-6.3876875995275713</v>
      </c>
      <c r="K44" t="n">
        <v>0.8083316151184488</v>
      </c>
      <c r="L44" t="inlineStr">
        <is>
          <t>geometric mean of Remus et al. (2013) data range</t>
        </is>
      </c>
    </row>
    <row r="45">
      <c r="A45" t="inlineStr">
        <is>
          <t>Chromium III</t>
        </is>
      </c>
      <c r="B45" t="n">
        <v>2.73861278752583e-08</v>
      </c>
      <c r="E45" t="inlineStr">
        <is>
          <t>kilogram</t>
        </is>
      </c>
      <c r="F45" t="inlineStr">
        <is>
          <t>air</t>
        </is>
      </c>
      <c r="G45" t="inlineStr">
        <is>
          <t>biosphere</t>
        </is>
      </c>
      <c r="H45" t="inlineStr">
        <is>
          <t>Cr</t>
        </is>
      </c>
      <c r="I45" t="n">
        <v>2</v>
      </c>
      <c r="J45">
        <f>LN(B45)</f>
        <v>-17.413229233681232</v>
      </c>
      <c r="K45" t="n">
        <v>0.8083316151184488</v>
      </c>
      <c r="L45" t="inlineStr">
        <is>
          <t>geometric mean of Remus et al. (2013) data range</t>
        </is>
      </c>
    </row>
    <row r="46">
      <c r="A46" t="inlineStr">
        <is>
          <t>Copper ion</t>
        </is>
      </c>
      <c r="B46" t="n">
        <v>1.38684189611773e-07</v>
      </c>
      <c r="E46" t="inlineStr">
        <is>
          <t>kilogram</t>
        </is>
      </c>
      <c r="F46" t="inlineStr">
        <is>
          <t>air</t>
        </is>
      </c>
      <c r="G46" t="inlineStr">
        <is>
          <t>biosphere</t>
        </is>
      </c>
      <c r="H46" t="inlineStr">
        <is>
          <t>Cu</t>
        </is>
      </c>
      <c r="I46" t="n">
        <v>2</v>
      </c>
      <c r="J46">
        <f>LN(B46)</f>
        <v>-15.79106650594435</v>
      </c>
      <c r="K46" t="n">
        <v>0.8083316151184488</v>
      </c>
      <c r="L46" t="inlineStr">
        <is>
          <t>geometric mean of Remus et al. (2013) data range</t>
        </is>
      </c>
    </row>
    <row r="47">
      <c r="A47" t="inlineStr">
        <is>
          <t>Dioxins, measured as 2,3,7,8-tetrachlorodibenzo-p-dioxin</t>
        </is>
      </c>
      <c r="B47" t="n">
        <v>6.35767253010093e-14</v>
      </c>
      <c r="E47" t="inlineStr">
        <is>
          <t>kilogram</t>
        </is>
      </c>
      <c r="F47" t="inlineStr">
        <is>
          <t>air</t>
        </is>
      </c>
      <c r="G47" t="inlineStr">
        <is>
          <t>biosphere</t>
        </is>
      </c>
      <c r="H47" t="inlineStr">
        <is>
          <t>C12H4Cl4O2</t>
        </is>
      </c>
      <c r="I47" t="n">
        <v>2</v>
      </c>
      <c r="J47">
        <f>LN(B47)</f>
        <v>-30.386528945928902</v>
      </c>
      <c r="K47" t="n">
        <v>0.5508175741568164</v>
      </c>
      <c r="L47" t="inlineStr">
        <is>
          <t>geometric mean of Remus et al. (2013) data range</t>
        </is>
      </c>
    </row>
    <row r="48">
      <c r="A48" t="inlineStr">
        <is>
          <t>Heat, waste</t>
        </is>
      </c>
      <c r="B48" t="n">
        <v>0.204696179355145</v>
      </c>
      <c r="E48" t="inlineStr">
        <is>
          <t>megajoule</t>
        </is>
      </c>
      <c r="F48" t="inlineStr">
        <is>
          <t>air</t>
        </is>
      </c>
      <c r="G48" t="inlineStr">
        <is>
          <t>biosphere</t>
        </is>
      </c>
      <c r="I48" t="n">
        <v>2</v>
      </c>
      <c r="J48">
        <f>LN(B48)</f>
        <v>-1.5862284510951123</v>
      </c>
      <c r="K48" t="n">
        <v>0.30199337741083</v>
      </c>
      <c r="L48" t="inlineStr">
        <is>
          <t>Calculated from energy balanced model</t>
        </is>
      </c>
    </row>
    <row r="49">
      <c r="A49" t="inlineStr">
        <is>
          <t>Iron ion</t>
        </is>
      </c>
      <c r="B49" t="n">
        <v>4.115e-05</v>
      </c>
      <c r="E49" t="inlineStr">
        <is>
          <t>kilogram</t>
        </is>
      </c>
      <c r="F49" t="inlineStr">
        <is>
          <t>air</t>
        </is>
      </c>
      <c r="G49" t="inlineStr">
        <is>
          <t>biosphere</t>
        </is>
      </c>
      <c r="H49" t="inlineStr">
        <is>
          <t>Fe</t>
        </is>
      </c>
      <c r="I49" t="n">
        <v>2</v>
      </c>
      <c r="J49">
        <f>LN(B49)</f>
        <v>-10.098286630841196</v>
      </c>
      <c r="K49" t="n">
        <v>0.8373768566183329</v>
      </c>
      <c r="L49" t="inlineStr">
        <is>
          <t>geometric mean of Remus et al. (2013) data range</t>
        </is>
      </c>
    </row>
    <row r="50">
      <c r="A50" t="inlineStr">
        <is>
          <t>Lead II</t>
        </is>
      </c>
      <c r="B50" t="n">
        <v>4.08166632639171e-07</v>
      </c>
      <c r="E50" t="inlineStr">
        <is>
          <t>kilogram</t>
        </is>
      </c>
      <c r="F50" t="inlineStr">
        <is>
          <t>air</t>
        </is>
      </c>
      <c r="G50" t="inlineStr">
        <is>
          <t>biosphere</t>
        </is>
      </c>
      <c r="H50" t="inlineStr">
        <is>
          <t>Pb</t>
        </is>
      </c>
      <c r="I50" t="n">
        <v>2</v>
      </c>
      <c r="J50">
        <f>LN(B50)</f>
        <v>-14.711590332588971</v>
      </c>
      <c r="K50" t="n">
        <v>0.8083316151184488</v>
      </c>
      <c r="L50" t="inlineStr">
        <is>
          <t>geometric mean of Remus et al. (2013) data range</t>
        </is>
      </c>
    </row>
    <row r="51">
      <c r="A51" t="inlineStr">
        <is>
          <t>Manganese II</t>
        </is>
      </c>
      <c r="B51" t="n">
        <v>6.84105255059483e-07</v>
      </c>
      <c r="E51" t="inlineStr">
        <is>
          <t>kilogram</t>
        </is>
      </c>
      <c r="F51" t="inlineStr">
        <is>
          <t>air</t>
        </is>
      </c>
      <c r="G51" t="inlineStr">
        <is>
          <t>biosphere</t>
        </is>
      </c>
      <c r="H51" t="inlineStr">
        <is>
          <t>Mn</t>
        </is>
      </c>
      <c r="I51" t="n">
        <v>2</v>
      </c>
      <c r="J51">
        <f>LN(B51)</f>
        <v>-14.195154049496519</v>
      </c>
      <c r="K51" t="n">
        <v>0.8083316151184488</v>
      </c>
      <c r="L51" t="inlineStr">
        <is>
          <t>geometric mean of Remus et al. (2013) data range</t>
        </is>
      </c>
    </row>
    <row r="52">
      <c r="A52" t="inlineStr">
        <is>
          <t>Nitrogen oxides</t>
        </is>
      </c>
      <c r="B52" t="n">
        <v>2.12367605815953e-05</v>
      </c>
      <c r="E52" t="inlineStr">
        <is>
          <t>kilogram</t>
        </is>
      </c>
      <c r="F52" t="inlineStr">
        <is>
          <t>air</t>
        </is>
      </c>
      <c r="G52" t="inlineStr">
        <is>
          <t>biosphere</t>
        </is>
      </c>
      <c r="H52" t="inlineStr">
        <is>
          <t>H3NO</t>
        </is>
      </c>
      <c r="I52" t="n">
        <v>2</v>
      </c>
      <c r="J52">
        <f>LN(B52)</f>
        <v>-10.759776888212935</v>
      </c>
      <c r="K52" t="n">
        <v>0.2083266665599966</v>
      </c>
      <c r="L52" t="inlineStr">
        <is>
          <t>geometric mean of Remus et al. (2013) data range</t>
        </is>
      </c>
    </row>
    <row r="53">
      <c r="A53" t="inlineStr">
        <is>
          <t>PAH, polycyclic aromatic hydrocarbons</t>
        </is>
      </c>
      <c r="B53" t="n">
        <v>1e-08</v>
      </c>
      <c r="E53" t="inlineStr">
        <is>
          <t>kilogram</t>
        </is>
      </c>
      <c r="F53" t="inlineStr">
        <is>
          <t>air</t>
        </is>
      </c>
      <c r="G53" t="inlineStr">
        <is>
          <t>biosphere</t>
        </is>
      </c>
      <c r="I53" t="n">
        <v>2</v>
      </c>
      <c r="J53">
        <f>LN(B53)</f>
        <v>-18.420680743952367</v>
      </c>
      <c r="K53" t="n">
        <v>0.5508175741568164</v>
      </c>
      <c r="L53" t="inlineStr">
        <is>
          <t>geometric mean of Remus et al. (2013) data range</t>
        </is>
      </c>
    </row>
    <row r="54">
      <c r="A54" t="inlineStr">
        <is>
          <t>Particulate Matter, &lt; 2.5 um</t>
        </is>
      </c>
      <c r="B54" t="n">
        <v>4.47437146423942e-05</v>
      </c>
      <c r="E54" t="inlineStr">
        <is>
          <t>kilogram</t>
        </is>
      </c>
      <c r="F54" t="inlineStr">
        <is>
          <t>air</t>
        </is>
      </c>
      <c r="G54" t="inlineStr">
        <is>
          <t>biosphere</t>
        </is>
      </c>
      <c r="I54" t="n">
        <v>2</v>
      </c>
      <c r="J54">
        <f>LN(B54)</f>
        <v>-10.014559578026692</v>
      </c>
      <c r="K54" t="n">
        <v>0.5508175741568164</v>
      </c>
      <c r="L54" t="inlineStr">
        <is>
          <t>geometric mean of Remus et al. (2013) data range</t>
        </is>
      </c>
    </row>
    <row r="55">
      <c r="A55" t="inlineStr">
        <is>
          <t>Water</t>
        </is>
      </c>
      <c r="B55" t="n">
        <v>0.00611840858706497</v>
      </c>
      <c r="E55" t="inlineStr">
        <is>
          <t>cubic meter</t>
        </is>
      </c>
      <c r="F55" t="inlineStr">
        <is>
          <t>air</t>
        </is>
      </c>
      <c r="G55" t="inlineStr">
        <is>
          <t>biosphere</t>
        </is>
      </c>
      <c r="H55" t="inlineStr">
        <is>
          <t>H2O</t>
        </is>
      </c>
      <c r="I55" t="n">
        <v>2</v>
      </c>
      <c r="J55">
        <f>LN(B55)</f>
        <v>-5.0964532510661167</v>
      </c>
      <c r="K55" t="n">
        <v>0.2066397831977183</v>
      </c>
      <c r="L55" t="inlineStr">
        <is>
          <t>Source: Classen et al. (2009)</t>
        </is>
      </c>
    </row>
    <row r="56">
      <c r="A56" t="inlineStr">
        <is>
          <t>Water, cooling, unspecified natural origin</t>
        </is>
      </c>
      <c r="B56" t="n">
        <v>0.00577581163127746</v>
      </c>
      <c r="E56" t="inlineStr">
        <is>
          <t>cubic meter</t>
        </is>
      </c>
      <c r="F56" t="inlineStr">
        <is>
          <t>natural resource::in water</t>
        </is>
      </c>
      <c r="G56" t="inlineStr">
        <is>
          <t>biosphere</t>
        </is>
      </c>
      <c r="H56" t="inlineStr">
        <is>
          <t>H2O</t>
        </is>
      </c>
      <c r="I56" t="n">
        <v>2</v>
      </c>
      <c r="J56">
        <f>LN(B56)</f>
        <v>-5.1540764902368643</v>
      </c>
      <c r="K56" t="n">
        <v>0.1232882800593795</v>
      </c>
      <c r="L56" t="inlineStr">
        <is>
          <t>geometric mean of Remus et al. (2013) data range</t>
        </is>
      </c>
    </row>
    <row r="57">
      <c r="A57" t="inlineStr">
        <is>
          <t>vanadium pentoxide and unalloyed steel production</t>
        </is>
      </c>
      <c r="B57" t="n">
        <v>1</v>
      </c>
      <c r="C57" t="inlineStr">
        <is>
          <t>vanadium pentoxide and unalloyed steel</t>
        </is>
      </c>
      <c r="D57" t="inlineStr">
        <is>
          <t>CN</t>
        </is>
      </c>
      <c r="E57" t="inlineStr">
        <is>
          <t>unit</t>
        </is>
      </c>
      <c r="G57" t="inlineStr">
        <is>
          <t>production</t>
        </is>
      </c>
      <c r="I57" t="n">
        <v>0</v>
      </c>
      <c r="J57" t="n">
        <v>1</v>
      </c>
      <c r="M57" t="n">
        <v>1137179252766.38</v>
      </c>
    </row>
    <row r="58">
      <c r="A58" t="inlineStr">
        <is>
          <t>market for blast furnace gas</t>
        </is>
      </c>
      <c r="B58" t="n">
        <v>-0.0199</v>
      </c>
      <c r="C58" t="inlineStr">
        <is>
          <t>blast furnace gas</t>
        </is>
      </c>
      <c r="D58" t="inlineStr">
        <is>
          <t>GLO</t>
        </is>
      </c>
      <c r="E58" t="inlineStr">
        <is>
          <t>megajoule</t>
        </is>
      </c>
      <c r="G58" t="inlineStr">
        <is>
          <t>technosphere</t>
        </is>
      </c>
    </row>
    <row r="59">
      <c r="A59" t="inlineStr">
        <is>
          <t>market for ammonium sulfate</t>
        </is>
      </c>
      <c r="B59" t="n">
        <v>0.001868</v>
      </c>
      <c r="C59" t="inlineStr">
        <is>
          <t>ammonium sulfate</t>
        </is>
      </c>
      <c r="D59" t="inlineStr">
        <is>
          <t>RoW</t>
        </is>
      </c>
      <c r="E59" t="inlineStr">
        <is>
          <t>kilogram</t>
        </is>
      </c>
      <c r="G59" t="inlineStr">
        <is>
          <t>technosphere</t>
        </is>
      </c>
    </row>
    <row r="60">
      <c r="A60" t="inlineStr">
        <is>
          <t>market for basic oxygen furnace dust</t>
        </is>
      </c>
      <c r="B60" t="n">
        <v>-0.008141829997365889</v>
      </c>
      <c r="C60" t="inlineStr">
        <is>
          <t>basic oxygen furnace dust</t>
        </is>
      </c>
      <c r="D60" t="inlineStr">
        <is>
          <t>IN</t>
        </is>
      </c>
      <c r="E60" t="inlineStr">
        <is>
          <t>kilogram</t>
        </is>
      </c>
      <c r="G60" t="inlineStr">
        <is>
          <t>technosphere</t>
        </is>
      </c>
      <c r="I60" t="n">
        <v>2</v>
      </c>
      <c r="J60">
        <f>LN(B60*-1)</f>
        <v>-4.8107403088336689</v>
      </c>
      <c r="K60" t="n">
        <v>0.06652067347825036</v>
      </c>
      <c r="L60" t="inlineStr">
        <is>
          <t>Amount reported by worldsteel (2010) and is representative of the average global situation in 2009. Also based on worldsteel (2010), an internal recovery (recycling) rate of 22% is assumed. Source: Worldsteel (2010). Steel industry by-products. World Steel Association: Brussels, Belgium.</t>
        </is>
      </c>
      <c r="N60" t="b">
        <v>1</v>
      </c>
    </row>
    <row r="61">
      <c r="A61" t="inlineStr">
        <is>
          <t>market for basic oxygen furnace dust</t>
        </is>
      </c>
      <c r="B61" t="n">
        <v>-0.0112541700026341</v>
      </c>
      <c r="C61" t="inlineStr">
        <is>
          <t>basic oxygen furnace dust</t>
        </is>
      </c>
      <c r="D61" t="inlineStr">
        <is>
          <t>RoW</t>
        </is>
      </c>
      <c r="E61" t="inlineStr">
        <is>
          <t>kilogram</t>
        </is>
      </c>
      <c r="G61" t="inlineStr">
        <is>
          <t>technosphere</t>
        </is>
      </c>
      <c r="I61" t="n">
        <v>2</v>
      </c>
      <c r="J61">
        <f>LN(B61*-1)</f>
        <v>-4.4870165521109033</v>
      </c>
      <c r="K61" t="n">
        <v>0.06652067347825036</v>
      </c>
      <c r="L61" t="inlineStr">
        <is>
          <t>Amount reported by worldsteel (2010) and is representative of the average global situation in 2009. Also based on worldsteel (2010), an internal recovery (recycling) rate of 22% is assumed. Source: Worldsteel (2010). Steel industry by-products. World Steel Association: Brussels, Belgium.</t>
        </is>
      </c>
      <c r="N61" t="b">
        <v>1</v>
      </c>
    </row>
    <row r="62">
      <c r="A62" t="inlineStr">
        <is>
          <t>market for basic oxygen furnace secondary metallurgy slag</t>
        </is>
      </c>
      <c r="B62" t="n">
        <v>-0.0003008</v>
      </c>
      <c r="C62" t="inlineStr">
        <is>
          <t>basic oxygen furnace secondary metallurgy slag</t>
        </is>
      </c>
      <c r="D62" t="inlineStr">
        <is>
          <t>RoW</t>
        </is>
      </c>
      <c r="E62" t="inlineStr">
        <is>
          <t>kilogram</t>
        </is>
      </c>
      <c r="G62" t="inlineStr">
        <is>
          <t>technosphere</t>
        </is>
      </c>
      <c r="I62" t="n">
        <v>2</v>
      </c>
      <c r="J62">
        <f>LN(B62*-1)</f>
        <v>-8.1090649658885887</v>
      </c>
      <c r="K62" t="n">
        <v>0.06652067347825036</v>
      </c>
      <c r="L62" t="inlineStr">
        <is>
          <t>Amount reported by worldsteel (2010) and is representative of the average global situation in 2009. Also based on worldsteel (2010), an internal recovery (recycling) rate of 14% is assumed. Source: Worldsteel (2010). Steel industry by-products. World Steel Association: Brussels, Belgium.</t>
        </is>
      </c>
      <c r="N62" t="b">
        <v>1</v>
      </c>
    </row>
    <row r="63">
      <c r="A63" t="inlineStr">
        <is>
          <t>market for basic oxygen furnace slag</t>
        </is>
      </c>
      <c r="B63" t="n">
        <v>-0.1048976</v>
      </c>
      <c r="C63" t="inlineStr">
        <is>
          <t>basic oxygen furnace slag</t>
        </is>
      </c>
      <c r="D63" t="inlineStr">
        <is>
          <t>RoW</t>
        </is>
      </c>
      <c r="E63" t="inlineStr">
        <is>
          <t>kilogram</t>
        </is>
      </c>
      <c r="G63" t="inlineStr">
        <is>
          <t>technosphere</t>
        </is>
      </c>
      <c r="I63" t="n">
        <v>2</v>
      </c>
      <c r="J63">
        <f>LN(B63*-1)</f>
        <v>-2.2547706427739289</v>
      </c>
      <c r="K63" t="n">
        <v>0.06652067347825036</v>
      </c>
      <c r="L63" t="inlineStr">
        <is>
          <t>Amount reported by worldsteel (2010) and is representative of the average global situation in 2009. Also based on worldsteel (2010), an internal recovery (recycling) rate of 14% is assumed. Source: Worldsteel (2010). Steel industry by-products. World Steel Association: Brussels, Belgium.</t>
        </is>
      </c>
      <c r="N63" t="b">
        <v>1</v>
      </c>
    </row>
    <row r="64">
      <c r="A64" t="inlineStr">
        <is>
          <t>market for basic oxygen furnace sludge</t>
        </is>
      </c>
      <c r="B64" t="n">
        <v>-0.0003008</v>
      </c>
      <c r="C64" t="inlineStr">
        <is>
          <t>basic oxygen furnace sludge</t>
        </is>
      </c>
      <c r="D64" t="inlineStr">
        <is>
          <t>RoW</t>
        </is>
      </c>
      <c r="E64" t="inlineStr">
        <is>
          <t>kilogram</t>
        </is>
      </c>
      <c r="G64" t="inlineStr">
        <is>
          <t>technosphere</t>
        </is>
      </c>
      <c r="I64" t="n">
        <v>2</v>
      </c>
      <c r="J64">
        <f>LN(B64*-1)</f>
        <v>-8.1090649658885887</v>
      </c>
      <c r="K64" t="n">
        <v>0.06652067347825036</v>
      </c>
      <c r="L64" t="inlineStr">
        <is>
          <t>Amount reported by worldsteel (2010) and is representative of the average global situation in 2009. Also based on worldsteel (2010), an internal recovery (recycling) rate of 22% is assumed. Source: Worldsteel (2010). Steel industry by-products. World Steel Association: Brussels, Belgium.</t>
        </is>
      </c>
      <c r="N64" t="b">
        <v>1</v>
      </c>
    </row>
    <row r="65">
      <c r="A65" t="inlineStr">
        <is>
          <t>market for blast oxygen furnace converter</t>
        </is>
      </c>
      <c r="B65" t="n">
        <v>1.3333e-11</v>
      </c>
      <c r="C65" t="inlineStr">
        <is>
          <t>blast oxygen furnace converter</t>
        </is>
      </c>
      <c r="D65" t="inlineStr">
        <is>
          <t>GLO</t>
        </is>
      </c>
      <c r="E65" t="inlineStr">
        <is>
          <t>unit</t>
        </is>
      </c>
      <c r="G65" t="inlineStr">
        <is>
          <t>technosphere</t>
        </is>
      </c>
      <c r="I65" t="n">
        <v>2</v>
      </c>
      <c r="J65">
        <f>LN(B65)</f>
        <v>-25.040778950795225</v>
      </c>
      <c r="K65" t="n">
        <v>0.7071067811865476</v>
      </c>
      <c r="L65" t="inlineStr">
        <is>
          <t>Source: Classen et al. (2009)</t>
        </is>
      </c>
    </row>
    <row r="66">
      <c r="A66" t="inlineStr">
        <is>
          <t>market for compressed air, 600 kPa gauge</t>
        </is>
      </c>
      <c r="B66" t="n">
        <v>0.014422205101856</v>
      </c>
      <c r="C66" t="inlineStr">
        <is>
          <t>compressed air, 600 kPa gauge</t>
        </is>
      </c>
      <c r="D66" t="inlineStr">
        <is>
          <t>RoW</t>
        </is>
      </c>
      <c r="E66" t="inlineStr">
        <is>
          <t>cubic meter</t>
        </is>
      </c>
      <c r="G66" t="inlineStr">
        <is>
          <t>technosphere</t>
        </is>
      </c>
      <c r="I66" t="n">
        <v>2</v>
      </c>
      <c r="J66">
        <f>LN(B66)</f>
        <v>-4.2389862391314752</v>
      </c>
      <c r="K66" t="n">
        <v>0.239165214862028</v>
      </c>
      <c r="L66" t="inlineStr">
        <is>
          <t>geometric mean of Remus et al. (2013) data range</t>
        </is>
      </c>
    </row>
    <row r="67">
      <c r="A67" t="inlineStr">
        <is>
          <t>market for ferromanganese, high-coal, 74.5% Mn</t>
        </is>
      </c>
      <c r="B67" t="n">
        <v>0.006</v>
      </c>
      <c r="C67" t="inlineStr">
        <is>
          <t>ferromanganese, high-coal, 74.5% Mn</t>
        </is>
      </c>
      <c r="D67" t="inlineStr">
        <is>
          <t>GLO</t>
        </is>
      </c>
      <c r="E67" t="inlineStr">
        <is>
          <t>kilogram</t>
        </is>
      </c>
      <c r="G67" t="inlineStr">
        <is>
          <t>technosphere</t>
        </is>
      </c>
      <c r="I67" t="n">
        <v>2</v>
      </c>
      <c r="J67">
        <f>LN(B67)</f>
        <v>-5.1159958097540823</v>
      </c>
      <c r="K67" t="n">
        <v>0.058309518948453</v>
      </c>
      <c r="L67" t="inlineStr">
        <is>
          <t>Source: Classen et al. (2009)</t>
        </is>
      </c>
    </row>
    <row r="68">
      <c r="A68" t="inlineStr">
        <is>
          <t>market for inert waste, for final disposal</t>
        </is>
      </c>
      <c r="B68" t="n">
        <v>-0.000565685</v>
      </c>
      <c r="C68" t="inlineStr">
        <is>
          <t>inert waste, for final disposal</t>
        </is>
      </c>
      <c r="D68" t="inlineStr">
        <is>
          <t>RoW</t>
        </is>
      </c>
      <c r="E68" t="inlineStr">
        <is>
          <t>kilogram</t>
        </is>
      </c>
      <c r="G68" t="inlineStr">
        <is>
          <t>technosphere</t>
        </is>
      </c>
      <c r="I68" t="n">
        <v>2</v>
      </c>
      <c r="J68">
        <f>LN(B68*-1)</f>
        <v>-7.4774731717878211</v>
      </c>
      <c r="K68" t="n">
        <v>0.06652067347825036</v>
      </c>
      <c r="L68" t="inlineStr">
        <is>
          <t>Represents used refractories, etc.</t>
        </is>
      </c>
      <c r="N68" t="b">
        <v>1</v>
      </c>
    </row>
    <row r="69">
      <c r="A69" t="inlineStr">
        <is>
          <t>market for mill scale</t>
        </is>
      </c>
      <c r="B69" t="n">
        <v>-6.63e-05</v>
      </c>
      <c r="C69" t="inlineStr">
        <is>
          <t>mill scale</t>
        </is>
      </c>
      <c r="D69" t="inlineStr">
        <is>
          <t>RoW</t>
        </is>
      </c>
      <c r="E69" t="inlineStr">
        <is>
          <t>kilogram</t>
        </is>
      </c>
      <c r="G69" t="inlineStr">
        <is>
          <t>technosphere</t>
        </is>
      </c>
      <c r="I69" t="n">
        <v>2</v>
      </c>
      <c r="J69">
        <f>LN(B69*-1)</f>
        <v>-9.621320660772458</v>
      </c>
      <c r="K69" t="n">
        <v>0.06652067347825036</v>
      </c>
      <c r="L69" t="inlineStr">
        <is>
          <t>Amount reported by worldsteel (2010) and is representative of the average global situation in 2009. Also based on worldsteel (2010), an internal recovery (recycling) rate of 89% is assumed. Source: Worldsteel (2010). Steel industry by-products. World Steel Association: Brussels, Belgium.</t>
        </is>
      </c>
      <c r="N69" t="b">
        <v>1</v>
      </c>
    </row>
    <row r="70">
      <c r="A70" t="inlineStr">
        <is>
          <t>market for oxygen, liquid</t>
        </is>
      </c>
      <c r="B70" t="n">
        <v>0.0780539963102467</v>
      </c>
      <c r="C70" t="inlineStr">
        <is>
          <t>oxygen, liquid</t>
        </is>
      </c>
      <c r="D70" t="inlineStr">
        <is>
          <t>RoW</t>
        </is>
      </c>
      <c r="E70" t="inlineStr">
        <is>
          <t>kilogram</t>
        </is>
      </c>
      <c r="G70" t="inlineStr">
        <is>
          <t>technosphere</t>
        </is>
      </c>
      <c r="I70" t="n">
        <v>2</v>
      </c>
      <c r="J70">
        <f>LN(B70)</f>
        <v>-2.5503544314064639</v>
      </c>
      <c r="K70" t="n">
        <v>0.058309518948453</v>
      </c>
      <c r="L70" t="inlineStr">
        <is>
          <t>geometric mean of Remus et al. (2013) data range</t>
        </is>
      </c>
    </row>
    <row r="71">
      <c r="A71" t="inlineStr">
        <is>
          <t>market for quicklime, in pieces, loose</t>
        </is>
      </c>
      <c r="B71" t="n">
        <v>0.0448330235429198</v>
      </c>
      <c r="C71" t="inlineStr">
        <is>
          <t>quicklime, in pieces, loose</t>
        </is>
      </c>
      <c r="D71" t="inlineStr">
        <is>
          <t>RoW</t>
        </is>
      </c>
      <c r="E71" t="inlineStr">
        <is>
          <t>kilogram</t>
        </is>
      </c>
      <c r="G71" t="inlineStr">
        <is>
          <t>technosphere</t>
        </is>
      </c>
      <c r="I71" t="n">
        <v>2</v>
      </c>
      <c r="J71">
        <f>LN(B71)</f>
        <v>-3.104810278455576</v>
      </c>
      <c r="K71" t="n">
        <v>0.058309518948453</v>
      </c>
      <c r="L71" t="inlineStr">
        <is>
          <t>geometric mean of Remus et al. (2013) data range</t>
        </is>
      </c>
    </row>
    <row r="72">
      <c r="A72" t="inlineStr">
        <is>
          <t>market for soda ash, dense</t>
        </is>
      </c>
      <c r="B72" t="n">
        <v>0.003569</v>
      </c>
      <c r="C72" t="inlineStr">
        <is>
          <t>soda ash, dense</t>
        </is>
      </c>
      <c r="D72" t="inlineStr">
        <is>
          <t>GLO</t>
        </is>
      </c>
      <c r="E72" t="inlineStr">
        <is>
          <t>kilogram</t>
        </is>
      </c>
      <c r="G72" t="inlineStr">
        <is>
          <t>technosphere</t>
        </is>
      </c>
    </row>
    <row r="73">
      <c r="A73" t="inlineStr">
        <is>
          <t>market for sodium sulfate, anhydrite</t>
        </is>
      </c>
      <c r="B73" t="n">
        <v>0.001389</v>
      </c>
      <c r="C73" t="inlineStr">
        <is>
          <t>sodium sulfate, anhydrite</t>
        </is>
      </c>
      <c r="D73" t="inlineStr">
        <is>
          <t>RoW</t>
        </is>
      </c>
      <c r="E73" t="inlineStr">
        <is>
          <t>kilogram</t>
        </is>
      </c>
      <c r="G73" t="inlineStr">
        <is>
          <t>technosphere</t>
        </is>
      </c>
    </row>
    <row r="74">
      <c r="A74" t="inlineStr">
        <is>
          <t>market for sulfuric acid</t>
        </is>
      </c>
      <c r="B74" t="n">
        <v>0.001653</v>
      </c>
      <c r="C74" t="inlineStr">
        <is>
          <t>sulfuric acid</t>
        </is>
      </c>
      <c r="D74" t="inlineStr">
        <is>
          <t>RoW</t>
        </is>
      </c>
      <c r="E74" t="inlineStr">
        <is>
          <t>kilogram</t>
        </is>
      </c>
      <c r="G74" t="inlineStr">
        <is>
          <t>technosphere</t>
        </is>
      </c>
    </row>
    <row r="75">
      <c r="A75" t="inlineStr">
        <is>
          <t>market for wastewater from pig iron production</t>
        </is>
      </c>
      <c r="B75" t="n">
        <v>-0.00134164078649987</v>
      </c>
      <c r="C75" t="inlineStr">
        <is>
          <t>wastewater from pig iron production</t>
        </is>
      </c>
      <c r="D75" t="inlineStr">
        <is>
          <t>RoW</t>
        </is>
      </c>
      <c r="E75" t="inlineStr">
        <is>
          <t>cubic meter</t>
        </is>
      </c>
      <c r="G75" t="inlineStr">
        <is>
          <t>technosphere</t>
        </is>
      </c>
      <c r="I75" t="n">
        <v>2</v>
      </c>
      <c r="J75">
        <f>LN(B75*-1)</f>
        <v>-6.6138619465310802</v>
      </c>
      <c r="K75" t="n">
        <v>0.30199337741083</v>
      </c>
      <c r="L75" t="inlineStr">
        <is>
          <t>geometric mean of Remus et al. (2013) data range</t>
        </is>
      </c>
      <c r="N75" t="b">
        <v>1</v>
      </c>
    </row>
    <row r="76">
      <c r="A76" t="inlineStr">
        <is>
          <t>market group for electricity, medium voltage</t>
        </is>
      </c>
      <c r="B76" t="n">
        <v>0.02086</v>
      </c>
      <c r="C76" t="inlineStr">
        <is>
          <t>electricity, medium voltage</t>
        </is>
      </c>
      <c r="D76" t="inlineStr">
        <is>
          <t>CN</t>
        </is>
      </c>
      <c r="E76" t="inlineStr">
        <is>
          <t>kilowatt hour</t>
        </is>
      </c>
      <c r="G76" t="inlineStr">
        <is>
          <t>technosphere</t>
        </is>
      </c>
    </row>
    <row r="77">
      <c r="A77" t="inlineStr">
        <is>
          <t>vanadium bearing magnetite production</t>
        </is>
      </c>
      <c r="B77" t="n">
        <v>0.86</v>
      </c>
      <c r="C77" t="inlineStr">
        <is>
          <t>vanadium bearing magnetite</t>
        </is>
      </c>
      <c r="D77" t="inlineStr">
        <is>
          <t>CN</t>
        </is>
      </c>
      <c r="E77" t="inlineStr">
        <is>
          <t>kilogram</t>
        </is>
      </c>
      <c r="G77" t="inlineStr">
        <is>
          <t>technosphere</t>
        </is>
      </c>
    </row>
    <row r="78"/>
    <row r="79">
      <c r="A79" s="1" t="inlineStr">
        <is>
          <t>Activity</t>
        </is>
      </c>
      <c r="B79" s="1" t="inlineStr">
        <is>
          <t>vanadium pentoxide bearing cast iron, production</t>
        </is>
      </c>
    </row>
    <row r="80">
      <c r="A80" t="inlineStr">
        <is>
          <t>comment</t>
        </is>
      </c>
      <c r="B80" t="inlineStr">
        <is>
          <t>Source: Weber et al. (2018). Life cycle assessment of a vanadium redox flow battery. Environmental science &amp; technology, 52(18), 10864-10873. https://doi.org/10.1021/acs.est.8b02073. [This dataset was already contained in the ecoinvent database version 2. It was not individually updated during the transfer to ecoinvent version 3. Life Cycle Impact Assessment results may still have changed, as they are affected by changes in the supply chain, i.e. in other datasets. This dataset was generated following the ecoinvent quality guidelines for version 2. It may have been subject to central changes described in the ecoinvent version 3 change report (http://www.ecoinvent.org/database/ecoinvent-version-3/reports-of-changes/), and the results of the central updates were reviewed extensively. The changes added e.g. consistent water flows and other information throughout the database. The documentation of this dataset can be found in the ecoinvent reports of version 2, which are still available via the ecoinvent website. The change report linked above covers all central changes that were made during the conversion process.]
35% scrap and 65% pig iron assumed as iron input
Geography:  Data relate to plants in the EU
Technology:  Electric arc furnace for melting. Energy consumption and emissions from EAF steel making</t>
        </is>
      </c>
    </row>
    <row r="81">
      <c r="A81" t="inlineStr">
        <is>
          <t>location</t>
        </is>
      </c>
      <c r="B81" t="inlineStr">
        <is>
          <t>ZA</t>
        </is>
      </c>
    </row>
    <row r="82">
      <c r="A82" t="inlineStr">
        <is>
          <t>reference product</t>
        </is>
      </c>
      <c r="B82" t="inlineStr">
        <is>
          <t>vanadium pentoxide bearing cast iron</t>
        </is>
      </c>
    </row>
    <row r="83">
      <c r="A83" t="inlineStr">
        <is>
          <t>unit</t>
        </is>
      </c>
      <c r="B83" t="inlineStr">
        <is>
          <t>kilogram</t>
        </is>
      </c>
    </row>
    <row r="84">
      <c r="A84" t="inlineStr">
        <is>
          <t>source</t>
        </is>
      </c>
      <c r="B84" t="inlineStr">
        <is>
          <t>Inventory provided by Zhang et al. (2024). Originally from Weber et al. (2018). Life cycle assessment of a vanadium redox flow battery. Environmental science &amp; technology, 52(18), 10864-10873. https://doi.org/10.1021/acs.est.8b02073</t>
        </is>
      </c>
    </row>
    <row r="85">
      <c r="A85" s="1" t="inlineStr">
        <is>
          <t>Exchanges</t>
        </is>
      </c>
    </row>
    <row r="86">
      <c r="A86" s="1" t="inlineStr">
        <is>
          <t>name</t>
        </is>
      </c>
      <c r="B86" s="1" t="inlineStr">
        <is>
          <t>amount</t>
        </is>
      </c>
      <c r="C86" s="1" t="inlineStr">
        <is>
          <t>reference product</t>
        </is>
      </c>
      <c r="D86" s="1" t="inlineStr">
        <is>
          <t>location</t>
        </is>
      </c>
      <c r="E86" s="1" t="inlineStr">
        <is>
          <t>unit</t>
        </is>
      </c>
      <c r="F86" s="1" t="inlineStr">
        <is>
          <t>categories</t>
        </is>
      </c>
      <c r="G86" s="1" t="inlineStr">
        <is>
          <t>type</t>
        </is>
      </c>
      <c r="H86" s="1" t="inlineStr">
        <is>
          <t>formula</t>
        </is>
      </c>
      <c r="I86" s="1" t="inlineStr">
        <is>
          <t>uncertainty type</t>
        </is>
      </c>
      <c r="J86" s="1" t="inlineStr">
        <is>
          <t>loc</t>
        </is>
      </c>
      <c r="K86" s="1" t="inlineStr">
        <is>
          <t>scale</t>
        </is>
      </c>
      <c r="L86" s="1" t="inlineStr">
        <is>
          <t>comment</t>
        </is>
      </c>
      <c r="M86" s="1" t="inlineStr">
        <is>
          <t>production volume</t>
        </is>
      </c>
      <c r="N86" s="1" t="inlineStr">
        <is>
          <t>negative</t>
        </is>
      </c>
    </row>
    <row r="87">
      <c r="A87" t="inlineStr">
        <is>
          <t>Benzene</t>
        </is>
      </c>
      <c r="B87" t="n">
        <v>2.285e-06</v>
      </c>
      <c r="E87" t="inlineStr">
        <is>
          <t>kilogram</t>
        </is>
      </c>
      <c r="F87" t="inlineStr">
        <is>
          <t>air</t>
        </is>
      </c>
      <c r="G87" t="inlineStr">
        <is>
          <t>biosphere</t>
        </is>
      </c>
      <c r="H87" t="inlineStr">
        <is>
          <t>C6H6</t>
        </is>
      </c>
      <c r="I87" t="n">
        <v>2</v>
      </c>
      <c r="J87" t="n">
        <v>-12.98914453361811</v>
      </c>
      <c r="K87" t="n">
        <v>0.4256759330758553</v>
      </c>
    </row>
    <row r="88">
      <c r="A88" t="inlineStr">
        <is>
          <t>Benzene, hexachloro-</t>
        </is>
      </c>
      <c r="B88" t="n">
        <v>2e-08</v>
      </c>
      <c r="E88" t="inlineStr">
        <is>
          <t>kilogram</t>
        </is>
      </c>
      <c r="F88" t="inlineStr">
        <is>
          <t>air</t>
        </is>
      </c>
      <c r="G88" t="inlineStr">
        <is>
          <t>biosphere</t>
        </is>
      </c>
      <c r="H88" t="inlineStr">
        <is>
          <t>C6Cl6</t>
        </is>
      </c>
      <c r="I88" t="n">
        <v>2</v>
      </c>
      <c r="J88" t="n">
        <v>-17.72753356339242</v>
      </c>
      <c r="K88" t="n">
        <v>0.4256759330758553</v>
      </c>
    </row>
    <row r="89">
      <c r="A89" t="inlineStr">
        <is>
          <t>Cadmium II</t>
        </is>
      </c>
      <c r="B89" t="n">
        <v>3.65e-08</v>
      </c>
      <c r="E89" t="inlineStr">
        <is>
          <t>kilogram</t>
        </is>
      </c>
      <c r="F89" t="inlineStr">
        <is>
          <t>air</t>
        </is>
      </c>
      <c r="G89" t="inlineStr">
        <is>
          <t>biosphere</t>
        </is>
      </c>
      <c r="H89" t="inlineStr">
        <is>
          <t>Cd</t>
        </is>
      </c>
      <c r="I89" t="n">
        <v>2</v>
      </c>
      <c r="J89" t="n">
        <v>-17.12595357635796</v>
      </c>
      <c r="K89" t="n">
        <v>0.8433267456923207</v>
      </c>
    </row>
    <row r="90">
      <c r="A90" t="inlineStr">
        <is>
          <t>Carbon monoxide, fossil</t>
        </is>
      </c>
      <c r="B90" t="n">
        <v>0.00232</v>
      </c>
      <c r="E90" t="inlineStr">
        <is>
          <t>kilogram</t>
        </is>
      </c>
      <c r="F90" t="inlineStr">
        <is>
          <t>air</t>
        </is>
      </c>
      <c r="G90" t="inlineStr">
        <is>
          <t>biosphere</t>
        </is>
      </c>
      <c r="H90" t="inlineStr">
        <is>
          <t>CO</t>
        </is>
      </c>
      <c r="I90" t="n">
        <v>2</v>
      </c>
      <c r="J90" t="n">
        <v>-6.066188093303919</v>
      </c>
      <c r="K90" t="n">
        <v>0.8433267456923207</v>
      </c>
    </row>
    <row r="91">
      <c r="A91" t="inlineStr">
        <is>
          <t>Chromium III</t>
        </is>
      </c>
      <c r="B91" t="n">
        <v>1.254e-06</v>
      </c>
      <c r="E91" t="inlineStr">
        <is>
          <t>kilogram</t>
        </is>
      </c>
      <c r="F91" t="inlineStr">
        <is>
          <t>air</t>
        </is>
      </c>
      <c r="G91" t="inlineStr">
        <is>
          <t>biosphere</t>
        </is>
      </c>
      <c r="H91" t="inlineStr">
        <is>
          <t>Cr</t>
        </is>
      </c>
      <c r="I91" t="n">
        <v>2</v>
      </c>
      <c r="J91" t="n">
        <v>-13.58917211575355</v>
      </c>
      <c r="K91" t="n">
        <v>0.8433267456923207</v>
      </c>
    </row>
    <row r="92">
      <c r="A92" t="inlineStr">
        <is>
          <t>Copper ion</t>
        </is>
      </c>
      <c r="B92" t="n">
        <v>2.305e-07</v>
      </c>
      <c r="E92" t="inlineStr">
        <is>
          <t>kilogram</t>
        </is>
      </c>
      <c r="F92" t="inlineStr">
        <is>
          <t>air</t>
        </is>
      </c>
      <c r="G92" t="inlineStr">
        <is>
          <t>biosphere</t>
        </is>
      </c>
      <c r="H92" t="inlineStr">
        <is>
          <t>Cu</t>
        </is>
      </c>
      <c r="I92" t="n">
        <v>2</v>
      </c>
      <c r="J92" t="n">
        <v>-15.28301497450971</v>
      </c>
      <c r="K92" t="n">
        <v>0.8433267456923207</v>
      </c>
    </row>
    <row r="93">
      <c r="A93" t="inlineStr">
        <is>
          <t>Dioxins, measured as 2,3,7,8-tetrachlorodibenzo-p-dioxin</t>
        </is>
      </c>
      <c r="B93" t="n">
        <v>4.535e-12</v>
      </c>
      <c r="E93" t="inlineStr">
        <is>
          <t>kilogram</t>
        </is>
      </c>
      <c r="F93" t="inlineStr">
        <is>
          <t>air</t>
        </is>
      </c>
      <c r="G93" t="inlineStr">
        <is>
          <t>biosphere</t>
        </is>
      </c>
      <c r="H93" t="inlineStr">
        <is>
          <t>C12H4Cl4O2</t>
        </is>
      </c>
      <c r="I93" t="n">
        <v>2</v>
      </c>
      <c r="J93" t="n">
        <v>-26.11919603236145</v>
      </c>
      <c r="K93" t="n">
        <v>0.6009991680526688</v>
      </c>
    </row>
    <row r="94">
      <c r="A94" t="inlineStr">
        <is>
          <t>Hydrocarbons, aromatic</t>
        </is>
      </c>
      <c r="B94" t="n">
        <v>7.700800000000001e-05</v>
      </c>
      <c r="E94" t="inlineStr">
        <is>
          <t>kilogram</t>
        </is>
      </c>
      <c r="F94" t="inlineStr">
        <is>
          <t>air</t>
        </is>
      </c>
      <c r="G94" t="inlineStr">
        <is>
          <t>biosphere</t>
        </is>
      </c>
      <c r="I94" t="n">
        <v>2</v>
      </c>
      <c r="J94" t="n">
        <v>-9.471601245403521</v>
      </c>
      <c r="K94" t="n">
        <v>0.3181194744117373</v>
      </c>
    </row>
    <row r="95">
      <c r="A95" t="inlineStr">
        <is>
          <t>Hydrochloric acid</t>
        </is>
      </c>
      <c r="B95" t="n">
        <v>5.2e-06</v>
      </c>
      <c r="E95" t="inlineStr">
        <is>
          <t>kilogram</t>
        </is>
      </c>
      <c r="F95" t="inlineStr">
        <is>
          <t>air</t>
        </is>
      </c>
      <c r="G95" t="inlineStr">
        <is>
          <t>biosphere</t>
        </is>
      </c>
      <c r="H95" t="inlineStr">
        <is>
          <t>ClH</t>
        </is>
      </c>
      <c r="I95" t="n">
        <v>2</v>
      </c>
      <c r="J95" t="n">
        <v>-12.16685193237689</v>
      </c>
      <c r="K95" t="n">
        <v>0.3181194744117373</v>
      </c>
    </row>
    <row r="96">
      <c r="A96" t="inlineStr">
        <is>
          <t>Hydrogen fluoride</t>
        </is>
      </c>
      <c r="B96" t="n">
        <v>2.35e-06</v>
      </c>
      <c r="E96" t="inlineStr">
        <is>
          <t>kilogram</t>
        </is>
      </c>
      <c r="F96" t="inlineStr">
        <is>
          <t>air</t>
        </is>
      </c>
      <c r="G96" t="inlineStr">
        <is>
          <t>biosphere</t>
        </is>
      </c>
      <c r="H96" t="inlineStr">
        <is>
          <t>FH</t>
        </is>
      </c>
      <c r="I96" t="n">
        <v>2</v>
      </c>
      <c r="J96" t="n">
        <v>-12.96109522980821</v>
      </c>
      <c r="K96" t="n">
        <v>0.3181194744117373</v>
      </c>
    </row>
    <row r="97">
      <c r="A97" t="inlineStr">
        <is>
          <t>Lead II</t>
        </is>
      </c>
      <c r="B97" t="n">
        <v>1.808e-06</v>
      </c>
      <c r="E97" t="inlineStr">
        <is>
          <t>kilogram</t>
        </is>
      </c>
      <c r="F97" t="inlineStr">
        <is>
          <t>air</t>
        </is>
      </c>
      <c r="G97" t="inlineStr">
        <is>
          <t>biosphere</t>
        </is>
      </c>
      <c r="H97" t="inlineStr">
        <is>
          <t>Pb</t>
        </is>
      </c>
      <c r="I97" t="n">
        <v>2</v>
      </c>
      <c r="J97" t="n">
        <v>-13.22328929599429</v>
      </c>
      <c r="K97" t="n">
        <v>0.8433267456923207</v>
      </c>
    </row>
    <row r="98">
      <c r="A98" t="inlineStr">
        <is>
          <t>Mercury II</t>
        </is>
      </c>
      <c r="B98" t="n">
        <v>2.238e-06</v>
      </c>
      <c r="E98" t="inlineStr">
        <is>
          <t>kilogram</t>
        </is>
      </c>
      <c r="F98" t="inlineStr">
        <is>
          <t>air</t>
        </is>
      </c>
      <c r="G98" t="inlineStr">
        <is>
          <t>biosphere</t>
        </is>
      </c>
      <c r="H98" t="inlineStr">
        <is>
          <t>Hg</t>
        </is>
      </c>
      <c r="I98" t="n">
        <v>2</v>
      </c>
      <c r="J98" t="n">
        <v>-13.00992794807454</v>
      </c>
      <c r="K98" t="n">
        <v>0.8433267456923207</v>
      </c>
    </row>
    <row r="99">
      <c r="A99" t="inlineStr">
        <is>
          <t>Nickel II</t>
        </is>
      </c>
      <c r="B99" t="n">
        <v>7.005e-07</v>
      </c>
      <c r="E99" t="inlineStr">
        <is>
          <t>kilogram</t>
        </is>
      </c>
      <c r="F99" t="inlineStr">
        <is>
          <t>air</t>
        </is>
      </c>
      <c r="G99" t="inlineStr">
        <is>
          <t>biosphere</t>
        </is>
      </c>
      <c r="H99" t="inlineStr">
        <is>
          <t>Ni</t>
        </is>
      </c>
      <c r="I99" t="n">
        <v>2</v>
      </c>
      <c r="J99" t="n">
        <v>-14.17147147116935</v>
      </c>
      <c r="K99" t="n">
        <v>0.8433267456923207</v>
      </c>
    </row>
    <row r="100">
      <c r="A100" t="inlineStr">
        <is>
          <t>Nitrogen oxides</t>
        </is>
      </c>
      <c r="B100" t="n">
        <v>0.00018</v>
      </c>
      <c r="E100" t="inlineStr">
        <is>
          <t>kilogram</t>
        </is>
      </c>
      <c r="F100" t="inlineStr">
        <is>
          <t>air</t>
        </is>
      </c>
      <c r="G100" t="inlineStr">
        <is>
          <t>biosphere</t>
        </is>
      </c>
      <c r="H100" t="inlineStr">
        <is>
          <t>H3NO</t>
        </is>
      </c>
      <c r="I100" t="n">
        <v>2</v>
      </c>
      <c r="J100" t="n">
        <v>-8.622553707074063</v>
      </c>
      <c r="K100" t="n">
        <v>0.3181194744117373</v>
      </c>
    </row>
    <row r="101">
      <c r="A101" t="inlineStr">
        <is>
          <t>PAH, polycyclic aromatic hydrocarbons</t>
        </is>
      </c>
      <c r="B101" t="n">
        <v>3.725e-08</v>
      </c>
      <c r="E101" t="inlineStr">
        <is>
          <t>kilogram</t>
        </is>
      </c>
      <c r="F101" t="inlineStr">
        <is>
          <t>air</t>
        </is>
      </c>
      <c r="G101" t="inlineStr">
        <is>
          <t>biosphere</t>
        </is>
      </c>
      <c r="I101" t="n">
        <v>2</v>
      </c>
      <c r="J101" t="n">
        <v>-17.10561389212084</v>
      </c>
      <c r="K101" t="n">
        <v>0.6009991680526688</v>
      </c>
    </row>
    <row r="102">
      <c r="A102" t="inlineStr">
        <is>
          <t>Particulate Matter, &lt; 2.5 um</t>
        </is>
      </c>
      <c r="B102" t="n">
        <v>0.00016596</v>
      </c>
      <c r="E102" t="inlineStr">
        <is>
          <t>kilogram</t>
        </is>
      </c>
      <c r="F102" t="inlineStr">
        <is>
          <t>air</t>
        </is>
      </c>
      <c r="G102" t="inlineStr">
        <is>
          <t>biosphere</t>
        </is>
      </c>
      <c r="I102" t="n">
        <v>2</v>
      </c>
      <c r="J102" t="n">
        <v>-8.703763762499607</v>
      </c>
      <c r="K102" t="n">
        <v>0.6009991680526688</v>
      </c>
    </row>
    <row r="103">
      <c r="A103" t="inlineStr">
        <is>
          <t>Particulate Matter, &gt; 10 um</t>
        </is>
      </c>
      <c r="B103" t="n">
        <v>5.8575e-05</v>
      </c>
      <c r="E103" t="inlineStr">
        <is>
          <t>kilogram</t>
        </is>
      </c>
      <c r="F103" t="inlineStr">
        <is>
          <t>air</t>
        </is>
      </c>
      <c r="G103" t="inlineStr">
        <is>
          <t>biosphere</t>
        </is>
      </c>
      <c r="I103" t="n">
        <v>2</v>
      </c>
      <c r="J103" t="n">
        <v>-9.745202573570415</v>
      </c>
      <c r="K103" t="n">
        <v>0.3181194744117373</v>
      </c>
    </row>
    <row r="104">
      <c r="A104" t="inlineStr">
        <is>
          <t>Particulate Matter, &gt; 2.5 um and &lt; 10um</t>
        </is>
      </c>
      <c r="B104" t="n">
        <v>0.00016596</v>
      </c>
      <c r="E104" t="inlineStr">
        <is>
          <t>kilogram</t>
        </is>
      </c>
      <c r="F104" t="inlineStr">
        <is>
          <t>air</t>
        </is>
      </c>
      <c r="G104" t="inlineStr">
        <is>
          <t>biosphere</t>
        </is>
      </c>
      <c r="I104" t="n">
        <v>2</v>
      </c>
      <c r="J104" t="n">
        <v>-8.703763762499607</v>
      </c>
      <c r="K104" t="n">
        <v>0.4256759330758553</v>
      </c>
    </row>
    <row r="105">
      <c r="A105" t="inlineStr">
        <is>
          <t>Polychlorinated biphenyls</t>
        </is>
      </c>
      <c r="B105" t="n">
        <v>2.325e-08</v>
      </c>
      <c r="E105" t="inlineStr">
        <is>
          <t>kilogram</t>
        </is>
      </c>
      <c r="F105" t="inlineStr">
        <is>
          <t>air</t>
        </is>
      </c>
      <c r="G105" t="inlineStr">
        <is>
          <t>biosphere</t>
        </is>
      </c>
      <c r="I105" t="n">
        <v>2</v>
      </c>
      <c r="J105" t="n">
        <v>-17.57696070491304</v>
      </c>
      <c r="K105" t="n">
        <v>0.6009991680526688</v>
      </c>
    </row>
    <row r="106">
      <c r="A106" t="inlineStr">
        <is>
          <t>Sulfur dioxide</t>
        </is>
      </c>
      <c r="B106" t="n">
        <v>7.7e-05</v>
      </c>
      <c r="E106" t="inlineStr">
        <is>
          <t>kilogram</t>
        </is>
      </c>
      <c r="F106" t="inlineStr">
        <is>
          <t>air</t>
        </is>
      </c>
      <c r="G106" t="inlineStr">
        <is>
          <t>biosphere</t>
        </is>
      </c>
      <c r="H106" t="inlineStr">
        <is>
          <t>O2S</t>
        </is>
      </c>
      <c r="I106" t="n">
        <v>2</v>
      </c>
      <c r="J106" t="n">
        <v>-9.47170513611059</v>
      </c>
      <c r="K106" t="n">
        <v>0.2473863375370596</v>
      </c>
    </row>
    <row r="107">
      <c r="A107" t="inlineStr">
        <is>
          <t>Water</t>
        </is>
      </c>
      <c r="B107" t="n">
        <v>0.00319502825248071</v>
      </c>
      <c r="E107" t="inlineStr">
        <is>
          <t>cubic meter</t>
        </is>
      </c>
      <c r="F107" t="inlineStr">
        <is>
          <t>water</t>
        </is>
      </c>
      <c r="G107" t="inlineStr">
        <is>
          <t>biosphere</t>
        </is>
      </c>
      <c r="H107" t="inlineStr">
        <is>
          <t>H2O</t>
        </is>
      </c>
      <c r="I107" t="n">
        <v>2</v>
      </c>
      <c r="J107" t="n">
        <v>-5.746159348474769</v>
      </c>
      <c r="K107" t="n">
        <v>0.2875760768909681</v>
      </c>
      <c r="L107" t="inlineStr">
        <is>
          <t>Calculated value based on literature values and expert opinion. See comments in the parametres' comment field.</t>
        </is>
      </c>
    </row>
    <row r="108">
      <c r="A108" t="inlineStr">
        <is>
          <t>Water</t>
        </is>
      </c>
      <c r="B108" t="n">
        <v>0.00202134440463065</v>
      </c>
      <c r="E108" t="inlineStr">
        <is>
          <t>cubic meter</t>
        </is>
      </c>
      <c r="F108" t="inlineStr">
        <is>
          <t>air</t>
        </is>
      </c>
      <c r="G108" t="inlineStr">
        <is>
          <t>biosphere</t>
        </is>
      </c>
      <c r="H108" t="inlineStr">
        <is>
          <t>H2O</t>
        </is>
      </c>
      <c r="I108" t="n">
        <v>2</v>
      </c>
      <c r="J108" t="n">
        <v>-6.20399244210025</v>
      </c>
      <c r="K108" t="n">
        <v>0.2875760768909681</v>
      </c>
      <c r="L108" t="inlineStr">
        <is>
          <t>Calculated value based on literature values and expert opinion. See comments in the parametres' comment field.</t>
        </is>
      </c>
    </row>
    <row r="109">
      <c r="A109" t="inlineStr">
        <is>
          <t>Water, cooling, unspecified natural origin</t>
        </is>
      </c>
      <c r="B109" t="n">
        <v>0.00521637265711136</v>
      </c>
      <c r="E109" t="inlineStr">
        <is>
          <t>cubic meter</t>
        </is>
      </c>
      <c r="F109" t="inlineStr">
        <is>
          <t>natural resource::in water</t>
        </is>
      </c>
      <c r="G109" t="inlineStr">
        <is>
          <t>biosphere</t>
        </is>
      </c>
      <c r="H109" t="inlineStr">
        <is>
          <t>H2O</t>
        </is>
      </c>
      <c r="I109" t="n">
        <v>2</v>
      </c>
      <c r="J109" t="n">
        <v>-5.255953011911514</v>
      </c>
      <c r="K109" t="n">
        <v>0.2336664289109585</v>
      </c>
      <c r="L109" t="inlineStr">
        <is>
          <t>Calculated based on literature, (Vionnet, S., Quantis Water Database - Technical Report, 2012).</t>
        </is>
      </c>
    </row>
    <row r="110">
      <c r="A110" t="inlineStr">
        <is>
          <t>Zinc II</t>
        </is>
      </c>
      <c r="B110" t="n">
        <v>2.294e-05</v>
      </c>
      <c r="E110" t="inlineStr">
        <is>
          <t>kilogram</t>
        </is>
      </c>
      <c r="F110" t="inlineStr">
        <is>
          <t>air</t>
        </is>
      </c>
      <c r="G110" t="inlineStr">
        <is>
          <t>biosphere</t>
        </is>
      </c>
      <c r="H110" t="inlineStr">
        <is>
          <t>Zn</t>
        </is>
      </c>
      <c r="I110" t="n">
        <v>2</v>
      </c>
      <c r="J110" t="n">
        <v>-10.68262844626305</v>
      </c>
      <c r="K110" t="n">
        <v>0.8433267456923207</v>
      </c>
    </row>
    <row r="111">
      <c r="A111" t="inlineStr">
        <is>
          <t>vanadium pentoxide bearing cast iron, production</t>
        </is>
      </c>
      <c r="B111" t="n">
        <v>1.32</v>
      </c>
      <c r="C111" t="inlineStr">
        <is>
          <t>vanadium pentoxide bearing cast iron</t>
        </is>
      </c>
      <c r="D111" t="inlineStr">
        <is>
          <t>ZA</t>
        </is>
      </c>
      <c r="E111" t="inlineStr">
        <is>
          <t>kilogram</t>
        </is>
      </c>
      <c r="G111" t="inlineStr">
        <is>
          <t>production</t>
        </is>
      </c>
      <c r="I111" t="n">
        <v>0</v>
      </c>
      <c r="J111" t="n">
        <v>1</v>
      </c>
      <c r="M111" t="n">
        <v>66239548000</v>
      </c>
    </row>
    <row r="112">
      <c r="A112" t="inlineStr">
        <is>
          <t>market for anode, for metal electrolysis</t>
        </is>
      </c>
      <c r="B112" t="n">
        <v>0.003</v>
      </c>
      <c r="C112" t="inlineStr">
        <is>
          <t>anode, for metal electrolysis</t>
        </is>
      </c>
      <c r="D112" t="inlineStr">
        <is>
          <t>GLO</t>
        </is>
      </c>
      <c r="E112" t="inlineStr">
        <is>
          <t>kilogram</t>
        </is>
      </c>
      <c r="G112" t="inlineStr">
        <is>
          <t>technosphere</t>
        </is>
      </c>
      <c r="I112" t="n">
        <v>2</v>
      </c>
      <c r="J112" t="n">
        <v>-5.809142990314028</v>
      </c>
      <c r="K112" t="n">
        <v>0.2473863375370596</v>
      </c>
    </row>
    <row r="113">
      <c r="A113" t="inlineStr">
        <is>
          <t>market for electric arc furnace converter</t>
        </is>
      </c>
      <c r="B113" t="n">
        <v>4e-11</v>
      </c>
      <c r="C113" t="inlineStr">
        <is>
          <t>electric arc furnace converter</t>
        </is>
      </c>
      <c r="D113" t="inlineStr">
        <is>
          <t>GLO</t>
        </is>
      </c>
      <c r="E113" t="inlineStr">
        <is>
          <t>unit</t>
        </is>
      </c>
      <c r="G113" t="inlineStr">
        <is>
          <t>technosphere</t>
        </is>
      </c>
      <c r="I113" t="n">
        <v>2</v>
      </c>
      <c r="J113" t="n">
        <v>-23.94214166181461</v>
      </c>
      <c r="K113" t="n">
        <v>0.7071067811865476</v>
      </c>
    </row>
    <row r="114">
      <c r="A114" t="inlineStr">
        <is>
          <t>market for electric arc furnace dust</t>
        </is>
      </c>
      <c r="B114" t="n">
        <v>-0.009599999999999999</v>
      </c>
      <c r="C114" t="inlineStr">
        <is>
          <t>electric arc furnace dust</t>
        </is>
      </c>
      <c r="D114" t="inlineStr">
        <is>
          <t>RoW</t>
        </is>
      </c>
      <c r="E114" t="inlineStr">
        <is>
          <t>kilogram</t>
        </is>
      </c>
      <c r="G114" t="inlineStr">
        <is>
          <t>technosphere</t>
        </is>
      </c>
      <c r="I114" t="n">
        <v>2</v>
      </c>
      <c r="J114" t="n">
        <v>-12.07075108376006</v>
      </c>
      <c r="K114" t="n">
        <v>0.2473863375370596</v>
      </c>
      <c r="N114" t="b">
        <v>1</v>
      </c>
    </row>
    <row r="115">
      <c r="A115" t="inlineStr">
        <is>
          <t>market for electric arc furnace slag</t>
        </is>
      </c>
      <c r="B115" t="n">
        <v>-0.09279999999999999</v>
      </c>
      <c r="C115" t="inlineStr">
        <is>
          <t>electric arc furnace slag</t>
        </is>
      </c>
      <c r="D115" t="inlineStr">
        <is>
          <t>RoW</t>
        </is>
      </c>
      <c r="E115" t="inlineStr">
        <is>
          <t>kilogram</t>
        </is>
      </c>
      <c r="G115" t="inlineStr">
        <is>
          <t>technosphere</t>
        </is>
      </c>
      <c r="I115" t="n">
        <v>2</v>
      </c>
      <c r="J115" t="n">
        <v>-2.400551185457239</v>
      </c>
      <c r="K115" t="n">
        <v>0.2473863375370596</v>
      </c>
      <c r="N115" t="b">
        <v>1</v>
      </c>
    </row>
    <row r="116">
      <c r="A116" t="inlineStr">
        <is>
          <t>market for electricity, medium voltage</t>
        </is>
      </c>
      <c r="B116" t="n">
        <v>0.42</v>
      </c>
      <c r="C116" t="inlineStr">
        <is>
          <t>electricity, medium voltage</t>
        </is>
      </c>
      <c r="D116" t="inlineStr">
        <is>
          <t>ZA</t>
        </is>
      </c>
      <c r="E116" t="inlineStr">
        <is>
          <t>kilowatt hour</t>
        </is>
      </c>
      <c r="G116" t="inlineStr">
        <is>
          <t>technosphere</t>
        </is>
      </c>
    </row>
    <row r="117">
      <c r="A117" t="inlineStr">
        <is>
          <t>market for hard coal</t>
        </is>
      </c>
      <c r="B117" t="n">
        <v>0.014</v>
      </c>
      <c r="C117" t="inlineStr">
        <is>
          <t>hard coal</t>
        </is>
      </c>
      <c r="D117" t="inlineStr">
        <is>
          <t>ZA</t>
        </is>
      </c>
      <c r="E117" t="inlineStr">
        <is>
          <t>kilogram</t>
        </is>
      </c>
      <c r="G117" t="inlineStr">
        <is>
          <t>technosphere</t>
        </is>
      </c>
      <c r="I117" t="n">
        <v>2</v>
      </c>
      <c r="J117" t="n">
        <v>-7.819984070675875</v>
      </c>
      <c r="K117" t="n">
        <v>0.2473863375370596</v>
      </c>
    </row>
    <row r="118">
      <c r="A118" t="inlineStr">
        <is>
          <t>market for inert waste, for final disposal</t>
        </is>
      </c>
      <c r="B118" t="n">
        <v>-0.005</v>
      </c>
      <c r="C118" t="inlineStr">
        <is>
          <t>inert waste, for final disposal</t>
        </is>
      </c>
      <c r="D118" t="inlineStr">
        <is>
          <t>RoW</t>
        </is>
      </c>
      <c r="E118" t="inlineStr">
        <is>
          <t>kilogram</t>
        </is>
      </c>
      <c r="G118" t="inlineStr">
        <is>
          <t>technosphere</t>
        </is>
      </c>
      <c r="I118" t="n">
        <v>2</v>
      </c>
      <c r="J118" t="n">
        <v>-5.298317366548036</v>
      </c>
      <c r="K118" t="n">
        <v>0.2473863375370596</v>
      </c>
      <c r="N118" t="b">
        <v>1</v>
      </c>
    </row>
    <row r="119">
      <c r="A119" t="inlineStr">
        <is>
          <t>market for iron scrap, sorted, pressed</t>
        </is>
      </c>
      <c r="B119" t="n">
        <v>0.38675</v>
      </c>
      <c r="C119" t="inlineStr">
        <is>
          <t>iron scrap, sorted, pressed</t>
        </is>
      </c>
      <c r="D119" t="inlineStr">
        <is>
          <t>RoW</t>
        </is>
      </c>
      <c r="E119" t="inlineStr">
        <is>
          <t>kilogram</t>
        </is>
      </c>
      <c r="G119" t="inlineStr">
        <is>
          <t>technosphere</t>
        </is>
      </c>
      <c r="I119" t="n">
        <v>2</v>
      </c>
      <c r="J119" t="n">
        <v>-0.9499767895289616</v>
      </c>
      <c r="K119" t="n">
        <v>0.2473863375370596</v>
      </c>
    </row>
    <row r="120">
      <c r="A120" t="inlineStr">
        <is>
          <t>market for natural gas, high pressure</t>
        </is>
      </c>
      <c r="B120" t="n">
        <v>0.025</v>
      </c>
      <c r="C120" t="inlineStr">
        <is>
          <t>natural gas, high pressure</t>
        </is>
      </c>
      <c r="D120" t="inlineStr">
        <is>
          <t>RoW</t>
        </is>
      </c>
      <c r="E120" t="inlineStr">
        <is>
          <t>cubic meter</t>
        </is>
      </c>
      <c r="G120" t="inlineStr">
        <is>
          <t>technosphere</t>
        </is>
      </c>
      <c r="I120" t="n">
        <v>2</v>
      </c>
      <c r="J120" t="n">
        <v>-4.168823464178472</v>
      </c>
      <c r="K120" t="n">
        <v>0.2473863375370596</v>
      </c>
    </row>
    <row r="121">
      <c r="A121" t="inlineStr">
        <is>
          <t>market for oxygen, liquid</t>
        </is>
      </c>
      <c r="B121" t="n">
        <v>0.0507</v>
      </c>
      <c r="C121" t="inlineStr">
        <is>
          <t>oxygen, liquid</t>
        </is>
      </c>
      <c r="D121" t="inlineStr">
        <is>
          <t>RoW</t>
        </is>
      </c>
      <c r="E121" t="inlineStr">
        <is>
          <t>kilogram</t>
        </is>
      </c>
      <c r="G121" t="inlineStr">
        <is>
          <t>technosphere</t>
        </is>
      </c>
      <c r="I121" t="n">
        <v>2</v>
      </c>
      <c r="J121" t="n">
        <v>-2.981237827403538</v>
      </c>
      <c r="K121" t="n">
        <v>0.2473863375370596</v>
      </c>
    </row>
    <row r="122">
      <c r="A122" t="inlineStr">
        <is>
          <t>market for quicklime, in pieces, loose</t>
        </is>
      </c>
      <c r="B122" t="n">
        <v>0.055</v>
      </c>
      <c r="C122" t="inlineStr">
        <is>
          <t>quicklime, in pieces, loose</t>
        </is>
      </c>
      <c r="D122" t="inlineStr">
        <is>
          <t>RoW</t>
        </is>
      </c>
      <c r="E122" t="inlineStr">
        <is>
          <t>kilogram</t>
        </is>
      </c>
      <c r="G122" t="inlineStr">
        <is>
          <t>technosphere</t>
        </is>
      </c>
      <c r="I122" t="n">
        <v>2</v>
      </c>
      <c r="J122" t="n">
        <v>-2.900422093749666</v>
      </c>
      <c r="K122" t="n">
        <v>0.2473863375370596</v>
      </c>
    </row>
    <row r="123">
      <c r="A123" t="inlineStr">
        <is>
          <t>market for refractory, basic, packed</t>
        </is>
      </c>
      <c r="B123" t="n">
        <v>0.0135</v>
      </c>
      <c r="C123" t="inlineStr">
        <is>
          <t>refractory, basic, packed</t>
        </is>
      </c>
      <c r="D123" t="inlineStr">
        <is>
          <t>GLO</t>
        </is>
      </c>
      <c r="E123" t="inlineStr">
        <is>
          <t>kilogram</t>
        </is>
      </c>
      <c r="G123" t="inlineStr">
        <is>
          <t>technosphere</t>
        </is>
      </c>
      <c r="I123" t="n">
        <v>2</v>
      </c>
      <c r="J123" t="n">
        <v>-4.305065593537753</v>
      </c>
      <c r="K123" t="n">
        <v>0.2473863375370596</v>
      </c>
    </row>
    <row r="124">
      <c r="A124" t="inlineStr">
        <is>
          <t>pre-reduced vanadium pentoxide bearing magnetite production</t>
        </is>
      </c>
      <c r="B124" t="n">
        <v>1.46</v>
      </c>
      <c r="C124" t="inlineStr">
        <is>
          <t>pre-reduced vanadium pentoxide bearing magnetite</t>
        </is>
      </c>
      <c r="D124" t="inlineStr">
        <is>
          <t>ZA</t>
        </is>
      </c>
      <c r="E124" t="inlineStr">
        <is>
          <t>kilogram</t>
        </is>
      </c>
      <c r="G124" t="inlineStr">
        <is>
          <t>technosphere</t>
        </is>
      </c>
    </row>
    <row r="125"/>
    <row r="126">
      <c r="A126" s="1" t="inlineStr">
        <is>
          <t>Activity</t>
        </is>
      </c>
      <c r="B126" s="1" t="inlineStr">
        <is>
          <t>vanadium pentoxide production</t>
        </is>
      </c>
    </row>
    <row r="127">
      <c r="A127" t="inlineStr">
        <is>
          <t>comment</t>
        </is>
      </c>
      <c r="B127" t="inlineStr">
        <is>
          <t>Source: Chen, S.Y., Fu, X.J., Chu, M.S., Liu, Z.G., Tang, J., 2015. Life cycle assessment of the comprehensive utilisation of vanadium titano-magnetite. J. Clean. Prod. 101, 122–128. https://doi.org/10.1016/j.jclepro.2015.03.076. Inventory provided by Zhang et al. (2024)</t>
        </is>
      </c>
    </row>
    <row r="128">
      <c r="A128" t="inlineStr">
        <is>
          <t>location</t>
        </is>
      </c>
      <c r="B128" t="inlineStr">
        <is>
          <t>CN</t>
        </is>
      </c>
    </row>
    <row r="129">
      <c r="A129" t="inlineStr">
        <is>
          <t>reference product</t>
        </is>
      </c>
      <c r="B129" t="inlineStr">
        <is>
          <t>vanadium pentoxide</t>
        </is>
      </c>
    </row>
    <row r="130">
      <c r="A130" t="inlineStr">
        <is>
          <t>type</t>
        </is>
      </c>
      <c r="B130" t="inlineStr">
        <is>
          <t>process</t>
        </is>
      </c>
    </row>
    <row r="131">
      <c r="A131" t="inlineStr">
        <is>
          <t>unit</t>
        </is>
      </c>
      <c r="B131" t="inlineStr">
        <is>
          <t>kilogram</t>
        </is>
      </c>
    </row>
    <row r="132">
      <c r="A132" t="inlineStr">
        <is>
          <t>source</t>
        </is>
      </c>
      <c r="B132" t="inlineStr">
        <is>
          <t>Inventory provided by Zhang et al. (2024). Originally from Weber et al. (2018). Life cycle assessment of a vanadium redox flow battery. Environmental science &amp; technology, 52(18), 10864-10873. https://doi.org/10.1021/acs.est.8b02073</t>
        </is>
      </c>
    </row>
    <row r="133">
      <c r="A133" s="1" t="inlineStr">
        <is>
          <t>Exchanges</t>
        </is>
      </c>
    </row>
    <row r="134">
      <c r="A134" t="inlineStr">
        <is>
          <t>name</t>
        </is>
      </c>
      <c r="B134" t="inlineStr">
        <is>
          <t>amount</t>
        </is>
      </c>
      <c r="C134" t="inlineStr">
        <is>
          <t>reference product</t>
        </is>
      </c>
      <c r="D134" t="inlineStr">
        <is>
          <t>location</t>
        </is>
      </c>
      <c r="E134" t="inlineStr">
        <is>
          <t>unit</t>
        </is>
      </c>
      <c r="F134" t="inlineStr">
        <is>
          <t>type</t>
        </is>
      </c>
    </row>
    <row r="135">
      <c r="A135" t="inlineStr">
        <is>
          <t>vanadium pentoxide production</t>
        </is>
      </c>
      <c r="B135">
        <f>0.01926525/0.01926525</f>
        <v>1</v>
      </c>
      <c r="C135" t="inlineStr">
        <is>
          <t>vanadium pentoxide</t>
        </is>
      </c>
      <c r="D135" t="inlineStr">
        <is>
          <t>CN</t>
        </is>
      </c>
      <c r="E135" t="inlineStr">
        <is>
          <t>kilogram</t>
        </is>
      </c>
      <c r="F135" t="inlineStr">
        <is>
          <t>production</t>
        </is>
      </c>
    </row>
    <row r="136">
      <c r="A136" t="inlineStr">
        <is>
          <t>vanadium pentoxide and unalloyed steel production</t>
        </is>
      </c>
      <c r="B136">
        <f>0.367078024709409/0.01926525</f>
        <v>19.053893653568419</v>
      </c>
      <c r="C136" t="inlineStr">
        <is>
          <t>vanadium pentoxide and unalloyed steel</t>
        </is>
      </c>
      <c r="D136" t="inlineStr">
        <is>
          <t>CN</t>
        </is>
      </c>
      <c r="E136" t="inlineStr">
        <is>
          <t>unit</t>
        </is>
      </c>
      <c r="F136" t="inlineStr">
        <is>
          <t>technosphere</t>
        </is>
      </c>
    </row>
    <row r="137"/>
    <row r="138">
      <c r="A138" s="1" t="inlineStr">
        <is>
          <t>Activity</t>
        </is>
      </c>
      <c r="B138" s="1" t="inlineStr">
        <is>
          <t>market for vanadium pentoxide</t>
        </is>
      </c>
    </row>
    <row r="139">
      <c r="A139" t="inlineStr">
        <is>
          <t>comment</t>
        </is>
      </c>
      <c r="B139" t="inlineStr">
        <is>
          <t>Source: Zhang, S., Steubing, B., Potter, H. K., Hansson, P. A., &amp; Nordberg, Å. (2024). Future climate impacts of sodium-ion batteries. Resources, Conservation and Recycling, 202, 107362. https://doi.org/10.1016/j.resconrec.2023.107362</t>
        </is>
      </c>
    </row>
    <row r="140" customFormat="1" s="1">
      <c r="A140" t="inlineStr">
        <is>
          <t>location</t>
        </is>
      </c>
      <c r="B140" t="inlineStr">
        <is>
          <t>GLO</t>
        </is>
      </c>
    </row>
    <row r="141">
      <c r="A141" t="inlineStr">
        <is>
          <t>reference product</t>
        </is>
      </c>
      <c r="B141" t="inlineStr">
        <is>
          <t>vanadium pentoxide</t>
        </is>
      </c>
    </row>
    <row r="142">
      <c r="A142" t="inlineStr">
        <is>
          <t>type</t>
        </is>
      </c>
      <c r="B142" t="inlineStr">
        <is>
          <t>process</t>
        </is>
      </c>
    </row>
    <row r="143">
      <c r="A143" t="inlineStr">
        <is>
          <t>unit</t>
        </is>
      </c>
      <c r="B143" t="inlineStr">
        <is>
          <t>kilogram</t>
        </is>
      </c>
    </row>
    <row r="144">
      <c r="A144" t="inlineStr">
        <is>
          <t>source</t>
        </is>
      </c>
      <c r="B144" t="inlineStr">
        <is>
          <t>Source: Zhang, S., Steubing, B., Potter, H. K., Hansson, P. A., &amp; Nordberg, Å. (2024). Future climate impacts of sodium-ion batteries. Resources, Conservation and Recycling, 202, 107362. https://doi.org/10.1016/j.resconrec.2023.107362</t>
        </is>
      </c>
    </row>
    <row r="145">
      <c r="A145" s="1" t="inlineStr">
        <is>
          <t>Exchanges</t>
        </is>
      </c>
    </row>
    <row r="146">
      <c r="A146" t="inlineStr">
        <is>
          <t>name</t>
        </is>
      </c>
      <c r="B146" t="inlineStr">
        <is>
          <t>amount</t>
        </is>
      </c>
      <c r="C146" t="inlineStr">
        <is>
          <t>reference product</t>
        </is>
      </c>
      <c r="D146" t="inlineStr">
        <is>
          <t>location</t>
        </is>
      </c>
      <c r="E146" t="inlineStr">
        <is>
          <t>unit</t>
        </is>
      </c>
      <c r="F146" t="inlineStr">
        <is>
          <t>type</t>
        </is>
      </c>
    </row>
    <row r="147">
      <c r="A147" t="inlineStr">
        <is>
          <t>market for vanadium pentoxide</t>
        </is>
      </c>
      <c r="B147" t="n">
        <v>1</v>
      </c>
      <c r="C147" t="inlineStr">
        <is>
          <t>vanadium pentoxide</t>
        </is>
      </c>
      <c r="D147" t="inlineStr">
        <is>
          <t>GLO</t>
        </is>
      </c>
      <c r="E147" t="inlineStr">
        <is>
          <t>kilogram</t>
        </is>
      </c>
      <c r="F147" t="inlineStr">
        <is>
          <t>production</t>
        </is>
      </c>
    </row>
    <row r="148">
      <c r="A148" t="inlineStr">
        <is>
          <t>vanadium pentoxide production</t>
        </is>
      </c>
      <c r="B148" t="n">
        <v>0.11</v>
      </c>
      <c r="C148" t="inlineStr">
        <is>
          <t>vanadium pentoxide</t>
        </is>
      </c>
      <c r="D148" t="inlineStr">
        <is>
          <t>ZA</t>
        </is>
      </c>
      <c r="E148" t="inlineStr">
        <is>
          <t>kilogram</t>
        </is>
      </c>
      <c r="F148" t="inlineStr">
        <is>
          <t>technosphere</t>
        </is>
      </c>
    </row>
    <row r="149">
      <c r="A149" t="inlineStr">
        <is>
          <t>vanadium pentoxide production</t>
        </is>
      </c>
      <c r="B149" t="n">
        <v>0.89</v>
      </c>
      <c r="C149" t="inlineStr">
        <is>
          <t>vanadium pentoxide</t>
        </is>
      </c>
      <c r="D149" t="inlineStr">
        <is>
          <t>CN</t>
        </is>
      </c>
      <c r="E149" t="inlineStr">
        <is>
          <t>kilogram</t>
        </is>
      </c>
      <c r="F149" t="inlineStr">
        <is>
          <t>technosphere</t>
        </is>
      </c>
    </row>
    <row r="150"/>
    <row r="151">
      <c r="A151" s="1" t="inlineStr">
        <is>
          <t>Activity</t>
        </is>
      </c>
      <c r="B151" s="1" t="inlineStr">
        <is>
          <t>vanadium phospate production, VPO4, carbon coated</t>
        </is>
      </c>
    </row>
    <row r="152">
      <c r="A152" t="inlineStr">
        <is>
          <t>comment</t>
        </is>
      </c>
      <c r="B152" t="inlineStr">
        <is>
          <t>Source: Zhang, S., Steubing, B., Potter, H. K., Hansson, P. A., &amp; Nordberg, Å. (2024). Future climate impacts of sodium-ion batteries. Resources, Conservation and Recycling, 202, 107362. https://doi.org/10.1016/j.resconrec.2023.107362</t>
        </is>
      </c>
    </row>
    <row r="153">
      <c r="A153" t="inlineStr">
        <is>
          <t>location</t>
        </is>
      </c>
      <c r="B153" t="inlineStr">
        <is>
          <t>RER</t>
        </is>
      </c>
    </row>
    <row r="154">
      <c r="A154" t="inlineStr">
        <is>
          <t>reference product</t>
        </is>
      </c>
      <c r="B154" t="inlineStr">
        <is>
          <t>vanadium phosphate, carbon coated</t>
        </is>
      </c>
    </row>
    <row r="155">
      <c r="A155" t="inlineStr">
        <is>
          <t>type</t>
        </is>
      </c>
      <c r="B155" t="inlineStr">
        <is>
          <t>process</t>
        </is>
      </c>
    </row>
    <row r="156">
      <c r="A156" t="inlineStr">
        <is>
          <t>unit</t>
        </is>
      </c>
      <c r="B156" t="inlineStr">
        <is>
          <t>kilogram</t>
        </is>
      </c>
    </row>
    <row r="157">
      <c r="A157" t="inlineStr">
        <is>
          <t>source</t>
        </is>
      </c>
      <c r="B157" t="inlineStr">
        <is>
          <t>Zhang, S., Steubing, B., Potter, H. K., Hansson, P. A., &amp; Nordberg, Å. (2024). Future climate impacts of sodium-ion batteries. Resources, Conservation and Recycling, 202, 107362. https://doi.org/10.1016/j.resconrec.2023.107362</t>
        </is>
      </c>
    </row>
    <row r="158">
      <c r="A158" s="1" t="inlineStr">
        <is>
          <t>Exchanges</t>
        </is>
      </c>
      <c r="B158" s="1" t="n"/>
      <c r="C158" s="1" t="n"/>
      <c r="D158" s="1" t="n"/>
      <c r="E158" s="1" t="n"/>
      <c r="F158" s="1" t="n"/>
      <c r="G158" s="1" t="n"/>
      <c r="H158" s="1" t="n"/>
      <c r="I158" s="1" t="n"/>
      <c r="J158" s="1" t="n"/>
      <c r="K158" s="1" t="n"/>
      <c r="L158" s="1" t="n"/>
      <c r="M158" s="1" t="n"/>
      <c r="N158" s="1" t="n"/>
      <c r="O158" s="1" t="n"/>
      <c r="P158" s="1" t="n"/>
      <c r="Q158" s="1" t="n"/>
      <c r="R158" s="1" t="n"/>
      <c r="S158" s="1" t="n"/>
    </row>
    <row r="159">
      <c r="A159" t="inlineStr">
        <is>
          <t>name</t>
        </is>
      </c>
      <c r="B159" t="inlineStr">
        <is>
          <t>amount</t>
        </is>
      </c>
      <c r="C159" t="inlineStr">
        <is>
          <t>location</t>
        </is>
      </c>
      <c r="D159" t="inlineStr">
        <is>
          <t>unit</t>
        </is>
      </c>
      <c r="E159" t="inlineStr">
        <is>
          <t>categories</t>
        </is>
      </c>
      <c r="F159" t="inlineStr">
        <is>
          <t>type</t>
        </is>
      </c>
      <c r="G159" t="inlineStr">
        <is>
          <t>reference product</t>
        </is>
      </c>
    </row>
    <row r="160">
      <c r="A160" t="inlineStr">
        <is>
          <t>Ammonia</t>
        </is>
      </c>
      <c r="B160" t="n">
        <v>0.0323589</v>
      </c>
      <c r="D160" t="inlineStr">
        <is>
          <t>kilogram</t>
        </is>
      </c>
      <c r="E160" t="inlineStr">
        <is>
          <t>air</t>
        </is>
      </c>
      <c r="F160" t="inlineStr">
        <is>
          <t>biosphere</t>
        </is>
      </c>
    </row>
    <row r="161">
      <c r="A161" t="inlineStr">
        <is>
          <t>Carbon monoxide, fossil</t>
        </is>
      </c>
      <c r="B161" t="n">
        <v>0.0266095</v>
      </c>
      <c r="D161" t="inlineStr">
        <is>
          <t>kilogram</t>
        </is>
      </c>
      <c r="E161" t="inlineStr">
        <is>
          <t>air</t>
        </is>
      </c>
      <c r="F161" t="inlineStr">
        <is>
          <t>biosphere</t>
        </is>
      </c>
    </row>
    <row r="162">
      <c r="A162" t="inlineStr">
        <is>
          <t>Heat, waste</t>
        </is>
      </c>
      <c r="B162" t="n">
        <v>0.2825494464174</v>
      </c>
      <c r="D162" t="inlineStr">
        <is>
          <t>megajoule</t>
        </is>
      </c>
      <c r="E162" t="inlineStr">
        <is>
          <t>air</t>
        </is>
      </c>
      <c r="F162" t="inlineStr">
        <is>
          <t>biosphere</t>
        </is>
      </c>
    </row>
    <row r="163">
      <c r="A163" t="inlineStr">
        <is>
          <t>Water</t>
        </is>
      </c>
      <c r="B163" t="n">
        <v>-0.055026</v>
      </c>
      <c r="D163" t="inlineStr">
        <is>
          <t>cubic meter</t>
        </is>
      </c>
      <c r="E163" t="inlineStr">
        <is>
          <t>water</t>
        </is>
      </c>
      <c r="F163" t="inlineStr">
        <is>
          <t>biosphere</t>
        </is>
      </c>
    </row>
    <row r="164">
      <c r="A164" t="inlineStr">
        <is>
          <t>Water, cooling, unspecified natural origin</t>
        </is>
      </c>
      <c r="B164" t="n">
        <v>0.055</v>
      </c>
      <c r="D164" t="inlineStr">
        <is>
          <t>cubic meter</t>
        </is>
      </c>
      <c r="E164" t="inlineStr">
        <is>
          <t>natural resource::in water</t>
        </is>
      </c>
      <c r="F164" t="inlineStr">
        <is>
          <t>biosphere</t>
        </is>
      </c>
    </row>
    <row r="165">
      <c r="A165" t="inlineStr">
        <is>
          <t>vanadium phospate production, VPO4, carbon coated</t>
        </is>
      </c>
      <c r="B165" t="n">
        <v>0.138617255</v>
      </c>
      <c r="C165" t="inlineStr">
        <is>
          <t>RER</t>
        </is>
      </c>
      <c r="D165" t="inlineStr">
        <is>
          <t>kilogram</t>
        </is>
      </c>
      <c r="F165" t="inlineStr">
        <is>
          <t>production</t>
        </is>
      </c>
      <c r="G165" t="inlineStr">
        <is>
          <t>vanadium phosphate, carbon coated</t>
        </is>
      </c>
    </row>
    <row r="166">
      <c r="A166" t="inlineStr">
        <is>
          <t>market for vanadium pentoxide</t>
        </is>
      </c>
      <c r="B166" t="n">
        <v>0.09093999999999999</v>
      </c>
      <c r="C166" t="inlineStr">
        <is>
          <t>GLO</t>
        </is>
      </c>
      <c r="D166" t="inlineStr">
        <is>
          <t>kilogram</t>
        </is>
      </c>
      <c r="F166" t="inlineStr">
        <is>
          <t>technosphere</t>
        </is>
      </c>
      <c r="G166" t="inlineStr">
        <is>
          <t>vanadium pentoxide</t>
        </is>
      </c>
    </row>
    <row r="167">
      <c r="A167" t="inlineStr">
        <is>
          <t>market for nitrogen, liquid</t>
        </is>
      </c>
      <c r="B167" t="n">
        <v>0.04</v>
      </c>
      <c r="C167" t="inlineStr">
        <is>
          <t>RER</t>
        </is>
      </c>
      <c r="D167" t="inlineStr">
        <is>
          <t>kilogram</t>
        </is>
      </c>
      <c r="F167" t="inlineStr">
        <is>
          <t>technosphere</t>
        </is>
      </c>
      <c r="G167" t="inlineStr">
        <is>
          <t>nitrogen, liquid</t>
        </is>
      </c>
    </row>
    <row r="168">
      <c r="A168" t="inlineStr">
        <is>
          <t>chemical factory construction, organics</t>
        </is>
      </c>
      <c r="B168" t="n">
        <v>4e-10</v>
      </c>
      <c r="C168" t="inlineStr">
        <is>
          <t>RER</t>
        </is>
      </c>
      <c r="D168" t="inlineStr">
        <is>
          <t>unit</t>
        </is>
      </c>
      <c r="F168" t="inlineStr">
        <is>
          <t>technosphere</t>
        </is>
      </c>
      <c r="G168" t="inlineStr">
        <is>
          <t>chemical factory, organics</t>
        </is>
      </c>
    </row>
    <row r="169">
      <c r="A169" t="inlineStr">
        <is>
          <t>market for carbon black</t>
        </is>
      </c>
      <c r="B169" t="n">
        <v>0.024</v>
      </c>
      <c r="C169" t="inlineStr">
        <is>
          <t>GLO</t>
        </is>
      </c>
      <c r="D169" t="inlineStr">
        <is>
          <t>kilogram</t>
        </is>
      </c>
      <c r="F169" t="inlineStr">
        <is>
          <t>technosphere</t>
        </is>
      </c>
      <c r="G169" t="inlineStr">
        <is>
          <t>carbon black</t>
        </is>
      </c>
    </row>
    <row r="170">
      <c r="A170" t="inlineStr">
        <is>
          <t>market for diammonium phosphate</t>
        </is>
      </c>
      <c r="B170" t="n">
        <v>0.13206</v>
      </c>
      <c r="C170" t="inlineStr">
        <is>
          <t>RER</t>
        </is>
      </c>
      <c r="D170" t="inlineStr">
        <is>
          <t>kilogram</t>
        </is>
      </c>
      <c r="F170" t="inlineStr">
        <is>
          <t>technosphere</t>
        </is>
      </c>
      <c r="G170" t="inlineStr">
        <is>
          <t>diammonium phosphate</t>
        </is>
      </c>
    </row>
    <row r="171">
      <c r="A171" t="inlineStr">
        <is>
          <t>market for transport, freight, lorry, unspecified</t>
        </is>
      </c>
      <c r="B171" t="n">
        <v>0.0247</v>
      </c>
      <c r="C171" t="inlineStr">
        <is>
          <t>RER</t>
        </is>
      </c>
      <c r="D171" t="inlineStr">
        <is>
          <t>ton kilometer</t>
        </is>
      </c>
      <c r="F171" t="inlineStr">
        <is>
          <t>technosphere</t>
        </is>
      </c>
      <c r="G171" t="inlineStr">
        <is>
          <t>transport, freight, lorry, unspecified</t>
        </is>
      </c>
    </row>
    <row r="172">
      <c r="A172" t="inlineStr">
        <is>
          <t>market group for electricity, medium voltage</t>
        </is>
      </c>
      <c r="B172" t="n">
        <v>0.00225774893714286</v>
      </c>
      <c r="C172" t="inlineStr">
        <is>
          <t>RER</t>
        </is>
      </c>
      <c r="D172" t="inlineStr">
        <is>
          <t>kilowatt hour</t>
        </is>
      </c>
      <c r="F172" t="inlineStr">
        <is>
          <t>technosphere</t>
        </is>
      </c>
      <c r="G172" t="inlineStr">
        <is>
          <t>electricity, medium voltage</t>
        </is>
      </c>
    </row>
    <row r="173">
      <c r="A173" t="inlineStr">
        <is>
          <t>market group for heat, district or industrial, natural gas</t>
        </is>
      </c>
      <c r="B173" t="n">
        <v>0.274421550243686</v>
      </c>
      <c r="C173" t="inlineStr">
        <is>
          <t>RER</t>
        </is>
      </c>
      <c r="D173" t="inlineStr">
        <is>
          <t>megajoule</t>
        </is>
      </c>
      <c r="F173" t="inlineStr">
        <is>
          <t>technosphere</t>
        </is>
      </c>
      <c r="G173" t="inlineStr">
        <is>
          <t>heat, district or industrial, natural gas</t>
        </is>
      </c>
    </row>
    <row r="174">
      <c r="A174" t="inlineStr">
        <is>
          <t>market group for municipal solid waste</t>
        </is>
      </c>
      <c r="B174" t="n">
        <v>-0.023742571</v>
      </c>
      <c r="C174" t="inlineStr">
        <is>
          <t>RER</t>
        </is>
      </c>
      <c r="D174" t="inlineStr">
        <is>
          <t>kilogram</t>
        </is>
      </c>
      <c r="F174" t="inlineStr">
        <is>
          <t>technosphere</t>
        </is>
      </c>
      <c r="G174" t="inlineStr">
        <is>
          <t>municipal solid waste</t>
        </is>
      </c>
    </row>
    <row r="175">
      <c r="A175" t="inlineStr">
        <is>
          <t>market group for transport, freight train</t>
        </is>
      </c>
      <c r="B175" t="n">
        <v>0.148</v>
      </c>
      <c r="C175" t="inlineStr">
        <is>
          <t>RER</t>
        </is>
      </c>
      <c r="D175" t="inlineStr">
        <is>
          <t>ton kilometer</t>
        </is>
      </c>
      <c r="F175" t="inlineStr">
        <is>
          <t>technosphere</t>
        </is>
      </c>
      <c r="G175" t="inlineStr">
        <is>
          <t>transport, freight train</t>
        </is>
      </c>
    </row>
    <row r="176"/>
    <row r="177"/>
    <row r="178">
      <c r="A178" s="1" t="inlineStr">
        <is>
          <t>Activity</t>
        </is>
      </c>
      <c r="B178" s="1" t="inlineStr">
        <is>
          <t>vanadium pentoxide bearing iron pellet production</t>
        </is>
      </c>
    </row>
    <row r="179">
      <c r="A179" t="inlineStr">
        <is>
          <t>comment</t>
        </is>
      </c>
      <c r="B179" t="inlineStr">
        <is>
          <t>Source: Zhang, S., Steubing, B., Potter, H. K., Hansson, P. A., &amp; Nordberg, Å. (2024). Future climate impacts of sodium-ion batteries. Resources, Conservation and Recycling, 202, 107362. https://doi.org/10.1016/j.resconrec.2023.107362. This inventory was modifyied based on iron pellet production form CA-QC, to Chinese specific production. All energy related processes were deleted, and only use electricity from CN as the energy power in this process. iron ore concentration was changed to the one produced by VT ore, and the weight ratio of iron ore concentration to iron pellet was adjusted, as well as the ratio of bentonite to pellet ore. All emissions were not changed. 
Geography:  Inputs relate to Québec production.
Technology:  Straight grate process.
Specific data were collected on one of the two production site in Quebec. No information was available to compare the technologies of the two production site. Uncertainity has been adjusted accordingly.
Time period:  Collected data for Quebec industry for the year 2011</t>
        </is>
      </c>
    </row>
    <row r="180">
      <c r="A180" t="inlineStr">
        <is>
          <t>location</t>
        </is>
      </c>
      <c r="B180" t="inlineStr">
        <is>
          <t>CN</t>
        </is>
      </c>
    </row>
    <row r="181">
      <c r="A181" t="inlineStr">
        <is>
          <t>reference product</t>
        </is>
      </c>
      <c r="B181" t="inlineStr">
        <is>
          <t>vanadium pentoxide bearing iron pellet</t>
        </is>
      </c>
    </row>
    <row r="182">
      <c r="A182" t="inlineStr">
        <is>
          <t>unit</t>
        </is>
      </c>
      <c r="B182" t="inlineStr">
        <is>
          <t>kilogram</t>
        </is>
      </c>
    </row>
    <row r="183">
      <c r="A183" t="inlineStr">
        <is>
          <t>source</t>
        </is>
      </c>
      <c r="B183" t="inlineStr">
        <is>
          <t>Zhang, S., Steubing, B., Potter, H. K., Hansson, P. A., &amp; Nordberg, Å. (2024). Future climate impacts of sodium-ion batteries. Resources, Conservation and Recycling, 202, 107362. https://doi.org/10.1016/j.resconrec.2023.107362</t>
        </is>
      </c>
    </row>
    <row r="184">
      <c r="A184" s="1" t="inlineStr">
        <is>
          <t>Exchanges</t>
        </is>
      </c>
    </row>
    <row r="185">
      <c r="A185" s="1" t="inlineStr">
        <is>
          <t>name</t>
        </is>
      </c>
      <c r="B185" s="1" t="inlineStr">
        <is>
          <t>amount</t>
        </is>
      </c>
      <c r="C185" s="1" t="inlineStr">
        <is>
          <t>reference product</t>
        </is>
      </c>
      <c r="D185" s="1" t="inlineStr">
        <is>
          <t>location</t>
        </is>
      </c>
      <c r="E185" s="1" t="inlineStr">
        <is>
          <t>unit</t>
        </is>
      </c>
      <c r="F185" s="1" t="inlineStr">
        <is>
          <t>categories</t>
        </is>
      </c>
      <c r="G185" s="1" t="inlineStr">
        <is>
          <t>type</t>
        </is>
      </c>
      <c r="H185" s="1" t="inlineStr">
        <is>
          <t>formula</t>
        </is>
      </c>
      <c r="I185" s="1" t="inlineStr">
        <is>
          <t>uncertainty type</t>
        </is>
      </c>
      <c r="J185" s="1" t="inlineStr">
        <is>
          <t>loc</t>
        </is>
      </c>
      <c r="K185" s="1" t="inlineStr">
        <is>
          <t>scale</t>
        </is>
      </c>
      <c r="L185" s="1" t="inlineStr">
        <is>
          <t>comment</t>
        </is>
      </c>
      <c r="M185" s="1" t="inlineStr">
        <is>
          <t>production volume</t>
        </is>
      </c>
      <c r="N185" s="1" t="inlineStr">
        <is>
          <t>negative</t>
        </is>
      </c>
    </row>
    <row r="186">
      <c r="A186" t="inlineStr">
        <is>
          <t>Arsenic ion</t>
        </is>
      </c>
      <c r="B186" t="n">
        <v>1.902e-10</v>
      </c>
      <c r="E186" t="inlineStr">
        <is>
          <t>kilogram</t>
        </is>
      </c>
      <c r="F186" t="inlineStr">
        <is>
          <t>water::surface water</t>
        </is>
      </c>
      <c r="G186" t="inlineStr">
        <is>
          <t>biosphere</t>
        </is>
      </c>
      <c r="H186" t="inlineStr">
        <is>
          <t>As+5</t>
        </is>
      </c>
      <c r="I186" t="n">
        <v>2</v>
      </c>
      <c r="J186" t="n">
        <v>-22.38294496581726</v>
      </c>
      <c r="K186" t="n">
        <v>0.8116033513977132</v>
      </c>
      <c r="L186" t="inlineStr">
        <is>
          <t>Calculated Value. Emissions in the final effluent.</t>
        </is>
      </c>
    </row>
    <row r="187">
      <c r="A187" t="inlineStr">
        <is>
          <t>Cadmium II</t>
        </is>
      </c>
      <c r="B187" t="n">
        <v>9.509e-11</v>
      </c>
      <c r="E187" t="inlineStr">
        <is>
          <t>kilogram</t>
        </is>
      </c>
      <c r="F187" t="inlineStr">
        <is>
          <t>water::surface water</t>
        </is>
      </c>
      <c r="G187" t="inlineStr">
        <is>
          <t>biosphere</t>
        </is>
      </c>
      <c r="H187" t="inlineStr">
        <is>
          <t>Cd+2</t>
        </is>
      </c>
      <c r="I187" t="n">
        <v>2</v>
      </c>
      <c r="J187" t="n">
        <v>-23.0761973043772</v>
      </c>
      <c r="K187" t="n">
        <v>0.8116033513977132</v>
      </c>
      <c r="L187" t="inlineStr">
        <is>
          <t>Calculated Value. Emissions in the final effluent.</t>
        </is>
      </c>
    </row>
    <row r="188">
      <c r="A188" t="inlineStr">
        <is>
          <t>Carbon dioxide, fossil</t>
        </is>
      </c>
      <c r="B188" t="n">
        <v>0.02325</v>
      </c>
      <c r="E188" t="inlineStr">
        <is>
          <t>kilogram</t>
        </is>
      </c>
      <c r="F188" t="inlineStr">
        <is>
          <t>air::non-urban air or from high stacks</t>
        </is>
      </c>
      <c r="G188" t="inlineStr">
        <is>
          <t>biosphere</t>
        </is>
      </c>
      <c r="H188" t="inlineStr">
        <is>
          <t>CO2</t>
        </is>
      </c>
      <c r="I188" t="n">
        <v>2</v>
      </c>
      <c r="J188" t="n">
        <v>-3.761450146948772</v>
      </c>
      <c r="K188" t="n">
        <v>0.09643650760992954</v>
      </c>
      <c r="L188" t="inlineStr">
        <is>
          <t>Calculated Value. Process emissions and emissions related to the combustion of waste oil on site.</t>
        </is>
      </c>
    </row>
    <row r="189">
      <c r="A189" t="inlineStr">
        <is>
          <t>Carbon monoxide, fossil</t>
        </is>
      </c>
      <c r="B189" t="n">
        <v>6.406e-07</v>
      </c>
      <c r="E189" t="inlineStr">
        <is>
          <t>kilogram</t>
        </is>
      </c>
      <c r="F189" t="inlineStr">
        <is>
          <t>air::non-urban air or from high stacks</t>
        </is>
      </c>
      <c r="G189" t="inlineStr">
        <is>
          <t>biosphere</t>
        </is>
      </c>
      <c r="H189" t="inlineStr">
        <is>
          <t>CO</t>
        </is>
      </c>
      <c r="I189" t="n">
        <v>2</v>
      </c>
      <c r="J189" t="n">
        <v>-14.26086059977135</v>
      </c>
      <c r="K189" t="n">
        <v>0.8116033513977132</v>
      </c>
      <c r="L189" t="inlineStr">
        <is>
          <t>Calculated Value. Process emissions.</t>
        </is>
      </c>
    </row>
    <row r="190">
      <c r="A190" t="inlineStr">
        <is>
          <t>Chromium III</t>
        </is>
      </c>
      <c r="B190" t="n">
        <v>1.521e-09</v>
      </c>
      <c r="E190" t="inlineStr">
        <is>
          <t>kilogram</t>
        </is>
      </c>
      <c r="F190" t="inlineStr">
        <is>
          <t>water::surface water</t>
        </is>
      </c>
      <c r="G190" t="inlineStr">
        <is>
          <t>biosphere</t>
        </is>
      </c>
      <c r="H190" t="inlineStr">
        <is>
          <t>Cr+3</t>
        </is>
      </c>
      <c r="I190" t="n">
        <v>2</v>
      </c>
      <c r="J190" t="n">
        <v>-20.30389782366926</v>
      </c>
      <c r="K190" t="n">
        <v>0.8116033513977132</v>
      </c>
      <c r="L190" t="inlineStr">
        <is>
          <t>Calculated Value. Emissions in the final effluent.</t>
        </is>
      </c>
    </row>
    <row r="191">
      <c r="A191" t="inlineStr">
        <is>
          <t>Cobalt II</t>
        </is>
      </c>
      <c r="B191" t="n">
        <v>1.902e-10</v>
      </c>
      <c r="E191" t="inlineStr">
        <is>
          <t>kilogram</t>
        </is>
      </c>
      <c r="F191" t="inlineStr">
        <is>
          <t>water::surface water</t>
        </is>
      </c>
      <c r="G191" t="inlineStr">
        <is>
          <t>biosphere</t>
        </is>
      </c>
      <c r="H191" t="inlineStr">
        <is>
          <t>Co</t>
        </is>
      </c>
      <c r="I191" t="n">
        <v>2</v>
      </c>
      <c r="J191" t="n">
        <v>-22.38294496581726</v>
      </c>
      <c r="K191" t="n">
        <v>0.8116033513977132</v>
      </c>
      <c r="L191" t="inlineStr">
        <is>
          <t>Calculated Value. Emissions in the final effluent.</t>
        </is>
      </c>
    </row>
    <row r="192">
      <c r="A192" t="inlineStr">
        <is>
          <t>Copper ion</t>
        </is>
      </c>
      <c r="B192" t="n">
        <v>1.902e-10</v>
      </c>
      <c r="E192" t="inlineStr">
        <is>
          <t>kilogram</t>
        </is>
      </c>
      <c r="F192" t="inlineStr">
        <is>
          <t>water::surface water</t>
        </is>
      </c>
      <c r="G192" t="inlineStr">
        <is>
          <t>biosphere</t>
        </is>
      </c>
      <c r="H192" t="inlineStr">
        <is>
          <t>Cu+</t>
        </is>
      </c>
      <c r="I192" t="n">
        <v>2</v>
      </c>
      <c r="J192" t="n">
        <v>-22.38294496581726</v>
      </c>
      <c r="K192" t="n">
        <v>0.8116033513977132</v>
      </c>
      <c r="L192" t="inlineStr">
        <is>
          <t>Calculated Value. Emissions in the final effluent.</t>
        </is>
      </c>
    </row>
    <row r="193">
      <c r="A193" t="inlineStr">
        <is>
          <t>Dinitrogen monoxide</t>
        </is>
      </c>
      <c r="B193" t="n">
        <v>4.592e-08</v>
      </c>
      <c r="E193" t="inlineStr">
        <is>
          <t>kilogram</t>
        </is>
      </c>
      <c r="F193" t="inlineStr">
        <is>
          <t>air::non-urban air or from high stacks</t>
        </is>
      </c>
      <c r="G193" t="inlineStr">
        <is>
          <t>biosphere</t>
        </is>
      </c>
      <c r="H193" t="inlineStr">
        <is>
          <t>N2O</t>
        </is>
      </c>
      <c r="I193" t="n">
        <v>2</v>
      </c>
      <c r="J193" t="n">
        <v>-16.8963650849351</v>
      </c>
      <c r="K193" t="n">
        <v>0.2206807649071391</v>
      </c>
      <c r="L193" t="inlineStr">
        <is>
          <t>Calculated Value. Process emissions and emissions related to the combustion of waste oil on site.</t>
        </is>
      </c>
    </row>
    <row r="194">
      <c r="A194" t="inlineStr">
        <is>
          <t>Hydrochloric acid</t>
        </is>
      </c>
      <c r="B194" t="n">
        <v>6.07e-06</v>
      </c>
      <c r="E194" t="inlineStr">
        <is>
          <t>kilogram</t>
        </is>
      </c>
      <c r="F194" t="inlineStr">
        <is>
          <t>air</t>
        </is>
      </c>
      <c r="G194" t="inlineStr">
        <is>
          <t>biosphere</t>
        </is>
      </c>
      <c r="H194" t="inlineStr">
        <is>
          <t>ClH</t>
        </is>
      </c>
      <c r="I194" t="n">
        <v>2</v>
      </c>
      <c r="J194" t="n">
        <v>-12.01215195289287</v>
      </c>
      <c r="K194" t="n">
        <v>0.2238302928559939</v>
      </c>
      <c r="L194" t="inlineStr">
        <is>
          <t>Calculated Value based on specific data for the entire process (including combustion) minus the emissions from combustion modelled in the current dataset (ecoinvent v3).</t>
        </is>
      </c>
    </row>
    <row r="195">
      <c r="A195" t="inlineStr">
        <is>
          <t>Hydrogen fluoride</t>
        </is>
      </c>
      <c r="B195" t="n">
        <v>1.42e-05</v>
      </c>
      <c r="E195" t="inlineStr">
        <is>
          <t>kilogram</t>
        </is>
      </c>
      <c r="F195" t="inlineStr">
        <is>
          <t>air::non-urban air or from high stacks</t>
        </is>
      </c>
      <c r="G195" t="inlineStr">
        <is>
          <t>biosphere</t>
        </is>
      </c>
      <c r="H195" t="inlineStr">
        <is>
          <t>FH</t>
        </is>
      </c>
      <c r="I195" t="n">
        <v>2</v>
      </c>
      <c r="J195" t="n">
        <v>-11.16226859335706</v>
      </c>
      <c r="K195" t="n">
        <v>0.2238302928559939</v>
      </c>
      <c r="L195" t="inlineStr">
        <is>
          <t>Calculated Value based on specific data for the entire process (including combustion) minus the emissions from combustion modelled in the current dataset (ecoinvent v3).</t>
        </is>
      </c>
    </row>
    <row r="196">
      <c r="A196" t="inlineStr">
        <is>
          <t>Iron ion</t>
        </is>
      </c>
      <c r="B196" t="n">
        <v>3.616e-07</v>
      </c>
      <c r="E196" t="inlineStr">
        <is>
          <t>kilogram</t>
        </is>
      </c>
      <c r="F196" t="inlineStr">
        <is>
          <t>water::surface water</t>
        </is>
      </c>
      <c r="G196" t="inlineStr">
        <is>
          <t>biosphere</t>
        </is>
      </c>
      <c r="H196" t="inlineStr">
        <is>
          <t>Fe+2</t>
        </is>
      </c>
      <c r="I196" t="n">
        <v>2</v>
      </c>
      <c r="J196" t="n">
        <v>-14.83272720842839</v>
      </c>
      <c r="K196" t="n">
        <v>0.8116033513977132</v>
      </c>
      <c r="L196" t="inlineStr">
        <is>
          <t>Calculated Value. Emissions in the final effluent.</t>
        </is>
      </c>
    </row>
    <row r="197">
      <c r="A197" t="inlineStr">
        <is>
          <t>Lead II</t>
        </is>
      </c>
      <c r="B197" t="n">
        <v>1.902e-10</v>
      </c>
      <c r="E197" t="inlineStr">
        <is>
          <t>kilogram</t>
        </is>
      </c>
      <c r="F197" t="inlineStr">
        <is>
          <t>water::surface water</t>
        </is>
      </c>
      <c r="G197" t="inlineStr">
        <is>
          <t>biosphere</t>
        </is>
      </c>
      <c r="H197" t="inlineStr">
        <is>
          <t>Pb</t>
        </is>
      </c>
      <c r="I197" t="n">
        <v>2</v>
      </c>
      <c r="J197" t="n">
        <v>-22.38294496581726</v>
      </c>
      <c r="K197" t="n">
        <v>0.8116033513977132</v>
      </c>
      <c r="L197" t="inlineStr">
        <is>
          <t>Calculated Value. Emissions in the final effluent.</t>
        </is>
      </c>
    </row>
    <row r="198">
      <c r="A198" t="inlineStr">
        <is>
          <t>Manganese II</t>
        </is>
      </c>
      <c r="B198" t="n">
        <v>5.705e-08</v>
      </c>
      <c r="E198" t="inlineStr">
        <is>
          <t>kilogram</t>
        </is>
      </c>
      <c r="F198" t="inlineStr">
        <is>
          <t>water::surface water</t>
        </is>
      </c>
      <c r="G198" t="inlineStr">
        <is>
          <t>biosphere</t>
        </is>
      </c>
      <c r="H198" t="inlineStr">
        <is>
          <t>Mn</t>
        </is>
      </c>
      <c r="I198" t="n">
        <v>2</v>
      </c>
      <c r="J198" t="n">
        <v>-16.67933776063833</v>
      </c>
      <c r="K198" t="n">
        <v>0.8116033513977132</v>
      </c>
      <c r="L198" t="inlineStr">
        <is>
          <t>Calculated Value. Emissions in the final effluent.</t>
        </is>
      </c>
    </row>
    <row r="199">
      <c r="A199" t="inlineStr">
        <is>
          <t>Mercury II</t>
        </is>
      </c>
      <c r="B199" t="n">
        <v>2.472e-11</v>
      </c>
      <c r="E199" t="inlineStr">
        <is>
          <t>kilogram</t>
        </is>
      </c>
      <c r="F199" t="inlineStr">
        <is>
          <t>water::surface water</t>
        </is>
      </c>
      <c r="G199" t="inlineStr">
        <is>
          <t>biosphere</t>
        </is>
      </c>
      <c r="H199" t="inlineStr">
        <is>
          <t>Hg</t>
        </is>
      </c>
      <c r="I199" t="n">
        <v>2</v>
      </c>
      <c r="J199" t="n">
        <v>-24.42340848333906</v>
      </c>
      <c r="K199" t="n">
        <v>0.8116033513977132</v>
      </c>
      <c r="L199" t="inlineStr">
        <is>
          <t>Calculated Value. Emissions in the final effluent.</t>
        </is>
      </c>
    </row>
    <row r="200">
      <c r="A200" t="inlineStr">
        <is>
          <t>Mercury II</t>
        </is>
      </c>
      <c r="B200" t="n">
        <v>3.03e-09</v>
      </c>
      <c r="E200" t="inlineStr">
        <is>
          <t>kilogram</t>
        </is>
      </c>
      <c r="F200" t="inlineStr">
        <is>
          <t>air::non-urban air or from high stacks</t>
        </is>
      </c>
      <c r="G200" t="inlineStr">
        <is>
          <t>biosphere</t>
        </is>
      </c>
      <c r="H200" t="inlineStr">
        <is>
          <t>Hg</t>
        </is>
      </c>
      <c r="I200" t="n">
        <v>2</v>
      </c>
      <c r="J200" t="n">
        <v>-19.61470321742513</v>
      </c>
      <c r="K200" t="n">
        <v>0.8124653838779841</v>
      </c>
      <c r="L200" t="inlineStr">
        <is>
          <t>Calculated Value based on specific data for the entire process (including combustion) minus the emissions from combustion modelled in the current dataset (ecoinvent v3).</t>
        </is>
      </c>
    </row>
    <row r="201">
      <c r="A201" t="inlineStr">
        <is>
          <t>Methane, fossil</t>
        </is>
      </c>
      <c r="B201" t="n">
        <v>1.87e-09</v>
      </c>
      <c r="E201" t="inlineStr">
        <is>
          <t>kilogram</t>
        </is>
      </c>
      <c r="F201" t="inlineStr">
        <is>
          <t>air::non-urban air or from high stacks</t>
        </is>
      </c>
      <c r="G201" t="inlineStr">
        <is>
          <t>biosphere</t>
        </is>
      </c>
      <c r="H201" t="inlineStr">
        <is>
          <t>CH4</t>
        </is>
      </c>
      <c r="I201" t="n">
        <v>2</v>
      </c>
      <c r="J201" t="n">
        <v>-20.09732740607992</v>
      </c>
      <c r="K201" t="n">
        <v>0.2206807649071391</v>
      </c>
      <c r="L201" t="inlineStr">
        <is>
          <t>Calculated Value, Emissions related the combustion of waste oil on site.</t>
        </is>
      </c>
    </row>
    <row r="202">
      <c r="A202" t="inlineStr">
        <is>
          <t>NMVOC, non-methane volatile organic compounds</t>
        </is>
      </c>
      <c r="B202" t="n">
        <v>1.287e-09</v>
      </c>
      <c r="E202" t="inlineStr">
        <is>
          <t>kilogram</t>
        </is>
      </c>
      <c r="F202" t="inlineStr">
        <is>
          <t>air::non-urban air or from high stacks</t>
        </is>
      </c>
      <c r="G202" t="inlineStr">
        <is>
          <t>biosphere</t>
        </is>
      </c>
      <c r="I202" t="n">
        <v>2</v>
      </c>
      <c r="J202" t="n">
        <v>-20.47095190833242</v>
      </c>
      <c r="K202" t="n">
        <v>0.2206807649071391</v>
      </c>
      <c r="L202" t="inlineStr">
        <is>
          <t>Calculated Value. Process emissions, reported as COV.</t>
        </is>
      </c>
    </row>
    <row r="203">
      <c r="A203" t="inlineStr">
        <is>
          <t>Nickel II</t>
        </is>
      </c>
      <c r="B203" t="n">
        <v>1.902e-10</v>
      </c>
      <c r="E203" t="inlineStr">
        <is>
          <t>kilogram</t>
        </is>
      </c>
      <c r="F203" t="inlineStr">
        <is>
          <t>water::surface water</t>
        </is>
      </c>
      <c r="G203" t="inlineStr">
        <is>
          <t>biosphere</t>
        </is>
      </c>
      <c r="H203" t="inlineStr">
        <is>
          <t>Ni+2</t>
        </is>
      </c>
      <c r="I203" t="n">
        <v>2</v>
      </c>
      <c r="J203" t="n">
        <v>-22.38294496581726</v>
      </c>
      <c r="K203" t="n">
        <v>0.8116033513977132</v>
      </c>
      <c r="L203" t="inlineStr">
        <is>
          <t>Calculated Value. Emissions in the final effluent.</t>
        </is>
      </c>
    </row>
    <row r="204">
      <c r="A204" t="inlineStr">
        <is>
          <t>Nitrate</t>
        </is>
      </c>
      <c r="B204" t="n">
        <v>3.499e-07</v>
      </c>
      <c r="E204" t="inlineStr">
        <is>
          <t>kilogram</t>
        </is>
      </c>
      <c r="F204" t="inlineStr">
        <is>
          <t>water::surface water</t>
        </is>
      </c>
      <c r="G204" t="inlineStr">
        <is>
          <t>biosphere</t>
        </is>
      </c>
      <c r="H204" t="inlineStr">
        <is>
          <t>NO3-</t>
        </is>
      </c>
      <c r="I204" t="n">
        <v>2</v>
      </c>
      <c r="J204" t="n">
        <v>-14.86561843757277</v>
      </c>
      <c r="K204" t="n">
        <v>0.2206807649071391</v>
      </c>
      <c r="L204" t="inlineStr">
        <is>
          <t>Calculated Value. Emissions in the final effluent.</t>
        </is>
      </c>
    </row>
    <row r="205">
      <c r="A205" t="inlineStr">
        <is>
          <t>Nitrogen oxides</t>
        </is>
      </c>
      <c r="B205" t="n">
        <v>6.022e-06</v>
      </c>
      <c r="E205" t="inlineStr">
        <is>
          <t>kilogram</t>
        </is>
      </c>
      <c r="F205" t="inlineStr">
        <is>
          <t>air::non-urban air or from high stacks</t>
        </is>
      </c>
      <c r="G205" t="inlineStr">
        <is>
          <t>biosphere</t>
        </is>
      </c>
      <c r="H205" t="inlineStr">
        <is>
          <t>H3NO</t>
        </is>
      </c>
      <c r="I205" t="n">
        <v>2</v>
      </c>
      <c r="J205" t="n">
        <v>-12.02009112790473</v>
      </c>
      <c r="K205" t="n">
        <v>0.2206807649071391</v>
      </c>
      <c r="L205" t="inlineStr">
        <is>
          <t>Calculated Value. Process emissions.</t>
        </is>
      </c>
    </row>
    <row r="206">
      <c r="A206" t="inlineStr">
        <is>
          <t>Particulate Matter, &lt; 2.5 um</t>
        </is>
      </c>
      <c r="B206" t="n">
        <v>1.039e-05</v>
      </c>
      <c r="E206" t="inlineStr">
        <is>
          <t>kilogram</t>
        </is>
      </c>
      <c r="F206" t="inlineStr">
        <is>
          <t>air::non-urban air or from high stacks</t>
        </is>
      </c>
      <c r="G206" t="inlineStr">
        <is>
          <t>biosphere</t>
        </is>
      </c>
      <c r="I206" t="n">
        <v>2</v>
      </c>
      <c r="J206" t="n">
        <v>-11.47466675285314</v>
      </c>
      <c r="K206" t="n">
        <v>0.555607775323564</v>
      </c>
      <c r="L206" t="inlineStr">
        <is>
          <t>Calculated Value. Emissions related to stationnary sources (process), material transfer activities, fugitive sources (tailings) and road dust.</t>
        </is>
      </c>
    </row>
    <row r="207">
      <c r="A207" t="inlineStr">
        <is>
          <t>Particulate Matter, &gt; 10 um</t>
        </is>
      </c>
      <c r="B207" t="n">
        <v>1.796e-05</v>
      </c>
      <c r="E207" t="inlineStr">
        <is>
          <t>kilogram</t>
        </is>
      </c>
      <c r="F207" t="inlineStr">
        <is>
          <t>air::non-urban air or from high stacks</t>
        </is>
      </c>
      <c r="G207" t="inlineStr">
        <is>
          <t>biosphere</t>
        </is>
      </c>
      <c r="I207" t="n">
        <v>2</v>
      </c>
      <c r="J207" t="n">
        <v>-10.92736349509022</v>
      </c>
      <c r="K207" t="n">
        <v>0.2206807649071391</v>
      </c>
      <c r="L207" t="inlineStr">
        <is>
          <t>Calculated Value. Emissions related to stationnary sources (process), material transfer activities, fugitive sources (tailings) and road dust.</t>
        </is>
      </c>
    </row>
    <row r="208">
      <c r="A208" t="inlineStr">
        <is>
          <t>Particulate Matter, &gt; 2.5 um and &lt; 10um</t>
        </is>
      </c>
      <c r="B208" t="n">
        <v>1.231e-05</v>
      </c>
      <c r="E208" t="inlineStr">
        <is>
          <t>kilogram</t>
        </is>
      </c>
      <c r="F208" t="inlineStr">
        <is>
          <t>air::non-urban air or from high stacks</t>
        </is>
      </c>
      <c r="G208" t="inlineStr">
        <is>
          <t>biosphere</t>
        </is>
      </c>
      <c r="I208" t="n">
        <v>2</v>
      </c>
      <c r="J208" t="n">
        <v>-11.30509861776791</v>
      </c>
      <c r="K208" t="n">
        <v>0.358747822293042</v>
      </c>
      <c r="L208" t="inlineStr">
        <is>
          <t>Calculated Value. Emissions related to stationnary sources (process), material transfer activities, fugitive sources (tailings) and road dust.</t>
        </is>
      </c>
    </row>
    <row r="209">
      <c r="A209" t="inlineStr">
        <is>
          <t>Phosphorus</t>
        </is>
      </c>
      <c r="B209" t="n">
        <v>2.282e-08</v>
      </c>
      <c r="E209" t="inlineStr">
        <is>
          <t>kilogram</t>
        </is>
      </c>
      <c r="F209" t="inlineStr">
        <is>
          <t>water::surface water</t>
        </is>
      </c>
      <c r="G209" t="inlineStr">
        <is>
          <t>biosphere</t>
        </is>
      </c>
      <c r="H209" t="inlineStr">
        <is>
          <t>P</t>
        </is>
      </c>
      <c r="I209" t="n">
        <v>2</v>
      </c>
      <c r="J209" t="n">
        <v>-17.59562849251248</v>
      </c>
      <c r="K209" t="n">
        <v>0.2206807649071391</v>
      </c>
      <c r="L209" t="inlineStr">
        <is>
          <t>Calculated Value. Emissions in the final effluent.</t>
        </is>
      </c>
    </row>
    <row r="210">
      <c r="A210" t="inlineStr">
        <is>
          <t>Silver I</t>
        </is>
      </c>
      <c r="B210" t="n">
        <v>1.73e-09</v>
      </c>
      <c r="E210" t="inlineStr">
        <is>
          <t>kilogram</t>
        </is>
      </c>
      <c r="F210" t="inlineStr">
        <is>
          <t>air::non-urban air or from high stacks</t>
        </is>
      </c>
      <c r="G210" t="inlineStr">
        <is>
          <t>biosphere</t>
        </is>
      </c>
      <c r="H210" t="inlineStr">
        <is>
          <t>Ag</t>
        </is>
      </c>
      <c r="I210" t="n">
        <v>2</v>
      </c>
      <c r="J210" t="n">
        <v>-20.17514442843672</v>
      </c>
      <c r="K210" t="n">
        <v>0.8124653838779841</v>
      </c>
      <c r="L210" t="inlineStr">
        <is>
          <t>Calculated Value based on specific data for the entire process (including combustion) minus the emissions from combustion modelled in the current dataset (ecoinvent v3).</t>
        </is>
      </c>
    </row>
    <row r="211">
      <c r="A211" t="inlineStr">
        <is>
          <t>Sulfur dioxide</t>
        </is>
      </c>
      <c r="B211" t="n">
        <v>2.881e-05</v>
      </c>
      <c r="E211" t="inlineStr">
        <is>
          <t>kilogram</t>
        </is>
      </c>
      <c r="F211" t="inlineStr">
        <is>
          <t>air::non-urban air or from high stacks</t>
        </is>
      </c>
      <c r="G211" t="inlineStr">
        <is>
          <t>biosphere</t>
        </is>
      </c>
      <c r="H211" t="inlineStr">
        <is>
          <t>O2S</t>
        </is>
      </c>
      <c r="I211" t="n">
        <v>2</v>
      </c>
      <c r="J211" t="n">
        <v>-10.45478800886784</v>
      </c>
      <c r="K211" t="n">
        <v>0.09643650760992954</v>
      </c>
      <c r="L211" t="inlineStr">
        <is>
          <t>Calculated Value. Process emissions.</t>
        </is>
      </c>
    </row>
    <row r="212">
      <c r="A212" t="inlineStr">
        <is>
          <t>Suspended solids, unspecified</t>
        </is>
      </c>
      <c r="B212" t="n">
        <v>1.218e-06</v>
      </c>
      <c r="E212" t="inlineStr">
        <is>
          <t>kilogram</t>
        </is>
      </c>
      <c r="F212" t="inlineStr">
        <is>
          <t>water::surface water</t>
        </is>
      </c>
      <c r="G212" t="inlineStr">
        <is>
          <t>biosphere</t>
        </is>
      </c>
      <c r="I212" t="n">
        <v>2</v>
      </c>
      <c r="J212" t="n">
        <v>-13.61830038867657</v>
      </c>
      <c r="K212" t="n">
        <v>0.2206807649071391</v>
      </c>
      <c r="L212" t="inlineStr">
        <is>
          <t>Calculated Value. Emissions in the final effluent.</t>
        </is>
      </c>
    </row>
    <row r="213">
      <c r="A213" t="inlineStr">
        <is>
          <t>Water</t>
        </is>
      </c>
      <c r="B213" t="n">
        <v>0.0005616799999999999</v>
      </c>
      <c r="E213" t="inlineStr">
        <is>
          <t>cubic meter</t>
        </is>
      </c>
      <c r="F213" t="inlineStr">
        <is>
          <t>water</t>
        </is>
      </c>
      <c r="G213" t="inlineStr">
        <is>
          <t>biosphere</t>
        </is>
      </c>
      <c r="H213" t="inlineStr">
        <is>
          <t>H2O</t>
        </is>
      </c>
      <c r="I213" t="n">
        <v>2</v>
      </c>
      <c r="J213" t="n">
        <v>-7.484578265255281</v>
      </c>
      <c r="K213" t="n">
        <v>0.2206807649071391</v>
      </c>
      <c r="L213" t="inlineStr">
        <is>
          <t>Calculated value based on literature values and expert opinion. See comments in the parametres' comment field.</t>
        </is>
      </c>
    </row>
    <row r="214">
      <c r="A214" t="inlineStr">
        <is>
          <t>Water</t>
        </is>
      </c>
      <c r="B214" t="n">
        <v>9.912e-05</v>
      </c>
      <c r="E214" t="inlineStr">
        <is>
          <t>cubic meter</t>
        </is>
      </c>
      <c r="F214" t="inlineStr">
        <is>
          <t>air</t>
        </is>
      </c>
      <c r="G214" t="inlineStr">
        <is>
          <t>biosphere</t>
        </is>
      </c>
      <c r="H214" t="inlineStr">
        <is>
          <t>H2O</t>
        </is>
      </c>
      <c r="I214" t="n">
        <v>2</v>
      </c>
      <c r="J214" t="n">
        <v>-9.219179320643388</v>
      </c>
      <c r="K214" t="n">
        <v>0.2206807649071391</v>
      </c>
      <c r="L214" t="inlineStr">
        <is>
          <t>Calculated value based on literature values and expert opinion. See comments in the parametres' comment field.</t>
        </is>
      </c>
    </row>
    <row r="215">
      <c r="A215" t="inlineStr">
        <is>
          <t>Zinc II</t>
        </is>
      </c>
      <c r="B215" t="n">
        <v>7.607e-10</v>
      </c>
      <c r="E215" t="inlineStr">
        <is>
          <t>kilogram</t>
        </is>
      </c>
      <c r="F215" t="inlineStr">
        <is>
          <t>water::surface water</t>
        </is>
      </c>
      <c r="G215" t="inlineStr">
        <is>
          <t>biosphere</t>
        </is>
      </c>
      <c r="H215" t="inlineStr">
        <is>
          <t>Zn+2</t>
        </is>
      </c>
      <c r="I215" t="n">
        <v>2</v>
      </c>
      <c r="J215" t="n">
        <v>-20.99678205392529</v>
      </c>
      <c r="K215" t="n">
        <v>0.8116033513977132</v>
      </c>
      <c r="L215" t="inlineStr">
        <is>
          <t>Calculated Value. Emissions in the final effluent.</t>
        </is>
      </c>
    </row>
    <row r="216">
      <c r="A216" t="inlineStr">
        <is>
          <t>vanadium pentoxide bearing iron pellet production</t>
        </is>
      </c>
      <c r="B216" t="n">
        <v>1</v>
      </c>
      <c r="C216" t="inlineStr">
        <is>
          <t>vanadium pentoxide bearing iron pellet</t>
        </is>
      </c>
      <c r="D216" t="inlineStr">
        <is>
          <t>CN</t>
        </is>
      </c>
      <c r="E216" t="inlineStr">
        <is>
          <t>kilogram</t>
        </is>
      </c>
      <c r="G216" t="inlineStr">
        <is>
          <t>production</t>
        </is>
      </c>
      <c r="I216" t="n">
        <v>0</v>
      </c>
      <c r="J216" t="n">
        <v>1</v>
      </c>
      <c r="L216" t="inlineStr">
        <is>
          <t>EcoSpold01Location=GLO</t>
        </is>
      </c>
      <c r="M216" t="n">
        <v>10100000000</v>
      </c>
    </row>
    <row r="217">
      <c r="A217" t="inlineStr">
        <is>
          <t>market for aluminium oxide factory</t>
        </is>
      </c>
      <c r="B217" t="n">
        <v>2.5e-11</v>
      </c>
      <c r="C217" t="inlineStr">
        <is>
          <t>aluminium oxide factory</t>
        </is>
      </c>
      <c r="D217" t="inlineStr">
        <is>
          <t>GLO</t>
        </is>
      </c>
      <c r="E217" t="inlineStr">
        <is>
          <t>unit</t>
        </is>
      </c>
      <c r="G217" t="inlineStr">
        <is>
          <t>technosphere</t>
        </is>
      </c>
      <c r="I217" t="n">
        <v>2</v>
      </c>
      <c r="J217" t="n">
        <v>-24.41214529106035</v>
      </c>
      <c r="K217" t="n">
        <v>0.714142842854285</v>
      </c>
      <c r="L217" t="inlineStr">
        <is>
          <t>EcoSpold01Location=RER</t>
        </is>
      </c>
    </row>
    <row r="218">
      <c r="A218" t="inlineStr">
        <is>
          <t>market for bentonite</t>
        </is>
      </c>
      <c r="B218" t="n">
        <v>0.01528</v>
      </c>
      <c r="C218" t="inlineStr">
        <is>
          <t>bentonite</t>
        </is>
      </c>
      <c r="D218" t="inlineStr">
        <is>
          <t>GLO</t>
        </is>
      </c>
      <c r="E218" t="inlineStr">
        <is>
          <t>kilogram</t>
        </is>
      </c>
      <c r="G218" t="inlineStr">
        <is>
          <t>technosphere</t>
        </is>
      </c>
      <c r="I218" t="n">
        <v>2</v>
      </c>
      <c r="J218" t="n">
        <v>-5.416650553509902</v>
      </c>
      <c r="K218" t="n">
        <v>0.09327379053088815</v>
      </c>
      <c r="L218" t="inlineStr">
        <is>
          <t>Measured Value. Activated on site with NaOH.</t>
        </is>
      </c>
    </row>
    <row r="219">
      <c r="A219" t="inlineStr">
        <is>
          <t>market for electricity, high voltage, aluminium industry</t>
        </is>
      </c>
      <c r="B219" t="n">
        <v>0.0299</v>
      </c>
      <c r="C219" t="inlineStr">
        <is>
          <t>electricity, high voltage, aluminium industry</t>
        </is>
      </c>
      <c r="D219" t="inlineStr">
        <is>
          <t>CN</t>
        </is>
      </c>
      <c r="E219" t="inlineStr">
        <is>
          <t>kilowatt hour</t>
        </is>
      </c>
      <c r="G219" t="inlineStr">
        <is>
          <t>technosphere</t>
        </is>
      </c>
    </row>
    <row r="220">
      <c r="A220" t="inlineStr">
        <is>
          <t>market for lubricating oil</t>
        </is>
      </c>
      <c r="B220" t="n">
        <v>1.6678e-05</v>
      </c>
      <c r="C220" t="inlineStr">
        <is>
          <t>lubricating oil</t>
        </is>
      </c>
      <c r="D220" t="inlineStr">
        <is>
          <t>RoW</t>
        </is>
      </c>
      <c r="E220" t="inlineStr">
        <is>
          <t>kilogram</t>
        </is>
      </c>
      <c r="G220" t="inlineStr">
        <is>
          <t>technosphere</t>
        </is>
      </c>
      <c r="I220" t="n">
        <v>2</v>
      </c>
      <c r="J220" t="n">
        <v>-11.00142007229948</v>
      </c>
      <c r="K220" t="n">
        <v>0.08944271909999159</v>
      </c>
      <c r="L220" t="inlineStr">
        <is>
          <t>Estimation based on the amount of waste oil burned on site in the iron ore beneficiation to 65% Fe, Quebec, 2011 and the ratio of the combustion emissions and with the amount of use oil sent to incineration plant.</t>
        </is>
      </c>
    </row>
    <row r="221">
      <c r="A221" t="inlineStr">
        <is>
          <t>market for scrap steel</t>
        </is>
      </c>
      <c r="B221" t="n">
        <v>-9.996e-05</v>
      </c>
      <c r="C221" t="inlineStr">
        <is>
          <t>scrap steel</t>
        </is>
      </c>
      <c r="D221" t="inlineStr">
        <is>
          <t>RoW</t>
        </is>
      </c>
      <c r="E221" t="inlineStr">
        <is>
          <t>kilogram</t>
        </is>
      </c>
      <c r="G221" t="inlineStr">
        <is>
          <t>technosphere</t>
        </is>
      </c>
      <c r="I221" t="n">
        <v>2</v>
      </c>
      <c r="J221" t="n">
        <v>-9.210740451997523</v>
      </c>
      <c r="K221" t="n">
        <v>0.09327379053088815</v>
      </c>
      <c r="L221" t="inlineStr">
        <is>
          <t>Measured Value for the year 2010. No information on the end of life.</t>
        </is>
      </c>
      <c r="N221" t="b">
        <v>1</v>
      </c>
    </row>
    <row r="222">
      <c r="A222" t="inlineStr">
        <is>
          <t>market for sodium hydroxide, without water, in 50% solution state</t>
        </is>
      </c>
      <c r="B222" t="n">
        <v>0.00010095</v>
      </c>
      <c r="C222" t="inlineStr">
        <is>
          <t>sodium hydroxide, without water, in 50% solution state</t>
        </is>
      </c>
      <c r="D222" t="inlineStr">
        <is>
          <t>GLO</t>
        </is>
      </c>
      <c r="E222" t="inlineStr">
        <is>
          <t>kilogram</t>
        </is>
      </c>
      <c r="G222" t="inlineStr">
        <is>
          <t>technosphere</t>
        </is>
      </c>
      <c r="I222" t="n">
        <v>2</v>
      </c>
      <c r="J222" t="n">
        <v>-9.200885213205428</v>
      </c>
      <c r="K222" t="n">
        <v>0.09327379053088815</v>
      </c>
      <c r="L222" t="inlineStr">
        <is>
          <t>Measured Value. Reported as kg of solution.</t>
        </is>
      </c>
    </row>
    <row r="223">
      <c r="A223" t="inlineStr">
        <is>
          <t>market for solvent, organic</t>
        </is>
      </c>
      <c r="B223" t="n">
        <v>3.758e-06</v>
      </c>
      <c r="C223" t="inlineStr">
        <is>
          <t>solvent, organic</t>
        </is>
      </c>
      <c r="D223" t="inlineStr">
        <is>
          <t>GLO</t>
        </is>
      </c>
      <c r="E223" t="inlineStr">
        <is>
          <t>kilogram</t>
        </is>
      </c>
      <c r="G223" t="inlineStr">
        <is>
          <t>technosphere</t>
        </is>
      </c>
      <c r="I223" t="n">
        <v>2</v>
      </c>
      <c r="J223" t="n">
        <v>-12.491623656973</v>
      </c>
      <c r="K223" t="n">
        <v>0.08944271909999159</v>
      </c>
      <c r="L223" t="inlineStr">
        <is>
          <t>Estimation based on the amount of waste solvent.</t>
        </is>
      </c>
    </row>
    <row r="224">
      <c r="A224" t="inlineStr">
        <is>
          <t>market for spent solvent mixture</t>
        </is>
      </c>
      <c r="B224" t="n">
        <v>-3.758e-06</v>
      </c>
      <c r="C224" t="inlineStr">
        <is>
          <t>spent solvent mixture</t>
        </is>
      </c>
      <c r="D224" t="inlineStr">
        <is>
          <t>RoW</t>
        </is>
      </c>
      <c r="E224" t="inlineStr">
        <is>
          <t>kilogram</t>
        </is>
      </c>
      <c r="G224" t="inlineStr">
        <is>
          <t>technosphere</t>
        </is>
      </c>
      <c r="I224" t="n">
        <v>2</v>
      </c>
      <c r="J224" t="n">
        <v>-12.491623656973</v>
      </c>
      <c r="K224" t="n">
        <v>0.09327379053088815</v>
      </c>
      <c r="L224" t="inlineStr">
        <is>
          <t>Measured Value for the year 2010. Reported as non-chlorinated solvent sent to cement plant (incineration as proxy).</t>
        </is>
      </c>
      <c r="N224" t="b">
        <v>1</v>
      </c>
    </row>
    <row r="225">
      <c r="A225" t="inlineStr">
        <is>
          <t>market for tap water</t>
        </is>
      </c>
      <c r="B225" t="n">
        <v>0.6608000000000001</v>
      </c>
      <c r="C225" t="inlineStr">
        <is>
          <t>tap water</t>
        </is>
      </c>
      <c r="D225" t="inlineStr">
        <is>
          <t>RoW</t>
        </is>
      </c>
      <c r="E225" t="inlineStr">
        <is>
          <t>kilogram</t>
        </is>
      </c>
      <c r="G225" t="inlineStr">
        <is>
          <t>technosphere</t>
        </is>
      </c>
    </row>
    <row r="226">
      <c r="A226" t="inlineStr">
        <is>
          <t>market for transport, freight train</t>
        </is>
      </c>
      <c r="B226" t="n">
        <v>0.135348600076475</v>
      </c>
      <c r="C226" t="inlineStr">
        <is>
          <t>transport, freight train</t>
        </is>
      </c>
      <c r="D226" t="inlineStr">
        <is>
          <t>RoW</t>
        </is>
      </c>
      <c r="E226" t="inlineStr">
        <is>
          <t>ton kilometer</t>
        </is>
      </c>
      <c r="G226" t="inlineStr">
        <is>
          <t>technosphere</t>
        </is>
      </c>
      <c r="I226" t="n">
        <v>2</v>
      </c>
      <c r="J226" t="n">
        <v>-1.999901605964049</v>
      </c>
      <c r="K226" t="n">
        <v>0.08944271909999159</v>
      </c>
      <c r="L226" t="inlineStr">
        <is>
          <t>Calculated Value. Transportation of the concentrate to the pellets plant.</t>
        </is>
      </c>
    </row>
    <row r="227">
      <c r="A227" t="inlineStr">
        <is>
          <t>market for waste mineral oil</t>
        </is>
      </c>
      <c r="B227" t="n">
        <v>-2.656e-06</v>
      </c>
      <c r="C227" t="inlineStr">
        <is>
          <t>waste mineral oil</t>
        </is>
      </c>
      <c r="D227" t="inlineStr">
        <is>
          <t>RoW</t>
        </is>
      </c>
      <c r="E227" t="inlineStr">
        <is>
          <t>kilogram</t>
        </is>
      </c>
      <c r="G227" t="inlineStr">
        <is>
          <t>technosphere</t>
        </is>
      </c>
      <c r="I227" t="n">
        <v>2</v>
      </c>
      <c r="J227" t="n">
        <v>-12.83868932635009</v>
      </c>
      <c r="K227" t="n">
        <v>0.09327379053088815</v>
      </c>
      <c r="L227" t="inlineStr">
        <is>
          <t>Measured Value for the year 2010. Reported as grease and oil waste sent to cement plant (incineration as proxy).</t>
        </is>
      </c>
      <c r="N227" t="b">
        <v>1</v>
      </c>
    </row>
    <row r="228">
      <c r="A228" t="inlineStr">
        <is>
          <t>vanadium-titanomagnetite mine operation and beneficiation</t>
        </is>
      </c>
      <c r="B228" t="n">
        <v>0.9847</v>
      </c>
      <c r="C228" t="inlineStr">
        <is>
          <t>iron ore concentrate</t>
        </is>
      </c>
      <c r="D228" t="inlineStr">
        <is>
          <t>CN</t>
        </is>
      </c>
      <c r="E228" t="inlineStr">
        <is>
          <t>kilogram</t>
        </is>
      </c>
      <c r="G228" t="inlineStr">
        <is>
          <t>technosphere</t>
        </is>
      </c>
    </row>
    <row r="229"/>
    <row r="230">
      <c r="A230" s="1" t="inlineStr">
        <is>
          <t>Activity</t>
        </is>
      </c>
      <c r="B230" s="1" t="inlineStr">
        <is>
          <t>vanadium pentoxide bearing iron sinter production</t>
        </is>
      </c>
    </row>
    <row r="231">
      <c r="A231" t="inlineStr">
        <is>
          <t>comment</t>
        </is>
      </c>
      <c r="B231" t="inlineStr">
        <is>
          <t xml:space="preserve">Source: Zhang, S., Steubing, B., Potter, H. K., Hansson, P. A., &amp; Nordberg, Å. (2024). Future climate impacts of sodium-ion batteries. Resources, Conservation and Recycling, 202, 107362. https://doi.org/10.1016/j.resconrec.2023.107362. modified based on iron sinter production, RER to Chinese production specifically. main change is that the iron ore concentration was changed to the one produced from VTM ore (CN) coke' is a fossil fuel with a calorific value of 28.6 MJ/kg in ecoinvent, so based on Gao et al., 2015, 0.05 kg coke was needed for producing 1 kg of sinter iron, which is 1.448 mj coke needed. coal gas: low heating value of coal gas is 28.6 MJ/kg in ecoinvent. So based on Gao et al., 2015, 0.003667 kg of coke oven gas. coal gas was need for producing 1 kg of sinter iron, whcih is 0.10487776 MJ, 
"Background:
This activity produces iron sinter for use in the blast furnace. The goal of the sintering process is to improve the permeability and reducability of the blast furnace charge, a mixture of fine ores, coke breeze, additives (e.g. lime) and iron-bearing materials that are returned from downstream iron and steemaking operations. Raw materials are blended together in a mixing drum and then placed on a conveyor belt on top of a layer of recycled sinter. The sinter mixture is moved slowly along a continuously moving grate with acombustion front drawing downwards through the mixture, which sinters the fine particles together. 
Modelling approach: 
Data on were mostly taken from the IPPC Best Available Technology report from the European Commission (Remus et al., 2013); note that where only data ranges were provided, the geometric mean of reported values was used here. The amounts of iron-bearing materials returned from downstream activities are based on the amount of each respective material that is produced and sent for internal recycling according to worldsteel (2010). It should be noted that data on radionucleid emissions to air, e.g. of Pollonium 210 and Lead 210, were not available and have therefore not been inventoried here.
References:
Remus, R., Aguado-Monsonet, M. A., Roudier, S. &amp; Samcho, L. D. (2013). JRC reference report - Best available techniques (BAT) reference document for iron and steel production. Joint Research Centre - European Commission, Luxemboug. 
Worldsteel (2010). Steel industry by-products. World Steel Association: Brussels, Belgium."
Geography:  Data are representative of the average sitaution in Europe, with the exception of the amounts of iron-bearing material returns, which are based on average global statistics.
Technology:  Represents average European technology; down draft sintering on continuous travelling grates.
Time period:  Data are mostly compiled from reports published between 2007 and 2010 but are considered representative of modern operations. </t>
        </is>
      </c>
    </row>
    <row r="232">
      <c r="A232" t="inlineStr">
        <is>
          <t>location</t>
        </is>
      </c>
      <c r="B232" t="inlineStr">
        <is>
          <t>CN</t>
        </is>
      </c>
    </row>
    <row r="233">
      <c r="A233" t="inlineStr">
        <is>
          <t>reference product</t>
        </is>
      </c>
      <c r="B233" t="inlineStr">
        <is>
          <t>vanadium pentoxide bearing iron sinter</t>
        </is>
      </c>
    </row>
    <row r="234">
      <c r="A234" t="inlineStr">
        <is>
          <t>type</t>
        </is>
      </c>
      <c r="B234" t="inlineStr">
        <is>
          <t>process</t>
        </is>
      </c>
    </row>
    <row r="235">
      <c r="A235" t="inlineStr">
        <is>
          <t>unit</t>
        </is>
      </c>
      <c r="B235" t="inlineStr">
        <is>
          <t>kilogram</t>
        </is>
      </c>
    </row>
    <row r="236">
      <c r="A236" t="inlineStr">
        <is>
          <t>source</t>
        </is>
      </c>
      <c r="B236" t="inlineStr">
        <is>
          <t>Zhang, S., Steubing, B., Potter, H. K., Hansson, P. A., &amp; Nordberg, Å. (2024). Future climate impacts of sodium-ion batteries. Resources, Conservation and Recycling, 202, 107362. https://doi.org/10.1016/j.resconrec.2023.107362</t>
        </is>
      </c>
    </row>
    <row r="237">
      <c r="A237" s="1" t="inlineStr">
        <is>
          <t>Exchanges</t>
        </is>
      </c>
    </row>
    <row r="238">
      <c r="A238" s="1" t="inlineStr">
        <is>
          <t>name</t>
        </is>
      </c>
      <c r="B238" s="1" t="inlineStr">
        <is>
          <t>amount</t>
        </is>
      </c>
      <c r="C238" s="1" t="inlineStr">
        <is>
          <t>reference product</t>
        </is>
      </c>
      <c r="D238" s="1" t="inlineStr">
        <is>
          <t>location</t>
        </is>
      </c>
      <c r="E238" s="1" t="inlineStr">
        <is>
          <t>unit</t>
        </is>
      </c>
      <c r="F238" s="1" t="inlineStr">
        <is>
          <t>categories</t>
        </is>
      </c>
      <c r="G238" s="1" t="inlineStr">
        <is>
          <t>type</t>
        </is>
      </c>
      <c r="H238" s="1" t="inlineStr">
        <is>
          <t>formula</t>
        </is>
      </c>
      <c r="I238" s="1" t="inlineStr">
        <is>
          <t>uncertainty type</t>
        </is>
      </c>
      <c r="J238" s="1" t="inlineStr">
        <is>
          <t>loc</t>
        </is>
      </c>
      <c r="K238" s="1" t="inlineStr">
        <is>
          <t>scale</t>
        </is>
      </c>
      <c r="L238" s="1" t="inlineStr">
        <is>
          <t>comment</t>
        </is>
      </c>
      <c r="M238" s="1" t="inlineStr">
        <is>
          <t>production volume</t>
        </is>
      </c>
      <c r="N238" s="1" t="inlineStr">
        <is>
          <t>negative</t>
        </is>
      </c>
    </row>
    <row r="239">
      <c r="A239" t="inlineStr">
        <is>
          <t>Arsenic ion</t>
        </is>
      </c>
      <c r="B239" t="n">
        <v>3e-09</v>
      </c>
      <c r="E239" t="inlineStr">
        <is>
          <t>kilogram</t>
        </is>
      </c>
      <c r="F239" t="inlineStr">
        <is>
          <t>air</t>
        </is>
      </c>
      <c r="G239" t="inlineStr">
        <is>
          <t>biosphere</t>
        </is>
      </c>
      <c r="H239" t="inlineStr">
        <is>
          <t>As</t>
        </is>
      </c>
      <c r="I239" t="n">
        <v>2</v>
      </c>
      <c r="J239" t="n">
        <v>-19.6246535482783</v>
      </c>
      <c r="K239" t="n">
        <v>0.8094596963407134</v>
      </c>
      <c r="L239" t="inlineStr">
        <is>
          <t>geometric mean of Remus et al. (2013) data range</t>
        </is>
      </c>
    </row>
    <row r="240">
      <c r="A240" t="inlineStr">
        <is>
          <t>Benzo(a)pyrene</t>
        </is>
      </c>
      <c r="B240" t="n">
        <v>2.0371548787e-09</v>
      </c>
      <c r="E240" t="inlineStr">
        <is>
          <t>kilogram</t>
        </is>
      </c>
      <c r="F240" t="inlineStr">
        <is>
          <t>air</t>
        </is>
      </c>
      <c r="G240" t="inlineStr">
        <is>
          <t>biosphere</t>
        </is>
      </c>
      <c r="H240" t="inlineStr">
        <is>
          <t>C20H12</t>
        </is>
      </c>
      <c r="I240" t="n">
        <v>2</v>
      </c>
      <c r="J240" t="n">
        <v>-20.01171166984785</v>
      </c>
      <c r="K240" t="n">
        <v>0.5524717187331855</v>
      </c>
      <c r="L240" t="inlineStr">
        <is>
          <t>geometric mean of Remus et al. (2013) data range</t>
        </is>
      </c>
    </row>
    <row r="241">
      <c r="A241" t="inlineStr">
        <is>
          <t>Cadmium II</t>
        </is>
      </c>
      <c r="B241" t="n">
        <v>7.4390859654e-09</v>
      </c>
      <c r="E241" t="inlineStr">
        <is>
          <t>kilogram</t>
        </is>
      </c>
      <c r="F241" t="inlineStr">
        <is>
          <t>air</t>
        </is>
      </c>
      <c r="G241" t="inlineStr">
        <is>
          <t>biosphere</t>
        </is>
      </c>
      <c r="H241" t="inlineStr">
        <is>
          <t>Cd</t>
        </is>
      </c>
      <c r="I241" t="n">
        <v>2</v>
      </c>
      <c r="J241" t="n">
        <v>-18.7165178497615</v>
      </c>
      <c r="K241" t="n">
        <v>0.8094596963407134</v>
      </c>
      <c r="L241" t="inlineStr">
        <is>
          <t>geometric mean of Remus et al. (2013) data range</t>
        </is>
      </c>
    </row>
    <row r="242">
      <c r="A242" t="inlineStr">
        <is>
          <t>Carbon dioxide, fossil</t>
        </is>
      </c>
      <c r="B242" t="n">
        <v>0.24381169783</v>
      </c>
      <c r="E242" t="inlineStr">
        <is>
          <t>kilogram</t>
        </is>
      </c>
      <c r="F242" t="inlineStr">
        <is>
          <t>air</t>
        </is>
      </c>
      <c r="G242" t="inlineStr">
        <is>
          <t>biosphere</t>
        </is>
      </c>
      <c r="H242" t="inlineStr">
        <is>
          <t>CO2</t>
        </is>
      </c>
      <c r="I242" t="n">
        <v>2</v>
      </c>
      <c r="J242" t="n">
        <v>-1.411359081830902</v>
      </c>
      <c r="K242" t="n">
        <v>0.07632168761236874</v>
      </c>
      <c r="L242" t="inlineStr">
        <is>
          <t>geometric mean of Remus et al. (2013) data range</t>
        </is>
      </c>
    </row>
    <row r="243">
      <c r="A243" t="inlineStr">
        <is>
          <t>Carbon monoxide, fossil</t>
        </is>
      </c>
      <c r="B243" t="n">
        <v>0.018026952044</v>
      </c>
      <c r="E243" t="inlineStr">
        <is>
          <t>kilogram</t>
        </is>
      </c>
      <c r="F243" t="inlineStr">
        <is>
          <t>air</t>
        </is>
      </c>
      <c r="G243" t="inlineStr">
        <is>
          <t>biosphere</t>
        </is>
      </c>
      <c r="H243" t="inlineStr">
        <is>
          <t>CO</t>
        </is>
      </c>
      <c r="I243" t="n">
        <v>2</v>
      </c>
      <c r="J243" t="n">
        <v>-4.01588730519765</v>
      </c>
      <c r="K243" t="n">
        <v>0.8094596963407134</v>
      </c>
      <c r="L243" t="inlineStr">
        <is>
          <t>geometric mean of Remus et al. (2013) data range</t>
        </is>
      </c>
    </row>
    <row r="244">
      <c r="A244" t="inlineStr">
        <is>
          <t>Chromium III</t>
        </is>
      </c>
      <c r="B244" t="n">
        <v>2.1221687021e-08</v>
      </c>
      <c r="E244" t="inlineStr">
        <is>
          <t>kilogram</t>
        </is>
      </c>
      <c r="F244" t="inlineStr">
        <is>
          <t>air</t>
        </is>
      </c>
      <c r="G244" t="inlineStr">
        <is>
          <t>biosphere</t>
        </is>
      </c>
      <c r="H244" t="inlineStr">
        <is>
          <t>Cr</t>
        </is>
      </c>
      <c r="I244" t="n">
        <v>2</v>
      </c>
      <c r="J244" t="n">
        <v>-17.66824220545976</v>
      </c>
      <c r="K244" t="n">
        <v>0.8094596963407134</v>
      </c>
      <c r="L244" t="inlineStr">
        <is>
          <t>geometric mean of Remus et al. (2013) data range</t>
        </is>
      </c>
    </row>
    <row r="245">
      <c r="A245" t="inlineStr">
        <is>
          <t>Copper ion</t>
        </is>
      </c>
      <c r="B245" t="n">
        <v>3.3777951388e-08</v>
      </c>
      <c r="E245" t="inlineStr">
        <is>
          <t>kilogram</t>
        </is>
      </c>
      <c r="F245" t="inlineStr">
        <is>
          <t>air</t>
        </is>
      </c>
      <c r="G245" t="inlineStr">
        <is>
          <t>biosphere</t>
        </is>
      </c>
      <c r="H245" t="inlineStr">
        <is>
          <t>Cu</t>
        </is>
      </c>
      <c r="I245" t="n">
        <v>2</v>
      </c>
      <c r="J245" t="n">
        <v>-17.2034575731133</v>
      </c>
      <c r="K245" t="n">
        <v>0.8094596963407134</v>
      </c>
      <c r="L245" t="inlineStr">
        <is>
          <t>geometric mean of Remus et al. (2013) data range</t>
        </is>
      </c>
    </row>
    <row r="246">
      <c r="A246" t="inlineStr">
        <is>
          <t>Dioxins, measured as 2,3,7,8-tetrachlorodibenzo-p-dioxin</t>
        </is>
      </c>
      <c r="B246" t="n">
        <v>1.55e-12</v>
      </c>
      <c r="E246" t="inlineStr">
        <is>
          <t>kilogram</t>
        </is>
      </c>
      <c r="F246" t="inlineStr">
        <is>
          <t>air</t>
        </is>
      </c>
      <c r="G246" t="inlineStr">
        <is>
          <t>biosphere</t>
        </is>
      </c>
      <c r="H246" t="inlineStr">
        <is>
          <t>C12H4Cl4O2</t>
        </is>
      </c>
      <c r="I246" t="n">
        <v>2</v>
      </c>
      <c r="J246" t="n">
        <v>-27.19276618499739</v>
      </c>
      <c r="K246" t="n">
        <v>0.8094596963407134</v>
      </c>
      <c r="L246" t="inlineStr">
        <is>
          <t>geometric mean of Remus et al. (2013) data range</t>
        </is>
      </c>
    </row>
    <row r="247">
      <c r="A247" t="inlineStr">
        <is>
          <t>Hydrochloric acid</t>
        </is>
      </c>
      <c r="B247" t="n">
        <v>3.4447641429e-05</v>
      </c>
      <c r="E247" t="inlineStr">
        <is>
          <t>kilogram</t>
        </is>
      </c>
      <c r="F247" t="inlineStr">
        <is>
          <t>air</t>
        </is>
      </c>
      <c r="G247" t="inlineStr">
        <is>
          <t>biosphere</t>
        </is>
      </c>
      <c r="H247" t="inlineStr">
        <is>
          <t>ClH</t>
        </is>
      </c>
      <c r="I247" t="n">
        <v>2</v>
      </c>
      <c r="J247" t="n">
        <v>-10.27607002644777</v>
      </c>
      <c r="K247" t="n">
        <v>0.2126617031813674</v>
      </c>
      <c r="L247" t="inlineStr">
        <is>
          <t>geometric mean of Remus et al. (2013) data range</t>
        </is>
      </c>
    </row>
    <row r="248">
      <c r="A248" t="inlineStr">
        <is>
          <t>Hydrogen fluoride</t>
        </is>
      </c>
      <c r="B248" t="n">
        <v>1.8110770276e-06</v>
      </c>
      <c r="E248" t="inlineStr">
        <is>
          <t>kilogram</t>
        </is>
      </c>
      <c r="F248" t="inlineStr">
        <is>
          <t>air</t>
        </is>
      </c>
      <c r="G248" t="inlineStr">
        <is>
          <t>biosphere</t>
        </is>
      </c>
      <c r="H248" t="inlineStr">
        <is>
          <t>FH</t>
        </is>
      </c>
      <c r="I248" t="n">
        <v>2</v>
      </c>
      <c r="J248" t="n">
        <v>-13.22158884678142</v>
      </c>
      <c r="K248" t="n">
        <v>0.2126617031813674</v>
      </c>
      <c r="L248" t="inlineStr">
        <is>
          <t>geometric mean of Remus et al. (2013) data range</t>
        </is>
      </c>
    </row>
    <row r="249">
      <c r="A249" t="inlineStr">
        <is>
          <t>Lead II</t>
        </is>
      </c>
      <c r="B249" t="n">
        <v>3.8439214352e-07</v>
      </c>
      <c r="E249" t="inlineStr">
        <is>
          <t>kilogram</t>
        </is>
      </c>
      <c r="F249" t="inlineStr">
        <is>
          <t>air</t>
        </is>
      </c>
      <c r="G249" t="inlineStr">
        <is>
          <t>biosphere</t>
        </is>
      </c>
      <c r="H249" t="inlineStr">
        <is>
          <t>Pb</t>
        </is>
      </c>
      <c r="I249" t="n">
        <v>2</v>
      </c>
      <c r="J249" t="n">
        <v>-14.77160259835258</v>
      </c>
      <c r="K249" t="n">
        <v>0.8094596963407134</v>
      </c>
      <c r="L249" t="inlineStr">
        <is>
          <t>geometric mean of Remus et al. (2013) data range</t>
        </is>
      </c>
    </row>
    <row r="250">
      <c r="A250" t="inlineStr">
        <is>
          <t>Manganese II</t>
        </is>
      </c>
      <c r="B250" t="n">
        <v>4.2824759194e-08</v>
      </c>
      <c r="E250" t="inlineStr">
        <is>
          <t>kilogram</t>
        </is>
      </c>
      <c r="F250" t="inlineStr">
        <is>
          <t>air</t>
        </is>
      </c>
      <c r="G250" t="inlineStr">
        <is>
          <t>biosphere</t>
        </is>
      </c>
      <c r="H250" t="inlineStr">
        <is>
          <t>Mn</t>
        </is>
      </c>
      <c r="I250" t="n">
        <v>2</v>
      </c>
      <c r="J250" t="n">
        <v>-16.96614941577597</v>
      </c>
      <c r="K250" t="n">
        <v>0.8094596963407134</v>
      </c>
      <c r="L250" t="inlineStr">
        <is>
          <t>geometric mean of Remus et al. (2013) data range</t>
        </is>
      </c>
    </row>
    <row r="251">
      <c r="A251" t="inlineStr">
        <is>
          <t>Mercury II</t>
        </is>
      </c>
      <c r="B251" t="n">
        <v>4.5497252664e-09</v>
      </c>
      <c r="E251" t="inlineStr">
        <is>
          <t>kilogram</t>
        </is>
      </c>
      <c r="F251" t="inlineStr">
        <is>
          <t>air</t>
        </is>
      </c>
      <c r="G251" t="inlineStr">
        <is>
          <t>biosphere</t>
        </is>
      </c>
      <c r="H251" t="inlineStr">
        <is>
          <t>Hg</t>
        </is>
      </c>
      <c r="I251" t="n">
        <v>2</v>
      </c>
      <c r="J251" t="n">
        <v>-19.20819898681755</v>
      </c>
      <c r="K251" t="n">
        <v>0.8094596963407134</v>
      </c>
      <c r="L251" t="inlineStr">
        <is>
          <t>geometric mean of Remus et al. (2013) data range</t>
        </is>
      </c>
    </row>
    <row r="252">
      <c r="A252" t="inlineStr">
        <is>
          <t>Methane, fossil</t>
        </is>
      </c>
      <c r="B252" t="n">
        <v>0.0001210113631</v>
      </c>
      <c r="E252" t="inlineStr">
        <is>
          <t>kilogram</t>
        </is>
      </c>
      <c r="F252" t="inlineStr">
        <is>
          <t>air</t>
        </is>
      </c>
      <c r="G252" t="inlineStr">
        <is>
          <t>biosphere</t>
        </is>
      </c>
      <c r="H252" t="inlineStr">
        <is>
          <t>CH4</t>
        </is>
      </c>
      <c r="I252" t="n">
        <v>2</v>
      </c>
      <c r="J252" t="n">
        <v>-9.019626106859437</v>
      </c>
      <c r="K252" t="n">
        <v>0.2126617031813674</v>
      </c>
      <c r="L252" t="inlineStr">
        <is>
          <t>geometric mean of Remus et al. (2013) data range</t>
        </is>
      </c>
    </row>
    <row r="253">
      <c r="A253" t="inlineStr">
        <is>
          <t>NMVOC, non-methane volatile organic compounds</t>
        </is>
      </c>
      <c r="B253" t="n">
        <v>1.9782568084e-05</v>
      </c>
      <c r="E253" t="inlineStr">
        <is>
          <t>kilogram</t>
        </is>
      </c>
      <c r="F253" t="inlineStr">
        <is>
          <t>air</t>
        </is>
      </c>
      <c r="G253" t="inlineStr">
        <is>
          <t>biosphere</t>
        </is>
      </c>
      <c r="I253" t="n">
        <v>2</v>
      </c>
      <c r="J253" t="n">
        <v>-10.83070940784128</v>
      </c>
      <c r="K253" t="n">
        <v>0.2126617031813674</v>
      </c>
      <c r="L253" t="inlineStr">
        <is>
          <t>geometric mean of Remus et al. (2013) data range</t>
        </is>
      </c>
    </row>
    <row r="254">
      <c r="A254" t="inlineStr">
        <is>
          <t>Nickel II</t>
        </is>
      </c>
      <c r="B254" t="n">
        <v>1.5108937752e-08</v>
      </c>
      <c r="E254" t="inlineStr">
        <is>
          <t>kilogram</t>
        </is>
      </c>
      <c r="F254" t="inlineStr">
        <is>
          <t>air</t>
        </is>
      </c>
      <c r="G254" t="inlineStr">
        <is>
          <t>biosphere</t>
        </is>
      </c>
      <c r="H254" t="inlineStr">
        <is>
          <t>Ni</t>
        </is>
      </c>
      <c r="I254" t="n">
        <v>2</v>
      </c>
      <c r="J254" t="n">
        <v>-18.00797936412571</v>
      </c>
      <c r="K254" t="n">
        <v>0.8094596963407134</v>
      </c>
      <c r="L254" t="inlineStr">
        <is>
          <t>geometric mean of Remus et al. (2013) data range</t>
        </is>
      </c>
    </row>
    <row r="255">
      <c r="A255" t="inlineStr">
        <is>
          <t>Nitrogen oxides</t>
        </is>
      </c>
      <c r="B255" t="n">
        <v>0.0005581447124199999</v>
      </c>
      <c r="E255" t="inlineStr">
        <is>
          <t>kilogram</t>
        </is>
      </c>
      <c r="F255" t="inlineStr">
        <is>
          <t>air</t>
        </is>
      </c>
      <c r="G255" t="inlineStr">
        <is>
          <t>biosphere</t>
        </is>
      </c>
      <c r="H255" t="inlineStr">
        <is>
          <t>H3NO</t>
        </is>
      </c>
      <c r="I255" t="n">
        <v>2</v>
      </c>
      <c r="J255" t="n">
        <v>-7.490892287951613</v>
      </c>
      <c r="K255" t="n">
        <v>0.2126617031813674</v>
      </c>
      <c r="L255" t="inlineStr">
        <is>
          <t>geometric mean of Remus et al. (2013) data range</t>
        </is>
      </c>
    </row>
    <row r="256">
      <c r="A256" t="inlineStr">
        <is>
          <t>Oxygen</t>
        </is>
      </c>
      <c r="B256" t="n">
        <v>0.1182310928</v>
      </c>
      <c r="E256" t="inlineStr">
        <is>
          <t>kilogram</t>
        </is>
      </c>
      <c r="F256" t="inlineStr">
        <is>
          <t>natural resource::in air</t>
        </is>
      </c>
      <c r="G256" t="inlineStr">
        <is>
          <t>biosphere</t>
        </is>
      </c>
      <c r="H256" t="inlineStr">
        <is>
          <t>O2</t>
        </is>
      </c>
      <c r="I256" t="n">
        <v>2</v>
      </c>
      <c r="J256" t="n">
        <v>-2.135114156148901</v>
      </c>
      <c r="K256" t="n">
        <v>0.07632168761236874</v>
      </c>
      <c r="L256" t="inlineStr">
        <is>
          <t>geometric mean of Remus et al. (2013) data range</t>
        </is>
      </c>
    </row>
    <row r="257">
      <c r="A257" t="inlineStr">
        <is>
          <t>PAH, polycyclic aromatic hydrocarbons</t>
        </is>
      </c>
      <c r="B257" t="n">
        <v>1.0878419003e-08</v>
      </c>
      <c r="E257" t="inlineStr">
        <is>
          <t>kilogram</t>
        </is>
      </c>
      <c r="F257" t="inlineStr">
        <is>
          <t>air</t>
        </is>
      </c>
      <c r="G257" t="inlineStr">
        <is>
          <t>biosphere</t>
        </is>
      </c>
      <c r="I257" t="n">
        <v>2</v>
      </c>
      <c r="J257" t="n">
        <v>-18.33648491830172</v>
      </c>
      <c r="K257" t="n">
        <v>0.5524717187331855</v>
      </c>
      <c r="L257" t="inlineStr">
        <is>
          <t>geometric mean of Remus et al. (2013) data range</t>
        </is>
      </c>
    </row>
    <row r="258">
      <c r="A258" t="inlineStr">
        <is>
          <t>Particulate Matter, &lt; 2.5 um</t>
        </is>
      </c>
      <c r="B258" t="n">
        <v>0.000120415</v>
      </c>
      <c r="E258" t="inlineStr">
        <is>
          <t>kilogram</t>
        </is>
      </c>
      <c r="F258" t="inlineStr">
        <is>
          <t>air</t>
        </is>
      </c>
      <c r="G258" t="inlineStr">
        <is>
          <t>biosphere</t>
        </is>
      </c>
      <c r="I258" t="n">
        <v>0</v>
      </c>
      <c r="J258" t="n">
        <v>0.000120415</v>
      </c>
      <c r="L258" t="inlineStr">
        <is>
          <t>86% of "PM10" reported in Remus et al. (geometric mean), split (86%) based on the values from EMEP/EEA. The emissions refer to production steps of (1) Blending and mixing, (3) Sinter strand, (4) Secondary dedusting and (5) Sinter coolling.
Reference: EMEP/EEA air pollutant emission inventory guidebook 2019: Iron and steel production Processes.
Remus, R., Aguado-Monsonet, M. A., Roudier, S., Samcho, L. D. , 2013, JRC reference report - Best available techniques (BAT) reference document for iron and steel production, Luxemboug, JRC - European Commission, 3 - SeparatePublication.</t>
        </is>
      </c>
    </row>
    <row r="259">
      <c r="A259" t="inlineStr">
        <is>
          <t>Particulate Matter, &gt; 10 um</t>
        </is>
      </c>
      <c r="B259" t="n">
        <v>9.37758e-05</v>
      </c>
      <c r="E259" t="inlineStr">
        <is>
          <t>kilogram</t>
        </is>
      </c>
      <c r="F259" t="inlineStr">
        <is>
          <t>air</t>
        </is>
      </c>
      <c r="G259" t="inlineStr">
        <is>
          <t>biosphere</t>
        </is>
      </c>
      <c r="I259" t="n">
        <v>2</v>
      </c>
      <c r="J259" t="n">
        <v>-9.274603730974327</v>
      </c>
      <c r="K259" t="n">
        <v>0.2126617031813674</v>
      </c>
      <c r="L259" t="inlineStr">
        <is>
          <t>Difference of "Dusts" and "PM10" as reported by Remus et al. The emissions refer to production steps of (1) Blending and mixing, (3) Sinter strand, (4) Secondary dedusting and (5) Sinter coolling.
Reference: Remus, R., Aguado-Monsonet, M. A., Roudier, S., Samcho, L. D. , 2013, JRC reference report - Best available techniques (BAT) reference document for iron and steel production, Luxemboug, JRC - European Commission, 3 - SeparatePublication</t>
        </is>
      </c>
    </row>
    <row r="260">
      <c r="A260" t="inlineStr">
        <is>
          <t>Particulate Matter, &gt; 2.5 um and &lt; 10um</t>
        </is>
      </c>
      <c r="B260" t="n">
        <v>1.96025e-05</v>
      </c>
      <c r="E260" t="inlineStr">
        <is>
          <t>kilogram</t>
        </is>
      </c>
      <c r="F260" t="inlineStr">
        <is>
          <t>air</t>
        </is>
      </c>
      <c r="G260" t="inlineStr">
        <is>
          <t>biosphere</t>
        </is>
      </c>
      <c r="I260" t="n">
        <v>2</v>
      </c>
      <c r="J260" t="n">
        <v>-10.83985344884133</v>
      </c>
      <c r="K260" t="n">
        <v>0.3538714455844099</v>
      </c>
      <c r="L260" t="inlineStr">
        <is>
          <t>14% of "PM10" reported in Remus et al. (geometric mean), split (14%) based on the values from EMEP/EEA. The emissions refer to production steps of (1) Blending and mixing, (3) Sinter strand, (4) Secondary dedusting and (5) Sinter coolling.
Reference: EMEP/EEA air pollutant emission inventory guidebook 2019: Iron and steel production Processes.
Remus, R., Aguado-Monsonet, M. A., Roudier, S., Samcho, L. D. , 2013, JRC reference report - Best available techniques (BAT) reference document for iron and steel production, Luxemboug, JRC - European Commission, 3 - SeparatePublication.</t>
        </is>
      </c>
    </row>
    <row r="261">
      <c r="A261" t="inlineStr">
        <is>
          <t>Polychlorinated biphenyls</t>
        </is>
      </c>
      <c r="B261" t="n">
        <v>6.6037867924e-11</v>
      </c>
      <c r="E261" t="inlineStr">
        <is>
          <t>kilogram</t>
        </is>
      </c>
      <c r="F261" t="inlineStr">
        <is>
          <t>air</t>
        </is>
      </c>
      <c r="G261" t="inlineStr">
        <is>
          <t>biosphere</t>
        </is>
      </c>
      <c r="I261" t="n">
        <v>2</v>
      </c>
      <c r="J261" t="n">
        <v>-23.44079278201317</v>
      </c>
      <c r="K261" t="n">
        <v>0.2126617031813674</v>
      </c>
      <c r="L261" t="inlineStr">
        <is>
          <t>geometric mean of Remus et al. (2013) data range</t>
        </is>
      </c>
    </row>
    <row r="262">
      <c r="A262" t="inlineStr">
        <is>
          <t>Selenium IV</t>
        </is>
      </c>
      <c r="B262" t="n">
        <v>5.1253292577e-08</v>
      </c>
      <c r="E262" t="inlineStr">
        <is>
          <t>kilogram</t>
        </is>
      </c>
      <c r="F262" t="inlineStr">
        <is>
          <t>air</t>
        </is>
      </c>
      <c r="G262" t="inlineStr">
        <is>
          <t>biosphere</t>
        </is>
      </c>
      <c r="H262" t="inlineStr">
        <is>
          <t>Se</t>
        </is>
      </c>
      <c r="I262" t="n">
        <v>2</v>
      </c>
      <c r="J262" t="n">
        <v>-16.78648597558666</v>
      </c>
      <c r="K262" t="n">
        <v>0.8094596963407134</v>
      </c>
      <c r="L262" t="inlineStr">
        <is>
          <t>geometric mean of Remus et al. (2013) data range</t>
        </is>
      </c>
    </row>
    <row r="263">
      <c r="A263" t="inlineStr">
        <is>
          <t>Sulfur dioxide</t>
        </is>
      </c>
      <c r="B263" t="n">
        <v>0.00046263232702</v>
      </c>
      <c r="E263" t="inlineStr">
        <is>
          <t>kilogram</t>
        </is>
      </c>
      <c r="F263" t="inlineStr">
        <is>
          <t>air</t>
        </is>
      </c>
      <c r="G263" t="inlineStr">
        <is>
          <t>biosphere</t>
        </is>
      </c>
      <c r="H263" t="inlineStr">
        <is>
          <t>O2S</t>
        </is>
      </c>
      <c r="I263" t="n">
        <v>2</v>
      </c>
      <c r="J263" t="n">
        <v>-7.678577929458488</v>
      </c>
      <c r="K263" t="n">
        <v>0.07632168761236874</v>
      </c>
      <c r="L263" t="inlineStr">
        <is>
          <t>geometric mean of Remus et al. (2013) data range</t>
        </is>
      </c>
    </row>
    <row r="264">
      <c r="A264" t="inlineStr">
        <is>
          <t>Titanium ion</t>
        </is>
      </c>
      <c r="B264" t="n">
        <v>6.5802735505e-09</v>
      </c>
      <c r="E264" t="inlineStr">
        <is>
          <t>kilogram</t>
        </is>
      </c>
      <c r="F264" t="inlineStr">
        <is>
          <t>air</t>
        </is>
      </c>
      <c r="G264" t="inlineStr">
        <is>
          <t>biosphere</t>
        </is>
      </c>
      <c r="H264" t="inlineStr">
        <is>
          <t>Ti</t>
        </is>
      </c>
      <c r="I264" t="n">
        <v>2</v>
      </c>
      <c r="J264" t="n">
        <v>-18.839189519449</v>
      </c>
      <c r="K264" t="n">
        <v>0.8094596963407134</v>
      </c>
      <c r="L264" t="inlineStr">
        <is>
          <t>geometric mean of Remus et al. (2013) data range</t>
        </is>
      </c>
    </row>
    <row r="265">
      <c r="A265" t="inlineStr">
        <is>
          <t>Vanadium V</t>
        </is>
      </c>
      <c r="B265" t="n">
        <v>9.7519228873e-09</v>
      </c>
      <c r="E265" t="inlineStr">
        <is>
          <t>kilogram</t>
        </is>
      </c>
      <c r="F265" t="inlineStr">
        <is>
          <t>air</t>
        </is>
      </c>
      <c r="G265" t="inlineStr">
        <is>
          <t>biosphere</t>
        </is>
      </c>
      <c r="H265" t="inlineStr">
        <is>
          <t>V</t>
        </is>
      </c>
      <c r="I265" t="n">
        <v>2</v>
      </c>
      <c r="J265" t="n">
        <v>-18.44580135217155</v>
      </c>
      <c r="K265" t="n">
        <v>0.8094596963407134</v>
      </c>
      <c r="L265" t="inlineStr">
        <is>
          <t>geometric mean of Remus et al. (2013) data range</t>
        </is>
      </c>
    </row>
    <row r="266">
      <c r="A266" t="inlineStr">
        <is>
          <t>Water, unspecified natural origin</t>
        </is>
      </c>
      <c r="B266" t="n">
        <v>5.91608e-05</v>
      </c>
      <c r="E266" t="inlineStr">
        <is>
          <t>cubic meter</t>
        </is>
      </c>
      <c r="F266" t="inlineStr">
        <is>
          <t>natural resource::in water</t>
        </is>
      </c>
      <c r="G266" t="inlineStr">
        <is>
          <t>biosphere</t>
        </is>
      </c>
      <c r="H266" t="inlineStr">
        <is>
          <t>H2O</t>
        </is>
      </c>
      <c r="I266" t="n">
        <v>2</v>
      </c>
      <c r="J266" t="n">
        <v>-9.735251397562665</v>
      </c>
      <c r="K266" t="n">
        <v>0.07632168761236874</v>
      </c>
      <c r="L266" t="inlineStr">
        <is>
          <t>geometric mean of Remus et al. (2013) data range</t>
        </is>
      </c>
    </row>
    <row r="267">
      <c r="A267" t="inlineStr">
        <is>
          <t>vanadium pentoxide bearing iron sinter production</t>
        </is>
      </c>
      <c r="B267" t="n">
        <v>1</v>
      </c>
      <c r="C267" t="inlineStr">
        <is>
          <t>vanadium pentoxide bearing iron sinter</t>
        </is>
      </c>
      <c r="D267" t="inlineStr">
        <is>
          <t>CN</t>
        </is>
      </c>
      <c r="E267" t="inlineStr">
        <is>
          <t>kilogram</t>
        </is>
      </c>
      <c r="G267" t="inlineStr">
        <is>
          <t>production</t>
        </is>
      </c>
      <c r="I267" t="n">
        <v>0</v>
      </c>
      <c r="J267" t="n">
        <v>1</v>
      </c>
      <c r="M267" t="n">
        <v>113558550000</v>
      </c>
    </row>
    <row r="268">
      <c r="A268" t="inlineStr">
        <is>
          <t>coking</t>
        </is>
      </c>
      <c r="B268" t="n">
        <v>0.10487776</v>
      </c>
      <c r="C268" t="inlineStr">
        <is>
          <t>coke</t>
        </is>
      </c>
      <c r="D268" t="inlineStr">
        <is>
          <t>RoW</t>
        </is>
      </c>
      <c r="E268" t="inlineStr">
        <is>
          <t>megajoule</t>
        </is>
      </c>
      <c r="G268" t="inlineStr">
        <is>
          <t>technosphere</t>
        </is>
      </c>
    </row>
    <row r="269">
      <c r="A269" t="inlineStr">
        <is>
          <t>iron ore beneficiation</t>
        </is>
      </c>
      <c r="B269" t="n">
        <v>0.162</v>
      </c>
      <c r="C269" t="inlineStr">
        <is>
          <t>iron ore concentrate</t>
        </is>
      </c>
      <c r="D269" t="inlineStr">
        <is>
          <t>RoW</t>
        </is>
      </c>
      <c r="E269" t="inlineStr">
        <is>
          <t>kilogram</t>
        </is>
      </c>
      <c r="G269" t="inlineStr">
        <is>
          <t>technosphere</t>
        </is>
      </c>
    </row>
    <row r="270">
      <c r="A270" t="inlineStr">
        <is>
          <t>market for aluminium oxide factory</t>
        </is>
      </c>
      <c r="B270" t="n">
        <v>2.5e-11</v>
      </c>
      <c r="C270" t="inlineStr">
        <is>
          <t>aluminium oxide factory</t>
        </is>
      </c>
      <c r="D270" t="inlineStr">
        <is>
          <t>GLO</t>
        </is>
      </c>
      <c r="E270" t="inlineStr">
        <is>
          <t>unit</t>
        </is>
      </c>
      <c r="G270" t="inlineStr">
        <is>
          <t>technosphere</t>
        </is>
      </c>
      <c r="I270" t="n">
        <v>2</v>
      </c>
      <c r="J270" t="n">
        <v>-24.41214529106035</v>
      </c>
      <c r="K270" t="n">
        <v>0.7779620813381588</v>
      </c>
      <c r="L270" t="inlineStr">
        <is>
          <t>Rough estimation.</t>
        </is>
      </c>
    </row>
    <row r="271">
      <c r="A271" t="inlineStr">
        <is>
          <t>market for hard coal</t>
        </is>
      </c>
      <c r="B271" t="n">
        <v>0.034</v>
      </c>
      <c r="C271" t="inlineStr">
        <is>
          <t>hard coal</t>
        </is>
      </c>
      <c r="D271" t="inlineStr">
        <is>
          <t>CN</t>
        </is>
      </c>
      <c r="E271" t="inlineStr">
        <is>
          <t>kilogram</t>
        </is>
      </c>
      <c r="G271" t="inlineStr">
        <is>
          <t>technosphere</t>
        </is>
      </c>
    </row>
    <row r="272">
      <c r="A272" t="inlineStr">
        <is>
          <t>market for limestone, unprocessed</t>
        </is>
      </c>
      <c r="B272" t="n">
        <v>0.10785797</v>
      </c>
      <c r="C272" t="inlineStr">
        <is>
          <t>limestone, unprocessed</t>
        </is>
      </c>
      <c r="D272" t="inlineStr">
        <is>
          <t>RoW</t>
        </is>
      </c>
      <c r="E272" t="inlineStr">
        <is>
          <t>kilogram</t>
        </is>
      </c>
      <c r="G272" t="inlineStr">
        <is>
          <t>technosphere</t>
        </is>
      </c>
    </row>
    <row r="273">
      <c r="A273" t="inlineStr">
        <is>
          <t>market for quicklime, in pieces, loose</t>
        </is>
      </c>
      <c r="B273" t="n">
        <v>0.0558789</v>
      </c>
      <c r="C273" t="inlineStr">
        <is>
          <t>quicklime, in pieces, loose</t>
        </is>
      </c>
      <c r="D273" t="inlineStr">
        <is>
          <t>RoW</t>
        </is>
      </c>
      <c r="E273" t="inlineStr">
        <is>
          <t>kilogram</t>
        </is>
      </c>
      <c r="G273" t="inlineStr">
        <is>
          <t>technosphere</t>
        </is>
      </c>
    </row>
    <row r="274">
      <c r="A274" t="inlineStr">
        <is>
          <t>market for wastewater from pig iron production</t>
        </is>
      </c>
      <c r="B274" t="n">
        <v>-3.26561425027269e-05</v>
      </c>
      <c r="C274" t="inlineStr">
        <is>
          <t>wastewater from pig iron production</t>
        </is>
      </c>
      <c r="D274" t="inlineStr">
        <is>
          <t>Europe without Switzerland</t>
        </is>
      </c>
      <c r="E274" t="inlineStr">
        <is>
          <t>cubic meter</t>
        </is>
      </c>
      <c r="G274" t="inlineStr">
        <is>
          <t>technosphere</t>
        </is>
      </c>
      <c r="I274" t="n">
        <v>2</v>
      </c>
      <c r="J274" t="n">
        <v>-10.32947758815303</v>
      </c>
      <c r="K274" t="n">
        <v>0.07632168761236874</v>
      </c>
      <c r="L274" t="inlineStr">
        <is>
          <t>geometric mean of Remus et al. (2013) data range</t>
        </is>
      </c>
      <c r="N274" t="b">
        <v>1</v>
      </c>
    </row>
    <row r="275">
      <c r="A275" t="inlineStr">
        <is>
          <t>market for wastewater from pig iron production</t>
        </is>
      </c>
      <c r="B275" t="n">
        <v>-9.770267497273119e-06</v>
      </c>
      <c r="C275" t="inlineStr">
        <is>
          <t>wastewater from pig iron production</t>
        </is>
      </c>
      <c r="D275" t="inlineStr">
        <is>
          <t>CH</t>
        </is>
      </c>
      <c r="E275" t="inlineStr">
        <is>
          <t>cubic meter</t>
        </is>
      </c>
      <c r="G275" t="inlineStr">
        <is>
          <t>technosphere</t>
        </is>
      </c>
      <c r="I275" t="n">
        <v>2</v>
      </c>
      <c r="J275" t="n">
        <v>-11.53616671282962</v>
      </c>
      <c r="K275" t="n">
        <v>0.07632168761236874</v>
      </c>
      <c r="L275" t="inlineStr">
        <is>
          <t>geometric mean of Remus et al. (2013) data range</t>
        </is>
      </c>
      <c r="N275" t="b">
        <v>1</v>
      </c>
    </row>
    <row r="276">
      <c r="A276" t="inlineStr">
        <is>
          <t>market group for electricity, medium voltage</t>
        </is>
      </c>
      <c r="B276" t="n">
        <v>0.0536</v>
      </c>
      <c r="C276" t="inlineStr">
        <is>
          <t>electricity, medium voltage</t>
        </is>
      </c>
      <c r="D276" t="inlineStr">
        <is>
          <t>CN</t>
        </is>
      </c>
      <c r="E276" t="inlineStr">
        <is>
          <t>kilowatt hour</t>
        </is>
      </c>
      <c r="G276" t="inlineStr">
        <is>
          <t>technosphere</t>
        </is>
      </c>
    </row>
    <row r="277">
      <c r="A277" t="inlineStr">
        <is>
          <t>petroleum coke production, petroleum refinery operation</t>
        </is>
      </c>
      <c r="B277" t="n">
        <v>0.05</v>
      </c>
      <c r="C277" t="inlineStr">
        <is>
          <t>petroleum coke</t>
        </is>
      </c>
      <c r="D277" t="inlineStr">
        <is>
          <t>RoW</t>
        </is>
      </c>
      <c r="E277" t="inlineStr">
        <is>
          <t>kilogram</t>
        </is>
      </c>
      <c r="G277" t="inlineStr">
        <is>
          <t>technosphere</t>
        </is>
      </c>
    </row>
    <row r="278">
      <c r="A278" t="inlineStr">
        <is>
          <t>vanadium-titanomagnetite mine operation and beneficiation</t>
        </is>
      </c>
      <c r="B278" t="n">
        <v>0.7066</v>
      </c>
      <c r="C278" t="inlineStr">
        <is>
          <t>iron ore concentrate</t>
        </is>
      </c>
      <c r="D278" t="inlineStr">
        <is>
          <t>CN</t>
        </is>
      </c>
      <c r="E278" t="inlineStr">
        <is>
          <t>kilogram</t>
        </is>
      </c>
      <c r="G278" t="inlineStr">
        <is>
          <t>technosphere</t>
        </is>
      </c>
    </row>
    <row r="279"/>
    <row r="280">
      <c r="A280" s="1" t="inlineStr">
        <is>
          <t>Activity</t>
        </is>
      </c>
      <c r="B280" s="1" t="inlineStr">
        <is>
          <t>market for styrene butadiene rubber (SBR)</t>
        </is>
      </c>
    </row>
    <row r="281">
      <c r="A281" t="inlineStr">
        <is>
          <t>comment</t>
        </is>
      </c>
      <c r="B281" t="inlineStr">
        <is>
          <t>Source: Weber et al. (2018). Life cycle assessment of a vanadium redox flow battery. Environmental science &amp; technology, 52(18), 10864-10873. https://doi.org/10.1021/acs.est.8b02073</t>
        </is>
      </c>
    </row>
    <row r="282">
      <c r="A282" t="inlineStr">
        <is>
          <t>location</t>
        </is>
      </c>
      <c r="B282" t="inlineStr">
        <is>
          <t>RER</t>
        </is>
      </c>
    </row>
    <row r="283">
      <c r="A283" t="inlineStr">
        <is>
          <t>production amount</t>
        </is>
      </c>
      <c r="B283" t="n">
        <v>1</v>
      </c>
    </row>
    <row r="284">
      <c r="A284" t="inlineStr">
        <is>
          <t>reference product</t>
        </is>
      </c>
      <c r="B284" t="inlineStr">
        <is>
          <t>styrene butadiene rubber (SBR)</t>
        </is>
      </c>
    </row>
    <row r="285">
      <c r="A285" t="inlineStr">
        <is>
          <t>type</t>
        </is>
      </c>
      <c r="B285" t="inlineStr">
        <is>
          <t>process</t>
        </is>
      </c>
    </row>
    <row r="286">
      <c r="A286" t="inlineStr">
        <is>
          <t>unit</t>
        </is>
      </c>
      <c r="B286" t="inlineStr">
        <is>
          <t>kilogram</t>
        </is>
      </c>
    </row>
    <row r="287">
      <c r="A287" t="inlineStr">
        <is>
          <t>source</t>
        </is>
      </c>
      <c r="B287" t="inlineStr">
        <is>
          <t>Inventory provided by Zhang et al. (2024). Originally from Weber et al. (2018). Life cycle assessment of a vanadium redox flow battery. Environmental science &amp; technology, 52(18), 10864-10873. https://doi.org/10.1021/acs.est.8b02073</t>
        </is>
      </c>
    </row>
    <row r="288">
      <c r="A288" s="1" t="inlineStr">
        <is>
          <t>Exchanges</t>
        </is>
      </c>
    </row>
    <row r="289">
      <c r="A289" t="inlineStr">
        <is>
          <t>name</t>
        </is>
      </c>
      <c r="B289" t="inlineStr">
        <is>
          <t>amount</t>
        </is>
      </c>
      <c r="C289" t="inlineStr">
        <is>
          <t>location</t>
        </is>
      </c>
      <c r="D289" t="inlineStr">
        <is>
          <t>unit</t>
        </is>
      </c>
      <c r="E289" t="inlineStr">
        <is>
          <t>categories</t>
        </is>
      </c>
      <c r="F289" t="inlineStr">
        <is>
          <t>type</t>
        </is>
      </c>
      <c r="G289" t="inlineStr">
        <is>
          <t>reference product</t>
        </is>
      </c>
    </row>
    <row r="290">
      <c r="A290" t="inlineStr">
        <is>
          <t>Heat, waste</t>
        </is>
      </c>
      <c r="B290" t="n">
        <v>15.73</v>
      </c>
      <c r="D290" t="inlineStr">
        <is>
          <t>megajoule</t>
        </is>
      </c>
      <c r="E290" t="inlineStr">
        <is>
          <t>air</t>
        </is>
      </c>
      <c r="F290" t="inlineStr">
        <is>
          <t>biosphere</t>
        </is>
      </c>
    </row>
    <row r="291">
      <c r="A291" t="inlineStr">
        <is>
          <t>NMVOC, non-methane volatile organic compounds</t>
        </is>
      </c>
      <c r="B291" t="n">
        <v>0.0144</v>
      </c>
      <c r="D291" t="inlineStr">
        <is>
          <t>kilogram</t>
        </is>
      </c>
      <c r="E291" t="inlineStr">
        <is>
          <t>air</t>
        </is>
      </c>
      <c r="F291" t="inlineStr">
        <is>
          <t>biosphere</t>
        </is>
      </c>
    </row>
    <row r="292">
      <c r="A292" t="inlineStr">
        <is>
          <t>Water, cooling, unspecified natural origin</t>
        </is>
      </c>
      <c r="B292" t="n">
        <v>0.25</v>
      </c>
      <c r="D292" t="inlineStr">
        <is>
          <t>cubic meter</t>
        </is>
      </c>
      <c r="E292" t="inlineStr">
        <is>
          <t>natural resource::in water</t>
        </is>
      </c>
      <c r="F292" t="inlineStr">
        <is>
          <t>biosphere</t>
        </is>
      </c>
    </row>
    <row r="293">
      <c r="A293" t="inlineStr">
        <is>
          <t>market for styrene butadiene rubber (SBR)</t>
        </is>
      </c>
      <c r="B293" t="n">
        <v>1</v>
      </c>
      <c r="C293" t="inlineStr">
        <is>
          <t>RER</t>
        </is>
      </c>
      <c r="D293" t="inlineStr">
        <is>
          <t>kilogram</t>
        </is>
      </c>
      <c r="F293" t="inlineStr">
        <is>
          <t>production</t>
        </is>
      </c>
      <c r="G293" t="inlineStr">
        <is>
          <t>styrene butadiene rubber (SBR)</t>
        </is>
      </c>
    </row>
    <row r="294">
      <c r="A294" t="inlineStr">
        <is>
          <t>market for butadiene</t>
        </is>
      </c>
      <c r="B294" t="n">
        <v>0.752</v>
      </c>
      <c r="C294" t="inlineStr">
        <is>
          <t>RER</t>
        </is>
      </c>
      <c r="D294" t="inlineStr">
        <is>
          <t>kilogram</t>
        </is>
      </c>
      <c r="F294" t="inlineStr">
        <is>
          <t>technosphere</t>
        </is>
      </c>
      <c r="G294" t="inlineStr">
        <is>
          <t>butadiene</t>
        </is>
      </c>
    </row>
    <row r="295">
      <c r="A295" t="inlineStr">
        <is>
          <t>market for cyclohexane</t>
        </is>
      </c>
      <c r="B295" t="n">
        <v>0.01</v>
      </c>
      <c r="C295" t="inlineStr">
        <is>
          <t>GLO</t>
        </is>
      </c>
      <c r="D295" t="inlineStr">
        <is>
          <t>kilogram</t>
        </is>
      </c>
      <c r="F295" t="inlineStr">
        <is>
          <t>technosphere</t>
        </is>
      </c>
      <c r="G295" t="inlineStr">
        <is>
          <t>cyclohexane</t>
        </is>
      </c>
    </row>
    <row r="296">
      <c r="A296" t="inlineStr">
        <is>
          <t>market for soap</t>
        </is>
      </c>
      <c r="B296" t="n">
        <v>0.0273</v>
      </c>
      <c r="C296" t="inlineStr">
        <is>
          <t>GLO</t>
        </is>
      </c>
      <c r="D296" t="inlineStr">
        <is>
          <t>kilogram</t>
        </is>
      </c>
      <c r="F296" t="inlineStr">
        <is>
          <t>technosphere</t>
        </is>
      </c>
      <c r="G296" t="inlineStr">
        <is>
          <t>soap</t>
        </is>
      </c>
    </row>
    <row r="297">
      <c r="A297" t="inlineStr">
        <is>
          <t>market for sodium persulfate</t>
        </is>
      </c>
      <c r="B297" t="n">
        <v>0.00504</v>
      </c>
      <c r="C297" t="inlineStr">
        <is>
          <t>GLO</t>
        </is>
      </c>
      <c r="D297" t="inlineStr">
        <is>
          <t>kilogram</t>
        </is>
      </c>
      <c r="F297" t="inlineStr">
        <is>
          <t>technosphere</t>
        </is>
      </c>
      <c r="G297" t="inlineStr">
        <is>
          <t>sodium persulfate</t>
        </is>
      </c>
    </row>
    <row r="298">
      <c r="A298" t="inlineStr">
        <is>
          <t>market for styrene</t>
        </is>
      </c>
      <c r="B298" t="n">
        <v>0.251</v>
      </c>
      <c r="C298" t="inlineStr">
        <is>
          <t>GLO</t>
        </is>
      </c>
      <c r="D298" t="inlineStr">
        <is>
          <t>kilogram</t>
        </is>
      </c>
      <c r="F298" t="inlineStr">
        <is>
          <t>technosphere</t>
        </is>
      </c>
      <c r="G298" t="inlineStr">
        <is>
          <t>styrene</t>
        </is>
      </c>
    </row>
    <row r="299">
      <c r="A299" t="inlineStr">
        <is>
          <t>market for water, deionised</t>
        </is>
      </c>
      <c r="B299" t="n">
        <v>1.8</v>
      </c>
      <c r="C299" t="inlineStr">
        <is>
          <t>RoW</t>
        </is>
      </c>
      <c r="D299" t="inlineStr">
        <is>
          <t>kilogram</t>
        </is>
      </c>
      <c r="F299" t="inlineStr">
        <is>
          <t>technosphere</t>
        </is>
      </c>
      <c r="G299" t="inlineStr">
        <is>
          <t>water, deionised</t>
        </is>
      </c>
    </row>
    <row r="300">
      <c r="A300" t="inlineStr">
        <is>
          <t>market group for electricity, medium voltage</t>
        </is>
      </c>
      <c r="B300" t="n">
        <v>0.55</v>
      </c>
      <c r="C300" t="inlineStr">
        <is>
          <t>RER</t>
        </is>
      </c>
      <c r="D300" t="inlineStr">
        <is>
          <t>kilowatt hour</t>
        </is>
      </c>
      <c r="F300" t="inlineStr">
        <is>
          <t>technosphere</t>
        </is>
      </c>
      <c r="G300" t="inlineStr">
        <is>
          <t>electricity, medium voltage</t>
        </is>
      </c>
    </row>
    <row r="301">
      <c r="A301" t="inlineStr">
        <is>
          <t>market group for heat, central or small-scale, natural gas</t>
        </is>
      </c>
      <c r="B301" t="n">
        <v>13.75</v>
      </c>
      <c r="C301" t="inlineStr">
        <is>
          <t>RER</t>
        </is>
      </c>
      <c r="D301" t="inlineStr">
        <is>
          <t>megajoule</t>
        </is>
      </c>
      <c r="F301" t="inlineStr">
        <is>
          <t>technosphere</t>
        </is>
      </c>
      <c r="G301" t="inlineStr">
        <is>
          <t>heat, central or small-scale, natural gas</t>
        </is>
      </c>
    </row>
    <row r="302">
      <c r="A302" t="inlineStr">
        <is>
          <t>treatment of wastewater, unpolluted, wastewater treatment</t>
        </is>
      </c>
      <c r="B302" t="n">
        <v>-1.8</v>
      </c>
      <c r="C302" t="inlineStr">
        <is>
          <t>RoW</t>
        </is>
      </c>
      <c r="D302" t="inlineStr">
        <is>
          <t>cubic meter</t>
        </is>
      </c>
      <c r="F302" t="inlineStr">
        <is>
          <t>technosphere</t>
        </is>
      </c>
      <c r="G302" t="inlineStr">
        <is>
          <t>wastewater, unpolluted</t>
        </is>
      </c>
    </row>
    <row r="303"/>
    <row r="304">
      <c r="A304" s="1" t="inlineStr">
        <is>
          <t>Activity</t>
        </is>
      </c>
      <c r="B304" s="1" t="inlineStr">
        <is>
          <t>vanadium bearing magnetite production</t>
        </is>
      </c>
    </row>
    <row r="305">
      <c r="A305" t="inlineStr">
        <is>
          <t>comment</t>
        </is>
      </c>
      <c r="B305" t="inlineStr">
        <is>
          <t xml:space="preserve">Source: Chen, S.Y., Fu, X.J., Chu, M.S., Liu, Z.G., Tang, J., 2015. Life cycle assessment of the comprehensive utilisation of vanadium titano-magnetite. J. Clean. Prod. 101, 122–128. https://doi.org/10.1016/j.jclepro.2015.03.076. Inventory provided by Zhang et al. (2024). Changed the name from "vanadium pentoxide and unalloyed steel" to vanadium bearing magnetite, to make the two processes coherent during the metal markets creation.
 This production process produce product: pig iron(1kg); BF slag(0.65 kg); and BFG (1.712 kg), 
This process has been chnaged from pig iron production (RoW) to CN location specifically, from ecoinvent 3.8 activity "pig iron production (RoW)". Iron sinter, and iron pellet was changed to the self modified CN specific inventory. 
BFG heating value is 2.7 MJ/kg, according to https://www.sciencedirect.com/science/article/pii/S0016236113004821?via%3Dihub   
2.694 kg or 7.275 MJ BFG was produced per kg of pig iron produced, it is assumed that there is a internal treatment processes to treat these BFG, and there is no losses during the treatment processes. After treatment 0.982 kg of BFG will be used for the same production process, and 1.712 kg BFG is the surplus, which can subscribe the other energy production processes. (here we choose to substract the acticity "heat production, at coal coke industrial furnace 1-10MW") . at the same time, this process also account for the environment impacts caused by recyling BFG ("treatment of blast furnace gas, in power plant")
energy content of coke is 28.6 MJ/kg in ecoinvent, so based on Gao et al., 2015, 0.45185 kg coke was needed for producing 1 kg of pig iron, which is 12.9 mj coke needed.
coal gas: low heating value of coal gas is 28.6 MJ/kg in ecoinvent. 0.0030555555555556 kg coke oven gas was needed for producing 1 kg of pig iron, whcih is 0.08738 MJ. 
Background:
This activity produces hot metal (pig iron) for use in steelmaking and cast iron production. Iron-bearing materials, additives and reducing agents are continuously fed into a charging chamber from a shaft above. A hot, oxygen-rich air blast is injected on the tuyère level and reacts with the reducing agents to produce (inter alia) carbon monoxide that in turn reduces iron oxides to molten, metallic iron. The liquid iron is collected in a hearth, along with the slag, and continually cast prior to transport to the steelmaking plant. The slag is typically processed to produce aggregate, graulate, or pellet for use in cement manufacture. Gases are collected at the top of the furnace and treated through wet scrubbing, with the resultant sludge typically returned to the sinter plant or disposed of in a landfill. 
Modelling approach: 
Data on were mostly taken from the IPPC Best Available Technology report from the European Commission (Remus et al., 2013); note that where only data ranges were provided, the geometric mean of reported values was used here. Additionally, 33% of dust and sludge by-products were assumed to be recycled internally (i.e. returned as an input to the process after it has been produced) based on measured data from plants worldwide reported by worldsteel (2010).
References:
Remus, R., Aguado-Monsonet, M. A., Roudier, S. &amp; Samcho, L. D. (2013). JRC reference report - Best available techniques (BAT) reference document for iron and steel production. Joint Research Centre - European Commission, Luxemboug. 
Worldsteel (2010). Steel industry by-products. World Steel Association: Brussels, Belgium.
Geography:  Data are taken from blast furnace plants across Europe and are considered representative of the average situation globally. 
Technology:  Typical blast furnace process
Time period:  Data are mostly compiled from reports published between 2005 and 2010 but are considered representative of modern operations. </t>
        </is>
      </c>
    </row>
    <row r="306">
      <c r="A306" t="inlineStr">
        <is>
          <t>location</t>
        </is>
      </c>
      <c r="B306" t="inlineStr">
        <is>
          <t>CN</t>
        </is>
      </c>
    </row>
    <row r="307">
      <c r="A307" t="inlineStr">
        <is>
          <t>reference product</t>
        </is>
      </c>
      <c r="B307" t="inlineStr">
        <is>
          <t>vanadium bearing magnetite</t>
        </is>
      </c>
    </row>
    <row r="308">
      <c r="A308" t="inlineStr">
        <is>
          <t>unit</t>
        </is>
      </c>
      <c r="B308" t="inlineStr">
        <is>
          <t>kilogram</t>
        </is>
      </c>
    </row>
    <row r="309">
      <c r="A309" t="inlineStr">
        <is>
          <t>source</t>
        </is>
      </c>
      <c r="B309" t="inlineStr">
        <is>
          <t>Inventory provided by Zhang et al. (2024). Originally from Weber et al. (2018). Life cycle assessment of a vanadium redox flow battery. Environmental science &amp; technology, 52(18), 10864-10873. https://doi.org/10.1021/acs.est.8b02073</t>
        </is>
      </c>
    </row>
    <row r="310">
      <c r="A310" s="1" t="inlineStr">
        <is>
          <t>Exchanges</t>
        </is>
      </c>
    </row>
    <row r="311">
      <c r="A311" s="1" t="inlineStr">
        <is>
          <t>name</t>
        </is>
      </c>
      <c r="B311" s="1" t="inlineStr">
        <is>
          <t>amount</t>
        </is>
      </c>
      <c r="C311" s="1" t="inlineStr">
        <is>
          <t>reference product</t>
        </is>
      </c>
      <c r="D311" s="1" t="inlineStr">
        <is>
          <t>location</t>
        </is>
      </c>
      <c r="E311" s="1" t="inlineStr">
        <is>
          <t>unit</t>
        </is>
      </c>
      <c r="F311" s="1" t="inlineStr">
        <is>
          <t>categories</t>
        </is>
      </c>
      <c r="G311" s="1" t="inlineStr">
        <is>
          <t>type</t>
        </is>
      </c>
      <c r="H311" s="1" t="inlineStr">
        <is>
          <t>formula</t>
        </is>
      </c>
      <c r="I311" s="1" t="inlineStr">
        <is>
          <t>uncertainty type</t>
        </is>
      </c>
      <c r="J311" s="1" t="inlineStr">
        <is>
          <t>loc</t>
        </is>
      </c>
      <c r="K311" s="1" t="inlineStr">
        <is>
          <t>scale</t>
        </is>
      </c>
      <c r="L311" s="1" t="inlineStr">
        <is>
          <t>comment</t>
        </is>
      </c>
      <c r="M311" s="1" t="inlineStr">
        <is>
          <t>negative</t>
        </is>
      </c>
    </row>
    <row r="312">
      <c r="A312" t="inlineStr">
        <is>
          <t>Carbon dioxide, fossil</t>
        </is>
      </c>
      <c r="B312" t="n">
        <v>0.8490799999999999</v>
      </c>
      <c r="E312" t="inlineStr">
        <is>
          <t>kilogram</t>
        </is>
      </c>
      <c r="F312" t="inlineStr">
        <is>
          <t>air</t>
        </is>
      </c>
      <c r="G312" t="inlineStr">
        <is>
          <t>biosphere</t>
        </is>
      </c>
      <c r="H312" t="inlineStr">
        <is>
          <t>CO2</t>
        </is>
      </c>
      <c r="I312" t="n">
        <v>2</v>
      </c>
      <c r="J312" t="n">
        <v>-0.1636018686058939</v>
      </c>
      <c r="K312" t="n">
        <v>0.03872983346207417</v>
      </c>
      <c r="L312"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13">
      <c r="A313" t="inlineStr">
        <is>
          <t>Carbon monoxide, fossil</t>
        </is>
      </c>
      <c r="B313" t="n">
        <v>0.0013404</v>
      </c>
      <c r="E313" t="inlineStr">
        <is>
          <t>kilogram</t>
        </is>
      </c>
      <c r="F313" t="inlineStr">
        <is>
          <t>air</t>
        </is>
      </c>
      <c r="G313" t="inlineStr">
        <is>
          <t>biosphere</t>
        </is>
      </c>
      <c r="H313" t="inlineStr">
        <is>
          <t>CO</t>
        </is>
      </c>
      <c r="I313" t="n">
        <v>2</v>
      </c>
      <c r="J313" t="n">
        <v>-6.614787202101119</v>
      </c>
      <c r="K313" t="n">
        <v>0.8071554992688831</v>
      </c>
      <c r="L313"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14">
      <c r="A314" t="inlineStr">
        <is>
          <t>Dioxins, measured as 2,3,7,8-tetrachlorodibenzo-p-dioxin</t>
        </is>
      </c>
      <c r="B314" t="n">
        <v>2.6596e-15</v>
      </c>
      <c r="E314" t="inlineStr">
        <is>
          <t>kilogram</t>
        </is>
      </c>
      <c r="F314" t="inlineStr">
        <is>
          <t>air</t>
        </is>
      </c>
      <c r="G314" t="inlineStr">
        <is>
          <t>biosphere</t>
        </is>
      </c>
      <c r="H314" t="inlineStr">
        <is>
          <t>C12H4Cl4O2</t>
        </is>
      </c>
      <c r="I314" t="n">
        <v>2</v>
      </c>
      <c r="J314" t="n">
        <v>-33.56060065936452</v>
      </c>
      <c r="K314" t="n">
        <v>0.5490901565316938</v>
      </c>
      <c r="L314"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15">
      <c r="A315" t="inlineStr">
        <is>
          <t>Hydrogen sulfide</t>
        </is>
      </c>
      <c r="B315" t="n">
        <v>1.0745e-05</v>
      </c>
      <c r="E315" t="inlineStr">
        <is>
          <t>kilogram</t>
        </is>
      </c>
      <c r="F315" t="inlineStr">
        <is>
          <t>air</t>
        </is>
      </c>
      <c r="G315" t="inlineStr">
        <is>
          <t>biosphere</t>
        </is>
      </c>
      <c r="H315" t="inlineStr">
        <is>
          <t>H2S</t>
        </is>
      </c>
      <c r="I315" t="n">
        <v>2</v>
      </c>
      <c r="J315" t="n">
        <v>-11.4410700278698</v>
      </c>
      <c r="K315" t="n">
        <v>0.2037154878746336</v>
      </c>
      <c r="L315"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16">
      <c r="A316" t="inlineStr">
        <is>
          <t>Lead II</t>
        </is>
      </c>
      <c r="B316" t="n">
        <v>6.914900000000001e-08</v>
      </c>
      <c r="E316" t="inlineStr">
        <is>
          <t>kilogram</t>
        </is>
      </c>
      <c r="F316" t="inlineStr">
        <is>
          <t>air</t>
        </is>
      </c>
      <c r="G316" t="inlineStr">
        <is>
          <t>biosphere</t>
        </is>
      </c>
      <c r="H316" t="inlineStr">
        <is>
          <t>Pb</t>
        </is>
      </c>
      <c r="I316" t="n">
        <v>2</v>
      </c>
      <c r="J316" t="n">
        <v>-16.48700224025619</v>
      </c>
      <c r="K316" t="n">
        <v>0.8071554992688831</v>
      </c>
      <c r="L316"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17">
      <c r="A317" t="inlineStr">
        <is>
          <t>Manganese II</t>
        </is>
      </c>
      <c r="B317" t="n">
        <v>7.4468e-08</v>
      </c>
      <c r="E317" t="inlineStr">
        <is>
          <t>kilogram</t>
        </is>
      </c>
      <c r="F317" t="inlineStr">
        <is>
          <t>air</t>
        </is>
      </c>
      <c r="G317" t="inlineStr">
        <is>
          <t>biosphere</t>
        </is>
      </c>
      <c r="H317" t="inlineStr">
        <is>
          <t>Mn</t>
        </is>
      </c>
      <c r="I317" t="n">
        <v>2</v>
      </c>
      <c r="J317" t="n">
        <v>-16.41289633403676</v>
      </c>
      <c r="K317" t="n">
        <v>0.8071554992688831</v>
      </c>
      <c r="L317"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18">
      <c r="A318" t="inlineStr">
        <is>
          <t>Nickel II</t>
        </is>
      </c>
      <c r="B318" t="n">
        <v>1.5957e-08</v>
      </c>
      <c r="E318" t="inlineStr">
        <is>
          <t>kilogram</t>
        </is>
      </c>
      <c r="F318" t="inlineStr">
        <is>
          <t>air</t>
        </is>
      </c>
      <c r="G318" t="inlineStr">
        <is>
          <t>biosphere</t>
        </is>
      </c>
      <c r="H318" t="inlineStr">
        <is>
          <t>Ni</t>
        </is>
      </c>
      <c r="I318" t="n">
        <v>2</v>
      </c>
      <c r="J318" t="n">
        <v>-17.95336823251812</v>
      </c>
      <c r="K318" t="n">
        <v>0.8071554992688831</v>
      </c>
      <c r="L318"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19">
      <c r="A319" t="inlineStr">
        <is>
          <t>Nitrogen oxides</t>
        </is>
      </c>
      <c r="B319" t="n">
        <v>7.9787e-05</v>
      </c>
      <c r="E319" t="inlineStr">
        <is>
          <t>kilogram</t>
        </is>
      </c>
      <c r="F319" t="inlineStr">
        <is>
          <t>air</t>
        </is>
      </c>
      <c r="G319" t="inlineStr">
        <is>
          <t>biosphere</t>
        </is>
      </c>
      <c r="H319" t="inlineStr">
        <is>
          <t>H3NO</t>
        </is>
      </c>
      <c r="I319" t="n">
        <v>2</v>
      </c>
      <c r="J319" t="n">
        <v>-9.436149974047511</v>
      </c>
      <c r="K319" t="n">
        <v>0.2037154878746336</v>
      </c>
      <c r="L319"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20">
      <c r="A320" t="inlineStr">
        <is>
          <t>Particulate Matter, &lt; 2.5 um</t>
        </is>
      </c>
      <c r="B320" t="n">
        <v>2.8723e-05</v>
      </c>
      <c r="E320" t="inlineStr">
        <is>
          <t>kilogram</t>
        </is>
      </c>
      <c r="F320" t="inlineStr">
        <is>
          <t>air</t>
        </is>
      </c>
      <c r="G320" t="inlineStr">
        <is>
          <t>biosphere</t>
        </is>
      </c>
      <c r="I320" t="n">
        <v>2</v>
      </c>
      <c r="J320" t="n">
        <v>-10.45781236241497</v>
      </c>
      <c r="K320" t="n">
        <v>0.5490901565316938</v>
      </c>
      <c r="L320"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21">
      <c r="A321" t="inlineStr">
        <is>
          <t>Particulate Matter, &gt; 10 um</t>
        </is>
      </c>
      <c r="B321" t="n">
        <v>1.5957e-06</v>
      </c>
      <c r="E321" t="inlineStr">
        <is>
          <t>kilogram</t>
        </is>
      </c>
      <c r="F321" t="inlineStr">
        <is>
          <t>air</t>
        </is>
      </c>
      <c r="G321" t="inlineStr">
        <is>
          <t>biosphere</t>
        </is>
      </c>
      <c r="I321" t="n">
        <v>2</v>
      </c>
      <c r="J321" t="n">
        <v>-13.34819804653003</v>
      </c>
      <c r="K321" t="n">
        <v>0.2037154878746336</v>
      </c>
      <c r="L321"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22">
      <c r="A322" t="inlineStr">
        <is>
          <t>Particulate Matter, &gt; 2.5 um and &lt; 10um</t>
        </is>
      </c>
      <c r="B322" t="n">
        <v>1.5957e-06</v>
      </c>
      <c r="E322" t="inlineStr">
        <is>
          <t>kilogram</t>
        </is>
      </c>
      <c r="F322" t="inlineStr">
        <is>
          <t>air</t>
        </is>
      </c>
      <c r="G322" t="inlineStr">
        <is>
          <t>biosphere</t>
        </is>
      </c>
      <c r="I322" t="n">
        <v>2</v>
      </c>
      <c r="J322" t="n">
        <v>-13.34819804653003</v>
      </c>
      <c r="K322" t="n">
        <v>0.3485685011586675</v>
      </c>
      <c r="L322"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23">
      <c r="A323" t="inlineStr">
        <is>
          <t>Sulfur dioxide</t>
        </is>
      </c>
      <c r="B323" t="n">
        <v>0.00013298</v>
      </c>
      <c r="E323" t="inlineStr">
        <is>
          <t>kilogram</t>
        </is>
      </c>
      <c r="F323" t="inlineStr">
        <is>
          <t>air</t>
        </is>
      </c>
      <c r="G323" t="inlineStr">
        <is>
          <t>biosphere</t>
        </is>
      </c>
      <c r="H323" t="inlineStr">
        <is>
          <t>O2S</t>
        </is>
      </c>
      <c r="I323" t="n">
        <v>2</v>
      </c>
      <c r="J323" t="n">
        <v>-8.925311816989966</v>
      </c>
      <c r="K323" t="n">
        <v>0.03872983346207417</v>
      </c>
      <c r="L323"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24">
      <c r="A324" t="inlineStr">
        <is>
          <t>Water</t>
        </is>
      </c>
      <c r="B324" t="n">
        <v>0.0009702553754730679</v>
      </c>
      <c r="E324" t="inlineStr">
        <is>
          <t>cubic meter</t>
        </is>
      </c>
      <c r="F324" t="inlineStr">
        <is>
          <t>water</t>
        </is>
      </c>
      <c r="G324" t="inlineStr">
        <is>
          <t>biosphere</t>
        </is>
      </c>
      <c r="H324" t="inlineStr">
        <is>
          <t>H2O</t>
        </is>
      </c>
      <c r="I324" t="n">
        <v>2</v>
      </c>
      <c r="J324" t="n">
        <v>-6.937951247433706</v>
      </c>
      <c r="K324" t="n">
        <v>0.3033562262423503</v>
      </c>
      <c r="L324" t="inlineStr">
        <is>
          <t>Calculated value based on literature values and expert opinion. See comments in the parametres' comment field.</t>
        </is>
      </c>
    </row>
    <row r="325">
      <c r="A325" t="inlineStr">
        <is>
          <t>Water</t>
        </is>
      </c>
      <c r="B325" t="n">
        <v>0.000490292453909515</v>
      </c>
      <c r="E325" t="inlineStr">
        <is>
          <t>cubic meter</t>
        </is>
      </c>
      <c r="F325" t="inlineStr">
        <is>
          <t>air</t>
        </is>
      </c>
      <c r="G325" t="inlineStr">
        <is>
          <t>biosphere</t>
        </is>
      </c>
      <c r="H325" t="inlineStr">
        <is>
          <t>H2O</t>
        </is>
      </c>
      <c r="I325" t="n">
        <v>2</v>
      </c>
      <c r="J325" t="n">
        <v>-7.620508500187273</v>
      </c>
      <c r="K325" t="n">
        <v>0.2017424100183201</v>
      </c>
      <c r="L325" t="inlineStr">
        <is>
          <t>Calculated value based on literature values and expert opinion. See comments in the parametres' comment field.</t>
        </is>
      </c>
    </row>
    <row r="326">
      <c r="A326" t="inlineStr">
        <is>
          <t>Water, cooling, unspecified natural origin</t>
        </is>
      </c>
      <c r="B326" t="n">
        <v>0.00105697540284266</v>
      </c>
      <c r="E326" t="inlineStr">
        <is>
          <t>cubic meter</t>
        </is>
      </c>
      <c r="F326" t="inlineStr">
        <is>
          <t>natural resource::in water</t>
        </is>
      </c>
      <c r="G326" t="inlineStr">
        <is>
          <t>biosphere</t>
        </is>
      </c>
      <c r="H326" t="inlineStr">
        <is>
          <t>H2O</t>
        </is>
      </c>
      <c r="I326" t="n">
        <v>2</v>
      </c>
      <c r="J326" t="n">
        <v>-6.852343843090765</v>
      </c>
      <c r="K326" t="n">
        <v>0.1132475165290612</v>
      </c>
      <c r="L326" t="inlineStr">
        <is>
          <t>Calculated based on literature, (Vionnet, S., Quantis Water Database - Technical Report, 2012).</t>
        </is>
      </c>
    </row>
    <row r="327">
      <c r="A327" t="inlineStr">
        <is>
          <t>Water, unspecified natural origin</t>
        </is>
      </c>
      <c r="B327" t="n">
        <v>0.000403572426539923</v>
      </c>
      <c r="E327" t="inlineStr">
        <is>
          <t>cubic meter</t>
        </is>
      </c>
      <c r="F327" t="inlineStr">
        <is>
          <t>natural resource::in water</t>
        </is>
      </c>
      <c r="G327" t="inlineStr">
        <is>
          <t>biosphere</t>
        </is>
      </c>
      <c r="H327" t="inlineStr">
        <is>
          <t>H2O</t>
        </is>
      </c>
      <c r="I327" t="n">
        <v>2</v>
      </c>
      <c r="J327" t="n">
        <v>-7.815154590599817</v>
      </c>
      <c r="K327" t="n">
        <v>0.1132475165290612</v>
      </c>
      <c r="L327" t="inlineStr">
        <is>
          <t>Based on literature, (Vionnet, S., Quantis Water Database - Technical Report, 2012). based on literature, (Vionnet, S., Quantis Water Database - Technical Report, 2012).</t>
        </is>
      </c>
    </row>
    <row r="328">
      <c r="A328" t="inlineStr">
        <is>
          <t>vanadium bearing magnetite production</t>
        </is>
      </c>
      <c r="B328" t="n">
        <v>1</v>
      </c>
      <c r="C328" t="inlineStr">
        <is>
          <t>vanadium bearing magnetite</t>
        </is>
      </c>
      <c r="D328" t="inlineStr">
        <is>
          <t>CN</t>
        </is>
      </c>
      <c r="E328" t="inlineStr">
        <is>
          <t>kilogram</t>
        </is>
      </c>
      <c r="G328" t="inlineStr">
        <is>
          <t>production</t>
        </is>
      </c>
      <c r="I328" t="n">
        <v>0</v>
      </c>
      <c r="J328" t="n">
        <v>1</v>
      </c>
    </row>
    <row r="329">
      <c r="A329" t="inlineStr">
        <is>
          <t>market for blast furnace slag</t>
        </is>
      </c>
      <c r="B329" t="n">
        <v>-0.65</v>
      </c>
      <c r="C329" t="inlineStr">
        <is>
          <t>blast furnace slag</t>
        </is>
      </c>
      <c r="D329" t="inlineStr">
        <is>
          <t>GLO</t>
        </is>
      </c>
      <c r="E329" t="inlineStr">
        <is>
          <t>kilogram</t>
        </is>
      </c>
      <c r="G329" t="inlineStr">
        <is>
          <t>technosphere</t>
        </is>
      </c>
      <c r="I329" t="n">
        <v>2</v>
      </c>
      <c r="J329" t="n">
        <v>-1.290984181315566</v>
      </c>
      <c r="K329" t="n">
        <v>0.2095232683975696</v>
      </c>
      <c r="L329" t="inlineStr">
        <is>
          <t>Amount reported by worldsteel (2010) and is representative of the average global situation in 2009. Also based on worldsteel (2010), an internal recovery (recycling) rate of 0% is assumed. Source: Worldsteel (2010). Steel industry by-products. World Steel Association: Brussels, Belgium.</t>
        </is>
      </c>
      <c r="M329" t="b">
        <v>1</v>
      </c>
    </row>
    <row r="330">
      <c r="A330" t="inlineStr">
        <is>
          <t>coking</t>
        </is>
      </c>
      <c r="B330" t="n">
        <v>0.08738</v>
      </c>
      <c r="C330" t="inlineStr">
        <is>
          <t>coke</t>
        </is>
      </c>
      <c r="D330" t="inlineStr">
        <is>
          <t>RoW</t>
        </is>
      </c>
      <c r="E330" t="inlineStr">
        <is>
          <t>megajoule</t>
        </is>
      </c>
      <c r="G330" t="inlineStr">
        <is>
          <t>technosphere</t>
        </is>
      </c>
    </row>
    <row r="331">
      <c r="A331" t="inlineStr">
        <is>
          <t>heat production, at coal coke industrial furnace 1-10MW</t>
        </is>
      </c>
      <c r="B331" t="n">
        <v>-4.6225</v>
      </c>
      <c r="C331" t="inlineStr">
        <is>
          <t>heat, district or industrial, other than natural gas</t>
        </is>
      </c>
      <c r="D331" t="inlineStr">
        <is>
          <t>RoW</t>
        </is>
      </c>
      <c r="E331" t="inlineStr">
        <is>
          <t>megajoule</t>
        </is>
      </c>
      <c r="G331" t="inlineStr">
        <is>
          <t>technosphere</t>
        </is>
      </c>
    </row>
    <row r="332">
      <c r="A332" t="inlineStr">
        <is>
          <t>vanadium pentoxide bearing iron pellet production</t>
        </is>
      </c>
      <c r="B332" t="n">
        <v>0.424</v>
      </c>
      <c r="C332" t="inlineStr">
        <is>
          <t>vanadium pentoxide bearing iron pellet</t>
        </is>
      </c>
      <c r="D332" t="inlineStr">
        <is>
          <t>CN</t>
        </is>
      </c>
      <c r="E332" t="inlineStr">
        <is>
          <t>kilogram</t>
        </is>
      </c>
      <c r="G332" t="inlineStr">
        <is>
          <t>technosphere</t>
        </is>
      </c>
    </row>
    <row r="333">
      <c r="A333" t="inlineStr">
        <is>
          <t>vanadium pentoxide bearing iron sinter production</t>
        </is>
      </c>
      <c r="B333" t="n">
        <v>1.59</v>
      </c>
      <c r="C333" t="inlineStr">
        <is>
          <t>vanadium pentoxide bearing iron sinter</t>
        </is>
      </c>
      <c r="D333" t="inlineStr">
        <is>
          <t>CN</t>
        </is>
      </c>
      <c r="E333" t="inlineStr">
        <is>
          <t>kilogram</t>
        </is>
      </c>
      <c r="G333" t="inlineStr">
        <is>
          <t>technosphere</t>
        </is>
      </c>
    </row>
    <row r="334">
      <c r="A334" t="inlineStr">
        <is>
          <t>market for blast furnace</t>
        </is>
      </c>
      <c r="B334" t="n">
        <v>1.3333e-11</v>
      </c>
      <c r="C334" t="inlineStr">
        <is>
          <t>blast furnace</t>
        </is>
      </c>
      <c r="D334" t="inlineStr">
        <is>
          <t>GLO</t>
        </is>
      </c>
      <c r="E334" t="inlineStr">
        <is>
          <t>unit</t>
        </is>
      </c>
      <c r="G334" t="inlineStr">
        <is>
          <t>technosphere</t>
        </is>
      </c>
      <c r="I334" t="n">
        <v>2</v>
      </c>
      <c r="J334" t="n">
        <v>-25.04077895079523</v>
      </c>
      <c r="K334" t="n">
        <v>0.7071067811865476</v>
      </c>
      <c r="L334"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35">
      <c r="A335" t="inlineStr">
        <is>
          <t>market for hard coal</t>
        </is>
      </c>
      <c r="B335" t="n">
        <v>0.1277777777777778</v>
      </c>
      <c r="C335" t="inlineStr">
        <is>
          <t>hard coal</t>
        </is>
      </c>
      <c r="D335" t="inlineStr">
        <is>
          <t>CN</t>
        </is>
      </c>
      <c r="E335" t="inlineStr">
        <is>
          <t>kilogram</t>
        </is>
      </c>
      <c r="G335" t="inlineStr">
        <is>
          <t>technosphere</t>
        </is>
      </c>
      <c r="I335" t="n">
        <v>2</v>
      </c>
      <c r="J335" t="n">
        <v>-2.540348463133243</v>
      </c>
      <c r="K335" t="n">
        <v>0.01414213562373095</v>
      </c>
      <c r="L335"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36">
      <c r="A336" t="inlineStr">
        <is>
          <t>market for inert waste, for final disposal</t>
        </is>
      </c>
      <c r="B336" t="n">
        <v>-0.00133041346956501</v>
      </c>
      <c r="C336" t="inlineStr">
        <is>
          <t>inert waste, for final disposal</t>
        </is>
      </c>
      <c r="D336" t="inlineStr">
        <is>
          <t>RoW</t>
        </is>
      </c>
      <c r="E336" t="inlineStr">
        <is>
          <t>kilogram</t>
        </is>
      </c>
      <c r="G336" t="inlineStr">
        <is>
          <t>technosphere</t>
        </is>
      </c>
      <c r="I336" t="n">
        <v>2</v>
      </c>
      <c r="J336" t="n">
        <v>-6.622265505689266</v>
      </c>
      <c r="K336" t="n">
        <v>0.058309518948453</v>
      </c>
      <c r="L336" t="inlineStr">
        <is>
          <t>geometric mean of Remus et al. (2013) data range</t>
        </is>
      </c>
      <c r="M336" t="b">
        <v>1</v>
      </c>
    </row>
    <row r="337">
      <c r="A337" t="inlineStr">
        <is>
          <t>market for iron ore, crude ore, 46% Fe</t>
        </is>
      </c>
      <c r="B337" t="n">
        <v>0.1055556</v>
      </c>
      <c r="C337" t="inlineStr">
        <is>
          <t>iron ore, crude ore, 46% Fe</t>
        </is>
      </c>
      <c r="D337" t="inlineStr">
        <is>
          <t>GLO</t>
        </is>
      </c>
      <c r="E337" t="inlineStr">
        <is>
          <t>kilogram</t>
        </is>
      </c>
      <c r="G337" t="inlineStr">
        <is>
          <t>technosphere</t>
        </is>
      </c>
    </row>
    <row r="338">
      <c r="A338" t="inlineStr">
        <is>
          <t>market for petroleum coke</t>
        </is>
      </c>
      <c r="B338" t="n">
        <v>0.45185</v>
      </c>
      <c r="C338" t="inlineStr">
        <is>
          <t>petroleum coke</t>
        </is>
      </c>
      <c r="D338" t="inlineStr">
        <is>
          <t>GLO</t>
        </is>
      </c>
      <c r="E338" t="inlineStr">
        <is>
          <t>kilogram</t>
        </is>
      </c>
      <c r="G338" t="inlineStr">
        <is>
          <t>technosphere</t>
        </is>
      </c>
    </row>
    <row r="339">
      <c r="A339" t="inlineStr">
        <is>
          <t>market for refractory, fireclay, packed</t>
        </is>
      </c>
      <c r="B339" t="n">
        <v>0.002</v>
      </c>
      <c r="C339" t="inlineStr">
        <is>
          <t>refractory, fireclay, packed</t>
        </is>
      </c>
      <c r="D339" t="inlineStr">
        <is>
          <t>GLO</t>
        </is>
      </c>
      <c r="E339" t="inlineStr">
        <is>
          <t>kilogram</t>
        </is>
      </c>
      <c r="G339" t="inlineStr">
        <is>
          <t>technosphere</t>
        </is>
      </c>
      <c r="I339" t="n">
        <v>2</v>
      </c>
      <c r="J339" t="n">
        <v>-6.214608098422191</v>
      </c>
      <c r="K339" t="n">
        <v>0.01414213562373095</v>
      </c>
      <c r="L339" t="inlineStr">
        <is>
          <t>Average value of measured data from plants in Europe. Source: Remus, R., Aguado-Monsonet, M. A., Roudier, S. &amp; Samcho, L. D. (2013). JRC reference report - Best available techniques (BAT) reference document for iron and steel production. Joint Research Centre - European Commission, Luxemboug.</t>
        </is>
      </c>
    </row>
    <row r="340">
      <c r="A340" t="inlineStr">
        <is>
          <t>market for wastewater from pig iron production</t>
        </is>
      </c>
      <c r="B340" t="n">
        <v>-0.000121643</v>
      </c>
      <c r="C340" t="inlineStr">
        <is>
          <t>wastewater from pig iron production</t>
        </is>
      </c>
      <c r="D340" t="inlineStr">
        <is>
          <t>RoW</t>
        </is>
      </c>
      <c r="E340" t="inlineStr">
        <is>
          <t>cubic meter</t>
        </is>
      </c>
      <c r="G340" t="inlineStr">
        <is>
          <t>technosphere</t>
        </is>
      </c>
      <c r="I340" t="n">
        <v>2</v>
      </c>
      <c r="J340" t="n">
        <v>-9.014420032519412</v>
      </c>
      <c r="K340" t="n">
        <v>0.2083266665599966</v>
      </c>
      <c r="L340" t="inlineStr">
        <is>
          <t>geometric mean of Remus et al. (2013) data range</t>
        </is>
      </c>
      <c r="M340" t="b">
        <v>1</v>
      </c>
    </row>
    <row r="341"/>
    <row r="342">
      <c r="A342" s="1" t="inlineStr">
        <is>
          <t>Activity</t>
        </is>
      </c>
      <c r="B342" s="1" t="inlineStr">
        <is>
          <t>pre-reduced vanadium pentoxide bearing magnetite production</t>
        </is>
      </c>
    </row>
    <row r="343">
      <c r="A343" t="inlineStr">
        <is>
          <t>comment</t>
        </is>
      </c>
      <c r="B343" t="inlineStr">
        <is>
          <t>Source: Weber et al. (2018). Life cycle assessment of a vanadium redox flow battery. Environmental science &amp; technology, 52(18), 10864-10873. https://doi.org/10.1021/acs.est.8b02073Inputs and air emissions from different sources. This dataset covers different situations in the world. As mentionned in the Geography Comment, some inputs and emissions relate to Quebec data. 
No transport of iron ore because pellets are fabricated at mine, except for the Quebec situation where the pellets are not fabricated at the mine.
[This dataset was already contained in the ecoinvent database version 2. It was not individually updated during the transfer to ecoinvent version 3. Life Cycle Impact Assessment results may still have changed, as they are affected by changes in the supply chain, i.e. in other datasets. This dataset was generated following the ecoinvent quality guidelines for version 2. It may have been subject to central changes described in the ecoinvent version 3 change report (http://www.ecoinvent.org/database/ecoinvent-version-3/reports-of-changes/), and the results of the central updates were reviewed extensively. The changes added e.g. consistent water flows and other information throughout the database. The documentation of this dataset can be found in the ecoinvent reports of version 2, which are still available via the ecoinvent website. The change report linked above covers all central changes that were made during the conversion process.]
Geography:  Inputs relate to the global average. Emissions relate to European plants. Some inputs and emissions relate to Quebec data.
Technology:  Strate grate and grate kiln process</t>
        </is>
      </c>
    </row>
    <row r="344">
      <c r="A344" t="inlineStr">
        <is>
          <t>location</t>
        </is>
      </c>
      <c r="B344" t="inlineStr">
        <is>
          <t>ZA</t>
        </is>
      </c>
    </row>
    <row r="345">
      <c r="A345" t="inlineStr">
        <is>
          <t>reference product</t>
        </is>
      </c>
      <c r="B345" t="inlineStr">
        <is>
          <t>pre-reduced vanadium pentoxide bearing magnetite</t>
        </is>
      </c>
    </row>
    <row r="346">
      <c r="A346" t="inlineStr">
        <is>
          <t>unit</t>
        </is>
      </c>
      <c r="B346" t="inlineStr">
        <is>
          <t>kilogram</t>
        </is>
      </c>
    </row>
    <row r="347">
      <c r="A347" t="inlineStr">
        <is>
          <t>source</t>
        </is>
      </c>
      <c r="B347" t="inlineStr">
        <is>
          <t>Inventory provided by Zhang et al. (2024). Originally from Weber et al. (2018). Life cycle assessment of a vanadium redox flow battery. Environmental science &amp; technology, 52(18), 10864-10873. https://doi.org/10.1021/acs.est.8b02073</t>
        </is>
      </c>
    </row>
    <row r="348">
      <c r="A348" s="1" t="inlineStr">
        <is>
          <t>Exchanges</t>
        </is>
      </c>
    </row>
    <row r="349">
      <c r="A349" s="1" t="inlineStr">
        <is>
          <t>name</t>
        </is>
      </c>
      <c r="B349" s="1" t="inlineStr">
        <is>
          <t>amount</t>
        </is>
      </c>
      <c r="C349" s="1" t="inlineStr">
        <is>
          <t>reference product</t>
        </is>
      </c>
      <c r="D349" s="1" t="inlineStr">
        <is>
          <t>location</t>
        </is>
      </c>
      <c r="E349" s="1" t="inlineStr">
        <is>
          <t>unit</t>
        </is>
      </c>
      <c r="F349" s="1" t="inlineStr">
        <is>
          <t>categories</t>
        </is>
      </c>
      <c r="G349" s="1" t="inlineStr">
        <is>
          <t>type</t>
        </is>
      </c>
      <c r="H349" s="1" t="inlineStr">
        <is>
          <t>formula</t>
        </is>
      </c>
      <c r="I349" s="1" t="inlineStr">
        <is>
          <t>uncertainty type</t>
        </is>
      </c>
      <c r="J349" s="1" t="inlineStr">
        <is>
          <t>loc</t>
        </is>
      </c>
      <c r="K349" s="1" t="inlineStr">
        <is>
          <t>scale</t>
        </is>
      </c>
      <c r="L349" s="1" t="inlineStr">
        <is>
          <t>comment</t>
        </is>
      </c>
      <c r="M349" s="1" t="inlineStr">
        <is>
          <t>production volume</t>
        </is>
      </c>
      <c r="N349" s="1" t="inlineStr">
        <is>
          <t>negative</t>
        </is>
      </c>
    </row>
    <row r="350">
      <c r="A350" t="inlineStr">
        <is>
          <t>Arsenic ion</t>
        </is>
      </c>
      <c r="B350" t="n">
        <v>2e-13</v>
      </c>
      <c r="E350" t="inlineStr">
        <is>
          <t>kilogram</t>
        </is>
      </c>
      <c r="F350" t="inlineStr">
        <is>
          <t>water::surface water</t>
        </is>
      </c>
      <c r="G350" t="inlineStr">
        <is>
          <t>biosphere</t>
        </is>
      </c>
      <c r="H350" t="inlineStr">
        <is>
          <t>As+5</t>
        </is>
      </c>
      <c r="I350" t="n">
        <v>2</v>
      </c>
      <c r="J350" t="n">
        <v>-26.38545597524937</v>
      </c>
      <c r="K350" t="n">
        <v>0.8322860085331244</v>
      </c>
      <c r="L350" t="inlineStr">
        <is>
          <t>Estimation. Adapted from dataset ''iron pellet production, Quebec, 2011''.</t>
        </is>
      </c>
    </row>
    <row r="351">
      <c r="A351" t="inlineStr">
        <is>
          <t>Cadmium II</t>
        </is>
      </c>
      <c r="B351" t="n">
        <v>2.1e-10</v>
      </c>
      <c r="E351" t="inlineStr">
        <is>
          <t>kilogram</t>
        </is>
      </c>
      <c r="F351" t="inlineStr">
        <is>
          <t>air</t>
        </is>
      </c>
      <c r="G351" t="inlineStr">
        <is>
          <t>biosphere</t>
        </is>
      </c>
      <c r="H351" t="inlineStr">
        <is>
          <t>Cd</t>
        </is>
      </c>
      <c r="I351" t="n">
        <v>2</v>
      </c>
      <c r="J351" t="n">
        <v>-22.28391358521108</v>
      </c>
      <c r="K351" t="n">
        <v>0.8314445261110329</v>
      </c>
    </row>
    <row r="352">
      <c r="A352" t="inlineStr">
        <is>
          <t>Cadmium II</t>
        </is>
      </c>
      <c r="B352" t="n">
        <v>3.1e-12</v>
      </c>
      <c r="E352" t="inlineStr">
        <is>
          <t>kilogram</t>
        </is>
      </c>
      <c r="F352" t="inlineStr">
        <is>
          <t>water::surface water</t>
        </is>
      </c>
      <c r="G352" t="inlineStr">
        <is>
          <t>biosphere</t>
        </is>
      </c>
      <c r="H352" t="inlineStr">
        <is>
          <t>Cd+2</t>
        </is>
      </c>
      <c r="I352" t="n">
        <v>2</v>
      </c>
      <c r="J352" t="n">
        <v>-27.0787083138093</v>
      </c>
      <c r="K352" t="n">
        <v>0.8322860085331244</v>
      </c>
      <c r="L352" t="inlineStr">
        <is>
          <t>Estimation. Adapted from dataset ''iron pellet production, Quebec, 2011''.</t>
        </is>
      </c>
    </row>
    <row r="353">
      <c r="A353" t="inlineStr">
        <is>
          <t>Carbon dioxide, fossil</t>
        </is>
      </c>
      <c r="B353" t="n">
        <v>0.0237</v>
      </c>
      <c r="E353" t="inlineStr">
        <is>
          <t>kilogram</t>
        </is>
      </c>
      <c r="F353" t="inlineStr">
        <is>
          <t>air</t>
        </is>
      </c>
      <c r="G353" t="inlineStr">
        <is>
          <t>biosphere</t>
        </is>
      </c>
      <c r="H353" t="inlineStr">
        <is>
          <t>CO2</t>
        </is>
      </c>
      <c r="I353" t="n">
        <v>2</v>
      </c>
      <c r="J353" t="n">
        <v>-3.742280230841052</v>
      </c>
      <c r="K353" t="n">
        <v>0.2032240143290158</v>
      </c>
    </row>
    <row r="354">
      <c r="A354" t="inlineStr">
        <is>
          <t>Carbon monoxide, fossil</t>
        </is>
      </c>
      <c r="B354" t="n">
        <v>0.00021</v>
      </c>
      <c r="E354" t="inlineStr">
        <is>
          <t>kilogram</t>
        </is>
      </c>
      <c r="F354" t="inlineStr">
        <is>
          <t>air</t>
        </is>
      </c>
      <c r="G354" t="inlineStr">
        <is>
          <t>biosphere</t>
        </is>
      </c>
      <c r="H354" t="inlineStr">
        <is>
          <t>CO</t>
        </is>
      </c>
      <c r="I354" t="n">
        <v>2</v>
      </c>
      <c r="J354" t="n">
        <v>-8.468403027246806</v>
      </c>
      <c r="K354" t="n">
        <v>0.8314445261110329</v>
      </c>
    </row>
    <row r="355">
      <c r="A355" t="inlineStr">
        <is>
          <t>Chromium III</t>
        </is>
      </c>
      <c r="B355" t="n">
        <v>2.7e-09</v>
      </c>
      <c r="E355" t="inlineStr">
        <is>
          <t>kilogram</t>
        </is>
      </c>
      <c r="F355" t="inlineStr">
        <is>
          <t>air</t>
        </is>
      </c>
      <c r="G355" t="inlineStr">
        <is>
          <t>biosphere</t>
        </is>
      </c>
      <c r="H355" t="inlineStr">
        <is>
          <t>Cr</t>
        </is>
      </c>
      <c r="I355" t="n">
        <v>2</v>
      </c>
      <c r="J355" t="n">
        <v>-19.73001406393613</v>
      </c>
      <c r="K355" t="n">
        <v>0.8314445261110329</v>
      </c>
    </row>
    <row r="356">
      <c r="A356" t="inlineStr">
        <is>
          <t>Chromium III</t>
        </is>
      </c>
      <c r="B356" t="n">
        <v>4.96e-11</v>
      </c>
      <c r="E356" t="inlineStr">
        <is>
          <t>kilogram</t>
        </is>
      </c>
      <c r="F356" t="inlineStr">
        <is>
          <t>water::surface water</t>
        </is>
      </c>
      <c r="G356" t="inlineStr">
        <is>
          <t>biosphere</t>
        </is>
      </c>
      <c r="H356" t="inlineStr">
        <is>
          <t>Cr+3</t>
        </is>
      </c>
      <c r="I356" t="n">
        <v>2</v>
      </c>
      <c r="J356" t="n">
        <v>-24.30640883310136</v>
      </c>
      <c r="K356" t="n">
        <v>0.8322860085331244</v>
      </c>
      <c r="L356" t="inlineStr">
        <is>
          <t>Estimation. Adapted from dataset ''iron pellet production, Quebec, 2011''.</t>
        </is>
      </c>
    </row>
    <row r="357">
      <c r="A357" t="inlineStr">
        <is>
          <t>Cobalt II</t>
        </is>
      </c>
      <c r="B357" t="n">
        <v>6.2e-12</v>
      </c>
      <c r="E357" t="inlineStr">
        <is>
          <t>kilogram</t>
        </is>
      </c>
      <c r="F357" t="inlineStr">
        <is>
          <t>water::surface water</t>
        </is>
      </c>
      <c r="G357" t="inlineStr">
        <is>
          <t>biosphere</t>
        </is>
      </c>
      <c r="H357" t="inlineStr">
        <is>
          <t>Co</t>
        </is>
      </c>
      <c r="I357" t="n">
        <v>2</v>
      </c>
      <c r="J357" t="n">
        <v>-26.38545597524937</v>
      </c>
      <c r="K357" t="n">
        <v>0.8322860085331244</v>
      </c>
      <c r="L357" t="inlineStr">
        <is>
          <t>Estimation. Adapted from dataset ''iron pellet production, Quebec, 2011''.</t>
        </is>
      </c>
    </row>
    <row r="358">
      <c r="A358" t="inlineStr">
        <is>
          <t>Copper ion</t>
        </is>
      </c>
      <c r="B358" t="n">
        <v>4.6e-09</v>
      </c>
      <c r="E358" t="inlineStr">
        <is>
          <t>kilogram</t>
        </is>
      </c>
      <c r="F358" t="inlineStr">
        <is>
          <t>air</t>
        </is>
      </c>
      <c r="G358" t="inlineStr">
        <is>
          <t>biosphere</t>
        </is>
      </c>
      <c r="H358" t="inlineStr">
        <is>
          <t>Cu</t>
        </is>
      </c>
      <c r="I358" t="n">
        <v>2</v>
      </c>
      <c r="J358" t="n">
        <v>-19.19720953345136</v>
      </c>
      <c r="K358" t="n">
        <v>0.8314445261110329</v>
      </c>
    </row>
    <row r="359">
      <c r="A359" t="inlineStr">
        <is>
          <t>Copper ion</t>
        </is>
      </c>
      <c r="B359" t="n">
        <v>6.2e-12</v>
      </c>
      <c r="E359" t="inlineStr">
        <is>
          <t>kilogram</t>
        </is>
      </c>
      <c r="F359" t="inlineStr">
        <is>
          <t>water::surface water</t>
        </is>
      </c>
      <c r="G359" t="inlineStr">
        <is>
          <t>biosphere</t>
        </is>
      </c>
      <c r="H359" t="inlineStr">
        <is>
          <t>Cu+</t>
        </is>
      </c>
      <c r="I359" t="n">
        <v>2</v>
      </c>
      <c r="J359" t="n">
        <v>-26.38545597524937</v>
      </c>
      <c r="K359" t="n">
        <v>0.8322860085331244</v>
      </c>
      <c r="L359" t="inlineStr">
        <is>
          <t>Estimation. Adapted from dataset ''iron pellet production, Quebec, 2011''.</t>
        </is>
      </c>
    </row>
    <row r="360">
      <c r="A360" t="inlineStr">
        <is>
          <t>Dinitrogen monoxide</t>
        </is>
      </c>
      <c r="B360" t="n">
        <v>1.5e-09</v>
      </c>
      <c r="E360" t="inlineStr">
        <is>
          <t>kilogram</t>
        </is>
      </c>
      <c r="F360" t="inlineStr">
        <is>
          <t>air::non-urban air or from high stacks</t>
        </is>
      </c>
      <c r="G360" t="inlineStr">
        <is>
          <t>biosphere</t>
        </is>
      </c>
      <c r="H360" t="inlineStr">
        <is>
          <t>N2O</t>
        </is>
      </c>
      <c r="I360" t="n">
        <v>2</v>
      </c>
      <c r="J360" t="n">
        <v>-20.89887609436721</v>
      </c>
      <c r="K360" t="n">
        <v>0.2875760768909681</v>
      </c>
      <c r="L360" t="inlineStr">
        <is>
          <t>Estimation. Adapted from dataset ''iron pellet production, Quebec, 2011''.</t>
        </is>
      </c>
    </row>
    <row r="361">
      <c r="A361" t="inlineStr">
        <is>
          <t>Dioxins, measured as 2,3,7,8-tetrachlorodibenzo-p-dioxin</t>
        </is>
      </c>
      <c r="B361" t="n">
        <v>5.7e-15</v>
      </c>
      <c r="E361" t="inlineStr">
        <is>
          <t>kilogram</t>
        </is>
      </c>
      <c r="F361" t="inlineStr">
        <is>
          <t>air</t>
        </is>
      </c>
      <c r="G361" t="inlineStr">
        <is>
          <t>biosphere</t>
        </is>
      </c>
      <c r="H361" t="inlineStr">
        <is>
          <t>C12H4Cl4O2</t>
        </is>
      </c>
      <c r="I361" t="n">
        <v>2</v>
      </c>
      <c r="J361" t="n">
        <v>-32.79831022007018</v>
      </c>
      <c r="K361" t="n">
        <v>0.5842088667591412</v>
      </c>
    </row>
    <row r="362">
      <c r="A362" t="inlineStr">
        <is>
          <t>Hydrocarbons, aliphatic, alkanes, unspecified</t>
        </is>
      </c>
      <c r="B362" t="n">
        <v>2.25e-05</v>
      </c>
      <c r="E362" t="inlineStr">
        <is>
          <t>kilogram</t>
        </is>
      </c>
      <c r="F362" t="inlineStr">
        <is>
          <t>air</t>
        </is>
      </c>
      <c r="G362" t="inlineStr">
        <is>
          <t>biosphere</t>
        </is>
      </c>
      <c r="I362" t="n">
        <v>2</v>
      </c>
      <c r="J362" t="n">
        <v>-10.7019952487539</v>
      </c>
      <c r="K362" t="n">
        <v>0.285131548587665</v>
      </c>
    </row>
    <row r="363">
      <c r="A363" t="inlineStr">
        <is>
          <t>Hydrochloric acid</t>
        </is>
      </c>
      <c r="B363" t="n">
        <v>2.5e-05</v>
      </c>
      <c r="E363" t="inlineStr">
        <is>
          <t>kilogram</t>
        </is>
      </c>
      <c r="F363" t="inlineStr">
        <is>
          <t>air</t>
        </is>
      </c>
      <c r="G363" t="inlineStr">
        <is>
          <t>biosphere</t>
        </is>
      </c>
      <c r="H363" t="inlineStr">
        <is>
          <t>ClH</t>
        </is>
      </c>
      <c r="I363" t="n">
        <v>2</v>
      </c>
      <c r="J363" t="n">
        <v>-10.59663473309607</v>
      </c>
      <c r="K363" t="n">
        <v>0.285131548587665</v>
      </c>
    </row>
    <row r="364">
      <c r="A364" t="inlineStr">
        <is>
          <t>Hydrogen fluoride</t>
        </is>
      </c>
      <c r="B364" t="n">
        <v>1.99e-05</v>
      </c>
      <c r="E364" t="inlineStr">
        <is>
          <t>kilogram</t>
        </is>
      </c>
      <c r="F364" t="inlineStr">
        <is>
          <t>air</t>
        </is>
      </c>
      <c r="G364" t="inlineStr">
        <is>
          <t>biosphere</t>
        </is>
      </c>
      <c r="H364" t="inlineStr">
        <is>
          <t>FH</t>
        </is>
      </c>
      <c r="I364" t="n">
        <v>2</v>
      </c>
      <c r="J364" t="n">
        <v>-10.82479082623383</v>
      </c>
      <c r="K364" t="n">
        <v>0.285131548587665</v>
      </c>
    </row>
    <row r="365">
      <c r="A365" t="inlineStr">
        <is>
          <t>Hydrogen fluoride</t>
        </is>
      </c>
      <c r="B365" t="n">
        <v>2.59429822928332e-07</v>
      </c>
      <c r="E365" t="inlineStr">
        <is>
          <t>kilogram</t>
        </is>
      </c>
      <c r="F365" t="inlineStr">
        <is>
          <t>air::non-urban air or from high stacks</t>
        </is>
      </c>
      <c r="G365" t="inlineStr">
        <is>
          <t>biosphere</t>
        </is>
      </c>
      <c r="H365" t="inlineStr">
        <is>
          <t>FH</t>
        </is>
      </c>
      <c r="I365" t="n">
        <v>2</v>
      </c>
      <c r="J365" t="n">
        <v>-15.16477960278917</v>
      </c>
      <c r="K365" t="n">
        <v>0.29</v>
      </c>
      <c r="L365" t="inlineStr">
        <is>
          <t>Estimation. Adapted from dataset ''iron pellet production, Quebec, 2011''.</t>
        </is>
      </c>
    </row>
    <row r="366">
      <c r="A366" t="inlineStr">
        <is>
          <t>Iron ion</t>
        </is>
      </c>
      <c r="B366" t="n">
        <v>6.60632563175246e-09</v>
      </c>
      <c r="E366" t="inlineStr">
        <is>
          <t>kilogram</t>
        </is>
      </c>
      <c r="F366" t="inlineStr">
        <is>
          <t>water::surface water</t>
        </is>
      </c>
      <c r="G366" t="inlineStr">
        <is>
          <t>biosphere</t>
        </is>
      </c>
      <c r="H366" t="inlineStr">
        <is>
          <t>Fe+2</t>
        </is>
      </c>
      <c r="I366" t="n">
        <v>2</v>
      </c>
      <c r="J366" t="n">
        <v>-18.8352382178605</v>
      </c>
      <c r="K366" t="n">
        <v>0.8322860085331244</v>
      </c>
      <c r="L366" t="inlineStr">
        <is>
          <t>Estimation. Adapted from dataset ''iron pellet production, Quebec, 2011''.</t>
        </is>
      </c>
    </row>
    <row r="367">
      <c r="A367" t="inlineStr">
        <is>
          <t>Lead II</t>
        </is>
      </c>
      <c r="B367" t="n">
        <v>6.650000000000001e-08</v>
      </c>
      <c r="E367" t="inlineStr">
        <is>
          <t>kilogram</t>
        </is>
      </c>
      <c r="F367" t="inlineStr">
        <is>
          <t>air</t>
        </is>
      </c>
      <c r="G367" t="inlineStr">
        <is>
          <t>biosphere</t>
        </is>
      </c>
      <c r="H367" t="inlineStr">
        <is>
          <t>Pb</t>
        </is>
      </c>
      <c r="I367" t="n">
        <v>2</v>
      </c>
      <c r="J367" t="n">
        <v>-16.5260638892846</v>
      </c>
      <c r="K367" t="n">
        <v>0.8314445261110329</v>
      </c>
    </row>
    <row r="368">
      <c r="A368" t="inlineStr">
        <is>
          <t>Lead II</t>
        </is>
      </c>
      <c r="B368" t="n">
        <v>3.47489805077245e-12</v>
      </c>
      <c r="E368" t="inlineStr">
        <is>
          <t>kilogram</t>
        </is>
      </c>
      <c r="F368" t="inlineStr">
        <is>
          <t>water::surface water</t>
        </is>
      </c>
      <c r="G368" t="inlineStr">
        <is>
          <t>biosphere</t>
        </is>
      </c>
      <c r="H368" t="inlineStr">
        <is>
          <t>Pb</t>
        </is>
      </c>
      <c r="I368" t="n">
        <v>2</v>
      </c>
      <c r="J368" t="n">
        <v>-26.38545597524937</v>
      </c>
      <c r="K368" t="n">
        <v>0.8322860085331244</v>
      </c>
      <c r="L368" t="inlineStr">
        <is>
          <t>Estimation. Adapted from dataset ''iron pellet production, Quebec, 2011''.</t>
        </is>
      </c>
    </row>
    <row r="369">
      <c r="A369" t="inlineStr">
        <is>
          <t>Manganese II</t>
        </is>
      </c>
      <c r="B369" t="n">
        <v>1.86e-09</v>
      </c>
      <c r="E369" t="inlineStr">
        <is>
          <t>kilogram</t>
        </is>
      </c>
      <c r="F369" t="inlineStr">
        <is>
          <t>water::surface water</t>
        </is>
      </c>
      <c r="G369" t="inlineStr">
        <is>
          <t>biosphere</t>
        </is>
      </c>
      <c r="H369" t="inlineStr">
        <is>
          <t>Mn</t>
        </is>
      </c>
      <c r="I369" t="n">
        <v>2</v>
      </c>
      <c r="J369" t="n">
        <v>-20.68184877007043</v>
      </c>
      <c r="K369" t="n">
        <v>0.8322860085331244</v>
      </c>
      <c r="L369" t="inlineStr">
        <is>
          <t>Estimation. Adapted from dataset ''iron pellet production, Quebec, 2011''.</t>
        </is>
      </c>
    </row>
    <row r="370">
      <c r="A370" t="inlineStr">
        <is>
          <t>Manganese II</t>
        </is>
      </c>
      <c r="B370" t="n">
        <v>2.3e-08</v>
      </c>
      <c r="E370" t="inlineStr">
        <is>
          <t>kilogram</t>
        </is>
      </c>
      <c r="F370" t="inlineStr">
        <is>
          <t>air</t>
        </is>
      </c>
      <c r="G370" t="inlineStr">
        <is>
          <t>biosphere</t>
        </is>
      </c>
      <c r="H370" t="inlineStr">
        <is>
          <t>Mn</t>
        </is>
      </c>
      <c r="I370" t="n">
        <v>2</v>
      </c>
      <c r="J370" t="n">
        <v>-17.58777162101726</v>
      </c>
      <c r="K370" t="n">
        <v>0.8314445261110329</v>
      </c>
    </row>
    <row r="371">
      <c r="A371" t="inlineStr">
        <is>
          <t>Mercury II</t>
        </is>
      </c>
      <c r="B371" t="n">
        <v>5.53572086952709e-11</v>
      </c>
      <c r="E371" t="inlineStr">
        <is>
          <t>kilogram</t>
        </is>
      </c>
      <c r="F371" t="inlineStr">
        <is>
          <t>air::non-urban air or from high stacks</t>
        </is>
      </c>
      <c r="G371" t="inlineStr">
        <is>
          <t>biosphere</t>
        </is>
      </c>
      <c r="H371" t="inlineStr">
        <is>
          <t>Hg</t>
        </is>
      </c>
      <c r="I371" t="n">
        <v>2</v>
      </c>
      <c r="J371" t="n">
        <v>-23.61721422685724</v>
      </c>
      <c r="K371" t="n">
        <v>0.8331266410336426</v>
      </c>
      <c r="L371" t="inlineStr">
        <is>
          <t>Estimation. Adapted from dataset ''iron pellet production, Quebec, 2011''.</t>
        </is>
      </c>
    </row>
    <row r="372">
      <c r="A372" t="inlineStr">
        <is>
          <t>Mercury II</t>
        </is>
      </c>
      <c r="B372" t="n">
        <v>2.5e-10</v>
      </c>
      <c r="E372" t="inlineStr">
        <is>
          <t>kilogram</t>
        </is>
      </c>
      <c r="F372" t="inlineStr">
        <is>
          <t>air</t>
        </is>
      </c>
      <c r="G372" t="inlineStr">
        <is>
          <t>biosphere</t>
        </is>
      </c>
      <c r="H372" t="inlineStr">
        <is>
          <t>Hg</t>
        </is>
      </c>
      <c r="I372" t="n">
        <v>2</v>
      </c>
      <c r="J372" t="n">
        <v>-22.1095601980663</v>
      </c>
      <c r="K372" t="n">
        <v>0.8314445261110329</v>
      </c>
    </row>
    <row r="373">
      <c r="A373" t="inlineStr">
        <is>
          <t>Mercury II</t>
        </is>
      </c>
      <c r="B373" t="n">
        <v>4.51627128365379e-13</v>
      </c>
      <c r="E373" t="inlineStr">
        <is>
          <t>kilogram</t>
        </is>
      </c>
      <c r="F373" t="inlineStr">
        <is>
          <t>water::surface water</t>
        </is>
      </c>
      <c r="G373" t="inlineStr">
        <is>
          <t>biosphere</t>
        </is>
      </c>
      <c r="H373" t="inlineStr">
        <is>
          <t>Hg</t>
        </is>
      </c>
      <c r="I373" t="n">
        <v>2</v>
      </c>
      <c r="J373" t="n">
        <v>-28.42591949277116</v>
      </c>
      <c r="K373" t="n">
        <v>0.8322860085331244</v>
      </c>
      <c r="L373" t="inlineStr">
        <is>
          <t>Estimation. Adapted from dataset ''iron pellet production, Quebec, 2011''.</t>
        </is>
      </c>
    </row>
    <row r="374">
      <c r="A374" t="inlineStr">
        <is>
          <t>Methane, fossil</t>
        </is>
      </c>
      <c r="B374" t="n">
        <v>3.41643499208438e-11</v>
      </c>
      <c r="E374" t="inlineStr">
        <is>
          <t>kilogram</t>
        </is>
      </c>
      <c r="F374" t="inlineStr">
        <is>
          <t>air::non-urban air or from high stacks</t>
        </is>
      </c>
      <c r="G374" t="inlineStr">
        <is>
          <t>biosphere</t>
        </is>
      </c>
      <c r="H374" t="inlineStr">
        <is>
          <t>CH4</t>
        </is>
      </c>
      <c r="I374" t="n">
        <v>2</v>
      </c>
      <c r="J374" t="n">
        <v>-24.09983841551202</v>
      </c>
      <c r="K374" t="n">
        <v>0.2875760768909681</v>
      </c>
      <c r="L374" t="inlineStr">
        <is>
          <t>Estimation. Adapted from dataset ''iron pellet production, Quebec, 2011''.</t>
        </is>
      </c>
    </row>
    <row r="375">
      <c r="A375" t="inlineStr">
        <is>
          <t>NMVOC, non-methane volatile organic compounds</t>
        </is>
      </c>
      <c r="B375" t="n">
        <v>4.2e-11</v>
      </c>
      <c r="E375" t="inlineStr">
        <is>
          <t>kilogram</t>
        </is>
      </c>
      <c r="F375" t="inlineStr">
        <is>
          <t>air::non-urban air or from high stacks</t>
        </is>
      </c>
      <c r="G375" t="inlineStr">
        <is>
          <t>biosphere</t>
        </is>
      </c>
      <c r="I375" t="n">
        <v>2</v>
      </c>
      <c r="J375" t="n">
        <v>-24.47346291776453</v>
      </c>
      <c r="K375" t="n">
        <v>0.2875760768909681</v>
      </c>
      <c r="L375" t="inlineStr">
        <is>
          <t>Estimation. Adapted from dataset ''iron pellet production, Quebec, 2011''.</t>
        </is>
      </c>
    </row>
    <row r="376">
      <c r="A376" t="inlineStr">
        <is>
          <t>Nickel II</t>
        </is>
      </c>
      <c r="B376" t="n">
        <v>1.5e-08</v>
      </c>
      <c r="E376" t="inlineStr">
        <is>
          <t>kilogram</t>
        </is>
      </c>
      <c r="F376" t="inlineStr">
        <is>
          <t>air</t>
        </is>
      </c>
      <c r="G376" t="inlineStr">
        <is>
          <t>biosphere</t>
        </is>
      </c>
      <c r="H376" t="inlineStr">
        <is>
          <t>Ni</t>
        </is>
      </c>
      <c r="I376" t="n">
        <v>2</v>
      </c>
      <c r="J376" t="n">
        <v>-18.0152156358442</v>
      </c>
      <c r="K376" t="n">
        <v>0.8314445261110329</v>
      </c>
    </row>
    <row r="377">
      <c r="A377" t="inlineStr">
        <is>
          <t>Nickel II</t>
        </is>
      </c>
      <c r="B377" t="n">
        <v>3.47489805077245e-12</v>
      </c>
      <c r="E377" t="inlineStr">
        <is>
          <t>kilogram</t>
        </is>
      </c>
      <c r="F377" t="inlineStr">
        <is>
          <t>water::surface water</t>
        </is>
      </c>
      <c r="G377" t="inlineStr">
        <is>
          <t>biosphere</t>
        </is>
      </c>
      <c r="H377" t="inlineStr">
        <is>
          <t>Ni+2</t>
        </is>
      </c>
      <c r="I377" t="n">
        <v>2</v>
      </c>
      <c r="J377" t="n">
        <v>-26.38545597524937</v>
      </c>
      <c r="K377" t="n">
        <v>0.8322860085331244</v>
      </c>
      <c r="L377" t="inlineStr">
        <is>
          <t>Estimation. Adapted from dataset ''iron pellet production, Quebec, 2011''.</t>
        </is>
      </c>
    </row>
    <row r="378">
      <c r="A378" t="inlineStr">
        <is>
          <t>Nitrate</t>
        </is>
      </c>
      <c r="B378" t="n">
        <v>6.39257007342419e-09</v>
      </c>
      <c r="E378" t="inlineStr">
        <is>
          <t>kilogram</t>
        </is>
      </c>
      <c r="F378" t="inlineStr">
        <is>
          <t>water::surface water</t>
        </is>
      </c>
      <c r="G378" t="inlineStr">
        <is>
          <t>biosphere</t>
        </is>
      </c>
      <c r="H378" t="inlineStr">
        <is>
          <t>NO3-</t>
        </is>
      </c>
      <c r="I378" t="n">
        <v>2</v>
      </c>
      <c r="J378" t="n">
        <v>-18.86812944700488</v>
      </c>
      <c r="K378" t="n">
        <v>0.2875760768909681</v>
      </c>
      <c r="L378" t="inlineStr">
        <is>
          <t>Estimation. Adapted from dataset ''iron pellet production, Quebec, 2011''.</t>
        </is>
      </c>
    </row>
    <row r="379">
      <c r="A379" t="inlineStr">
        <is>
          <t>Nitrogen oxides</t>
        </is>
      </c>
      <c r="B379" t="n">
        <v>0.000315</v>
      </c>
      <c r="E379" t="inlineStr">
        <is>
          <t>kilogram</t>
        </is>
      </c>
      <c r="F379" t="inlineStr">
        <is>
          <t>air</t>
        </is>
      </c>
      <c r="G379" t="inlineStr">
        <is>
          <t>biosphere</t>
        </is>
      </c>
      <c r="H379" t="inlineStr">
        <is>
          <t>H3NO</t>
        </is>
      </c>
      <c r="I379" t="n">
        <v>2</v>
      </c>
      <c r="J379" t="n">
        <v>-8.062937919138641</v>
      </c>
      <c r="K379" t="n">
        <v>0.285131548587665</v>
      </c>
    </row>
    <row r="380">
      <c r="A380" t="inlineStr">
        <is>
          <t>Nitrogen oxides</t>
        </is>
      </c>
      <c r="B380" t="n">
        <v>1.10020168568621e-07</v>
      </c>
      <c r="E380" t="inlineStr">
        <is>
          <t>kilogram</t>
        </is>
      </c>
      <c r="F380" t="inlineStr">
        <is>
          <t>air::non-urban air or from high stacks</t>
        </is>
      </c>
      <c r="G380" t="inlineStr">
        <is>
          <t>biosphere</t>
        </is>
      </c>
      <c r="H380" t="inlineStr">
        <is>
          <t>H3NO</t>
        </is>
      </c>
      <c r="I380" t="n">
        <v>2</v>
      </c>
      <c r="J380" t="n">
        <v>-16.02260213733684</v>
      </c>
      <c r="K380" t="n">
        <v>0.2875760768909681</v>
      </c>
      <c r="L380" t="inlineStr">
        <is>
          <t>Estimation. Adapted from dataset ''iron pellet production, Quebec, 2011''.</t>
        </is>
      </c>
    </row>
    <row r="381">
      <c r="A381" t="inlineStr">
        <is>
          <t>PAH, polycyclic aromatic hydrocarbons</t>
        </is>
      </c>
      <c r="B381" t="n">
        <v>1.9e-10</v>
      </c>
      <c r="E381" t="inlineStr">
        <is>
          <t>kilogram</t>
        </is>
      </c>
      <c r="F381" t="inlineStr">
        <is>
          <t>air</t>
        </is>
      </c>
      <c r="G381" t="inlineStr">
        <is>
          <t>biosphere</t>
        </is>
      </c>
      <c r="I381" t="n">
        <v>2</v>
      </c>
      <c r="J381" t="n">
        <v>-22.38399704376806</v>
      </c>
      <c r="K381" t="n">
        <v>0.5842088667591412</v>
      </c>
    </row>
    <row r="382">
      <c r="A382" t="inlineStr">
        <is>
          <t>Particulate Matter, &lt; 2.5 um</t>
        </is>
      </c>
      <c r="B382" t="n">
        <v>7.499999999999999e-05</v>
      </c>
      <c r="E382" t="inlineStr">
        <is>
          <t>kilogram</t>
        </is>
      </c>
      <c r="F382" t="inlineStr">
        <is>
          <t>air</t>
        </is>
      </c>
      <c r="G382" t="inlineStr">
        <is>
          <t>biosphere</t>
        </is>
      </c>
      <c r="I382" t="n">
        <v>2</v>
      </c>
      <c r="J382" t="n">
        <v>-9.498022444427964</v>
      </c>
      <c r="K382" t="n">
        <v>0.5842088667591412</v>
      </c>
    </row>
    <row r="383">
      <c r="A383" t="inlineStr">
        <is>
          <t>Particulate Matter, &lt; 2.5 um</t>
        </is>
      </c>
      <c r="B383" t="n">
        <v>1.89822243677843e-07</v>
      </c>
      <c r="E383" t="inlineStr">
        <is>
          <t>kilogram</t>
        </is>
      </c>
      <c r="F383" t="inlineStr">
        <is>
          <t>air::non-urban air or from high stacks</t>
        </is>
      </c>
      <c r="G383" t="inlineStr">
        <is>
          <t>biosphere</t>
        </is>
      </c>
      <c r="I383" t="n">
        <v>2</v>
      </c>
      <c r="J383" t="n">
        <v>-15.47717776228525</v>
      </c>
      <c r="K383" t="n">
        <v>0.585405842130056</v>
      </c>
      <c r="L383" t="inlineStr">
        <is>
          <t>Estimation. Adapted from dataset ''iron pellet production, Quebec, 2011''.</t>
        </is>
      </c>
    </row>
    <row r="384">
      <c r="A384" t="inlineStr">
        <is>
          <t>Particulate Matter, &gt; 10 um</t>
        </is>
      </c>
      <c r="B384" t="n">
        <v>3.2812391688682e-07</v>
      </c>
      <c r="E384" t="inlineStr">
        <is>
          <t>kilogram</t>
        </is>
      </c>
      <c r="F384" t="inlineStr">
        <is>
          <t>air::non-urban air or from high stacks</t>
        </is>
      </c>
      <c r="G384" t="inlineStr">
        <is>
          <t>biosphere</t>
        </is>
      </c>
      <c r="I384" t="n">
        <v>2</v>
      </c>
      <c r="J384" t="n">
        <v>-14.92987450452233</v>
      </c>
      <c r="K384" t="n">
        <v>0.2875760768909681</v>
      </c>
      <c r="L384" t="inlineStr">
        <is>
          <t>Estimation. Adapted from dataset ''iron pellet production, Quebec, 2011''.</t>
        </is>
      </c>
    </row>
    <row r="385">
      <c r="A385" t="inlineStr">
        <is>
          <t>Particulate Matter, &gt; 2.5 um and &lt; 10um</t>
        </is>
      </c>
      <c r="B385" t="n">
        <v>2.24900078890688e-07</v>
      </c>
      <c r="E385" t="inlineStr">
        <is>
          <t>kilogram</t>
        </is>
      </c>
      <c r="F385" t="inlineStr">
        <is>
          <t>air::non-urban air or from high stacks</t>
        </is>
      </c>
      <c r="G385" t="inlineStr">
        <is>
          <t>biosphere</t>
        </is>
      </c>
      <c r="I385" t="n">
        <v>2</v>
      </c>
      <c r="J385" t="n">
        <v>-15.30760962720002</v>
      </c>
      <c r="K385" t="n">
        <v>0.4033608806019741</v>
      </c>
      <c r="L385" t="inlineStr">
        <is>
          <t>Estimation. Adapted from dataset ''iron pellet production, Quebec, 2011''.</t>
        </is>
      </c>
    </row>
    <row r="386">
      <c r="A386" t="inlineStr">
        <is>
          <t>Phosphorus</t>
        </is>
      </c>
      <c r="B386" t="n">
        <v>4.16914687269334e-10</v>
      </c>
      <c r="E386" t="inlineStr">
        <is>
          <t>kilogram</t>
        </is>
      </c>
      <c r="F386" t="inlineStr">
        <is>
          <t>water::surface water</t>
        </is>
      </c>
      <c r="G386" t="inlineStr">
        <is>
          <t>biosphere</t>
        </is>
      </c>
      <c r="H386" t="inlineStr">
        <is>
          <t>P</t>
        </is>
      </c>
      <c r="I386" t="n">
        <v>2</v>
      </c>
      <c r="J386" t="n">
        <v>-21.59813950194459</v>
      </c>
      <c r="K386" t="n">
        <v>0.2875760768909681</v>
      </c>
      <c r="L386" t="inlineStr">
        <is>
          <t>Estimation. Adapted from dataset ''iron pellet production, Quebec, 2011''.</t>
        </is>
      </c>
    </row>
    <row r="387">
      <c r="A387" t="inlineStr">
        <is>
          <t>Silver I</t>
        </is>
      </c>
      <c r="B387" t="n">
        <v>3.16065911032405e-11</v>
      </c>
      <c r="E387" t="inlineStr">
        <is>
          <t>kilogram</t>
        </is>
      </c>
      <c r="F387" t="inlineStr">
        <is>
          <t>air::non-urban air or from high stacks</t>
        </is>
      </c>
      <c r="G387" t="inlineStr">
        <is>
          <t>biosphere</t>
        </is>
      </c>
      <c r="H387" t="inlineStr">
        <is>
          <t>Ag</t>
        </is>
      </c>
      <c r="I387" t="n">
        <v>2</v>
      </c>
      <c r="J387" t="n">
        <v>-24.17765543786883</v>
      </c>
      <c r="K387" t="n">
        <v>0.8331266410336426</v>
      </c>
      <c r="L387" t="inlineStr">
        <is>
          <t>Estimation. Adapted from dataset ''iron pellet production, Quebec, 2011''.</t>
        </is>
      </c>
    </row>
    <row r="388">
      <c r="A388" t="inlineStr">
        <is>
          <t>Sulfur dioxide</t>
        </is>
      </c>
      <c r="B388" t="n">
        <v>0.000131</v>
      </c>
      <c r="E388" t="inlineStr">
        <is>
          <t>kilogram</t>
        </is>
      </c>
      <c r="F388" t="inlineStr">
        <is>
          <t>air</t>
        </is>
      </c>
      <c r="G388" t="inlineStr">
        <is>
          <t>biosphere</t>
        </is>
      </c>
      <c r="H388" t="inlineStr">
        <is>
          <t>O2S</t>
        </is>
      </c>
      <c r="I388" t="n">
        <v>2</v>
      </c>
      <c r="J388" t="n">
        <v>-8.917670758013363</v>
      </c>
      <c r="K388" t="n">
        <v>0.2032240143290158</v>
      </c>
    </row>
    <row r="389">
      <c r="A389" t="inlineStr">
        <is>
          <t>Sulfur dioxide</t>
        </is>
      </c>
      <c r="B389" t="n">
        <v>5.26350225251074e-07</v>
      </c>
      <c r="E389" t="inlineStr">
        <is>
          <t>kilogram</t>
        </is>
      </c>
      <c r="F389" t="inlineStr">
        <is>
          <t>air::non-urban air or from high stacks</t>
        </is>
      </c>
      <c r="G389" t="inlineStr">
        <is>
          <t>biosphere</t>
        </is>
      </c>
      <c r="H389" t="inlineStr">
        <is>
          <t>O2S</t>
        </is>
      </c>
      <c r="I389" t="n">
        <v>2</v>
      </c>
      <c r="J389" t="n">
        <v>-14.45729901829995</v>
      </c>
      <c r="K389" t="n">
        <v>0.2080865204668481</v>
      </c>
      <c r="L389" t="inlineStr">
        <is>
          <t>Estimation. Adapted from dataset ''iron pellet production, Quebec, 2011''.</t>
        </is>
      </c>
    </row>
    <row r="390">
      <c r="A390" t="inlineStr">
        <is>
          <t>Suspended solids, unspecified</t>
        </is>
      </c>
      <c r="B390" t="n">
        <v>2.22525017131485e-08</v>
      </c>
      <c r="E390" t="inlineStr">
        <is>
          <t>kilogram</t>
        </is>
      </c>
      <c r="F390" t="inlineStr">
        <is>
          <t>water::surface water</t>
        </is>
      </c>
      <c r="G390" t="inlineStr">
        <is>
          <t>biosphere</t>
        </is>
      </c>
      <c r="I390" t="n">
        <v>2</v>
      </c>
      <c r="J390" t="n">
        <v>-17.62081139810868</v>
      </c>
      <c r="K390" t="n">
        <v>0.2875760768909681</v>
      </c>
      <c r="L390" t="inlineStr">
        <is>
          <t>Estimation. Adapted from dataset ''iron pellet production, Quebec, 2011''.</t>
        </is>
      </c>
    </row>
    <row r="391">
      <c r="A391" t="inlineStr">
        <is>
          <t>Vanadium V</t>
        </is>
      </c>
      <c r="B391" t="n">
        <v>8.55e-08</v>
      </c>
      <c r="E391" t="inlineStr">
        <is>
          <t>kilogram</t>
        </is>
      </c>
      <c r="F391" t="inlineStr">
        <is>
          <t>air</t>
        </is>
      </c>
      <c r="G391" t="inlineStr">
        <is>
          <t>biosphere</t>
        </is>
      </c>
      <c r="H391" t="inlineStr">
        <is>
          <t>V</t>
        </is>
      </c>
      <c r="I391" t="n">
        <v>2</v>
      </c>
      <c r="J391" t="n">
        <v>-16.2747494610037</v>
      </c>
      <c r="K391" t="n">
        <v>0.8314445261110329</v>
      </c>
    </row>
    <row r="392">
      <c r="A392" t="inlineStr">
        <is>
          <t>Water</t>
        </is>
      </c>
      <c r="B392" t="n">
        <v>8.67617283762244e-05</v>
      </c>
      <c r="E392" t="inlineStr">
        <is>
          <t>cubic meter</t>
        </is>
      </c>
      <c r="F392" t="inlineStr">
        <is>
          <t>water</t>
        </is>
      </c>
      <c r="G392" t="inlineStr">
        <is>
          <t>biosphere</t>
        </is>
      </c>
      <c r="H392" t="inlineStr">
        <is>
          <t>H2O</t>
        </is>
      </c>
      <c r="I392" t="n">
        <v>0</v>
      </c>
      <c r="J392" t="n">
        <v>8.67617283762244e-05</v>
      </c>
      <c r="L392" t="inlineStr">
        <is>
          <t>Calculated value based on literature values and expert opinion. See comments in the parametres' comment field.</t>
        </is>
      </c>
    </row>
    <row r="393">
      <c r="A393" t="inlineStr">
        <is>
          <t>Water</t>
        </is>
      </c>
      <c r="B393" t="n">
        <v>1.53108932428631e-05</v>
      </c>
      <c r="E393" t="inlineStr">
        <is>
          <t>cubic meter</t>
        </is>
      </c>
      <c r="F393" t="inlineStr">
        <is>
          <t>air</t>
        </is>
      </c>
      <c r="G393" t="inlineStr">
        <is>
          <t>biosphere</t>
        </is>
      </c>
      <c r="H393" t="inlineStr">
        <is>
          <t>H2O</t>
        </is>
      </c>
      <c r="I393" t="n">
        <v>2</v>
      </c>
      <c r="J393" t="n">
        <v>-11.08694600624331</v>
      </c>
      <c r="K393" t="n">
        <v>0.2840774542268358</v>
      </c>
      <c r="L393" t="inlineStr">
        <is>
          <t>Calculated value based on literature values and expert opinion. See comments in the parametres' comment field.</t>
        </is>
      </c>
    </row>
    <row r="394">
      <c r="A394" t="inlineStr">
        <is>
          <t>Water, unspecified natural origin</t>
        </is>
      </c>
      <c r="B394" t="n">
        <v>9.000000000000001e-05</v>
      </c>
      <c r="E394" t="inlineStr">
        <is>
          <t>cubic meter</t>
        </is>
      </c>
      <c r="F394" t="inlineStr">
        <is>
          <t>natural resource::in water</t>
        </is>
      </c>
      <c r="G394" t="inlineStr">
        <is>
          <t>biosphere</t>
        </is>
      </c>
      <c r="H394" t="inlineStr">
        <is>
          <t>H2O</t>
        </is>
      </c>
      <c r="I394" t="n">
        <v>2</v>
      </c>
      <c r="J394" t="n">
        <v>-9.315700887634009</v>
      </c>
      <c r="K394" t="n">
        <v>0.2002498439450079</v>
      </c>
    </row>
    <row r="395">
      <c r="A395" t="inlineStr">
        <is>
          <t>Zinc II</t>
        </is>
      </c>
      <c r="B395" t="n">
        <v>5.62e-08</v>
      </c>
      <c r="E395" t="inlineStr">
        <is>
          <t>kilogram</t>
        </is>
      </c>
      <c r="F395" t="inlineStr">
        <is>
          <t>air</t>
        </is>
      </c>
      <c r="G395" t="inlineStr">
        <is>
          <t>biosphere</t>
        </is>
      </c>
      <c r="H395" t="inlineStr">
        <is>
          <t>Zn</t>
        </is>
      </c>
      <c r="I395" t="n">
        <v>2</v>
      </c>
      <c r="J395" t="n">
        <v>-16.69434908004677</v>
      </c>
      <c r="K395" t="n">
        <v>0.8314445261110329</v>
      </c>
    </row>
    <row r="396">
      <c r="A396" t="inlineStr">
        <is>
          <t>Zinc II</t>
        </is>
      </c>
      <c r="B396" t="n">
        <v>1.38977652325058e-11</v>
      </c>
      <c r="E396" t="inlineStr">
        <is>
          <t>kilogram</t>
        </is>
      </c>
      <c r="F396" t="inlineStr">
        <is>
          <t>water::surface water</t>
        </is>
      </c>
      <c r="G396" t="inlineStr">
        <is>
          <t>biosphere</t>
        </is>
      </c>
      <c r="H396" t="inlineStr">
        <is>
          <t>Zn+2</t>
        </is>
      </c>
      <c r="I396" t="n">
        <v>2</v>
      </c>
      <c r="J396" t="n">
        <v>-24.9992930633574</v>
      </c>
      <c r="K396" t="n">
        <v>0.8322860085331244</v>
      </c>
      <c r="L396" t="inlineStr">
        <is>
          <t>Estimation. Adapted from dataset ''iron pellet production, Quebec, 2011''.</t>
        </is>
      </c>
    </row>
    <row r="397">
      <c r="A397" t="inlineStr">
        <is>
          <t>pre-reduced vanadium pentoxide bearing magnetite production</t>
        </is>
      </c>
      <c r="B397" t="n">
        <v>1.46</v>
      </c>
      <c r="C397" t="inlineStr">
        <is>
          <t>pre-reduced vanadium pentoxide bearing magnetite</t>
        </is>
      </c>
      <c r="D397" t="inlineStr">
        <is>
          <t>ZA</t>
        </is>
      </c>
      <c r="E397" t="inlineStr">
        <is>
          <t>kilogram</t>
        </is>
      </c>
      <c r="G397" t="inlineStr">
        <is>
          <t>production</t>
        </is>
      </c>
      <c r="I397" t="n">
        <v>0</v>
      </c>
      <c r="J397" t="n">
        <v>1</v>
      </c>
      <c r="L397" t="inlineStr">
        <is>
          <t>EcoSpold01Location=GLO</t>
        </is>
      </c>
      <c r="M397" t="n">
        <v>473333424000</v>
      </c>
    </row>
    <row r="398">
      <c r="A398" t="inlineStr">
        <is>
          <t>heat production, heavy fuel oil, at industrial furnace 1MW</t>
        </is>
      </c>
      <c r="B398" t="n">
        <v>0.0233</v>
      </c>
      <c r="C398" t="inlineStr">
        <is>
          <t>heat, district or industrial, other than natural gas</t>
        </is>
      </c>
      <c r="D398" t="inlineStr">
        <is>
          <t>RoW</t>
        </is>
      </c>
      <c r="E398" t="inlineStr">
        <is>
          <t>megajoule</t>
        </is>
      </c>
      <c r="G398" t="inlineStr">
        <is>
          <t>technosphere</t>
        </is>
      </c>
      <c r="I398" t="n">
        <v>2</v>
      </c>
      <c r="J398" t="n">
        <v>-5.373361605421789</v>
      </c>
      <c r="K398" t="n">
        <v>0.2</v>
      </c>
      <c r="L398" t="inlineStr">
        <is>
          <t>Estimation. Adapted from dataset ''iron pellet production, Quebec, 2011''.</t>
        </is>
      </c>
    </row>
    <row r="399">
      <c r="A399" t="inlineStr">
        <is>
          <t>market for activated bentonite</t>
        </is>
      </c>
      <c r="B399" t="n">
        <v>0.04</v>
      </c>
      <c r="C399" t="inlineStr">
        <is>
          <t>activated bentonite</t>
        </is>
      </c>
      <c r="D399" t="inlineStr">
        <is>
          <t>GLO</t>
        </is>
      </c>
      <c r="E399" t="inlineStr">
        <is>
          <t>kilogram</t>
        </is>
      </c>
      <c r="G399" t="inlineStr">
        <is>
          <t>technosphere</t>
        </is>
      </c>
      <c r="I399" t="n">
        <v>2</v>
      </c>
      <c r="J399" t="n">
        <v>-3.218875824868201</v>
      </c>
      <c r="K399" t="n">
        <v>0.2004993765576342</v>
      </c>
      <c r="L399" t="inlineStr">
        <is>
          <t>EcoSpold01Location=DE</t>
        </is>
      </c>
    </row>
    <row r="400">
      <c r="A400" t="inlineStr">
        <is>
          <t>market for aluminium oxide factory</t>
        </is>
      </c>
      <c r="B400" t="n">
        <v>2.5e-11</v>
      </c>
      <c r="C400" t="inlineStr">
        <is>
          <t>aluminium oxide factory</t>
        </is>
      </c>
      <c r="D400" t="inlineStr">
        <is>
          <t>GLO</t>
        </is>
      </c>
      <c r="E400" t="inlineStr">
        <is>
          <t>unit</t>
        </is>
      </c>
      <c r="G400" t="inlineStr">
        <is>
          <t>technosphere</t>
        </is>
      </c>
      <c r="I400" t="n">
        <v>2</v>
      </c>
      <c r="J400" t="n">
        <v>-24.41214529106035</v>
      </c>
      <c r="K400" t="n">
        <v>0.8944271909999159</v>
      </c>
      <c r="L400" t="inlineStr">
        <is>
          <t>EcoSpold01Location=RER</t>
        </is>
      </c>
    </row>
    <row r="401">
      <c r="A401" t="inlineStr">
        <is>
          <t>market for chromium</t>
        </is>
      </c>
      <c r="B401" t="n">
        <v>5.97e-06</v>
      </c>
      <c r="C401" t="inlineStr">
        <is>
          <t>chromium</t>
        </is>
      </c>
      <c r="D401" t="inlineStr">
        <is>
          <t>GLO</t>
        </is>
      </c>
      <c r="E401" t="inlineStr">
        <is>
          <t>kilogram</t>
        </is>
      </c>
      <c r="G401" t="inlineStr">
        <is>
          <t>technosphere</t>
        </is>
      </c>
      <c r="I401" t="n">
        <v>2</v>
      </c>
      <c r="J401" t="n">
        <v>-12.60853541455496</v>
      </c>
      <c r="K401" t="n">
        <v>0.2</v>
      </c>
      <c r="L401" t="inlineStr">
        <is>
          <t>Estimation. Adapted from dataset ''iron pellet production, Quebec, 2011''.</t>
        </is>
      </c>
    </row>
    <row r="402">
      <c r="A402" t="inlineStr">
        <is>
          <t>market for dolomite</t>
        </is>
      </c>
      <c r="B402" t="n">
        <v>0.00137</v>
      </c>
      <c r="C402" t="inlineStr">
        <is>
          <t>dolomite</t>
        </is>
      </c>
      <c r="D402" t="inlineStr">
        <is>
          <t>RoW</t>
        </is>
      </c>
      <c r="E402" t="inlineStr">
        <is>
          <t>kilogram</t>
        </is>
      </c>
      <c r="G402" t="inlineStr">
        <is>
          <t>technosphere</t>
        </is>
      </c>
    </row>
    <row r="403">
      <c r="A403" t="inlineStr">
        <is>
          <t>market for electricity, high voltage</t>
        </is>
      </c>
      <c r="B403" t="n">
        <v>0.00229</v>
      </c>
      <c r="C403" t="inlineStr">
        <is>
          <t>electricity, high voltage</t>
        </is>
      </c>
      <c r="D403" t="inlineStr">
        <is>
          <t>ZA</t>
        </is>
      </c>
      <c r="E403" t="inlineStr">
        <is>
          <t>kilowatt hour</t>
        </is>
      </c>
      <c r="G403" t="inlineStr">
        <is>
          <t>technosphere</t>
        </is>
      </c>
    </row>
    <row r="404">
      <c r="A404" t="inlineStr">
        <is>
          <t>market for electricity, medium voltage</t>
        </is>
      </c>
      <c r="B404" t="n">
        <v>0.025</v>
      </c>
      <c r="C404" t="inlineStr">
        <is>
          <t>electricity, medium voltage</t>
        </is>
      </c>
      <c r="D404" t="inlineStr">
        <is>
          <t>ZA</t>
        </is>
      </c>
      <c r="E404" t="inlineStr">
        <is>
          <t>kilowatt hour</t>
        </is>
      </c>
      <c r="G404" t="inlineStr">
        <is>
          <t>technosphere</t>
        </is>
      </c>
    </row>
    <row r="405">
      <c r="A405" t="inlineStr">
        <is>
          <t>market for hard coal</t>
        </is>
      </c>
      <c r="B405" t="n">
        <v>0.013</v>
      </c>
      <c r="C405" t="inlineStr">
        <is>
          <t>hard coal</t>
        </is>
      </c>
      <c r="D405" t="inlineStr">
        <is>
          <t>ZA</t>
        </is>
      </c>
      <c r="E405" t="inlineStr">
        <is>
          <t>kilogram</t>
        </is>
      </c>
      <c r="G405" t="inlineStr">
        <is>
          <t>technosphere</t>
        </is>
      </c>
      <c r="I405" t="n">
        <v>2</v>
      </c>
      <c r="J405" t="n">
        <v>-7.770647832831369</v>
      </c>
      <c r="K405" t="n">
        <v>0.2004993765576342</v>
      </c>
      <c r="L405" t="inlineStr">
        <is>
          <t>EcoSpold01Location=UCTE</t>
        </is>
      </c>
    </row>
    <row r="406">
      <c r="A406" t="inlineStr">
        <is>
          <t>market for heat, district or industrial, natural gas</t>
        </is>
      </c>
      <c r="B406" t="n">
        <v>0.0655</v>
      </c>
      <c r="C406" t="inlineStr">
        <is>
          <t>heat, district or industrial, natural gas</t>
        </is>
      </c>
      <c r="D406" t="inlineStr">
        <is>
          <t>RoW</t>
        </is>
      </c>
      <c r="E406" t="inlineStr">
        <is>
          <t>megajoule</t>
        </is>
      </c>
      <c r="G406" t="inlineStr">
        <is>
          <t>technosphere</t>
        </is>
      </c>
      <c r="I406" t="n">
        <v>2</v>
      </c>
      <c r="J406" t="n">
        <v>-3.039905178094794</v>
      </c>
      <c r="K406" t="n">
        <v>0.2004993765576342</v>
      </c>
      <c r="L406" t="inlineStr">
        <is>
          <t>EcoSpold01Location=RER</t>
        </is>
      </c>
    </row>
    <row r="407">
      <c r="A407" t="inlineStr">
        <is>
          <t>market for lime</t>
        </is>
      </c>
      <c r="B407" t="n">
        <v>0.00057</v>
      </c>
      <c r="C407" t="inlineStr">
        <is>
          <t>lime</t>
        </is>
      </c>
      <c r="D407" t="inlineStr">
        <is>
          <t>RoW</t>
        </is>
      </c>
      <c r="E407" t="inlineStr">
        <is>
          <t>kilogram</t>
        </is>
      </c>
      <c r="G407" t="inlineStr">
        <is>
          <t>technosphere</t>
        </is>
      </c>
    </row>
    <row r="408">
      <c r="A408" t="inlineStr">
        <is>
          <t>market for lubricating oil</t>
        </is>
      </c>
      <c r="B408" t="n">
        <v>4.6e-07</v>
      </c>
      <c r="C408" t="inlineStr">
        <is>
          <t>lubricating oil</t>
        </is>
      </c>
      <c r="D408" t="inlineStr">
        <is>
          <t>RoW</t>
        </is>
      </c>
      <c r="E408" t="inlineStr">
        <is>
          <t>kilogram</t>
        </is>
      </c>
      <c r="G408" t="inlineStr">
        <is>
          <t>technosphere</t>
        </is>
      </c>
    </row>
    <row r="409">
      <c r="A409" t="inlineStr">
        <is>
          <t>market for scrap steel</t>
        </is>
      </c>
      <c r="B409">
        <f>0.00000326*-1</f>
        <v>-3.2600000000000001E-6</v>
      </c>
      <c r="C409" t="inlineStr">
        <is>
          <t>scrap steel</t>
        </is>
      </c>
      <c r="D409" t="inlineStr">
        <is>
          <t>RoW</t>
        </is>
      </c>
      <c r="E409" t="inlineStr">
        <is>
          <t>kilogram</t>
        </is>
      </c>
      <c r="G409" t="inlineStr">
        <is>
          <t>technosphere</t>
        </is>
      </c>
    </row>
    <row r="410">
      <c r="A410" t="inlineStr">
        <is>
          <t>market for sodium hydroxide, without water, in 50% solution state</t>
        </is>
      </c>
      <c r="B410" t="n">
        <v>3.29e-06</v>
      </c>
      <c r="C410" t="inlineStr">
        <is>
          <t>sodium hydroxide, without water, in 50% solution state</t>
        </is>
      </c>
      <c r="D410" t="inlineStr">
        <is>
          <t>GLO</t>
        </is>
      </c>
      <c r="E410" t="inlineStr">
        <is>
          <t>kilogram</t>
        </is>
      </c>
      <c r="G410" t="inlineStr">
        <is>
          <t>technosphere</t>
        </is>
      </c>
      <c r="I410" t="n">
        <v>2</v>
      </c>
      <c r="J410" t="n">
        <v>-13.20339622263754</v>
      </c>
      <c r="K410" t="n">
        <v>0.2066397831977183</v>
      </c>
      <c r="L410" t="inlineStr">
        <is>
          <t>Estimation. Adapted from dataset ''iron pellet production, Quebec, 2011''.</t>
        </is>
      </c>
    </row>
    <row r="411">
      <c r="A411" t="inlineStr">
        <is>
          <t>market for solvent, organic</t>
        </is>
      </c>
      <c r="B411" t="n">
        <v>4e-09</v>
      </c>
      <c r="C411" t="inlineStr">
        <is>
          <t>solvent, organic</t>
        </is>
      </c>
      <c r="D411" t="inlineStr">
        <is>
          <t>GLO</t>
        </is>
      </c>
      <c r="E411" t="inlineStr">
        <is>
          <t>kilogram</t>
        </is>
      </c>
      <c r="G411" t="inlineStr">
        <is>
          <t>technosphere</t>
        </is>
      </c>
      <c r="I411" t="n">
        <v>2</v>
      </c>
      <c r="J411" t="n">
        <v>-20.49664567583722</v>
      </c>
      <c r="K411" t="n">
        <v>0.2</v>
      </c>
      <c r="L411" t="inlineStr">
        <is>
          <t>Estimation. Adapted from dataset ''iron pellet production, Quebec, 2011''.</t>
        </is>
      </c>
    </row>
    <row r="412">
      <c r="A412" t="inlineStr">
        <is>
          <t>market for spent solvent mixture</t>
        </is>
      </c>
      <c r="B412" t="n">
        <v>-1.57171754341237e-09</v>
      </c>
      <c r="C412" t="inlineStr">
        <is>
          <t>spent solvent mixture</t>
        </is>
      </c>
      <c r="D412" t="inlineStr">
        <is>
          <t>CH</t>
        </is>
      </c>
      <c r="E412" t="inlineStr">
        <is>
          <t>kilogram</t>
        </is>
      </c>
      <c r="G412" t="inlineStr">
        <is>
          <t>technosphere</t>
        </is>
      </c>
      <c r="I412" t="n">
        <v>2</v>
      </c>
      <c r="J412" t="n">
        <v>-20.27109683884686</v>
      </c>
      <c r="K412" t="n">
        <v>0.2066397831977183</v>
      </c>
      <c r="L412" t="inlineStr">
        <is>
          <t>Estimation. Adapted from dataset ''iron pellet production, Quebec, 2011''.</t>
        </is>
      </c>
      <c r="N412" t="b">
        <v>1</v>
      </c>
    </row>
    <row r="413">
      <c r="A413" t="inlineStr">
        <is>
          <t>market for spent solvent mixture</t>
        </is>
      </c>
      <c r="B413" t="n">
        <v>-6.70858370033955e-08</v>
      </c>
      <c r="C413" t="inlineStr">
        <is>
          <t>spent solvent mixture</t>
        </is>
      </c>
      <c r="D413" t="inlineStr">
        <is>
          <t>Europe without Switzerland</t>
        </is>
      </c>
      <c r="E413" t="inlineStr">
        <is>
          <t>kilogram</t>
        </is>
      </c>
      <c r="G413" t="inlineStr">
        <is>
          <t>technosphere</t>
        </is>
      </c>
      <c r="I413" t="n">
        <v>2</v>
      </c>
      <c r="J413" t="n">
        <v>-16.51729288822254</v>
      </c>
      <c r="K413" t="n">
        <v>0.2066397831977183</v>
      </c>
      <c r="L413" t="inlineStr">
        <is>
          <t>Estimation. Adapted from dataset ''iron pellet production, Quebec, 2011''.</t>
        </is>
      </c>
      <c r="N413" t="b">
        <v>1</v>
      </c>
    </row>
    <row r="414">
      <c r="A414" t="inlineStr">
        <is>
          <t>market for steel, unalloyed</t>
        </is>
      </c>
      <c r="B414" t="n">
        <v>3.38e-05</v>
      </c>
      <c r="C414" t="inlineStr">
        <is>
          <t>steel, unalloyed</t>
        </is>
      </c>
      <c r="D414" t="inlineStr">
        <is>
          <t>GLO</t>
        </is>
      </c>
      <c r="E414" t="inlineStr">
        <is>
          <t>kilogram</t>
        </is>
      </c>
      <c r="G414" t="inlineStr">
        <is>
          <t>technosphere</t>
        </is>
      </c>
      <c r="I414" t="n">
        <v>2</v>
      </c>
      <c r="J414" t="n">
        <v>-10.87393435916685</v>
      </c>
      <c r="K414" t="n">
        <v>0.2</v>
      </c>
      <c r="L414" t="inlineStr">
        <is>
          <t>Estimation. Adapted from dataset ''iron pellet production, Quebec, 2011''.</t>
        </is>
      </c>
    </row>
    <row r="415">
      <c r="A415" t="inlineStr">
        <is>
          <t>market for tap water</t>
        </is>
      </c>
      <c r="B415" t="n">
        <v>0.0216</v>
      </c>
      <c r="C415" t="inlineStr">
        <is>
          <t>tap water</t>
        </is>
      </c>
      <c r="D415" t="inlineStr">
        <is>
          <t>RoW</t>
        </is>
      </c>
      <c r="E415" t="inlineStr">
        <is>
          <t>kilogram</t>
        </is>
      </c>
      <c r="G415" t="inlineStr">
        <is>
          <t>technosphere</t>
        </is>
      </c>
      <c r="I415" t="n">
        <v>2</v>
      </c>
      <c r="J415" t="n">
        <v>-4.991375585606457</v>
      </c>
      <c r="K415" t="n">
        <v>0.2066397831977183</v>
      </c>
      <c r="L415" t="inlineStr">
        <is>
          <t>Estimation. Adapted from dataset ''iron pellet production, Quebec, 2011''.</t>
        </is>
      </c>
    </row>
    <row r="416">
      <c r="A416" t="inlineStr">
        <is>
          <t>market for waste mineral oil</t>
        </is>
      </c>
      <c r="B416" t="n">
        <v>-1.17224937520432e-09</v>
      </c>
      <c r="C416" t="inlineStr">
        <is>
          <t>waste mineral oil</t>
        </is>
      </c>
      <c r="D416" t="inlineStr">
        <is>
          <t>CH</t>
        </is>
      </c>
      <c r="E416" t="inlineStr">
        <is>
          <t>kilogram</t>
        </is>
      </c>
      <c r="G416" t="inlineStr">
        <is>
          <t>technosphere</t>
        </is>
      </c>
      <c r="I416" t="n">
        <v>2</v>
      </c>
      <c r="J416" t="n">
        <v>-20.56434139094742</v>
      </c>
      <c r="K416" t="n">
        <v>0.2066397831977183</v>
      </c>
      <c r="L416" t="inlineStr">
        <is>
          <t>Estimation. Adapted from dataset ''iron pellet production, Quebec, 2011''.</t>
        </is>
      </c>
      <c r="N416" t="b">
        <v>1</v>
      </c>
    </row>
    <row r="417">
      <c r="A417" t="inlineStr">
        <is>
          <t>market for waste mineral oil</t>
        </is>
      </c>
      <c r="B417" t="n">
        <v>-4.73520893358979e-08</v>
      </c>
      <c r="C417" t="inlineStr">
        <is>
          <t>waste mineral oil</t>
        </is>
      </c>
      <c r="D417" t="inlineStr">
        <is>
          <t>Europe without Switzerland</t>
        </is>
      </c>
      <c r="E417" t="inlineStr">
        <is>
          <t>kilogram</t>
        </is>
      </c>
      <c r="G417" t="inlineStr">
        <is>
          <t>technosphere</t>
        </is>
      </c>
      <c r="I417" t="n">
        <v>2</v>
      </c>
      <c r="J417" t="n">
        <v>-16.86565489292567</v>
      </c>
      <c r="K417" t="n">
        <v>0.2066397831977183</v>
      </c>
      <c r="L417" t="inlineStr">
        <is>
          <t>Estimation. Adapted from dataset ''iron pellet production, Quebec, 2011''.</t>
        </is>
      </c>
      <c r="N417" t="b">
        <v>1</v>
      </c>
    </row>
    <row r="418">
      <c r="A418" t="inlineStr">
        <is>
          <t>vanadium bearing magnetite production</t>
        </is>
      </c>
      <c r="B418" t="n">
        <v>1.53</v>
      </c>
      <c r="C418" t="inlineStr">
        <is>
          <t>vanadium bearing magnetite</t>
        </is>
      </c>
      <c r="D418" t="inlineStr">
        <is>
          <t>ZA</t>
        </is>
      </c>
      <c r="E418" t="inlineStr">
        <is>
          <t>kilogram</t>
        </is>
      </c>
      <c r="G418" t="inlineStr">
        <is>
          <t>technosphere</t>
        </is>
      </c>
    </row>
    <row r="419"/>
    <row r="420">
      <c r="A420" s="1" t="inlineStr">
        <is>
          <t>Activity</t>
        </is>
      </c>
      <c r="B420" s="1" t="inlineStr">
        <is>
          <t>vanadium bearing magnetite production</t>
        </is>
      </c>
    </row>
    <row r="421">
      <c r="A421" t="inlineStr">
        <is>
          <t>comment</t>
        </is>
      </c>
      <c r="B421" t="inlineStr">
        <is>
          <t xml:space="preserve">WARNING: Original LCI exchanges have been normalized to 1. Uncertainty data must be checked. Source: Weber et al. (2018). Life cycle assessment of a vanadium redox flow battery. Environmental science &amp; technology, 52(18), 10864-10873. https://doi.org/10.1021/acs.est.8b02073. Comments on modelling. All the flows related to energy consumption are based on U.S. Department of Energy survay from 2007 on Mining Industry (http://www1.eere.energy.gov/manufacturing/industries_technologies/mining/pdfs/mining_bandwidth.pdf). The emissions are based on limestone quarry operation and production datasets. The land use and occupation is based on rough measurements from map.
Ilmenite and magnetite mining from hard-rock ore. Based on Tellnes mine (Norway) and Lac Allard mine (Canada).
Geography:  Data on energy consumption are based on survey of mining operation sites in the U.S. This data are considered to be representative for the global activity. </t>
        </is>
      </c>
    </row>
    <row r="422">
      <c r="A422" t="inlineStr">
        <is>
          <t>location</t>
        </is>
      </c>
      <c r="B422" t="inlineStr">
        <is>
          <t>ZA</t>
        </is>
      </c>
    </row>
    <row r="423">
      <c r="A423" t="inlineStr">
        <is>
          <t>production amount</t>
        </is>
      </c>
      <c r="B423" t="n">
        <v>1</v>
      </c>
    </row>
    <row r="424">
      <c r="A424" t="inlineStr">
        <is>
          <t>reference product</t>
        </is>
      </c>
      <c r="B424" t="inlineStr">
        <is>
          <t>vanadium bearing magnetite</t>
        </is>
      </c>
    </row>
    <row r="425">
      <c r="A425" t="inlineStr">
        <is>
          <t>unit</t>
        </is>
      </c>
      <c r="B425" t="inlineStr">
        <is>
          <t>kilogram</t>
        </is>
      </c>
    </row>
    <row r="426">
      <c r="A426" t="inlineStr">
        <is>
          <t>source</t>
        </is>
      </c>
      <c r="B426" t="inlineStr">
        <is>
          <t>Inventory provided by Zhang et al. (2024). Originally from Weber et al. (2018). Life cycle assessment of a vanadium redox flow battery. Environmental science &amp; technology, 52(18), 10864-10873. https://doi.org/10.1021/acs.est.8b02073</t>
        </is>
      </c>
    </row>
    <row r="427">
      <c r="A427" s="1" t="inlineStr">
        <is>
          <t>Exchanges</t>
        </is>
      </c>
    </row>
    <row r="428">
      <c r="A428" t="inlineStr">
        <is>
          <t>name</t>
        </is>
      </c>
      <c r="B428" t="inlineStr">
        <is>
          <t>amount</t>
        </is>
      </c>
      <c r="C428" t="inlineStr">
        <is>
          <t>reference product</t>
        </is>
      </c>
      <c r="D428" t="inlineStr">
        <is>
          <t>location</t>
        </is>
      </c>
      <c r="E428" t="inlineStr">
        <is>
          <t>unit</t>
        </is>
      </c>
      <c r="F428" t="inlineStr">
        <is>
          <t>categories</t>
        </is>
      </c>
      <c r="G428" t="inlineStr">
        <is>
          <t>type</t>
        </is>
      </c>
      <c r="H428" t="inlineStr">
        <is>
          <t>formula</t>
        </is>
      </c>
      <c r="I428" t="inlineStr">
        <is>
          <t>uncertainty type</t>
        </is>
      </c>
      <c r="J428" t="inlineStr">
        <is>
          <t>loc</t>
        </is>
      </c>
      <c r="K428" t="inlineStr">
        <is>
          <t>scale</t>
        </is>
      </c>
      <c r="L428" t="inlineStr">
        <is>
          <t>comment</t>
        </is>
      </c>
    </row>
    <row r="429">
      <c r="A429" t="inlineStr">
        <is>
          <t>Iron</t>
        </is>
      </c>
      <c r="B429">
        <f>1.08/1.53</f>
        <v>0.70588235294117652</v>
      </c>
      <c r="E429" t="inlineStr">
        <is>
          <t>kilogram</t>
        </is>
      </c>
      <c r="F429" t="inlineStr">
        <is>
          <t>natural resource::in ground</t>
        </is>
      </c>
      <c r="G429" t="inlineStr">
        <is>
          <t>biosphere</t>
        </is>
      </c>
    </row>
    <row r="430">
      <c r="A430" t="inlineStr">
        <is>
          <t>Occupation, mineral extraction site</t>
        </is>
      </c>
      <c r="B430">
        <f>0.00249/1.53</f>
        <v>1.6274509803921569E-3</v>
      </c>
      <c r="E430" t="inlineStr">
        <is>
          <t>square meter-year</t>
        </is>
      </c>
      <c r="F430" t="inlineStr">
        <is>
          <t>natural resource::land</t>
        </is>
      </c>
      <c r="G430" t="inlineStr">
        <is>
          <t>biosphere</t>
        </is>
      </c>
      <c r="I430" t="n">
        <v>2</v>
      </c>
      <c r="J430" t="n">
        <v>-6.250992486869854</v>
      </c>
      <c r="K430" t="n">
        <v>0.2097617696340303</v>
      </c>
      <c r="L430" t="inlineStr">
        <is>
          <t>Calculated based on literature values and assumtion. So far there is no mention in the literature thet either allard mine or tellnes mine are being recultivated. It is assumed that the used land is recultivated after 30 years.</t>
        </is>
      </c>
    </row>
    <row r="431">
      <c r="A431" t="inlineStr">
        <is>
          <t>Particulate Matter, &lt; 2.5 um</t>
        </is>
      </c>
      <c r="B431">
        <f>0.0000177/1.53</f>
        <v>1.1568627450980392E-5</v>
      </c>
      <c r="E431" t="inlineStr">
        <is>
          <t>kilogram</t>
        </is>
      </c>
      <c r="F431" t="inlineStr">
        <is>
          <t>air::non-urban air or from high stacks</t>
        </is>
      </c>
      <c r="G431" t="inlineStr">
        <is>
          <t>biosphere</t>
        </is>
      </c>
      <c r="I431" t="n">
        <v>2</v>
      </c>
      <c r="J431" t="n">
        <v>-11.19413710639457</v>
      </c>
      <c r="K431" t="n">
        <v>0.4560701700396552</v>
      </c>
      <c r="L431" t="inlineStr">
        <is>
          <t>Estimate, based on "limestone quarry operation" and "limestone production, crushed, for mill" datasets.</t>
        </is>
      </c>
    </row>
    <row r="432">
      <c r="A432" t="inlineStr">
        <is>
          <t>Particulate Matter, &gt; 10 um</t>
        </is>
      </c>
      <c r="B432">
        <f>0.000237/1.53</f>
        <v>1.5490196078431372E-4</v>
      </c>
      <c r="E432" t="inlineStr">
        <is>
          <t>kilogram</t>
        </is>
      </c>
      <c r="F432" t="inlineStr">
        <is>
          <t>air::non-urban air or from high stacks</t>
        </is>
      </c>
      <c r="G432" t="inlineStr">
        <is>
          <t>biosphere</t>
        </is>
      </c>
      <c r="I432" t="n">
        <v>2</v>
      </c>
      <c r="J432" t="n">
        <v>-8.583533661219988</v>
      </c>
      <c r="K432" t="n">
        <v>0.4560701700396552</v>
      </c>
      <c r="L432" t="inlineStr">
        <is>
          <t>Estimate, based on "limestone quarry operation" and "limestone production, crushed, for mill" datasets.</t>
        </is>
      </c>
    </row>
    <row r="433">
      <c r="A433" t="inlineStr">
        <is>
          <t>Particulate Matter, &gt; 2.5 um and &lt; 10um</t>
        </is>
      </c>
      <c r="B433">
        <f>0.0000957/1.53</f>
        <v>6.2549019607843127E-5</v>
      </c>
      <c r="E433" t="inlineStr">
        <is>
          <t>kilogram</t>
        </is>
      </c>
      <c r="F433" t="inlineStr">
        <is>
          <t>air::non-urban air or from high stacks</t>
        </is>
      </c>
      <c r="G433" t="inlineStr">
        <is>
          <t>biosphere</t>
        </is>
      </c>
      <c r="I433" t="n">
        <v>2</v>
      </c>
      <c r="J433" t="n">
        <v>-9.509062526290645</v>
      </c>
      <c r="K433" t="n">
        <v>0.4560701700396552</v>
      </c>
      <c r="L433" t="inlineStr">
        <is>
          <t>Estimate, based on "limestone quarry operation" and "limestone production, crushed, for mill" datasets.</t>
        </is>
      </c>
    </row>
    <row r="434">
      <c r="A434" t="inlineStr">
        <is>
          <t>Titanium</t>
        </is>
      </c>
      <c r="B434">
        <f>0.25/1.53</f>
        <v>0.16339869281045752</v>
      </c>
      <c r="E434" t="inlineStr">
        <is>
          <t>kilogram</t>
        </is>
      </c>
      <c r="F434" t="inlineStr">
        <is>
          <t>natural resource::in ground</t>
        </is>
      </c>
      <c r="G434" t="inlineStr">
        <is>
          <t>biosphere</t>
        </is>
      </c>
    </row>
    <row r="435">
      <c r="A435" t="inlineStr">
        <is>
          <t>Transformation, from forest, unspecified</t>
        </is>
      </c>
      <c r="B435">
        <f>0.0000829/1.53</f>
        <v>5.4183006535947706E-5</v>
      </c>
      <c r="E435" t="inlineStr">
        <is>
          <t>square meter</t>
        </is>
      </c>
      <c r="F435" t="inlineStr">
        <is>
          <t>natural resource::land</t>
        </is>
      </c>
      <c r="G435" t="inlineStr">
        <is>
          <t>biosphere</t>
        </is>
      </c>
      <c r="H435" t="inlineStr">
        <is>
          <t>CORINE 31</t>
        </is>
      </c>
      <c r="I435" t="n">
        <v>2</v>
      </c>
      <c r="J435" t="n">
        <v>-9.652189868532009</v>
      </c>
      <c r="K435" t="n">
        <v>0.2097617696340303</v>
      </c>
      <c r="L435" t="inlineStr">
        <is>
          <t>Area of Tellnes mine (Norway) and Allard mine (Canada).</t>
        </is>
      </c>
    </row>
    <row r="436">
      <c r="A436" t="inlineStr">
        <is>
          <t>Transformation, to mineral extraction site</t>
        </is>
      </c>
      <c r="B436">
        <f>0.0000829/1.53</f>
        <v>5.4183006535947706E-5</v>
      </c>
      <c r="E436" t="inlineStr">
        <is>
          <t>square meter</t>
        </is>
      </c>
      <c r="F436" t="inlineStr">
        <is>
          <t>natural resource::land</t>
        </is>
      </c>
      <c r="G436" t="inlineStr">
        <is>
          <t>biosphere</t>
        </is>
      </c>
      <c r="H436" t="inlineStr">
        <is>
          <t>CORINE 131</t>
        </is>
      </c>
      <c r="I436" t="n">
        <v>2</v>
      </c>
      <c r="J436" t="n">
        <v>-9.652189868532009</v>
      </c>
      <c r="K436" t="n">
        <v>0.2097617696340303</v>
      </c>
      <c r="L436" t="inlineStr">
        <is>
          <t>Area of Tellnes mine (Norway) and Allard mine (Canada).</t>
        </is>
      </c>
    </row>
    <row r="437">
      <c r="A437" t="inlineStr">
        <is>
          <t>Vanadium</t>
        </is>
      </c>
      <c r="B437">
        <f>0.019/1.53</f>
        <v>1.241830065359477E-2</v>
      </c>
      <c r="E437" t="inlineStr">
        <is>
          <t>kilogram</t>
        </is>
      </c>
      <c r="F437" t="inlineStr">
        <is>
          <t>natural resource::in ground</t>
        </is>
      </c>
      <c r="G437" t="inlineStr">
        <is>
          <t>biosphere</t>
        </is>
      </c>
    </row>
    <row r="438">
      <c r="A438" t="inlineStr">
        <is>
          <t>Water</t>
        </is>
      </c>
      <c r="B438">
        <f>0.00879/1.53</f>
        <v>5.745098039215686E-3</v>
      </c>
      <c r="E438" t="inlineStr">
        <is>
          <t>cubic meter</t>
        </is>
      </c>
      <c r="F438" t="inlineStr">
        <is>
          <t>air</t>
        </is>
      </c>
      <c r="G438" t="inlineStr">
        <is>
          <t>biosphere</t>
        </is>
      </c>
      <c r="H438" t="inlineStr">
        <is>
          <t>H2O</t>
        </is>
      </c>
      <c r="I438" t="n">
        <v>2</v>
      </c>
      <c r="J438" t="n">
        <v>-11.89645710479588</v>
      </c>
      <c r="K438" t="n">
        <v>0.3605897946420558</v>
      </c>
      <c r="L438" t="inlineStr">
        <is>
          <t>Calculated value based on literature values and expert opinion. See comments in the parametres' comment field.</t>
        </is>
      </c>
    </row>
    <row r="439">
      <c r="A439" t="inlineStr">
        <is>
          <t>Water</t>
        </is>
      </c>
      <c r="B439">
        <f>0.0000498/1.53</f>
        <v>3.2549019607843137E-5</v>
      </c>
      <c r="E439" t="inlineStr">
        <is>
          <t>cubic meter</t>
        </is>
      </c>
      <c r="F439" t="inlineStr">
        <is>
          <t>water</t>
        </is>
      </c>
      <c r="G439" t="inlineStr">
        <is>
          <t>biosphere</t>
        </is>
      </c>
      <c r="H439" t="inlineStr">
        <is>
          <t>H2O</t>
        </is>
      </c>
      <c r="I439" t="n">
        <v>2</v>
      </c>
      <c r="J439" t="n">
        <v>-10.16185604940778</v>
      </c>
      <c r="K439" t="n">
        <v>0.3605897946420558</v>
      </c>
      <c r="L439" t="inlineStr">
        <is>
          <t>Calculated value based on literature values and expert opinion. See comments in the parametres' comment field.</t>
        </is>
      </c>
    </row>
    <row r="440">
      <c r="A440" t="inlineStr">
        <is>
          <t>Water, well, in ground</t>
        </is>
      </c>
      <c r="B440">
        <f>0.00004586/1.53</f>
        <v>2.9973856209150325E-5</v>
      </c>
      <c r="E440" t="inlineStr">
        <is>
          <t>cubic meter</t>
        </is>
      </c>
      <c r="F440" t="inlineStr">
        <is>
          <t>natural resource::in water</t>
        </is>
      </c>
      <c r="G440" t="inlineStr">
        <is>
          <t>biosphere</t>
        </is>
      </c>
      <c r="H440" t="inlineStr">
        <is>
          <t>H2O</t>
        </is>
      </c>
      <c r="I440" t="n">
        <v>2</v>
      </c>
      <c r="J440" t="n">
        <v>-9.999337119909999</v>
      </c>
      <c r="K440" t="n">
        <v>0.4560701700396552</v>
      </c>
      <c r="L440" t="inlineStr">
        <is>
          <t>Estimate, based on "limestone production, crushed, for mill" dataset.</t>
        </is>
      </c>
    </row>
    <row r="441">
      <c r="A441" t="inlineStr">
        <is>
          <t>vanadium bearing magnetite production</t>
        </is>
      </c>
      <c r="B441">
        <f>1.53/1.53</f>
        <v>1</v>
      </c>
      <c r="C441" t="inlineStr">
        <is>
          <t>vanadium bearing magnetite</t>
        </is>
      </c>
      <c r="D441" t="inlineStr">
        <is>
          <t>ZA</t>
        </is>
      </c>
      <c r="E441" t="inlineStr">
        <is>
          <t>kilogram</t>
        </is>
      </c>
      <c r="G441" t="inlineStr">
        <is>
          <t>production</t>
        </is>
      </c>
      <c r="I441" t="n">
        <v>0</v>
      </c>
      <c r="J441" t="n">
        <v>1</v>
      </c>
    </row>
    <row r="442">
      <c r="A442" t="inlineStr">
        <is>
          <t>ilmenite - magnetite mine operation</t>
        </is>
      </c>
      <c r="B442">
        <f>-0.46/1.53</f>
        <v>-0.30065359477124182</v>
      </c>
      <c r="C442" t="inlineStr">
        <is>
          <t>ilmenite, 54% titanium dioxide</t>
        </is>
      </c>
      <c r="D442" t="inlineStr">
        <is>
          <t>GLO</t>
        </is>
      </c>
      <c r="E442" t="inlineStr">
        <is>
          <t>kilogram</t>
        </is>
      </c>
      <c r="G442" t="inlineStr">
        <is>
          <t>technosphere</t>
        </is>
      </c>
    </row>
    <row r="443">
      <c r="A443" t="inlineStr">
        <is>
          <t>market for blasting</t>
        </is>
      </c>
      <c r="B443">
        <f>0.000155/1.53</f>
        <v>1.0130718954248366E-4</v>
      </c>
      <c r="C443" t="inlineStr">
        <is>
          <t>blasting</t>
        </is>
      </c>
      <c r="D443" t="inlineStr">
        <is>
          <t>GLO</t>
        </is>
      </c>
      <c r="E443" t="inlineStr">
        <is>
          <t>kilogram</t>
        </is>
      </c>
      <c r="G443" t="inlineStr">
        <is>
          <t>technosphere</t>
        </is>
      </c>
      <c r="I443" t="n">
        <v>2</v>
      </c>
      <c r="J443" t="n">
        <v>-9.029230680339644</v>
      </c>
      <c r="K443" t="n">
        <v>0.6841052550594828</v>
      </c>
      <c r="L443" t="inlineStr">
        <is>
          <t>Estimate, based on "limestone production, crushed, for mill" dataset.</t>
        </is>
      </c>
    </row>
    <row r="444">
      <c r="A444" t="inlineStr">
        <is>
          <t>market for conveyor belt</t>
        </is>
      </c>
      <c r="B444">
        <f>0.0000000556/1.53</f>
        <v>3.6339869281045751E-8</v>
      </c>
      <c r="C444" t="inlineStr">
        <is>
          <t>conveyor belt</t>
        </is>
      </c>
      <c r="D444" t="inlineStr">
        <is>
          <t>GLO</t>
        </is>
      </c>
      <c r="E444" t="inlineStr">
        <is>
          <t>meter</t>
        </is>
      </c>
      <c r="G444" t="inlineStr">
        <is>
          <t>technosphere</t>
        </is>
      </c>
      <c r="I444" t="n">
        <v>2</v>
      </c>
      <c r="J444" t="n">
        <v>-16.95964389421857</v>
      </c>
      <c r="K444" t="n">
        <v>0.6841052550594828</v>
      </c>
      <c r="L444" t="inlineStr">
        <is>
          <t>Estimate, based on "limestone production, crushed, for mill" dataset.</t>
        </is>
      </c>
    </row>
    <row r="445">
      <c r="A445" t="inlineStr">
        <is>
          <t>market for diesel, burned in diesel-electric generating set, 10MW</t>
        </is>
      </c>
      <c r="B445">
        <f>0.0238/1.53</f>
        <v>1.5555555555555557E-2</v>
      </c>
      <c r="C445" t="inlineStr">
        <is>
          <t>diesel, burned in diesel-electric generating set, 10MW</t>
        </is>
      </c>
      <c r="D445" t="inlineStr">
        <is>
          <t>GLO</t>
        </is>
      </c>
      <c r="E445" t="inlineStr">
        <is>
          <t>megajoule</t>
        </is>
      </c>
      <c r="G445" t="inlineStr">
        <is>
          <t>technosphere</t>
        </is>
      </c>
      <c r="I445" t="n">
        <v>2</v>
      </c>
      <c r="J445" t="n">
        <v>-3.992618735650936</v>
      </c>
      <c r="K445" t="n">
        <v>0.2275961335348208</v>
      </c>
      <c r="L445" t="inlineStr">
        <is>
          <t>Estimate based on U.S. Department of Energy (http://www1.eere.energy.gov/manufacturing/industries_technologies/mining/pdfs/mining_bandwidth.pdf) report describing energy consumption during mining of unspecified minerals.</t>
        </is>
      </c>
    </row>
    <row r="446">
      <c r="A446" t="inlineStr">
        <is>
          <t>market for electricity, medium voltage</t>
        </is>
      </c>
      <c r="B446">
        <f>0.0144/1.53</f>
        <v>9.4117647058823521E-3</v>
      </c>
      <c r="C446" t="inlineStr">
        <is>
          <t>electricity, medium voltage</t>
        </is>
      </c>
      <c r="D446" t="inlineStr">
        <is>
          <t>ZA</t>
        </is>
      </c>
      <c r="E446" t="inlineStr">
        <is>
          <t>kilowatt hour</t>
        </is>
      </c>
      <c r="G446" t="inlineStr">
        <is>
          <t>technosphere</t>
        </is>
      </c>
    </row>
    <row r="447">
      <c r="A447" t="inlineStr">
        <is>
          <t>market for industrial machine, heavy, unspecified</t>
        </is>
      </c>
      <c r="B447">
        <f>0.0000122/1.53</f>
        <v>7.973856209150327E-6</v>
      </c>
      <c r="C447" t="inlineStr">
        <is>
          <t>industrial machine, heavy, unspecified</t>
        </is>
      </c>
      <c r="D447" t="inlineStr">
        <is>
          <t>RoW</t>
        </is>
      </c>
      <c r="E447" t="inlineStr">
        <is>
          <t>kilogram</t>
        </is>
      </c>
      <c r="G447" t="inlineStr">
        <is>
          <t>technosphere</t>
        </is>
      </c>
      <c r="I447" t="n">
        <v>2</v>
      </c>
      <c r="J447" t="n">
        <v>-11.96672460398328</v>
      </c>
      <c r="K447" t="n">
        <v>0.6841052550594828</v>
      </c>
      <c r="L447" t="inlineStr">
        <is>
          <t>Estimate, based on "limestone production, crushed, for mill" dataset.</t>
        </is>
      </c>
    </row>
    <row r="448">
      <c r="A448" t="inlineStr">
        <is>
          <t>market for mine infrastructure, open cast, ilmenite from hard-rock ore</t>
        </is>
      </c>
      <c r="B448">
        <f>0.0000000000308/1.53</f>
        <v>2.0130718954248366E-11</v>
      </c>
      <c r="C448" t="inlineStr">
        <is>
          <t>mine infrastructure, open cast, ilmenite from hard-rock ore</t>
        </is>
      </c>
      <c r="D448" t="inlineStr">
        <is>
          <t>GLO</t>
        </is>
      </c>
      <c r="E448" t="inlineStr">
        <is>
          <t>unit</t>
        </is>
      </c>
      <c r="G448" t="inlineStr">
        <is>
          <t>technosphere</t>
        </is>
      </c>
      <c r="I448" t="n">
        <v>2</v>
      </c>
      <c r="J448" t="n">
        <v>-24.4590671848108</v>
      </c>
      <c r="K448" t="n">
        <v>0.6841052550594828</v>
      </c>
      <c r="L448" t="inlineStr">
        <is>
          <t>There are two mines, where hard-ore ilmenite is being mined (Cardarelli, 2008, Materials Handbook); Tellnes mine in Norway (http://www.ngu.no/filearchive/102/bulletin436_3.pdf) and Allard Lake mine in Canada (http://apps1.gdr.nrcan.gc.ca/gsc_minerals/gquerycache/vticanada/DP/dp51.html). The annual production of these mines is 550,000 ton of ilmenite/year, respectivelly 100,000 ton of ilmenite/year. Since magnetite is produced in the same amounts the production volume is estimated to be the same as in case of ilmenite. The lifetime of hard-rock ilmenite mine is estimated to be 100 years. Both of these mines are in operation for more than 50 years and there are no signs of possible closing of the mines.</t>
        </is>
      </c>
    </row>
    <row r="449">
      <c r="A449" t="inlineStr">
        <is>
          <t>market for petrol, unleaded</t>
        </is>
      </c>
      <c r="B449">
        <f>0.0627/1.53</f>
        <v>4.0980392156862749E-2</v>
      </c>
      <c r="C449" t="inlineStr">
        <is>
          <t>petrol, unleaded</t>
        </is>
      </c>
      <c r="D449" t="inlineStr">
        <is>
          <t>RoW</t>
        </is>
      </c>
      <c r="E449" t="inlineStr">
        <is>
          <t>kilogram</t>
        </is>
      </c>
      <c r="G449" t="inlineStr">
        <is>
          <t>technosphere</t>
        </is>
      </c>
      <c r="I449" t="n">
        <v>2</v>
      </c>
      <c r="J449" t="n">
        <v>-3.274757340915447</v>
      </c>
      <c r="K449" t="n">
        <v>0.2275961335348208</v>
      </c>
      <c r="L449" t="inlineStr">
        <is>
          <t>Estimate based on U.S. Department of Energy (http://www1.eere.energy.gov/manufacturing/industries_technologies/mining/pdfs/mining_bandwidth.pdf) report describing energy consumption during mining of unspecified minerals.</t>
        </is>
      </c>
    </row>
    <row r="450">
      <c r="A450" t="inlineStr">
        <is>
          <t>market for recultivation, ilmenite mine</t>
        </is>
      </c>
      <c r="B450">
        <f>0.0000829/1.53</f>
        <v>5.4183006535947706E-5</v>
      </c>
      <c r="C450" t="inlineStr">
        <is>
          <t>recultivation, ilmenite mine</t>
        </is>
      </c>
      <c r="D450" t="inlineStr">
        <is>
          <t>GLO</t>
        </is>
      </c>
      <c r="E450" t="inlineStr">
        <is>
          <t>square meter</t>
        </is>
      </c>
      <c r="G450" t="inlineStr">
        <is>
          <t>technosphere</t>
        </is>
      </c>
      <c r="I450" t="n">
        <v>2</v>
      </c>
      <c r="J450" t="n">
        <v>-9.652189868532009</v>
      </c>
      <c r="K450" t="n">
        <v>0.2966479394838265</v>
      </c>
      <c r="L450" t="inlineStr">
        <is>
          <t>Calculated value.</t>
        </is>
      </c>
    </row>
    <row r="451">
      <c r="A451" t="inlineStr">
        <is>
          <t>market group for heat, central or small-scale, natural gas</t>
        </is>
      </c>
      <c r="B451">
        <f>0.0154/1.53</f>
        <v>1.0065359477124183E-2</v>
      </c>
      <c r="C451" t="inlineStr">
        <is>
          <t>heat, central or small-scale, natural gas</t>
        </is>
      </c>
      <c r="D451" t="inlineStr">
        <is>
          <t>GLO</t>
        </is>
      </c>
      <c r="E451" t="inlineStr">
        <is>
          <t>megajoule</t>
        </is>
      </c>
      <c r="G451" t="inlineStr">
        <is>
          <t>technosphere</t>
        </is>
      </c>
      <c r="I451" t="n">
        <v>2</v>
      </c>
      <c r="J451" t="n">
        <v>-4.427936806908781</v>
      </c>
      <c r="K451" t="n">
        <v>0.2275961335348208</v>
      </c>
      <c r="L451" t="inlineStr">
        <is>
          <t>Estimate based on U.S. Department of Energy (http://www1.eere.energy.gov/manufacturing/industries_technologies/mining/pdfs/mining_bandwidth.pdf) report describing energy consumption during mining of unspecified minerals.</t>
        </is>
      </c>
    </row>
    <row r="452"/>
    <row r="453">
      <c r="A453" s="1" t="inlineStr">
        <is>
          <t>Activity</t>
        </is>
      </c>
      <c r="B453" s="1" t="inlineStr">
        <is>
          <t>vanadium slag production</t>
        </is>
      </c>
    </row>
    <row r="454">
      <c r="A454" t="inlineStr">
        <is>
          <t>comment</t>
        </is>
      </c>
      <c r="B454" t="inlineStr">
        <is>
          <t>Source: Weber et al. (2018). Life cycle assessment of a vanadium redox flow battery. Environmental science &amp; technology, 52(18), 10864-10873. https://doi.org/10.1021/acs.est.8b02073This activity represents the production of secondary low-alloyed steel in an electric arc furnace (EAF). The process comprises the following operations: 1) mixing and pretreatment (if required) of ferrous materials (including alloying additions), principally ferrous scrap; 2) furnace charging and scrap melting; 3) steel and scrap tapping; 4) secondary metallurgical treatment in a ladle furnace; and 5) casting (continuous and/or ingot).
[This dataset is meant to replace the following datasets:
 - steel production, electric, low-alloyed, GLO, 2013 - 2023 (cdf2646d-f416-4155-894a-151671ae69f6)]
The data are a weighted average of the regional datasets covering the following geographies: Europe without Switzerland and Austria, IN, CH, AT, CA-QC.
Geography:  This dataset is a weighted average built from the following geographies: Europe without Switzerland and Austria, IN, CH, AT, CA-QC.
Technology:  Average technology mix of the technologies used in the regional datasets.
Time period:  The time period covers the time period of the regional datasets.</t>
        </is>
      </c>
    </row>
    <row r="455">
      <c r="A455" t="inlineStr">
        <is>
          <t>location</t>
        </is>
      </c>
      <c r="B455" t="inlineStr">
        <is>
          <t>ZA</t>
        </is>
      </c>
    </row>
    <row r="456">
      <c r="A456" t="inlineStr">
        <is>
          <t>reference product</t>
        </is>
      </c>
      <c r="B456" t="inlineStr">
        <is>
          <t>vanadium slag</t>
        </is>
      </c>
    </row>
    <row r="457">
      <c r="A457" t="inlineStr">
        <is>
          <t>unit</t>
        </is>
      </c>
      <c r="B457" t="inlineStr">
        <is>
          <t>kilogram</t>
        </is>
      </c>
    </row>
    <row r="458">
      <c r="A458" t="inlineStr">
        <is>
          <t>source</t>
        </is>
      </c>
      <c r="B458" t="inlineStr">
        <is>
          <t>Inventory provided by Zhang et al. (2024). Originally from Weber et al. (2018). Life cycle assessment of a vanadium redox flow battery. Environmental science &amp; technology, 52(18), 10864-10873. https://doi.org/10.1021/acs.est.8b02073</t>
        </is>
      </c>
    </row>
    <row r="459">
      <c r="A459" s="1" t="inlineStr">
        <is>
          <t>Exchanges</t>
        </is>
      </c>
    </row>
    <row r="460">
      <c r="A460" s="1" t="inlineStr">
        <is>
          <t>name</t>
        </is>
      </c>
      <c r="B460" s="1" t="inlineStr">
        <is>
          <t>amount</t>
        </is>
      </c>
      <c r="C460" s="1" t="inlineStr">
        <is>
          <t>reference product</t>
        </is>
      </c>
      <c r="D460" s="1" t="inlineStr">
        <is>
          <t>location</t>
        </is>
      </c>
      <c r="E460" s="1" t="inlineStr">
        <is>
          <t>unit</t>
        </is>
      </c>
      <c r="F460" s="1" t="inlineStr">
        <is>
          <t>categories</t>
        </is>
      </c>
      <c r="G460" s="1" t="inlineStr">
        <is>
          <t>type</t>
        </is>
      </c>
      <c r="H460" s="1" t="inlineStr">
        <is>
          <t>formula</t>
        </is>
      </c>
      <c r="I460" s="1" t="inlineStr">
        <is>
          <t>uncertainty type</t>
        </is>
      </c>
      <c r="J460" s="1" t="inlineStr">
        <is>
          <t>loc</t>
        </is>
      </c>
      <c r="K460" s="1" t="inlineStr">
        <is>
          <t>scale</t>
        </is>
      </c>
      <c r="L460" s="1" t="inlineStr">
        <is>
          <t>comment</t>
        </is>
      </c>
      <c r="M460" s="1" t="inlineStr">
        <is>
          <t>original_amount</t>
        </is>
      </c>
      <c r="N460" s="1" t="inlineStr">
        <is>
          <t>negative</t>
        </is>
      </c>
    </row>
    <row r="461">
      <c r="A461" t="inlineStr">
        <is>
          <t>Argon-40</t>
        </is>
      </c>
      <c r="B461" t="n">
        <v>0.00329</v>
      </c>
      <c r="E461" t="inlineStr">
        <is>
          <t>kilogram</t>
        </is>
      </c>
      <c r="F461" t="inlineStr">
        <is>
          <t>air</t>
        </is>
      </c>
      <c r="G461" t="inlineStr">
        <is>
          <t>biosphere</t>
        </is>
      </c>
      <c r="H461" t="inlineStr">
        <is>
          <t>Ar</t>
        </is>
      </c>
      <c r="I461" t="n">
        <v>2</v>
      </c>
      <c r="J461" t="n">
        <v>-11.07076724586166</v>
      </c>
      <c r="K461" t="n">
        <v>0.04472135954999579</v>
      </c>
      <c r="L461" t="inlineStr">
        <is>
          <t>Weighted average of amounts in regional datasets.</t>
        </is>
      </c>
      <c r="M461" t="n">
        <v>1.55606191968828e-05</v>
      </c>
    </row>
    <row r="462">
      <c r="A462" t="inlineStr">
        <is>
          <t>Benzene</t>
        </is>
      </c>
      <c r="B462" t="n">
        <v>2.29e-06</v>
      </c>
      <c r="E462" t="inlineStr">
        <is>
          <t>kilogram</t>
        </is>
      </c>
      <c r="F462" t="inlineStr">
        <is>
          <t>air</t>
        </is>
      </c>
      <c r="G462" t="inlineStr">
        <is>
          <t>biosphere</t>
        </is>
      </c>
      <c r="H462" t="inlineStr">
        <is>
          <t>C6H6</t>
        </is>
      </c>
      <c r="I462" t="n">
        <v>2</v>
      </c>
      <c r="J462" t="n">
        <v>-13.97963449078532</v>
      </c>
      <c r="K462" t="n">
        <v>0.3560898762952971</v>
      </c>
      <c r="L462" t="inlineStr">
        <is>
          <t>Weighted average of amounts in regional datasets.</t>
        </is>
      </c>
      <c r="M462" t="n">
        <v>8.48636841404886e-07</v>
      </c>
    </row>
    <row r="463">
      <c r="A463" t="inlineStr">
        <is>
          <t>Benzene, hexachloro-</t>
        </is>
      </c>
      <c r="B463" t="n">
        <v>2e-08</v>
      </c>
      <c r="E463" t="inlineStr">
        <is>
          <t>kilogram</t>
        </is>
      </c>
      <c r="F463" t="inlineStr">
        <is>
          <t>air</t>
        </is>
      </c>
      <c r="G463" t="inlineStr">
        <is>
          <t>biosphere</t>
        </is>
      </c>
      <c r="H463" t="inlineStr">
        <is>
          <t>C6Cl6</t>
        </is>
      </c>
      <c r="I463" t="n">
        <v>2</v>
      </c>
      <c r="J463" t="n">
        <v>-18.86339210634892</v>
      </c>
      <c r="K463" t="n">
        <v>0.3541186241925155</v>
      </c>
      <c r="L463" t="inlineStr">
        <is>
          <t>Weighted average of amounts in regional datasets.</t>
        </is>
      </c>
      <c r="M463" t="n">
        <v>6.42292570123289e-09</v>
      </c>
    </row>
    <row r="464">
      <c r="A464" t="inlineStr">
        <is>
          <t>Cadmium II</t>
        </is>
      </c>
      <c r="B464" t="n">
        <v>3.65e-08</v>
      </c>
      <c r="E464" t="inlineStr">
        <is>
          <t>kilogram</t>
        </is>
      </c>
      <c r="F464" t="inlineStr">
        <is>
          <t>air</t>
        </is>
      </c>
      <c r="G464" t="inlineStr">
        <is>
          <t>biosphere</t>
        </is>
      </c>
      <c r="H464" t="inlineStr">
        <is>
          <t>Cd</t>
        </is>
      </c>
      <c r="I464" t="n">
        <v>2</v>
      </c>
      <c r="J464" t="n">
        <v>-17.77295880597001</v>
      </c>
      <c r="K464" t="n">
        <v>0.8104319835741924</v>
      </c>
      <c r="L464" t="inlineStr">
        <is>
          <t>Weighted average of amounts in regional datasets.</t>
        </is>
      </c>
      <c r="M464" t="n">
        <v>1.91118207484922e-08</v>
      </c>
    </row>
    <row r="465">
      <c r="A465" t="inlineStr">
        <is>
          <t>Carbon monoxide, fossil</t>
        </is>
      </c>
      <c r="B465" t="n">
        <v>0.00232</v>
      </c>
      <c r="E465" t="inlineStr">
        <is>
          <t>kilogram</t>
        </is>
      </c>
      <c r="F465" t="inlineStr">
        <is>
          <t>air</t>
        </is>
      </c>
      <c r="G465" t="inlineStr">
        <is>
          <t>biosphere</t>
        </is>
      </c>
      <c r="H465" t="inlineStr">
        <is>
          <t>CO</t>
        </is>
      </c>
      <c r="I465" t="n">
        <v>2</v>
      </c>
      <c r="J465" t="n">
        <v>-6.984046327503505</v>
      </c>
      <c r="K465" t="n">
        <v>0.8104319835741924</v>
      </c>
      <c r="L465" t="inlineStr">
        <is>
          <t>Weighted average of amounts in regional datasets.</t>
        </is>
      </c>
      <c r="M465" t="n">
        <v>0.000926546497324025</v>
      </c>
    </row>
    <row r="466">
      <c r="A466" t="inlineStr">
        <is>
          <t>Chloride</t>
        </is>
      </c>
      <c r="B466" t="n">
        <v>1.82e-06</v>
      </c>
      <c r="E466" t="inlineStr">
        <is>
          <t>kilogram</t>
        </is>
      </c>
      <c r="F466" t="inlineStr">
        <is>
          <t>water</t>
        </is>
      </c>
      <c r="G466" t="inlineStr">
        <is>
          <t>biosphere</t>
        </is>
      </c>
      <c r="H466" t="inlineStr">
        <is>
          <t>Cl-</t>
        </is>
      </c>
      <c r="I466" t="n">
        <v>2</v>
      </c>
      <c r="J466" t="n">
        <v>-9.542093518234323</v>
      </c>
      <c r="K466" t="n">
        <v>0.215870331449229</v>
      </c>
      <c r="L466" t="inlineStr">
        <is>
          <t>Weighted average of amounts in regional datasets.</t>
        </is>
      </c>
      <c r="M466" t="n">
        <v>7.17664459147306e-05</v>
      </c>
    </row>
    <row r="467">
      <c r="A467" t="inlineStr">
        <is>
          <t>Chromium III</t>
        </is>
      </c>
      <c r="B467" t="n">
        <v>1.25e-06</v>
      </c>
      <c r="E467" t="inlineStr">
        <is>
          <t>kilogram</t>
        </is>
      </c>
      <c r="F467" t="inlineStr">
        <is>
          <t>air</t>
        </is>
      </c>
      <c r="G467" t="inlineStr">
        <is>
          <t>biosphere</t>
        </is>
      </c>
      <c r="H467" t="inlineStr">
        <is>
          <t>Cr</t>
        </is>
      </c>
      <c r="I467" t="n">
        <v>2</v>
      </c>
      <c r="J467" t="n">
        <v>-14.56400036857252</v>
      </c>
      <c r="K467" t="n">
        <v>0.8104319835741924</v>
      </c>
      <c r="L467" t="inlineStr">
        <is>
          <t>Weighted average of amounts in regional datasets.</t>
        </is>
      </c>
      <c r="M467" t="n">
        <v>4.73080454625828e-07</v>
      </c>
    </row>
    <row r="468">
      <c r="A468" t="inlineStr">
        <is>
          <t>Chromium VI</t>
        </is>
      </c>
      <c r="B468" t="n">
        <v>1.92e-09</v>
      </c>
      <c r="E468" t="inlineStr">
        <is>
          <t>kilogram</t>
        </is>
      </c>
      <c r="F468" t="inlineStr">
        <is>
          <t>water</t>
        </is>
      </c>
      <c r="G468" t="inlineStr">
        <is>
          <t>biosphere</t>
        </is>
      </c>
      <c r="H468" t="inlineStr">
        <is>
          <t>Cr+6</t>
        </is>
      </c>
      <c r="I468" t="n">
        <v>2</v>
      </c>
      <c r="J468" t="n">
        <v>-16.39855569662588</v>
      </c>
      <c r="K468" t="n">
        <v>0.215870331449229</v>
      </c>
      <c r="L468" t="inlineStr">
        <is>
          <t>Weighted average of amounts in regional datasets.</t>
        </is>
      </c>
      <c r="M468" t="n">
        <v>7.55436126385394e-08</v>
      </c>
    </row>
    <row r="469">
      <c r="A469" t="inlineStr">
        <is>
          <t>Copper ion</t>
        </is>
      </c>
      <c r="B469" t="n">
        <v>2.31e-07</v>
      </c>
      <c r="E469" t="inlineStr">
        <is>
          <t>kilogram</t>
        </is>
      </c>
      <c r="F469" t="inlineStr">
        <is>
          <t>air</t>
        </is>
      </c>
      <c r="G469" t="inlineStr">
        <is>
          <t>biosphere</t>
        </is>
      </c>
      <c r="H469" t="inlineStr">
        <is>
          <t>Cu</t>
        </is>
      </c>
      <c r="I469" t="n">
        <v>2</v>
      </c>
      <c r="J469" t="n">
        <v>-16.0141575385428</v>
      </c>
      <c r="K469" t="n">
        <v>0.8115417426109393</v>
      </c>
      <c r="L469" t="inlineStr">
        <is>
          <t>Weighted average of amounts in regional datasets.</t>
        </is>
      </c>
      <c r="M469" t="n">
        <v>1.10953178654857e-07</v>
      </c>
    </row>
    <row r="470">
      <c r="A470" t="inlineStr">
        <is>
          <t>Dioxins, measured as 2,3,7,8-tetrachlorodibenzo-p-dioxin</t>
        </is>
      </c>
      <c r="B470" t="n">
        <v>4.54e-12</v>
      </c>
      <c r="E470" t="inlineStr">
        <is>
          <t>kilogram</t>
        </is>
      </c>
      <c r="F470" t="inlineStr">
        <is>
          <t>air</t>
        </is>
      </c>
      <c r="G470" t="inlineStr">
        <is>
          <t>biosphere</t>
        </is>
      </c>
      <c r="H470" t="inlineStr">
        <is>
          <t>C12H4Cl4O2</t>
        </is>
      </c>
      <c r="I470" t="n">
        <v>2</v>
      </c>
      <c r="J470" t="n">
        <v>-27.18440602093559</v>
      </c>
      <c r="K470" t="n">
        <v>0.5538952969650491</v>
      </c>
      <c r="L470" t="inlineStr">
        <is>
          <t>Weighted average of amounts in regional datasets.</t>
        </is>
      </c>
      <c r="M470" t="n">
        <v>1.56301257212487e-12</v>
      </c>
    </row>
    <row r="471">
      <c r="A471" t="inlineStr">
        <is>
          <t>Hydrocarbons, aromatic</t>
        </is>
      </c>
      <c r="B471" t="n">
        <v>7.7e-05</v>
      </c>
      <c r="E471" t="inlineStr">
        <is>
          <t>kilogram</t>
        </is>
      </c>
      <c r="F471" t="inlineStr">
        <is>
          <t>air</t>
        </is>
      </c>
      <c r="G471" t="inlineStr">
        <is>
          <t>biosphere</t>
        </is>
      </c>
      <c r="I471" t="n">
        <v>2</v>
      </c>
      <c r="J471" t="n">
        <v>-9.583500614441562</v>
      </c>
      <c r="K471" t="n">
        <v>0.2172556098240043</v>
      </c>
      <c r="L471" t="inlineStr">
        <is>
          <t>Weighted average of amounts in regional datasets.</t>
        </is>
      </c>
    </row>
    <row r="472">
      <c r="A472" t="inlineStr">
        <is>
          <t>Hydrochloric acid</t>
        </is>
      </c>
      <c r="B472" t="n">
        <v>5.2e-06</v>
      </c>
      <c r="E472" t="inlineStr">
        <is>
          <t>kilogram</t>
        </is>
      </c>
      <c r="F472" t="inlineStr">
        <is>
          <t>air</t>
        </is>
      </c>
      <c r="G472" t="inlineStr">
        <is>
          <t>biosphere</t>
        </is>
      </c>
      <c r="H472" t="inlineStr">
        <is>
          <t>ClH</t>
        </is>
      </c>
      <c r="I472" t="n">
        <v>2</v>
      </c>
      <c r="J472" t="n">
        <v>-12.26423556587751</v>
      </c>
      <c r="K472" t="n">
        <v>0.2172556098240043</v>
      </c>
      <c r="L472" t="inlineStr">
        <is>
          <t>Weighted average of amounts in regional datasets.</t>
        </is>
      </c>
      <c r="M472" t="n">
        <v>4.71748110091291e-06</v>
      </c>
    </row>
    <row r="473">
      <c r="A473" t="inlineStr">
        <is>
          <t>Hydrogen fluoride</t>
        </is>
      </c>
      <c r="B473" t="n">
        <v>2.35e-06</v>
      </c>
      <c r="E473" t="inlineStr">
        <is>
          <t>kilogram</t>
        </is>
      </c>
      <c r="F473" t="inlineStr">
        <is>
          <t>air</t>
        </is>
      </c>
      <c r="G473" t="inlineStr">
        <is>
          <t>biosphere</t>
        </is>
      </c>
      <c r="H473" t="inlineStr">
        <is>
          <t>FH</t>
        </is>
      </c>
      <c r="I473" t="n">
        <v>2</v>
      </c>
      <c r="J473" t="n">
        <v>-14.2178260510401</v>
      </c>
      <c r="K473" t="n">
        <v>0.2172556098240043</v>
      </c>
      <c r="L473" t="inlineStr">
        <is>
          <t>Weighted average of amounts in regional datasets.</t>
        </is>
      </c>
      <c r="M473" t="n">
        <v>6.68769720187513e-07</v>
      </c>
    </row>
    <row r="474">
      <c r="A474" t="inlineStr">
        <is>
          <t>Lead II</t>
        </is>
      </c>
      <c r="B474" t="n">
        <v>1.81e-06</v>
      </c>
      <c r="E474" t="inlineStr">
        <is>
          <t>kilogram</t>
        </is>
      </c>
      <c r="F474" t="inlineStr">
        <is>
          <t>air</t>
        </is>
      </c>
      <c r="G474" t="inlineStr">
        <is>
          <t>biosphere</t>
        </is>
      </c>
      <c r="H474" t="inlineStr">
        <is>
          <t>Pb</t>
        </is>
      </c>
      <c r="I474" t="n">
        <v>2</v>
      </c>
      <c r="J474" t="n">
        <v>-14.04199919281701</v>
      </c>
      <c r="K474" t="n">
        <v>0.8104319835741924</v>
      </c>
      <c r="L474" t="inlineStr">
        <is>
          <t>Weighted average of amounts in regional datasets.</t>
        </is>
      </c>
      <c r="M474" t="n">
        <v>7.97328404016226e-07</v>
      </c>
    </row>
    <row r="475">
      <c r="A475" t="inlineStr">
        <is>
          <t>Mercury II</t>
        </is>
      </c>
      <c r="B475" t="n">
        <v>2.24e-06</v>
      </c>
      <c r="E475" t="inlineStr">
        <is>
          <t>kilogram</t>
        </is>
      </c>
      <c r="F475" t="inlineStr">
        <is>
          <t>air</t>
        </is>
      </c>
      <c r="G475" t="inlineStr">
        <is>
          <t>biosphere</t>
        </is>
      </c>
      <c r="H475" t="inlineStr">
        <is>
          <t>Hg</t>
        </is>
      </c>
      <c r="I475" t="n">
        <v>2</v>
      </c>
      <c r="J475" t="n">
        <v>-14.28668438016599</v>
      </c>
      <c r="K475" t="n">
        <v>0.8104319835741924</v>
      </c>
      <c r="L475" t="inlineStr">
        <is>
          <t>Weighted average of amounts in regional datasets.</t>
        </is>
      </c>
      <c r="M475" t="n">
        <v>6.24269057158002e-07</v>
      </c>
    </row>
    <row r="476">
      <c r="A476" t="inlineStr">
        <is>
          <t>Nickel II</t>
        </is>
      </c>
      <c r="B476" t="n">
        <v>7.01e-07</v>
      </c>
      <c r="E476" t="inlineStr">
        <is>
          <t>kilogram</t>
        </is>
      </c>
      <c r="F476" t="inlineStr">
        <is>
          <t>air</t>
        </is>
      </c>
      <c r="G476" t="inlineStr">
        <is>
          <t>biosphere</t>
        </is>
      </c>
      <c r="H476" t="inlineStr">
        <is>
          <t>Ni</t>
        </is>
      </c>
      <c r="I476" t="n">
        <v>2</v>
      </c>
      <c r="J476" t="n">
        <v>-15.228219149121</v>
      </c>
      <c r="K476" t="n">
        <v>0.8104319835741924</v>
      </c>
      <c r="L476" t="inlineStr">
        <is>
          <t>Weighted average of amounts in regional datasets.</t>
        </is>
      </c>
      <c r="M476" t="n">
        <v>2.43482893582134e-07</v>
      </c>
    </row>
    <row r="477">
      <c r="A477" t="inlineStr">
        <is>
          <t>Nitrogen oxides</t>
        </is>
      </c>
      <c r="B477" t="n">
        <v>0.00018</v>
      </c>
      <c r="E477" t="inlineStr">
        <is>
          <t>kilogram</t>
        </is>
      </c>
      <c r="F477" t="inlineStr">
        <is>
          <t>air</t>
        </is>
      </c>
      <c r="G477" t="inlineStr">
        <is>
          <t>biosphere</t>
        </is>
      </c>
      <c r="H477" t="inlineStr">
        <is>
          <t>H3NO</t>
        </is>
      </c>
      <c r="I477" t="n">
        <v>2</v>
      </c>
      <c r="J477" t="n">
        <v>-9.191156245363171</v>
      </c>
      <c r="K477" t="n">
        <v>0.2163330765278394</v>
      </c>
      <c r="L477" t="inlineStr">
        <is>
          <t>Weighted average of amounts in regional datasets.</t>
        </is>
      </c>
      <c r="M477" t="n">
        <v>0.000101936932435993</v>
      </c>
    </row>
    <row r="478">
      <c r="A478" t="inlineStr">
        <is>
          <t>PAH, polycyclic aromatic hydrocarbons</t>
        </is>
      </c>
      <c r="B478" t="n">
        <v>3.73e-08</v>
      </c>
      <c r="E478" t="inlineStr">
        <is>
          <t>kilogram</t>
        </is>
      </c>
      <c r="F478" t="inlineStr">
        <is>
          <t>air</t>
        </is>
      </c>
      <c r="G478" t="inlineStr">
        <is>
          <t>biosphere</t>
        </is>
      </c>
      <c r="I478" t="n">
        <v>2</v>
      </c>
      <c r="J478" t="n">
        <v>-16.50501550415166</v>
      </c>
      <c r="K478" t="n">
        <v>0.5542562584220407</v>
      </c>
      <c r="L478" t="inlineStr">
        <is>
          <t>Weighted average of amounts in regional datasets.</t>
        </is>
      </c>
    </row>
    <row r="479">
      <c r="A479" t="inlineStr">
        <is>
          <t>Particulate Matter, &lt; 2.5 um</t>
        </is>
      </c>
      <c r="B479" t="n">
        <v>0.00017</v>
      </c>
      <c r="E479" t="inlineStr">
        <is>
          <t>kilogram</t>
        </is>
      </c>
      <c r="F479" t="inlineStr">
        <is>
          <t>air</t>
        </is>
      </c>
      <c r="G479" t="inlineStr">
        <is>
          <t>biosphere</t>
        </is>
      </c>
      <c r="I479" t="n">
        <v>2</v>
      </c>
      <c r="J479" t="n">
        <v>-9.785144268800101</v>
      </c>
      <c r="K479" t="n">
        <v>0.5538952969650491</v>
      </c>
      <c r="L479" t="inlineStr">
        <is>
          <t>Weighted average of amounts in regional datasets.</t>
        </is>
      </c>
    </row>
    <row r="480">
      <c r="A480" t="inlineStr">
        <is>
          <t>Particulate Matter, &gt; 10 um</t>
        </is>
      </c>
      <c r="B480" t="n">
        <v>5.86e-05</v>
      </c>
      <c r="E480" t="inlineStr">
        <is>
          <t>kilogram</t>
        </is>
      </c>
      <c r="F480" t="inlineStr">
        <is>
          <t>air</t>
        </is>
      </c>
      <c r="G480" t="inlineStr">
        <is>
          <t>biosphere</t>
        </is>
      </c>
      <c r="I480" t="n">
        <v>2</v>
      </c>
      <c r="J480" t="n">
        <v>-10.8454015692309</v>
      </c>
      <c r="K480" t="n">
        <v>0.2172556098240043</v>
      </c>
      <c r="L480" t="inlineStr">
        <is>
          <t>Weighted average of amounts in regional datasets.</t>
        </is>
      </c>
    </row>
    <row r="481">
      <c r="A481" t="inlineStr">
        <is>
          <t>Particulate Matter, &gt; 2.5 um and &lt; 10um</t>
        </is>
      </c>
      <c r="B481" t="n">
        <v>0.00017</v>
      </c>
      <c r="E481" t="inlineStr">
        <is>
          <t>kilogram</t>
        </is>
      </c>
      <c r="F481" t="inlineStr">
        <is>
          <t>air</t>
        </is>
      </c>
      <c r="G481" t="inlineStr">
        <is>
          <t>biosphere</t>
        </is>
      </c>
      <c r="I481" t="n">
        <v>2</v>
      </c>
      <c r="J481" t="n">
        <v>-9.783839850899605</v>
      </c>
      <c r="K481" t="n">
        <v>0.3560898762952971</v>
      </c>
      <c r="L481" t="inlineStr">
        <is>
          <t>Weighted average of amounts in regional datasets.</t>
        </is>
      </c>
    </row>
    <row r="482">
      <c r="A482" t="inlineStr">
        <is>
          <t>Particulate Matter, &gt; 2.5 um and &lt; 10um</t>
        </is>
      </c>
      <c r="B482" t="n">
        <v>0.00017</v>
      </c>
      <c r="E482" t="inlineStr">
        <is>
          <t>kilogram</t>
        </is>
      </c>
      <c r="F482" t="inlineStr">
        <is>
          <t>air</t>
        </is>
      </c>
      <c r="G482" t="inlineStr">
        <is>
          <t>biosphere</t>
        </is>
      </c>
    </row>
    <row r="483">
      <c r="A483" t="inlineStr">
        <is>
          <t>Polychlorinated biphenyls</t>
        </is>
      </c>
      <c r="B483" t="n">
        <v>2.33e-08</v>
      </c>
      <c r="E483" t="inlineStr">
        <is>
          <t>kilogram</t>
        </is>
      </c>
      <c r="F483" t="inlineStr">
        <is>
          <t>air</t>
        </is>
      </c>
      <c r="G483" t="inlineStr">
        <is>
          <t>biosphere</t>
        </is>
      </c>
      <c r="I483" t="n">
        <v>2</v>
      </c>
      <c r="J483" t="n">
        <v>-18.85222395835662</v>
      </c>
      <c r="K483" t="n">
        <v>0.552630075185924</v>
      </c>
      <c r="L483" t="inlineStr">
        <is>
          <t>Weighted average of amounts in regional datasets.</t>
        </is>
      </c>
    </row>
    <row r="484">
      <c r="A484" t="inlineStr">
        <is>
          <t>Sulfur dioxide</t>
        </is>
      </c>
      <c r="B484" t="n">
        <v>7.7e-05</v>
      </c>
      <c r="E484" t="inlineStr">
        <is>
          <t>kilogram</t>
        </is>
      </c>
      <c r="F484" t="inlineStr">
        <is>
          <t>air</t>
        </is>
      </c>
      <c r="G484" t="inlineStr">
        <is>
          <t>biosphere</t>
        </is>
      </c>
      <c r="H484" t="inlineStr">
        <is>
          <t>O2S</t>
        </is>
      </c>
      <c r="I484" t="n">
        <v>2</v>
      </c>
      <c r="J484" t="n">
        <v>-9.863150918613863</v>
      </c>
      <c r="K484" t="n">
        <v>0.2172556098240043</v>
      </c>
      <c r="L484" t="inlineStr">
        <is>
          <t>Weighted average of amounts in regional datasets.</t>
        </is>
      </c>
      <c r="M484" t="n">
        <v>5.20580602692922e-05</v>
      </c>
    </row>
    <row r="485">
      <c r="A485" t="inlineStr">
        <is>
          <t>Water</t>
        </is>
      </c>
      <c r="B485" t="n">
        <v>0.0023</v>
      </c>
      <c r="E485" t="inlineStr">
        <is>
          <t>cubic meter</t>
        </is>
      </c>
      <c r="F485" t="inlineStr">
        <is>
          <t>water</t>
        </is>
      </c>
      <c r="G485" t="inlineStr">
        <is>
          <t>biosphere</t>
        </is>
      </c>
      <c r="H485" t="inlineStr">
        <is>
          <t>H2O</t>
        </is>
      </c>
      <c r="I485" t="n">
        <v>2</v>
      </c>
      <c r="J485" t="n">
        <v>-6.521295114059408</v>
      </c>
      <c r="K485" t="n">
        <v>0.2066397831977183</v>
      </c>
      <c r="L485" t="inlineStr">
        <is>
          <t>Weighted average of amounts in regional datasets.</t>
        </is>
      </c>
      <c r="M485" t="n">
        <v>0.00147176176815489</v>
      </c>
    </row>
    <row r="486">
      <c r="A486" t="inlineStr">
        <is>
          <t>Water</t>
        </is>
      </c>
      <c r="B486" t="n">
        <v>0.0088716527537463</v>
      </c>
      <c r="E486" t="inlineStr">
        <is>
          <t>cubic meter</t>
        </is>
      </c>
      <c r="F486" t="inlineStr">
        <is>
          <t>air</t>
        </is>
      </c>
      <c r="G486" t="inlineStr">
        <is>
          <t>biosphere</t>
        </is>
      </c>
      <c r="H486" t="inlineStr">
        <is>
          <t>H2O</t>
        </is>
      </c>
      <c r="I486" t="n">
        <v>2</v>
      </c>
      <c r="J486" t="n">
        <v>-4.724894169268766</v>
      </c>
      <c r="K486" t="n">
        <v>0.2071231517720798</v>
      </c>
      <c r="L486" t="inlineStr">
        <is>
          <t>Weighted average of amounts in regional datasets.</t>
        </is>
      </c>
      <c r="M486" t="n">
        <v>0.0088716527537463</v>
      </c>
    </row>
    <row r="487">
      <c r="A487" t="inlineStr">
        <is>
          <t>Water, unspecified natural origin</t>
        </is>
      </c>
      <c r="B487" t="n">
        <v>0.0023</v>
      </c>
      <c r="E487" t="inlineStr">
        <is>
          <t>cubic meter</t>
        </is>
      </c>
      <c r="F487" t="inlineStr">
        <is>
          <t>natural resource::in ground</t>
        </is>
      </c>
      <c r="G487" t="inlineStr">
        <is>
          <t>biosphere</t>
        </is>
      </c>
      <c r="I487" t="n">
        <v>2</v>
      </c>
      <c r="J487" t="n">
        <v>-3.344479074915384</v>
      </c>
      <c r="K487" t="n">
        <v>0.07615773105863909</v>
      </c>
      <c r="L487" t="inlineStr">
        <is>
          <t>Weighted average of amounts in regional datasets.</t>
        </is>
      </c>
    </row>
    <row r="488">
      <c r="A488" t="inlineStr">
        <is>
          <t>Water, unspecified natural origin</t>
        </is>
      </c>
      <c r="B488" t="n">
        <v>0.00522</v>
      </c>
      <c r="E488" t="inlineStr">
        <is>
          <t>cubic meter</t>
        </is>
      </c>
      <c r="F488" t="inlineStr">
        <is>
          <t>natural resource::in water</t>
        </is>
      </c>
      <c r="G488" t="inlineStr">
        <is>
          <t>biosphere</t>
        </is>
      </c>
    </row>
    <row r="489">
      <c r="A489" t="inlineStr">
        <is>
          <t>Zinc II</t>
        </is>
      </c>
      <c r="B489" t="n">
        <v>2.29e-05</v>
      </c>
      <c r="E489" t="inlineStr">
        <is>
          <t>kilogram</t>
        </is>
      </c>
      <c r="F489" t="inlineStr">
        <is>
          <t>air</t>
        </is>
      </c>
      <c r="G489" t="inlineStr">
        <is>
          <t>biosphere</t>
        </is>
      </c>
      <c r="H489" t="inlineStr">
        <is>
          <t>Zn</t>
        </is>
      </c>
      <c r="I489" t="n">
        <v>2</v>
      </c>
      <c r="J489" t="n">
        <v>-11.75545855594648</v>
      </c>
      <c r="K489" t="n">
        <v>0.8104319835741924</v>
      </c>
      <c r="L489" t="inlineStr">
        <is>
          <t>Weighted average of amounts in regional datasets.</t>
        </is>
      </c>
      <c r="M489" t="n">
        <v>7.84637782718887e-06</v>
      </c>
    </row>
    <row r="490">
      <c r="A490" t="inlineStr">
        <is>
          <t>vanadium slag production</t>
        </is>
      </c>
      <c r="B490" t="n">
        <v>0.1226</v>
      </c>
      <c r="C490" t="inlineStr">
        <is>
          <t>vanadium slag</t>
        </is>
      </c>
      <c r="D490" t="inlineStr">
        <is>
          <t>ZA</t>
        </is>
      </c>
      <c r="E490" t="inlineStr">
        <is>
          <t>kilogram</t>
        </is>
      </c>
      <c r="G490" t="inlineStr">
        <is>
          <t>production</t>
        </is>
      </c>
      <c r="I490" t="n">
        <v>0</v>
      </c>
      <c r="J490" t="n">
        <v>1</v>
      </c>
    </row>
    <row r="491">
      <c r="A491" t="inlineStr">
        <is>
          <t>vanadium pentoxide bearing cast iron, production</t>
        </is>
      </c>
      <c r="B491" t="n">
        <v>1.32</v>
      </c>
      <c r="C491" t="inlineStr">
        <is>
          <t>vanadium pentoxide bearing cast iron</t>
        </is>
      </c>
      <c r="D491" t="inlineStr">
        <is>
          <t>ZA</t>
        </is>
      </c>
      <c r="E491" t="inlineStr">
        <is>
          <t>kilogram</t>
        </is>
      </c>
      <c r="G491" t="inlineStr">
        <is>
          <t>technosphere</t>
        </is>
      </c>
    </row>
    <row r="492">
      <c r="A492" t="inlineStr">
        <is>
          <t>market for aluminium, wrought alloy</t>
        </is>
      </c>
      <c r="B492" t="n">
        <v>1.48e-05</v>
      </c>
      <c r="C492" t="inlineStr">
        <is>
          <t>aluminium, wrought alloy</t>
        </is>
      </c>
      <c r="D492" t="inlineStr">
        <is>
          <t>GLO</t>
        </is>
      </c>
      <c r="E492" t="inlineStr">
        <is>
          <t>kilogram</t>
        </is>
      </c>
      <c r="G492" t="inlineStr">
        <is>
          <t>technosphere</t>
        </is>
      </c>
      <c r="I492" t="n">
        <v>2</v>
      </c>
      <c r="J492" t="n">
        <v>-9.132746065261932</v>
      </c>
      <c r="K492" t="n">
        <v>0.08485281374238571</v>
      </c>
      <c r="L492" t="inlineStr">
        <is>
          <t>Weighted average of amounts in regional datasets.</t>
        </is>
      </c>
    </row>
    <row r="493">
      <c r="A493" t="inlineStr">
        <is>
          <t>market for anode, for metal electrolysis</t>
        </is>
      </c>
      <c r="B493" t="n">
        <v>0.003</v>
      </c>
      <c r="C493" t="inlineStr">
        <is>
          <t>anode, for metal electrolysis</t>
        </is>
      </c>
      <c r="D493" t="inlineStr">
        <is>
          <t>GLO</t>
        </is>
      </c>
      <c r="E493" t="inlineStr">
        <is>
          <t>kilogram</t>
        </is>
      </c>
      <c r="G493" t="inlineStr">
        <is>
          <t>technosphere</t>
        </is>
      </c>
      <c r="I493" t="n">
        <v>2</v>
      </c>
      <c r="J493" t="n">
        <v>-6.055822852710103</v>
      </c>
      <c r="K493" t="n">
        <v>0.07348469228349534</v>
      </c>
      <c r="L493" t="inlineStr">
        <is>
          <t>Weighted average of amounts in regional datasets.</t>
        </is>
      </c>
    </row>
    <row r="494">
      <c r="A494" t="inlineStr">
        <is>
          <t>market for argon, liquid</t>
        </is>
      </c>
      <c r="B494" t="n">
        <v>0.00329</v>
      </c>
      <c r="C494" t="inlineStr">
        <is>
          <t>argon, liquid</t>
        </is>
      </c>
      <c r="D494" t="inlineStr">
        <is>
          <t>RoW</t>
        </is>
      </c>
      <c r="E494" t="inlineStr">
        <is>
          <t>kilogram</t>
        </is>
      </c>
      <c r="G494" t="inlineStr">
        <is>
          <t>technosphere</t>
        </is>
      </c>
      <c r="I494" t="n">
        <v>2</v>
      </c>
      <c r="J494" t="n">
        <v>-7.277523278982737</v>
      </c>
      <c r="K494" t="n">
        <v>0.07745966692414834</v>
      </c>
      <c r="L494" t="inlineStr">
        <is>
          <t>Weighted average of amounts in regional datasets.</t>
        </is>
      </c>
    </row>
    <row r="495">
      <c r="A495" t="inlineStr">
        <is>
          <t>market for cast iron</t>
        </is>
      </c>
      <c r="B495" t="n">
        <v>5.15e-05</v>
      </c>
      <c r="C495" t="inlineStr">
        <is>
          <t>cast iron</t>
        </is>
      </c>
      <c r="D495" t="inlineStr">
        <is>
          <t>GLO</t>
        </is>
      </c>
      <c r="E495" t="inlineStr">
        <is>
          <t>kilogram</t>
        </is>
      </c>
      <c r="G495" t="inlineStr">
        <is>
          <t>technosphere</t>
        </is>
      </c>
      <c r="I495" t="n">
        <v>2</v>
      </c>
      <c r="J495" t="n">
        <v>-10.27596806153953</v>
      </c>
      <c r="K495" t="n">
        <v>0.07211102550927978</v>
      </c>
      <c r="L495" t="inlineStr">
        <is>
          <t>Weighted average of amounts in regional datasets.</t>
        </is>
      </c>
    </row>
    <row r="496">
      <c r="A496" t="inlineStr">
        <is>
          <t>market for diesel, burned in building machine</t>
        </is>
      </c>
      <c r="B496" t="n">
        <v>0.00346</v>
      </c>
      <c r="C496" t="inlineStr">
        <is>
          <t>diesel, burned in building machine</t>
        </is>
      </c>
      <c r="D496" t="inlineStr">
        <is>
          <t>GLO</t>
        </is>
      </c>
      <c r="E496" t="inlineStr">
        <is>
          <t>megajoule</t>
        </is>
      </c>
      <c r="G496" t="inlineStr">
        <is>
          <t>technosphere</t>
        </is>
      </c>
      <c r="I496" t="n">
        <v>2</v>
      </c>
      <c r="J496" t="n">
        <v>-11.02027358912135</v>
      </c>
      <c r="K496" t="n">
        <v>0.04472135954999579</v>
      </c>
      <c r="L496" t="inlineStr">
        <is>
          <t>Weighted average of amounts in regional datasets.</t>
        </is>
      </c>
    </row>
    <row r="497">
      <c r="A497" t="inlineStr">
        <is>
          <t>market for electric arc furnace converter</t>
        </is>
      </c>
      <c r="B497" t="n">
        <v>4.02495006663275e-11</v>
      </c>
      <c r="C497" t="inlineStr">
        <is>
          <t>electric arc furnace converter</t>
        </is>
      </c>
      <c r="D497" t="inlineStr">
        <is>
          <t>GLO</t>
        </is>
      </c>
      <c r="E497" t="inlineStr">
        <is>
          <t>unit</t>
        </is>
      </c>
      <c r="G497" t="inlineStr">
        <is>
          <t>technosphere</t>
        </is>
      </c>
      <c r="I497" t="n">
        <v>2</v>
      </c>
      <c r="J497" t="n">
        <v>-23.93592351794646</v>
      </c>
      <c r="K497" t="n">
        <v>0.714142842854285</v>
      </c>
      <c r="L497" t="inlineStr">
        <is>
          <t>Weighted average of amounts in regional datasets.</t>
        </is>
      </c>
    </row>
    <row r="498">
      <c r="A498" t="inlineStr">
        <is>
          <t>market for electric arc furnace secondary metallurgy slag</t>
        </is>
      </c>
      <c r="B498" t="n">
        <v>-0.0498</v>
      </c>
      <c r="C498" t="inlineStr">
        <is>
          <t>electric arc furnace secondary metallurgy slag</t>
        </is>
      </c>
      <c r="D498" t="inlineStr">
        <is>
          <t>RoW</t>
        </is>
      </c>
      <c r="E498" t="inlineStr">
        <is>
          <t>kilogram</t>
        </is>
      </c>
      <c r="G498" t="inlineStr">
        <is>
          <t>technosphere</t>
        </is>
      </c>
      <c r="I498" t="n">
        <v>2</v>
      </c>
      <c r="J498" t="n">
        <v>-4.435317819377249</v>
      </c>
      <c r="K498" t="n">
        <v>0.08</v>
      </c>
      <c r="L498" t="inlineStr">
        <is>
          <t>Weighted average of amounts in regional datasets.</t>
        </is>
      </c>
      <c r="N498" t="b">
        <v>1</v>
      </c>
    </row>
    <row r="499">
      <c r="A499" t="inlineStr">
        <is>
          <t>market for electric arc furnace slag</t>
        </is>
      </c>
      <c r="B499" t="n">
        <v>0.09279999999999999</v>
      </c>
      <c r="C499" t="inlineStr">
        <is>
          <t>electric arc furnace slag</t>
        </is>
      </c>
      <c r="D499" t="inlineStr">
        <is>
          <t>RoW</t>
        </is>
      </c>
      <c r="E499" t="inlineStr">
        <is>
          <t>kilogram</t>
        </is>
      </c>
      <c r="G499" t="inlineStr">
        <is>
          <t>technosphere</t>
        </is>
      </c>
      <c r="I499" t="n">
        <v>2</v>
      </c>
      <c r="J499" t="n">
        <v>-2.25129756299336</v>
      </c>
      <c r="K499" t="n">
        <v>0.08831760866327847</v>
      </c>
      <c r="L499" t="inlineStr">
        <is>
          <t>Weighted average of amounts in regional datasets.</t>
        </is>
      </c>
    </row>
    <row r="500">
      <c r="A500" t="inlineStr">
        <is>
          <t>market for electricity, low voltage</t>
        </is>
      </c>
      <c r="B500" t="n">
        <v>0.034</v>
      </c>
      <c r="C500" t="inlineStr">
        <is>
          <t>electricity, low voltage</t>
        </is>
      </c>
      <c r="D500" t="inlineStr">
        <is>
          <t>ZA</t>
        </is>
      </c>
      <c r="E500" t="inlineStr">
        <is>
          <t>kilowatt hour</t>
        </is>
      </c>
      <c r="G500" t="inlineStr">
        <is>
          <t>technosphere</t>
        </is>
      </c>
    </row>
    <row r="501">
      <c r="A501" t="inlineStr">
        <is>
          <t>market for electricity, medium voltage</t>
        </is>
      </c>
      <c r="B501" t="n">
        <v>0.54</v>
      </c>
      <c r="C501" t="inlineStr">
        <is>
          <t>electricity, medium voltage</t>
        </is>
      </c>
      <c r="D501" t="inlineStr">
        <is>
          <t>ZA</t>
        </is>
      </c>
      <c r="E501" t="inlineStr">
        <is>
          <t>kilowatt hour</t>
        </is>
      </c>
      <c r="G501" t="inlineStr">
        <is>
          <t>technosphere</t>
        </is>
      </c>
    </row>
    <row r="502">
      <c r="A502" t="inlineStr">
        <is>
          <t>market for ethylene glycol</t>
        </is>
      </c>
      <c r="B502" t="n">
        <v>3.32e-08</v>
      </c>
      <c r="C502" t="inlineStr">
        <is>
          <t>ethylene glycol</t>
        </is>
      </c>
      <c r="D502" t="inlineStr">
        <is>
          <t>GLO</t>
        </is>
      </c>
      <c r="E502" t="inlineStr">
        <is>
          <t>kilogram</t>
        </is>
      </c>
      <c r="G502" t="inlineStr">
        <is>
          <t>technosphere</t>
        </is>
      </c>
      <c r="I502" t="n">
        <v>2</v>
      </c>
      <c r="J502" t="n">
        <v>-17.62197827145283</v>
      </c>
      <c r="K502" t="n">
        <v>0.04472135954999579</v>
      </c>
      <c r="L502" t="inlineStr">
        <is>
          <t>Weighted average of amounts in regional datasets.</t>
        </is>
      </c>
    </row>
    <row r="503">
      <c r="A503" t="inlineStr">
        <is>
          <t>market for ferrochromium, high-carbon, 68% Cr</t>
        </is>
      </c>
      <c r="B503" t="n">
        <v>0.00011</v>
      </c>
      <c r="C503" t="inlineStr">
        <is>
          <t>ferrochromium, high-carbon, 68% Cr</t>
        </is>
      </c>
      <c r="D503" t="inlineStr">
        <is>
          <t>GLO</t>
        </is>
      </c>
      <c r="E503" t="inlineStr">
        <is>
          <t>kilogram</t>
        </is>
      </c>
      <c r="G503" t="inlineStr">
        <is>
          <t>technosphere</t>
        </is>
      </c>
      <c r="I503" t="n">
        <v>2</v>
      </c>
      <c r="J503" t="n">
        <v>-7.347181381679063</v>
      </c>
      <c r="K503" t="n">
        <v>0.08485281374238571</v>
      </c>
      <c r="L503" t="inlineStr">
        <is>
          <t>Weighted average of amounts in regional datasets.</t>
        </is>
      </c>
    </row>
    <row r="504">
      <c r="A504" t="inlineStr">
        <is>
          <t>market for ferromanganese, high-coal, 74.5% Mn</t>
        </is>
      </c>
      <c r="B504" t="n">
        <v>4.45e-05</v>
      </c>
      <c r="C504" t="inlineStr">
        <is>
          <t>ferromanganese, high-coal, 74.5% Mn</t>
        </is>
      </c>
      <c r="D504" t="inlineStr">
        <is>
          <t>GLO</t>
        </is>
      </c>
      <c r="E504" t="inlineStr">
        <is>
          <t>kilogram</t>
        </is>
      </c>
      <c r="G504" t="inlineStr">
        <is>
          <t>technosphere</t>
        </is>
      </c>
      <c r="I504" t="n">
        <v>2</v>
      </c>
      <c r="J504" t="n">
        <v>-4.874777443622957</v>
      </c>
      <c r="K504" t="n">
        <v>0.08602325267042626</v>
      </c>
      <c r="L504" t="inlineStr">
        <is>
          <t>Weighted average of amounts in regional datasets.</t>
        </is>
      </c>
    </row>
    <row r="505">
      <c r="A505" t="inlineStr">
        <is>
          <t>market for ferrosilicon</t>
        </is>
      </c>
      <c r="B505" t="n">
        <v>0.0037</v>
      </c>
      <c r="C505" t="inlineStr">
        <is>
          <t>ferrosilicon</t>
        </is>
      </c>
      <c r="D505" t="inlineStr">
        <is>
          <t>GLO</t>
        </is>
      </c>
      <c r="E505" t="inlineStr">
        <is>
          <t>kilogram</t>
        </is>
      </c>
      <c r="G505" t="inlineStr">
        <is>
          <t>technosphere</t>
        </is>
      </c>
      <c r="I505" t="n">
        <v>2</v>
      </c>
      <c r="J505" t="n">
        <v>-5.028768745366597</v>
      </c>
      <c r="K505" t="n">
        <v>0.08602325267042626</v>
      </c>
      <c r="L505" t="inlineStr">
        <is>
          <t>Weighted average of amounts in regional datasets.</t>
        </is>
      </c>
    </row>
    <row r="506">
      <c r="A506" t="inlineStr">
        <is>
          <t>market for hard coal</t>
        </is>
      </c>
      <c r="B506" t="n">
        <v>0.014</v>
      </c>
      <c r="C506" t="inlineStr">
        <is>
          <t>hard coal</t>
        </is>
      </c>
      <c r="D506" t="inlineStr">
        <is>
          <t>RoW</t>
        </is>
      </c>
      <c r="E506" t="inlineStr">
        <is>
          <t>kilogram</t>
        </is>
      </c>
      <c r="G506" t="inlineStr">
        <is>
          <t>technosphere</t>
        </is>
      </c>
    </row>
    <row r="507">
      <c r="A507" t="inlineStr">
        <is>
          <t>market for heat, district or industrial, natural gas</t>
        </is>
      </c>
      <c r="B507" t="n">
        <v>1.23</v>
      </c>
      <c r="C507" t="inlineStr">
        <is>
          <t>heat, district or industrial, natural gas</t>
        </is>
      </c>
      <c r="D507" t="inlineStr">
        <is>
          <t>RoW</t>
        </is>
      </c>
      <c r="E507" t="inlineStr">
        <is>
          <t>megajoule</t>
        </is>
      </c>
      <c r="G507" t="inlineStr">
        <is>
          <t>technosphere</t>
        </is>
      </c>
    </row>
    <row r="508">
      <c r="A508" t="inlineStr">
        <is>
          <t>market for inert waste, for final disposal</t>
        </is>
      </c>
      <c r="B508" t="n">
        <v>-0.005</v>
      </c>
      <c r="C508" t="inlineStr">
        <is>
          <t>inert waste, for final disposal</t>
        </is>
      </c>
      <c r="D508" t="inlineStr">
        <is>
          <t>RoW</t>
        </is>
      </c>
      <c r="E508" t="inlineStr">
        <is>
          <t>kilogram</t>
        </is>
      </c>
      <c r="G508" t="inlineStr">
        <is>
          <t>technosphere</t>
        </is>
      </c>
      <c r="I508" t="n">
        <v>2</v>
      </c>
      <c r="J508" t="n">
        <v>-4.91424678785705</v>
      </c>
      <c r="K508" t="n">
        <v>0.08831760866327847</v>
      </c>
      <c r="L508" t="inlineStr">
        <is>
          <t>Weighted average of amounts in regional datasets.</t>
        </is>
      </c>
      <c r="N508" t="b">
        <v>1</v>
      </c>
    </row>
    <row r="509">
      <c r="A509" t="inlineStr">
        <is>
          <t>market for iron scrap, unsorted</t>
        </is>
      </c>
      <c r="B509" t="n">
        <v>-5.15e-05</v>
      </c>
      <c r="C509" t="inlineStr">
        <is>
          <t>iron scrap, unsorted</t>
        </is>
      </c>
      <c r="D509" t="inlineStr">
        <is>
          <t>GLO</t>
        </is>
      </c>
      <c r="E509" t="inlineStr">
        <is>
          <t>kilogram</t>
        </is>
      </c>
      <c r="G509" t="inlineStr">
        <is>
          <t>technosphere</t>
        </is>
      </c>
      <c r="I509" t="n">
        <v>2</v>
      </c>
      <c r="J509" t="n">
        <v>-3.660355683435815</v>
      </c>
      <c r="K509" t="n">
        <v>0.05291502622129181</v>
      </c>
      <c r="L509" t="inlineStr">
        <is>
          <t>Weighted average of amounts in regional datasets.</t>
        </is>
      </c>
      <c r="N509" t="b">
        <v>1</v>
      </c>
    </row>
    <row r="510">
      <c r="A510" t="inlineStr">
        <is>
          <t>market for molybdenum trioxide</t>
        </is>
      </c>
      <c r="B510" t="n">
        <v>1.41e-05</v>
      </c>
      <c r="C510" t="inlineStr">
        <is>
          <t>molybdenum trioxide</t>
        </is>
      </c>
      <c r="D510" t="inlineStr">
        <is>
          <t>GLO</t>
        </is>
      </c>
      <c r="E510" t="inlineStr">
        <is>
          <t>kilogram</t>
        </is>
      </c>
      <c r="G510" t="inlineStr">
        <is>
          <t>technosphere</t>
        </is>
      </c>
      <c r="I510" t="n">
        <v>2</v>
      </c>
      <c r="J510" t="n">
        <v>-11.56863832062676</v>
      </c>
      <c r="K510" t="n">
        <v>0.07211102550927978</v>
      </c>
      <c r="L510" t="inlineStr">
        <is>
          <t>Weighted average of amounts in regional datasets.</t>
        </is>
      </c>
    </row>
    <row r="511">
      <c r="A511" t="inlineStr">
        <is>
          <t>market for natural gas, high pressure</t>
        </is>
      </c>
      <c r="B511" t="n">
        <v>0.025</v>
      </c>
      <c r="C511" t="inlineStr">
        <is>
          <t>natural gas, high pressure</t>
        </is>
      </c>
      <c r="D511" t="inlineStr">
        <is>
          <t>RoW</t>
        </is>
      </c>
      <c r="E511" t="inlineStr">
        <is>
          <t>cubic meter</t>
        </is>
      </c>
      <c r="G511" t="inlineStr">
        <is>
          <t>technosphere</t>
        </is>
      </c>
    </row>
    <row r="512">
      <c r="A512" t="inlineStr">
        <is>
          <t>market for nickel, class 1</t>
        </is>
      </c>
      <c r="B512" t="n">
        <v>3.32e-05</v>
      </c>
      <c r="C512" t="inlineStr">
        <is>
          <t>nickel, class 1</t>
        </is>
      </c>
      <c r="D512" t="inlineStr">
        <is>
          <t>GLO</t>
        </is>
      </c>
      <c r="E512" t="inlineStr">
        <is>
          <t>kilogram</t>
        </is>
      </c>
      <c r="G512" t="inlineStr">
        <is>
          <t>technosphere</t>
        </is>
      </c>
      <c r="I512" t="n">
        <v>2</v>
      </c>
      <c r="J512" t="n">
        <v>-10.71422299247069</v>
      </c>
      <c r="K512" t="n">
        <v>0.07211102550927978</v>
      </c>
      <c r="L512" t="inlineStr">
        <is>
          <t>Weighted average of amounts in regional datasets.</t>
        </is>
      </c>
    </row>
    <row r="513">
      <c r="A513" t="inlineStr">
        <is>
          <t>market for oxygen, liquid</t>
        </is>
      </c>
      <c r="B513" t="n">
        <v>0.0507</v>
      </c>
      <c r="C513" t="inlineStr">
        <is>
          <t>oxygen, liquid</t>
        </is>
      </c>
      <c r="D513" t="inlineStr">
        <is>
          <t>RoW</t>
        </is>
      </c>
      <c r="E513" t="inlineStr">
        <is>
          <t>kilogram</t>
        </is>
      </c>
      <c r="G513" t="inlineStr">
        <is>
          <t>technosphere</t>
        </is>
      </c>
      <c r="I513" t="n">
        <v>2</v>
      </c>
      <c r="J513" t="n">
        <v>-3.326922815462984</v>
      </c>
      <c r="K513" t="n">
        <v>0.08602325267042626</v>
      </c>
      <c r="L513" t="inlineStr">
        <is>
          <t>Weighted average of amounts in regional datasets.</t>
        </is>
      </c>
    </row>
    <row r="514">
      <c r="A514" t="inlineStr">
        <is>
          <t>market for propane, burned in building machine</t>
        </is>
      </c>
      <c r="B514" t="n">
        <v>0.00273</v>
      </c>
      <c r="C514" t="inlineStr">
        <is>
          <t>propane, burned in building machine</t>
        </is>
      </c>
      <c r="D514" t="inlineStr">
        <is>
          <t>GLO</t>
        </is>
      </c>
      <c r="E514" t="inlineStr">
        <is>
          <t>megajoule</t>
        </is>
      </c>
      <c r="G514" t="inlineStr">
        <is>
          <t>technosphere</t>
        </is>
      </c>
      <c r="I514" t="n">
        <v>2</v>
      </c>
      <c r="J514" t="n">
        <v>-11.25746217427694</v>
      </c>
      <c r="K514" t="n">
        <v>0.04472135954999579</v>
      </c>
      <c r="L514" t="inlineStr">
        <is>
          <t>Weighted average of amounts in regional datasets.</t>
        </is>
      </c>
    </row>
    <row r="515">
      <c r="A515" t="inlineStr">
        <is>
          <t>market for quicklime, in pieces, loose</t>
        </is>
      </c>
      <c r="B515" t="n">
        <v>0.055</v>
      </c>
      <c r="C515" t="inlineStr">
        <is>
          <t>quicklime, in pieces, loose</t>
        </is>
      </c>
      <c r="D515" t="inlineStr">
        <is>
          <t>RoW</t>
        </is>
      </c>
      <c r="E515" t="inlineStr">
        <is>
          <t>kilogram</t>
        </is>
      </c>
      <c r="G515" t="inlineStr">
        <is>
          <t>technosphere</t>
        </is>
      </c>
      <c r="I515" t="n">
        <v>2</v>
      </c>
      <c r="J515" t="n">
        <v>-3.185565192230559</v>
      </c>
      <c r="K515" t="n">
        <v>0.07348469228349534</v>
      </c>
      <c r="L515" t="inlineStr">
        <is>
          <t>Weighted average of amounts in regional datasets.</t>
        </is>
      </c>
    </row>
    <row r="516">
      <c r="A516" t="inlineStr">
        <is>
          <t>market for refractory, basic, packed</t>
        </is>
      </c>
      <c r="B516" t="n">
        <v>0.0135</v>
      </c>
      <c r="C516" t="inlineStr">
        <is>
          <t>refractory, basic, packed</t>
        </is>
      </c>
      <c r="D516" t="inlineStr">
        <is>
          <t>GLO</t>
        </is>
      </c>
      <c r="E516" t="inlineStr">
        <is>
          <t>kilogram</t>
        </is>
      </c>
      <c r="G516" t="inlineStr">
        <is>
          <t>technosphere</t>
        </is>
      </c>
    </row>
    <row r="517">
      <c r="A517" t="inlineStr">
        <is>
          <t>market for spent solvent mixture</t>
        </is>
      </c>
      <c r="B517" t="n">
        <v>-3.32e-08</v>
      </c>
      <c r="C517" t="inlineStr">
        <is>
          <t>spent solvent mixture</t>
        </is>
      </c>
      <c r="D517" t="inlineStr">
        <is>
          <t>RoW</t>
        </is>
      </c>
      <c r="E517" t="inlineStr">
        <is>
          <t>kilogram</t>
        </is>
      </c>
      <c r="G517" t="inlineStr">
        <is>
          <t>technosphere</t>
        </is>
      </c>
      <c r="I517" t="n">
        <v>2</v>
      </c>
      <c r="J517" t="n">
        <v>-17.62197827145283</v>
      </c>
      <c r="K517" t="n">
        <v>0.07211102550927978</v>
      </c>
      <c r="L517" t="inlineStr">
        <is>
          <t>Weighted average of amounts in regional datasets.</t>
        </is>
      </c>
      <c r="N517" t="b">
        <v>1</v>
      </c>
    </row>
    <row r="518">
      <c r="A518" t="inlineStr">
        <is>
          <t>treatment of electric arc furnace dust, residual material landfill</t>
        </is>
      </c>
      <c r="B518" t="n">
        <v>-0.009599999999999999</v>
      </c>
      <c r="C518" t="inlineStr">
        <is>
          <t>electric arc furnace dust</t>
        </is>
      </c>
      <c r="D518" t="inlineStr">
        <is>
          <t>CH</t>
        </is>
      </c>
      <c r="E518" t="inlineStr">
        <is>
          <t>kilogram</t>
        </is>
      </c>
      <c r="G518" t="inlineStr">
        <is>
          <t>technosphere</t>
        </is>
      </c>
    </row>
  </sheetData>
  <autoFilter ref="A1:T518"/>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I273"/>
  <sheetViews>
    <sheetView zoomScaleNormal="100" workbookViewId="0">
      <selection activeCell="A3" sqref="A3"/>
    </sheetView>
  </sheetViews>
  <sheetFormatPr baseColWidth="10" defaultColWidth="8.83203125" defaultRowHeight="15"/>
  <cols>
    <col width="67" bestFit="1" customWidth="1" min="1" max="1"/>
    <col width="12.6640625" bestFit="1" customWidth="1" min="2" max="2"/>
    <col width="17.6640625" bestFit="1" customWidth="1" min="3" max="3"/>
    <col width="17.5" customWidth="1" min="4" max="4"/>
    <col width="13.83203125" bestFit="1" customWidth="1" min="6" max="6"/>
    <col width="49.1640625" bestFit="1" customWidth="1" min="7" max="7"/>
  </cols>
  <sheetData>
    <row r="1">
      <c r="A1" t="inlineStr">
        <is>
          <t>skip</t>
        </is>
      </c>
    </row>
    <row r="2">
      <c r="A2" t="inlineStr">
        <is>
          <t>This is the work I did to import the work from Weber et al. (2018). Finally, we are using the inventories created by Zhang et al (2024), also based on the work by Weber</t>
        </is>
      </c>
    </row>
    <row r="3"/>
    <row r="4">
      <c r="A4" s="1" t="inlineStr">
        <is>
          <t>database</t>
        </is>
      </c>
      <c r="B4" t="inlineStr">
        <is>
          <t>vanadium</t>
        </is>
      </c>
    </row>
    <row r="5">
      <c r="A5" s="1" t="n"/>
    </row>
    <row r="6">
      <c r="A6" s="1" t="inlineStr">
        <is>
          <t>Activity</t>
        </is>
      </c>
      <c r="B6" s="1" t="inlineStr">
        <is>
          <t>vanadium bearing magnetite production</t>
        </is>
      </c>
    </row>
    <row r="7">
      <c r="A7" t="inlineStr">
        <is>
          <t>comment</t>
        </is>
      </c>
      <c r="B7" t="inlineStr">
        <is>
          <t>Usually, vanadium is obtained from vanadium containing titanomagnetite ore. The principal product derived from titanomagnetite ore is pig iron, while the vanadium contained in the ore is concentrated in the slag from which it is recovered. One of the most important deposits of vanadium is the Evraz Highveld Steel &amp; Vanadium deposit in South Africa, why it is taken as a reference process. This mine produces titanomagnetite ore containing 1.7 % vanadium pentoxide. In order to produce vanadium pentoxide bearing slags, several process steps are carried out. The mining operation itself is approximated by the ecoinvent dataset “ilmenite-magnetite mine operation”, which is modified in such way that the ore has a vanadium pentoxide content of 1.7 %. 
Allocation has been performed in a separate sheet, taking the monetary values from ecoinvent and the original source. 77% is allocated to the vanadium bearing magnetite and 23% to the titanium dioxide</t>
        </is>
      </c>
    </row>
    <row r="8">
      <c r="A8" t="inlineStr">
        <is>
          <t>source</t>
        </is>
      </c>
      <c r="B8" t="inlineStr">
        <is>
          <t>Life Cycle Assessment of a Vanadium Redox Flow Battery, Selina Weber, Jens F. Peters, Manuel Baumann, and Marcel Weil, Environ. Sci. Technol. 2018, 52, 10864−10873, DOI: 10.1021/acs.est.8b02073</t>
        </is>
      </c>
    </row>
    <row r="9">
      <c r="A9" t="inlineStr">
        <is>
          <t>location</t>
        </is>
      </c>
      <c r="B9" t="inlineStr">
        <is>
          <t>ZA</t>
        </is>
      </c>
    </row>
    <row r="10">
      <c r="A10" t="inlineStr">
        <is>
          <t>production amount</t>
        </is>
      </c>
      <c r="B10" t="n">
        <v>1</v>
      </c>
    </row>
    <row r="11">
      <c r="A11" t="inlineStr">
        <is>
          <t>reference product</t>
        </is>
      </c>
      <c r="B11" t="inlineStr">
        <is>
          <t>vanadium bearing magnetite</t>
        </is>
      </c>
    </row>
    <row r="12">
      <c r="A12" t="inlineStr">
        <is>
          <t>unit</t>
        </is>
      </c>
      <c r="B12" t="inlineStr">
        <is>
          <t>kilogram</t>
        </is>
      </c>
    </row>
    <row r="13">
      <c r="A13" s="1" t="inlineStr">
        <is>
          <t>Exchanges</t>
        </is>
      </c>
    </row>
    <row r="14" customFormat="1" s="1">
      <c r="A14" s="1" t="inlineStr">
        <is>
          <t>name</t>
        </is>
      </c>
      <c r="B14" s="1" t="inlineStr">
        <is>
          <t>amount</t>
        </is>
      </c>
      <c r="C14" s="1" t="inlineStr">
        <is>
          <t>unit</t>
        </is>
      </c>
      <c r="D14" s="1" t="inlineStr">
        <is>
          <t>categories</t>
        </is>
      </c>
      <c r="E14" s="1" t="inlineStr">
        <is>
          <t>location</t>
        </is>
      </c>
      <c r="F14" s="1" t="inlineStr">
        <is>
          <t>type</t>
        </is>
      </c>
      <c r="G14" s="1" t="inlineStr">
        <is>
          <t>reference product</t>
        </is>
      </c>
      <c r="H14" s="1" t="inlineStr">
        <is>
          <t>Comment</t>
        </is>
      </c>
    </row>
    <row r="15">
      <c r="A15" t="inlineStr">
        <is>
          <t>vanadium bearing magnetite production</t>
        </is>
      </c>
      <c r="B15" s="4" t="n">
        <v>1</v>
      </c>
      <c r="C15" t="inlineStr">
        <is>
          <t>kilogram</t>
        </is>
      </c>
      <c r="E15" t="inlineStr">
        <is>
          <t>ZA</t>
        </is>
      </c>
      <c r="F15" t="inlineStr">
        <is>
          <t>production</t>
        </is>
      </c>
      <c r="G15" t="inlineStr">
        <is>
          <t>vanadium bearing magnetite</t>
        </is>
      </c>
      <c r="H15" s="4" t="n"/>
    </row>
    <row r="16">
      <c r="A16" t="inlineStr">
        <is>
          <t>market for ilmenite, 54% titanium dioxide</t>
        </is>
      </c>
      <c r="B16" s="4" t="n">
        <v>0.1918510159542468</v>
      </c>
      <c r="C16" t="inlineStr">
        <is>
          <t>kilogram</t>
        </is>
      </c>
      <c r="E16" t="inlineStr">
        <is>
          <t>GLO</t>
        </is>
      </c>
      <c r="F16" t="inlineStr">
        <is>
          <t>technosphere</t>
        </is>
      </c>
      <c r="G16" t="inlineStr">
        <is>
          <t>ilmenite, 54% titanium dioxide</t>
        </is>
      </c>
      <c r="H16" s="4" t="n"/>
    </row>
    <row r="17">
      <c r="A17" t="inlineStr">
        <is>
          <t>market for mine infrastructure, open cast, ilmenite from hard-rock ore</t>
        </is>
      </c>
      <c r="B17" s="4" t="n">
        <v>2.36360451655632e-11</v>
      </c>
      <c r="C17" t="inlineStr">
        <is>
          <t>unit</t>
        </is>
      </c>
      <c r="E17" t="inlineStr">
        <is>
          <t>GLO</t>
        </is>
      </c>
      <c r="F17" t="inlineStr">
        <is>
          <t>technosphere</t>
        </is>
      </c>
      <c r="G17" t="inlineStr">
        <is>
          <t>mine infrastructure, open cast, ilmenite from hard-rock ore</t>
        </is>
      </c>
      <c r="H17" s="4" t="n"/>
    </row>
    <row r="18">
      <c r="A18" t="inlineStr">
        <is>
          <t>market for industrial machine, heavy, unspecified</t>
        </is>
      </c>
      <c r="B18" s="4" t="n">
        <v>9.362329578567242e-06</v>
      </c>
      <c r="C18" t="inlineStr">
        <is>
          <t>kilogram</t>
        </is>
      </c>
      <c r="E18" t="inlineStr">
        <is>
          <t>RoW</t>
        </is>
      </c>
      <c r="F18" t="inlineStr">
        <is>
          <t>technosphere</t>
        </is>
      </c>
      <c r="G18" s="4" t="inlineStr">
        <is>
          <t>industrial machine, heavy, unspecified</t>
        </is>
      </c>
      <c r="H18" s="4" t="n"/>
    </row>
    <row r="19">
      <c r="A19" t="inlineStr">
        <is>
          <t>market for conveyor belt</t>
        </is>
      </c>
      <c r="B19" s="4" t="n">
        <v>4.266766594822448e-08</v>
      </c>
      <c r="C19" t="inlineStr">
        <is>
          <t>meter</t>
        </is>
      </c>
      <c r="E19" t="inlineStr">
        <is>
          <t>GLO</t>
        </is>
      </c>
      <c r="F19" t="inlineStr">
        <is>
          <t>technosphere</t>
        </is>
      </c>
      <c r="G19" t="inlineStr">
        <is>
          <t>conveyor belt</t>
        </is>
      </c>
      <c r="H19" s="4" t="n"/>
    </row>
    <row r="20">
      <c r="A20" t="inlineStr">
        <is>
          <t>market for diesel, burned in diesel-electric generating set, 10MW</t>
        </is>
      </c>
      <c r="B20" s="4" t="n">
        <v>0.01826421671884429</v>
      </c>
      <c r="C20" t="inlineStr">
        <is>
          <t>megajoule</t>
        </is>
      </c>
      <c r="E20" t="inlineStr">
        <is>
          <t>GLO</t>
        </is>
      </c>
      <c r="F20" t="inlineStr">
        <is>
          <t>technosphere</t>
        </is>
      </c>
      <c r="G20" t="inlineStr">
        <is>
          <t>diesel, burned in diesel-electric generating set, 10MW</t>
        </is>
      </c>
      <c r="H20" s="4" t="n"/>
    </row>
    <row r="21">
      <c r="A21" t="inlineStr">
        <is>
          <t>market for electricity, medium voltage</t>
        </is>
      </c>
      <c r="B21" s="4" t="n">
        <v>0.01105061851896461</v>
      </c>
      <c r="C21" t="inlineStr">
        <is>
          <t>kilowatt hour</t>
        </is>
      </c>
      <c r="E21" t="inlineStr">
        <is>
          <t>ZA</t>
        </is>
      </c>
      <c r="F21" t="inlineStr">
        <is>
          <t>technosphere</t>
        </is>
      </c>
      <c r="G21" t="inlineStr">
        <is>
          <t>electricity, medium voltage</t>
        </is>
      </c>
      <c r="H21" s="4" t="n"/>
    </row>
    <row r="22">
      <c r="A22" t="inlineStr">
        <is>
          <t>market for heat, central or small-scale, natural gas</t>
        </is>
      </c>
      <c r="B22" s="4" t="n">
        <v>0.0118180225827816</v>
      </c>
      <c r="C22" t="inlineStr">
        <is>
          <t>megajoule</t>
        </is>
      </c>
      <c r="E22" t="inlineStr">
        <is>
          <t>RoW</t>
        </is>
      </c>
      <c r="F22" t="inlineStr">
        <is>
          <t>technosphere</t>
        </is>
      </c>
      <c r="G22" t="inlineStr">
        <is>
          <t>heat, central or small-scale, natural gas</t>
        </is>
      </c>
      <c r="H22" s="4" t="n"/>
    </row>
    <row r="23">
      <c r="A23" t="inlineStr">
        <is>
          <t>market for petrol, unleaded, burned in machinery</t>
        </is>
      </c>
      <c r="B23" s="4" t="n">
        <v>0.04811623480132509</v>
      </c>
      <c r="C23" t="inlineStr">
        <is>
          <t>megajoule</t>
        </is>
      </c>
      <c r="E23" t="inlineStr">
        <is>
          <t>GLO</t>
        </is>
      </c>
      <c r="F23" t="inlineStr">
        <is>
          <t>technosphere</t>
        </is>
      </c>
      <c r="G23" t="inlineStr">
        <is>
          <t>petrol, unleaded, burned in machinery</t>
        </is>
      </c>
      <c r="H23" s="4" t="n"/>
    </row>
    <row r="24">
      <c r="A24" t="inlineStr">
        <is>
          <t>market for blasting</t>
        </is>
      </c>
      <c r="B24" s="4" t="n">
        <v>0.000118947629891633</v>
      </c>
      <c r="C24" t="inlineStr">
        <is>
          <t>kilogram</t>
        </is>
      </c>
      <c r="E24" t="inlineStr">
        <is>
          <t>GLO</t>
        </is>
      </c>
      <c r="F24" t="inlineStr">
        <is>
          <t>technosphere</t>
        </is>
      </c>
      <c r="G24" t="inlineStr">
        <is>
          <t>blasting</t>
        </is>
      </c>
      <c r="H24" s="4" t="n"/>
    </row>
    <row r="25">
      <c r="A25" t="inlineStr">
        <is>
          <t>market for recultivation, ilmenite mine</t>
        </is>
      </c>
      <c r="B25" s="4" t="n">
        <v>6.361779689042822e-05</v>
      </c>
      <c r="C25" t="inlineStr">
        <is>
          <t>square meter</t>
        </is>
      </c>
      <c r="E25" t="inlineStr">
        <is>
          <t>GLO</t>
        </is>
      </c>
      <c r="F25" t="inlineStr">
        <is>
          <t>technosphere</t>
        </is>
      </c>
      <c r="G25" t="inlineStr">
        <is>
          <t>recultivation, ilmenite mine</t>
        </is>
      </c>
      <c r="H25" s="4" t="n"/>
    </row>
    <row r="26">
      <c r="A26" t="inlineStr">
        <is>
          <t>Vanadium</t>
        </is>
      </c>
      <c r="B26" s="4" t="n">
        <v>0.0123233</v>
      </c>
      <c r="C26" t="inlineStr">
        <is>
          <t>kilogram</t>
        </is>
      </c>
      <c r="D26" t="inlineStr">
        <is>
          <t>natural resource::in ground</t>
        </is>
      </c>
      <c r="F26" t="inlineStr">
        <is>
          <t>biosphere</t>
        </is>
      </c>
      <c r="H26" s="4" t="inlineStr">
        <is>
          <t>0.56 kg V per kg V2O5. 2.2% V2O5 concentration.</t>
        </is>
      </c>
    </row>
    <row r="27">
      <c r="A27" t="inlineStr">
        <is>
          <t>Iron, 72% in magnetite, 14% in crude ore</t>
        </is>
      </c>
      <c r="B27" s="4" t="n">
        <v>0.828796388922346</v>
      </c>
      <c r="C27" t="inlineStr">
        <is>
          <t>kilogram</t>
        </is>
      </c>
      <c r="D27" t="inlineStr">
        <is>
          <t>natural resource::in ground</t>
        </is>
      </c>
      <c r="F27" t="inlineStr">
        <is>
          <t>biosphere</t>
        </is>
      </c>
      <c r="H27" s="4" t="n"/>
    </row>
    <row r="28">
      <c r="A28" t="inlineStr">
        <is>
          <t>Occupation, mineral extraction site</t>
        </is>
      </c>
      <c r="B28" s="4" t="n">
        <v>0.001910836118904298</v>
      </c>
      <c r="C28" t="inlineStr">
        <is>
          <t>square meter-year</t>
        </is>
      </c>
      <c r="D28" t="inlineStr">
        <is>
          <t>natural resource::land</t>
        </is>
      </c>
      <c r="F28" t="inlineStr">
        <is>
          <t>biosphere</t>
        </is>
      </c>
      <c r="H28" s="4" t="n"/>
    </row>
    <row r="29">
      <c r="A29" t="inlineStr">
        <is>
          <t>Transformation, from forest, unspecified</t>
        </is>
      </c>
      <c r="B29" s="4" t="n">
        <v>6.361779689042822e-05</v>
      </c>
      <c r="C29" t="inlineStr">
        <is>
          <t>square meter</t>
        </is>
      </c>
      <c r="D29" t="inlineStr">
        <is>
          <t>natural resource::land</t>
        </is>
      </c>
      <c r="F29" t="inlineStr">
        <is>
          <t>biosphere</t>
        </is>
      </c>
      <c r="H29" s="4" t="n"/>
    </row>
    <row r="30">
      <c r="A30" t="inlineStr">
        <is>
          <t>Transformation, to mineral extraction site</t>
        </is>
      </c>
      <c r="B30" s="4" t="n">
        <v>6.361779689042822e-05</v>
      </c>
      <c r="C30" t="inlineStr">
        <is>
          <t>square meter</t>
        </is>
      </c>
      <c r="D30" t="inlineStr">
        <is>
          <t>natural resource::land</t>
        </is>
      </c>
      <c r="F30" t="inlineStr">
        <is>
          <t>biosphere</t>
        </is>
      </c>
      <c r="H30" s="4" t="n"/>
    </row>
    <row r="31">
      <c r="A31" t="inlineStr">
        <is>
          <t>Water, well</t>
        </is>
      </c>
      <c r="B31" s="4" t="n">
        <v>4.496987813967544e-05</v>
      </c>
      <c r="C31" t="inlineStr">
        <is>
          <t>cubic meter</t>
        </is>
      </c>
      <c r="D31" t="inlineStr">
        <is>
          <t>natural resource::in water</t>
        </is>
      </c>
      <c r="F31" t="inlineStr">
        <is>
          <t>biosphere</t>
        </is>
      </c>
      <c r="H31" s="4" t="n"/>
    </row>
    <row r="32">
      <c r="A32" t="inlineStr">
        <is>
          <t>Particulates, &lt; 2.5 um</t>
        </is>
      </c>
      <c r="B32" s="4" t="n">
        <v>1.358305192956067e-05</v>
      </c>
      <c r="C32" t="inlineStr">
        <is>
          <t>kilogram</t>
        </is>
      </c>
      <c r="D32" t="inlineStr">
        <is>
          <t>air::non-urban air or from high stacks</t>
        </is>
      </c>
      <c r="F32" t="inlineStr">
        <is>
          <t>biosphere</t>
        </is>
      </c>
      <c r="H32" s="4" t="n"/>
    </row>
    <row r="33">
      <c r="A33" t="inlineStr">
        <is>
          <t>Particulates, &gt; 10 um</t>
        </is>
      </c>
      <c r="B33" s="4" t="n">
        <v>0.0001818747631246259</v>
      </c>
      <c r="C33" t="inlineStr">
        <is>
          <t>kilogram</t>
        </is>
      </c>
      <c r="D33" t="inlineStr">
        <is>
          <t>air::non-urban air or from high stacks</t>
        </is>
      </c>
      <c r="F33" t="inlineStr">
        <is>
          <t>biosphere</t>
        </is>
      </c>
      <c r="H33" s="4" t="n"/>
    </row>
    <row r="34">
      <c r="A34" t="inlineStr">
        <is>
          <t>Particulates, &gt; 2.5 um, and &lt; 10um</t>
        </is>
      </c>
      <c r="B34" s="4" t="n">
        <v>7.344056890728565e-05</v>
      </c>
      <c r="C34" t="inlineStr">
        <is>
          <t>kilogram</t>
        </is>
      </c>
      <c r="D34" t="inlineStr">
        <is>
          <t>air::non-urban air or from high stacks</t>
        </is>
      </c>
      <c r="F34" t="inlineStr">
        <is>
          <t>biosphere</t>
        </is>
      </c>
      <c r="H34" s="4" t="n"/>
    </row>
    <row r="35">
      <c r="A35" t="inlineStr">
        <is>
          <t>Water</t>
        </is>
      </c>
      <c r="B35" s="4" t="n">
        <v>6.745481720951316e-06</v>
      </c>
      <c r="C35" t="inlineStr">
        <is>
          <t>cubic meter</t>
        </is>
      </c>
      <c r="D35" t="inlineStr">
        <is>
          <t>air</t>
        </is>
      </c>
      <c r="F35" t="inlineStr">
        <is>
          <t>biosphere</t>
        </is>
      </c>
      <c r="H35" s="4" t="n"/>
    </row>
    <row r="36">
      <c r="A36" t="inlineStr">
        <is>
          <t>Water</t>
        </is>
      </c>
      <c r="B36" s="4" t="n">
        <v>3.821672237808595e-05</v>
      </c>
      <c r="C36" t="inlineStr">
        <is>
          <t>cubic meter</t>
        </is>
      </c>
      <c r="D36" t="inlineStr">
        <is>
          <t>water</t>
        </is>
      </c>
      <c r="F36" t="inlineStr">
        <is>
          <t>biosphere</t>
        </is>
      </c>
      <c r="H36" s="4" t="n"/>
    </row>
    <row r="37"/>
    <row r="38">
      <c r="A38" s="1" t="inlineStr">
        <is>
          <t>Activity</t>
        </is>
      </c>
      <c r="B38" s="1" t="inlineStr">
        <is>
          <t>pre-reduced vanadium pentoxide bearing magnetite production</t>
        </is>
      </c>
    </row>
    <row r="39">
      <c r="A39" t="inlineStr">
        <is>
          <t>comment</t>
        </is>
      </c>
      <c r="B39" t="inlineStr">
        <is>
          <t>Usually, vanadium is obtained from vanadium containing titanomagnetite ore. The principal product253 derived from titanomagnetite ore is pig iron, while the vanadium contained in the ore is concentrated in the slag from which it is recovered. One of the most important deposits of vanadium is the Evraz Highveld Steel &amp; Vanadium deposit in South Africa, why it is taken as a reference process. This mine produces titanomagnetite ore containing 1.7 % vanadium pentoxide. In order to produce vanadium pentoxide bearing slags, several process steps are carried out. The mining operation itself is approximated by the ecoinvent dataset “ilmenite-magnetite mine operation”, which is modified in such way that the ore has a vanadium pentoxide content of 1.7 %.</t>
        </is>
      </c>
    </row>
    <row r="40">
      <c r="A40" t="inlineStr">
        <is>
          <t>source</t>
        </is>
      </c>
      <c r="B40" t="inlineStr">
        <is>
          <t>Life Cycle Assessment of a Vanadium Redox Flow Battery, Selina Weber, Jens F. Peters, Manuel Baumann, and Marcel Weil, Environ. Sci. Technol. 2018, 52, 10864−10873, DOI: 10.1021/acs.est.8b02073</t>
        </is>
      </c>
    </row>
    <row r="41">
      <c r="A41" t="inlineStr">
        <is>
          <t>location</t>
        </is>
      </c>
      <c r="B41" t="inlineStr">
        <is>
          <t>ZA</t>
        </is>
      </c>
    </row>
    <row r="42">
      <c r="A42" t="inlineStr">
        <is>
          <t>production amount</t>
        </is>
      </c>
      <c r="B42" t="n">
        <v>1</v>
      </c>
    </row>
    <row r="43">
      <c r="A43" t="inlineStr">
        <is>
          <t>reference product</t>
        </is>
      </c>
      <c r="B43" t="inlineStr">
        <is>
          <t>pre-reduced vanadium pentoxide bearing magnetite</t>
        </is>
      </c>
    </row>
    <row r="44">
      <c r="A44" t="inlineStr">
        <is>
          <t>unit</t>
        </is>
      </c>
      <c r="B44" t="inlineStr">
        <is>
          <t>kilogram</t>
        </is>
      </c>
    </row>
    <row r="45">
      <c r="A45" s="1" t="inlineStr">
        <is>
          <t>Exchanges</t>
        </is>
      </c>
    </row>
    <row r="46" customFormat="1" s="1">
      <c r="A46" s="1" t="inlineStr">
        <is>
          <t>name</t>
        </is>
      </c>
      <c r="B46" s="1" t="inlineStr">
        <is>
          <t>amount</t>
        </is>
      </c>
      <c r="C46" s="1" t="inlineStr">
        <is>
          <t>unit</t>
        </is>
      </c>
      <c r="D46" s="1" t="inlineStr">
        <is>
          <t>categories</t>
        </is>
      </c>
      <c r="E46" s="1" t="inlineStr">
        <is>
          <t>location</t>
        </is>
      </c>
      <c r="F46" s="1" t="inlineStr">
        <is>
          <t>type</t>
        </is>
      </c>
      <c r="G46" s="1" t="inlineStr">
        <is>
          <t>reference product</t>
        </is>
      </c>
      <c r="H46" s="1" t="inlineStr">
        <is>
          <t>Comment</t>
        </is>
      </c>
    </row>
    <row r="47">
      <c r="A47" t="inlineStr">
        <is>
          <t>pre-reduced vanadium pentoxide bearing magnetite production</t>
        </is>
      </c>
      <c r="B47" s="4" t="n">
        <v>1</v>
      </c>
      <c r="C47" t="inlineStr">
        <is>
          <t>kilogram</t>
        </is>
      </c>
      <c r="E47" t="inlineStr">
        <is>
          <t>ZA</t>
        </is>
      </c>
      <c r="F47" t="inlineStr">
        <is>
          <t>production</t>
        </is>
      </c>
      <c r="G47" t="inlineStr">
        <is>
          <t>pre-reduced vanadium pentoxide bearing magnetite</t>
        </is>
      </c>
      <c r="H47" s="4" t="n"/>
    </row>
    <row r="48">
      <c r="A48" t="inlineStr">
        <is>
          <t>vanadium bearing magnetite production</t>
        </is>
      </c>
      <c r="B48" s="4" t="n">
        <v>1.047945205479452</v>
      </c>
      <c r="C48" t="inlineStr">
        <is>
          <t>kilogram</t>
        </is>
      </c>
      <c r="E48" t="inlineStr">
        <is>
          <t>ZA</t>
        </is>
      </c>
      <c r="F48" t="inlineStr">
        <is>
          <t>technosphere</t>
        </is>
      </c>
      <c r="G48" t="inlineStr">
        <is>
          <t>vanadium bearing magnetite</t>
        </is>
      </c>
      <c r="H48" s="4" t="n"/>
    </row>
    <row r="49">
      <c r="A49" t="inlineStr">
        <is>
          <t>market for dolomite</t>
        </is>
      </c>
      <c r="B49" s="4" t="n">
        <v>0.0009383561643835616</v>
      </c>
      <c r="C49" t="inlineStr">
        <is>
          <t>kilogram</t>
        </is>
      </c>
      <c r="E49" t="inlineStr">
        <is>
          <t>RoW</t>
        </is>
      </c>
      <c r="F49" t="inlineStr">
        <is>
          <t>technosphere</t>
        </is>
      </c>
      <c r="G49" t="inlineStr">
        <is>
          <t>dolomite</t>
        </is>
      </c>
      <c r="H49" s="4" t="n"/>
    </row>
    <row r="50">
      <c r="A50" t="inlineStr">
        <is>
          <t>market for steel, unalloyed</t>
        </is>
      </c>
      <c r="B50" s="4" t="n">
        <v>2.315068493150685e-05</v>
      </c>
      <c r="C50" t="inlineStr">
        <is>
          <t>kilogram</t>
        </is>
      </c>
      <c r="E50" t="inlineStr">
        <is>
          <t>GLO</t>
        </is>
      </c>
      <c r="F50" t="inlineStr">
        <is>
          <t>technosphere</t>
        </is>
      </c>
      <c r="G50" t="inlineStr">
        <is>
          <t>steel, unalloyed</t>
        </is>
      </c>
      <c r="H50" s="4" t="n"/>
    </row>
    <row r="51">
      <c r="A51" t="inlineStr">
        <is>
          <t>market for lime</t>
        </is>
      </c>
      <c r="B51" s="4" t="n">
        <v>0.0003904109589041096</v>
      </c>
      <c r="C51" t="inlineStr">
        <is>
          <t>kilogram</t>
        </is>
      </c>
      <c r="E51" t="inlineStr">
        <is>
          <t>RoW</t>
        </is>
      </c>
      <c r="F51" t="inlineStr">
        <is>
          <t>technosphere</t>
        </is>
      </c>
      <c r="G51" t="inlineStr">
        <is>
          <t>lime</t>
        </is>
      </c>
      <c r="H51" s="4" t="n"/>
    </row>
    <row r="52">
      <c r="A52" t="inlineStr">
        <is>
          <t>market for chromium</t>
        </is>
      </c>
      <c r="B52" s="4" t="n">
        <v>4.089041095890411e-06</v>
      </c>
      <c r="C52" t="inlineStr">
        <is>
          <t>kilogram</t>
        </is>
      </c>
      <c r="E52" t="inlineStr">
        <is>
          <t>GLO</t>
        </is>
      </c>
      <c r="F52" t="inlineStr">
        <is>
          <t>technosphere</t>
        </is>
      </c>
      <c r="G52" t="inlineStr">
        <is>
          <t>chromium</t>
        </is>
      </c>
      <c r="H52" s="4" t="n"/>
    </row>
    <row r="53">
      <c r="A53" t="inlineStr">
        <is>
          <t>market for lubricating oil</t>
        </is>
      </c>
      <c r="B53" s="4" t="n">
        <v>3.15068493150685e-07</v>
      </c>
      <c r="C53" t="inlineStr">
        <is>
          <t>kilogram</t>
        </is>
      </c>
      <c r="E53" t="inlineStr">
        <is>
          <t>RoW</t>
        </is>
      </c>
      <c r="F53" t="inlineStr">
        <is>
          <t>technosphere</t>
        </is>
      </c>
      <c r="G53" t="inlineStr">
        <is>
          <t>lubricating oil</t>
        </is>
      </c>
      <c r="H53" s="4" t="n"/>
    </row>
    <row r="54">
      <c r="A54" t="inlineStr">
        <is>
          <t>market for sodium hydroxide, without water, in 50% solution state</t>
        </is>
      </c>
      <c r="B54" s="4" t="n">
        <v>2.253424657534246e-06</v>
      </c>
      <c r="C54" t="inlineStr">
        <is>
          <t>kilogram</t>
        </is>
      </c>
      <c r="E54" t="inlineStr">
        <is>
          <t>GLO</t>
        </is>
      </c>
      <c r="F54" t="inlineStr">
        <is>
          <t>technosphere</t>
        </is>
      </c>
      <c r="G54" t="inlineStr">
        <is>
          <t>sodium hydroxide, without water, in 50% solution state</t>
        </is>
      </c>
      <c r="H54" s="4" t="n"/>
    </row>
    <row r="55">
      <c r="A55" t="inlineStr">
        <is>
          <t>market for solvent, organic</t>
        </is>
      </c>
      <c r="B55" s="4" t="n">
        <v>2.73972602739726e-09</v>
      </c>
      <c r="C55" t="inlineStr">
        <is>
          <t>kilogram</t>
        </is>
      </c>
      <c r="E55" t="inlineStr">
        <is>
          <t>GLO</t>
        </is>
      </c>
      <c r="F55" t="inlineStr">
        <is>
          <t>technosphere</t>
        </is>
      </c>
      <c r="G55" t="inlineStr">
        <is>
          <t>solvent, organic</t>
        </is>
      </c>
      <c r="H55" s="4" t="n"/>
    </row>
    <row r="56">
      <c r="A56" t="inlineStr">
        <is>
          <t>market for hard coal</t>
        </is>
      </c>
      <c r="B56" s="4" t="n">
        <v>0.008904109589041096</v>
      </c>
      <c r="C56" t="inlineStr">
        <is>
          <t>kilogram</t>
        </is>
      </c>
      <c r="E56" t="inlineStr">
        <is>
          <t>ZA</t>
        </is>
      </c>
      <c r="F56" t="inlineStr">
        <is>
          <t>technosphere</t>
        </is>
      </c>
      <c r="G56" t="inlineStr">
        <is>
          <t>hard coal</t>
        </is>
      </c>
      <c r="H56" s="4" t="n"/>
    </row>
    <row r="57">
      <c r="A57" t="inlineStr">
        <is>
          <t>market for aluminium oxide factory</t>
        </is>
      </c>
      <c r="B57" s="4" t="n">
        <v>1.712328767123288e-11</v>
      </c>
      <c r="C57" t="inlineStr">
        <is>
          <t>unit</t>
        </is>
      </c>
      <c r="E57" t="inlineStr">
        <is>
          <t>GLO</t>
        </is>
      </c>
      <c r="F57" t="inlineStr">
        <is>
          <t>technosphere</t>
        </is>
      </c>
      <c r="G57" t="inlineStr">
        <is>
          <t>aluminium oxide factory</t>
        </is>
      </c>
      <c r="H57" s="4" t="n"/>
    </row>
    <row r="58">
      <c r="A58" t="inlineStr">
        <is>
          <t>market for electricity, high voltage</t>
        </is>
      </c>
      <c r="B58" s="4" t="n">
        <v>0.001568493150684932</v>
      </c>
      <c r="C58" t="inlineStr">
        <is>
          <t>kilowatt hour</t>
        </is>
      </c>
      <c r="E58" t="inlineStr">
        <is>
          <t>ZA</t>
        </is>
      </c>
      <c r="F58" t="inlineStr">
        <is>
          <t>technosphere</t>
        </is>
      </c>
      <c r="G58" t="inlineStr">
        <is>
          <t>electricity, high voltage</t>
        </is>
      </c>
      <c r="H58" s="4" t="n"/>
    </row>
    <row r="59">
      <c r="A59" t="inlineStr">
        <is>
          <t>market for electricity, medium voltage</t>
        </is>
      </c>
      <c r="B59" s="4" t="n">
        <v>0.01712328767123288</v>
      </c>
      <c r="C59" t="inlineStr">
        <is>
          <t>kilowatt hour</t>
        </is>
      </c>
      <c r="E59" t="inlineStr">
        <is>
          <t>ZA</t>
        </is>
      </c>
      <c r="F59" t="inlineStr">
        <is>
          <t>technosphere</t>
        </is>
      </c>
      <c r="G59" t="inlineStr">
        <is>
          <t>electricity, medium voltage</t>
        </is>
      </c>
      <c r="H59" s="4" t="n"/>
    </row>
    <row r="60">
      <c r="A60" t="inlineStr">
        <is>
          <t>market for heat, district or industrial, natural gas</t>
        </is>
      </c>
      <c r="B60" s="4" t="n">
        <v>0.04486301369863014</v>
      </c>
      <c r="C60" t="inlineStr">
        <is>
          <t>megajoule</t>
        </is>
      </c>
      <c r="E60" t="inlineStr">
        <is>
          <t>RoW</t>
        </is>
      </c>
      <c r="F60" t="inlineStr">
        <is>
          <t>technosphere</t>
        </is>
      </c>
      <c r="G60" t="inlineStr">
        <is>
          <t>heat, district or industrial, natural gas</t>
        </is>
      </c>
      <c r="H60" s="4" t="n"/>
    </row>
    <row r="61">
      <c r="A61" t="inlineStr">
        <is>
          <t>market for heat, district or industrial, other than natural gas</t>
        </is>
      </c>
      <c r="B61" s="4" t="n">
        <v>0.01595890410958904</v>
      </c>
      <c r="C61" t="inlineStr">
        <is>
          <t>megajoule</t>
        </is>
      </c>
      <c r="E61" t="inlineStr">
        <is>
          <t>RoW</t>
        </is>
      </c>
      <c r="F61" t="inlineStr">
        <is>
          <t>technosphere</t>
        </is>
      </c>
      <c r="G61" t="inlineStr">
        <is>
          <t>heat, district or industrial, other than natural gas</t>
        </is>
      </c>
      <c r="H61" s="4" t="n"/>
    </row>
    <row r="62">
      <c r="A62" t="inlineStr">
        <is>
          <t>market group for tap water</t>
        </is>
      </c>
      <c r="B62" s="4" t="n">
        <v>0.01479452054794521</v>
      </c>
      <c r="C62" t="inlineStr">
        <is>
          <t>kilogram</t>
        </is>
      </c>
      <c r="E62" t="inlineStr">
        <is>
          <t>GLO</t>
        </is>
      </c>
      <c r="F62" t="inlineStr">
        <is>
          <t>technosphere</t>
        </is>
      </c>
      <c r="G62" t="inlineStr">
        <is>
          <t>tap water</t>
        </is>
      </c>
      <c r="H62" s="4" t="n"/>
    </row>
    <row r="63">
      <c r="A63" t="inlineStr">
        <is>
          <t>market for waste mineral oil</t>
        </is>
      </c>
      <c r="B63" s="4" t="n">
        <v>-5.931506849315068e-08</v>
      </c>
      <c r="C63" t="inlineStr">
        <is>
          <t>kilogram</t>
        </is>
      </c>
      <c r="E63" t="inlineStr">
        <is>
          <t>RoW</t>
        </is>
      </c>
      <c r="F63" t="inlineStr">
        <is>
          <t>technosphere</t>
        </is>
      </c>
      <c r="G63" t="inlineStr">
        <is>
          <t>waste mineral oil</t>
        </is>
      </c>
      <c r="H63" s="4" t="n"/>
    </row>
    <row r="64">
      <c r="A64" t="inlineStr">
        <is>
          <t>market for scrap steel</t>
        </is>
      </c>
      <c r="B64" s="4" t="n">
        <v>-2.232876712328767e-06</v>
      </c>
      <c r="C64" t="inlineStr">
        <is>
          <t>kilogram</t>
        </is>
      </c>
      <c r="E64" t="inlineStr">
        <is>
          <t>RoW</t>
        </is>
      </c>
      <c r="F64" t="inlineStr">
        <is>
          <t>technosphere</t>
        </is>
      </c>
      <c r="G64" t="inlineStr">
        <is>
          <t>scrap steel</t>
        </is>
      </c>
      <c r="H64" s="4" t="n"/>
    </row>
    <row r="65">
      <c r="A65" t="inlineStr">
        <is>
          <t>market for spent solvent mixture</t>
        </is>
      </c>
      <c r="B65" s="4" t="n">
        <v>-8.424657534246576e-08</v>
      </c>
      <c r="C65" t="inlineStr">
        <is>
          <t>kilogram</t>
        </is>
      </c>
      <c r="E65" t="inlineStr">
        <is>
          <t>RoW</t>
        </is>
      </c>
      <c r="F65" t="inlineStr">
        <is>
          <t>technosphere</t>
        </is>
      </c>
      <c r="G65" t="inlineStr">
        <is>
          <t>spent solvent mixture</t>
        </is>
      </c>
      <c r="H65" s="4" t="n"/>
    </row>
    <row r="66">
      <c r="A66" t="inlineStr">
        <is>
          <t>Arsenic, ion</t>
        </is>
      </c>
      <c r="B66" s="4" t="n">
        <v>4.246575342465753e-12</v>
      </c>
      <c r="C66" t="inlineStr">
        <is>
          <t>kilogram</t>
        </is>
      </c>
      <c r="D66" t="inlineStr">
        <is>
          <t>water::surface water</t>
        </is>
      </c>
      <c r="F66" t="inlineStr">
        <is>
          <t>biosphere</t>
        </is>
      </c>
      <c r="H66" s="4" t="n"/>
    </row>
    <row r="67">
      <c r="A67" t="inlineStr">
        <is>
          <t>Cadmium</t>
        </is>
      </c>
      <c r="B67" s="4" t="n">
        <v>1.438356164383562e-10</v>
      </c>
      <c r="C67" t="inlineStr">
        <is>
          <t>kilogram</t>
        </is>
      </c>
      <c r="D67" t="inlineStr">
        <is>
          <t>air</t>
        </is>
      </c>
      <c r="F67" t="inlineStr">
        <is>
          <t>biosphere</t>
        </is>
      </c>
      <c r="H67" s="4" t="n"/>
    </row>
    <row r="68">
      <c r="A68" t="inlineStr">
        <is>
          <t>Cadmium, ion</t>
        </is>
      </c>
      <c r="B68" s="4" t="n">
        <v>2.123287671232877e-12</v>
      </c>
      <c r="C68" t="inlineStr">
        <is>
          <t>kilogram</t>
        </is>
      </c>
      <c r="D68" t="inlineStr">
        <is>
          <t>water::surface water</t>
        </is>
      </c>
      <c r="F68" t="inlineStr">
        <is>
          <t>biosphere</t>
        </is>
      </c>
      <c r="H68" s="4" t="n"/>
    </row>
    <row r="69">
      <c r="A69" t="inlineStr">
        <is>
          <t>Carbon dioxide, fossil</t>
        </is>
      </c>
      <c r="B69" s="4" t="n">
        <v>0.01648535793538554</v>
      </c>
      <c r="C69" t="inlineStr">
        <is>
          <t>kilogram</t>
        </is>
      </c>
      <c r="D69" t="inlineStr">
        <is>
          <t>air</t>
        </is>
      </c>
      <c r="F69" t="inlineStr">
        <is>
          <t>biosphere</t>
        </is>
      </c>
      <c r="H69" s="4" t="n"/>
    </row>
    <row r="70">
      <c r="A70" t="inlineStr">
        <is>
          <t>Carbon dioxide, fossil</t>
        </is>
      </c>
      <c r="B70" s="4" t="n">
        <v>0.0002954639824226794</v>
      </c>
      <c r="C70" t="inlineStr">
        <is>
          <t>kilogram</t>
        </is>
      </c>
      <c r="D70" t="inlineStr">
        <is>
          <t>air::non-urban air or from high stacks</t>
        </is>
      </c>
      <c r="F70" t="inlineStr">
        <is>
          <t>biosphere</t>
        </is>
      </c>
      <c r="H70" s="4" t="n"/>
    </row>
    <row r="71">
      <c r="A71" t="inlineStr">
        <is>
          <t>Carbon monoxide, fossil</t>
        </is>
      </c>
      <c r="B71" s="4" t="n">
        <v>0.0001438276007388068</v>
      </c>
      <c r="C71" t="inlineStr">
        <is>
          <t>kilogram</t>
        </is>
      </c>
      <c r="D71" t="inlineStr">
        <is>
          <t>air</t>
        </is>
      </c>
      <c r="F71" t="inlineStr">
        <is>
          <t>biosphere</t>
        </is>
      </c>
      <c r="H71" s="4" t="n"/>
    </row>
    <row r="72">
      <c r="A72" t="inlineStr">
        <is>
          <t>Carbon monoxide, fossil</t>
        </is>
      </c>
      <c r="B72" s="4" t="n">
        <v>8.015699549361329e-09</v>
      </c>
      <c r="C72" t="inlineStr">
        <is>
          <t>kilogram</t>
        </is>
      </c>
      <c r="D72" t="inlineStr">
        <is>
          <t>air::non-urban air or from high stacks</t>
        </is>
      </c>
      <c r="F72" t="inlineStr">
        <is>
          <t>biosphere</t>
        </is>
      </c>
      <c r="H72" s="4" t="n"/>
    </row>
    <row r="73">
      <c r="A73" t="inlineStr">
        <is>
          <t>Chromium</t>
        </is>
      </c>
      <c r="B73" s="4" t="n">
        <v>1.849315068493151e-09</v>
      </c>
      <c r="C73" t="inlineStr">
        <is>
          <t>kilogram</t>
        </is>
      </c>
      <c r="D73" t="inlineStr">
        <is>
          <t>air</t>
        </is>
      </c>
      <c r="F73" t="inlineStr">
        <is>
          <t>biosphere</t>
        </is>
      </c>
      <c r="H73" s="4" t="n"/>
    </row>
    <row r="74">
      <c r="A74" t="inlineStr">
        <is>
          <t>Chromium, ion</t>
        </is>
      </c>
      <c r="B74" s="4" t="n">
        <v>3.397260273972603e-11</v>
      </c>
      <c r="C74" t="inlineStr">
        <is>
          <t>kilogram</t>
        </is>
      </c>
      <c r="D74" t="inlineStr">
        <is>
          <t>water::surface water</t>
        </is>
      </c>
      <c r="F74" t="inlineStr">
        <is>
          <t>biosphere</t>
        </is>
      </c>
      <c r="H74" s="4" t="n"/>
    </row>
    <row r="75">
      <c r="A75" t="inlineStr">
        <is>
          <t>Cobalt</t>
        </is>
      </c>
      <c r="B75" s="4" t="n">
        <v>4.246575342465753e-12</v>
      </c>
      <c r="C75" t="inlineStr">
        <is>
          <t>kilogram</t>
        </is>
      </c>
      <c r="D75" t="inlineStr">
        <is>
          <t>water::surface water</t>
        </is>
      </c>
      <c r="F75" t="inlineStr">
        <is>
          <t>biosphere</t>
        </is>
      </c>
      <c r="H75" s="4" t="n"/>
    </row>
    <row r="76">
      <c r="A76" t="inlineStr">
        <is>
          <t>Copper</t>
        </is>
      </c>
      <c r="B76" s="4" t="n">
        <v>3.150684931506849e-09</v>
      </c>
      <c r="C76" t="inlineStr">
        <is>
          <t>kilogram</t>
        </is>
      </c>
      <c r="D76" t="inlineStr">
        <is>
          <t>air</t>
        </is>
      </c>
      <c r="F76" t="inlineStr">
        <is>
          <t>biosphere</t>
        </is>
      </c>
      <c r="H76" s="4" t="n"/>
    </row>
    <row r="77">
      <c r="A77" t="inlineStr">
        <is>
          <t>Copper, ion</t>
        </is>
      </c>
      <c r="B77" s="4" t="n">
        <v>4.246575342465753e-12</v>
      </c>
      <c r="C77" t="inlineStr">
        <is>
          <t>kilogram</t>
        </is>
      </c>
      <c r="D77" t="inlineStr">
        <is>
          <t>water::surface water</t>
        </is>
      </c>
      <c r="F77" t="inlineStr">
        <is>
          <t>biosphere</t>
        </is>
      </c>
      <c r="H77" s="4" t="n"/>
    </row>
    <row r="78">
      <c r="A78" t="inlineStr">
        <is>
          <t>Dinitrogen monoxide</t>
        </is>
      </c>
      <c r="B78" s="4" t="n">
        <v>1.027397260273973e-09</v>
      </c>
      <c r="C78" t="inlineStr">
        <is>
          <t>kilogram</t>
        </is>
      </c>
      <c r="D78" t="inlineStr">
        <is>
          <t>air::non-urban air or from high stacks</t>
        </is>
      </c>
      <c r="F78" t="inlineStr">
        <is>
          <t>biosphere</t>
        </is>
      </c>
      <c r="H78" s="4" t="n"/>
    </row>
    <row r="79">
      <c r="A79" t="inlineStr">
        <is>
          <t>Dioxins, measured as 2,3,7,8-tetrachlorodibenzo-p-dioxin</t>
        </is>
      </c>
      <c r="B79" s="4" t="n">
        <v>3.904109589041097e-15</v>
      </c>
      <c r="C79" t="inlineStr">
        <is>
          <t>kilogram</t>
        </is>
      </c>
      <c r="D79" t="inlineStr">
        <is>
          <t>air</t>
        </is>
      </c>
      <c r="F79" t="inlineStr">
        <is>
          <t>biosphere</t>
        </is>
      </c>
      <c r="H79" s="4" t="n"/>
    </row>
    <row r="80">
      <c r="A80" t="inlineStr">
        <is>
          <t>Hydrocarbons, aliphatic, alkanes, unspecified</t>
        </is>
      </c>
      <c r="B80" s="4" t="n">
        <v>1.541095890410959e-05</v>
      </c>
      <c r="C80" t="inlineStr">
        <is>
          <t>kilogram</t>
        </is>
      </c>
      <c r="D80" t="inlineStr">
        <is>
          <t>air</t>
        </is>
      </c>
      <c r="F80" t="inlineStr">
        <is>
          <t>biosphere</t>
        </is>
      </c>
      <c r="H80" s="4" t="n"/>
    </row>
    <row r="81">
      <c r="A81" t="inlineStr">
        <is>
          <t>Hydrogen chloride</t>
        </is>
      </c>
      <c r="B81" s="4" t="n">
        <v>1.718404752121648e-05</v>
      </c>
      <c r="C81" t="inlineStr">
        <is>
          <t>kilogram</t>
        </is>
      </c>
      <c r="D81" t="inlineStr">
        <is>
          <t>air</t>
        </is>
      </c>
      <c r="F81" t="inlineStr">
        <is>
          <t>biosphere</t>
        </is>
      </c>
      <c r="H81" s="4" t="n"/>
    </row>
    <row r="82">
      <c r="A82" t="inlineStr">
        <is>
          <t>Hydrogen chloride</t>
        </is>
      </c>
      <c r="B82" s="4" t="n">
        <v>7.62264513862561e-08</v>
      </c>
      <c r="C82" t="inlineStr">
        <is>
          <t>kilogram</t>
        </is>
      </c>
      <c r="D82" t="inlineStr">
        <is>
          <t>air::non-urban air or from high stacks</t>
        </is>
      </c>
      <c r="F82" t="inlineStr">
        <is>
          <t>biosphere</t>
        </is>
      </c>
      <c r="H82" s="4" t="n"/>
    </row>
    <row r="83">
      <c r="A83" t="inlineStr">
        <is>
          <t>Hydrogen fluoride</t>
        </is>
      </c>
      <c r="B83" s="4" t="n">
        <v>1.379279061773375e-05</v>
      </c>
      <c r="C83" t="inlineStr">
        <is>
          <t>kilogram</t>
        </is>
      </c>
      <c r="D83" t="inlineStr">
        <is>
          <t>air</t>
        </is>
      </c>
      <c r="F83" t="inlineStr">
        <is>
          <t>biosphere</t>
        </is>
      </c>
      <c r="H83" s="4" t="n"/>
    </row>
    <row r="84">
      <c r="A84" t="inlineStr">
        <is>
          <t>Hydrogen fluoride</t>
        </is>
      </c>
      <c r="B84" s="4" t="n">
        <v>1.798121219922727e-07</v>
      </c>
      <c r="C84" t="inlineStr">
        <is>
          <t>kilogram</t>
        </is>
      </c>
      <c r="D84" t="inlineStr">
        <is>
          <t>air::non-urban air or from high stacks</t>
        </is>
      </c>
      <c r="F84" t="inlineStr">
        <is>
          <t>biosphere</t>
        </is>
      </c>
      <c r="H84" s="4" t="n"/>
    </row>
    <row r="85">
      <c r="A85" t="inlineStr">
        <is>
          <t>Iron, ion</t>
        </is>
      </c>
      <c r="B85" s="4" t="n">
        <v>8.082191780821918e-09</v>
      </c>
      <c r="C85" t="inlineStr">
        <is>
          <t>kilogram</t>
        </is>
      </c>
      <c r="D85" t="inlineStr">
        <is>
          <t>water::surface water</t>
        </is>
      </c>
      <c r="F85" t="inlineStr">
        <is>
          <t>biosphere</t>
        </is>
      </c>
      <c r="H85" s="4" t="n"/>
    </row>
    <row r="86">
      <c r="A86" t="inlineStr">
        <is>
          <t>Lead</t>
        </is>
      </c>
      <c r="B86" s="4" t="n">
        <v>4.554794520547946e-08</v>
      </c>
      <c r="C86" t="inlineStr">
        <is>
          <t>kilogram</t>
        </is>
      </c>
      <c r="D86" t="inlineStr">
        <is>
          <t>air</t>
        </is>
      </c>
      <c r="F86" t="inlineStr">
        <is>
          <t>biosphere</t>
        </is>
      </c>
      <c r="H86" s="4" t="n"/>
    </row>
    <row r="87">
      <c r="A87" t="inlineStr">
        <is>
          <t>Lead</t>
        </is>
      </c>
      <c r="B87" s="4" t="n">
        <v>4.246575342465753e-12</v>
      </c>
      <c r="C87" t="inlineStr">
        <is>
          <t>kilogram</t>
        </is>
      </c>
      <c r="D87" t="inlineStr">
        <is>
          <t>water::surface water</t>
        </is>
      </c>
      <c r="F87" t="inlineStr">
        <is>
          <t>biosphere</t>
        </is>
      </c>
      <c r="H87" s="4" t="n"/>
    </row>
    <row r="88">
      <c r="A88" t="inlineStr">
        <is>
          <t>Manganese</t>
        </is>
      </c>
      <c r="B88" s="4" t="n">
        <v>1.273972602739726e-09</v>
      </c>
      <c r="C88" t="inlineStr">
        <is>
          <t>kilogram</t>
        </is>
      </c>
      <c r="D88" t="inlineStr">
        <is>
          <t>water::surface water</t>
        </is>
      </c>
      <c r="F88" t="inlineStr">
        <is>
          <t>biosphere</t>
        </is>
      </c>
      <c r="H88" s="4" t="n"/>
    </row>
    <row r="89">
      <c r="A89" t="inlineStr">
        <is>
          <t>Manganese</t>
        </is>
      </c>
      <c r="B89" s="4" t="n">
        <v>1.575342465753425e-08</v>
      </c>
      <c r="C89" t="inlineStr">
        <is>
          <t>kilogram</t>
        </is>
      </c>
      <c r="D89" t="inlineStr">
        <is>
          <t>air</t>
        </is>
      </c>
      <c r="F89" t="inlineStr">
        <is>
          <t>biosphere</t>
        </is>
      </c>
      <c r="H89" s="4" t="n"/>
    </row>
    <row r="90">
      <c r="A90" t="inlineStr">
        <is>
          <t>Mercury</t>
        </is>
      </c>
      <c r="B90" s="4" t="n">
        <v>1.957061181818704e-10</v>
      </c>
      <c r="C90" t="inlineStr">
        <is>
          <t>kilogram</t>
        </is>
      </c>
      <c r="D90" t="inlineStr">
        <is>
          <t>air</t>
        </is>
      </c>
      <c r="F90" t="inlineStr">
        <is>
          <t>biosphere</t>
        </is>
      </c>
      <c r="H90" s="4" t="n"/>
    </row>
    <row r="91">
      <c r="A91" t="inlineStr">
        <is>
          <t>Mercury</t>
        </is>
      </c>
      <c r="B91" s="4" t="n">
        <v>4.33349777085406e-11</v>
      </c>
      <c r="C91" t="inlineStr">
        <is>
          <t>kilogram</t>
        </is>
      </c>
      <c r="D91" t="inlineStr">
        <is>
          <t>air::non-urban air or from high stacks</t>
        </is>
      </c>
      <c r="F91" t="inlineStr">
        <is>
          <t>biosphere</t>
        </is>
      </c>
      <c r="H91" s="4" t="n"/>
    </row>
    <row r="92">
      <c r="A92" t="inlineStr">
        <is>
          <t>Mercury</t>
        </is>
      </c>
      <c r="B92" s="4" t="n">
        <v>5.520547945205479e-13</v>
      </c>
      <c r="C92" t="inlineStr">
        <is>
          <t>kilogram</t>
        </is>
      </c>
      <c r="D92" t="inlineStr">
        <is>
          <t>water::surface water</t>
        </is>
      </c>
      <c r="F92" t="inlineStr">
        <is>
          <t>biosphere</t>
        </is>
      </c>
      <c r="H92" s="4" t="n"/>
    </row>
    <row r="93">
      <c r="A93" t="inlineStr">
        <is>
          <t>Methane, fossil</t>
        </is>
      </c>
      <c r="B93" s="4" t="n">
        <v>4.178082191780822e-11</v>
      </c>
      <c r="C93" t="inlineStr">
        <is>
          <t>kilogram</t>
        </is>
      </c>
      <c r="D93" t="inlineStr">
        <is>
          <t>air::non-urban air or from high stacks</t>
        </is>
      </c>
      <c r="F93" t="inlineStr">
        <is>
          <t>biosphere</t>
        </is>
      </c>
      <c r="H93" s="4" t="n"/>
    </row>
    <row r="94">
      <c r="A94" t="inlineStr">
        <is>
          <t>Nickel</t>
        </is>
      </c>
      <c r="B94" s="4" t="n">
        <v>1.027397260273973e-08</v>
      </c>
      <c r="C94" t="inlineStr">
        <is>
          <t>kilogram</t>
        </is>
      </c>
      <c r="D94" t="inlineStr">
        <is>
          <t>air</t>
        </is>
      </c>
      <c r="F94" t="inlineStr">
        <is>
          <t>biosphere</t>
        </is>
      </c>
      <c r="H94" s="4" t="n"/>
    </row>
    <row r="95">
      <c r="A95" t="inlineStr">
        <is>
          <t>Nickel, ion</t>
        </is>
      </c>
      <c r="B95" s="4" t="n">
        <v>4.246575342465753e-12</v>
      </c>
      <c r="C95" t="inlineStr">
        <is>
          <t>kilogram</t>
        </is>
      </c>
      <c r="D95" t="inlineStr">
        <is>
          <t>water::surface water</t>
        </is>
      </c>
      <c r="F95" t="inlineStr">
        <is>
          <t>biosphere</t>
        </is>
      </c>
      <c r="H95" s="4" t="n"/>
    </row>
    <row r="96">
      <c r="A96" t="inlineStr">
        <is>
          <t>Nitrate</t>
        </is>
      </c>
      <c r="B96" s="4" t="n">
        <v>7.808219178082192e-09</v>
      </c>
      <c r="C96" t="inlineStr">
        <is>
          <t>kilogram</t>
        </is>
      </c>
      <c r="D96" t="inlineStr">
        <is>
          <t>water::surface water</t>
        </is>
      </c>
      <c r="F96" t="inlineStr">
        <is>
          <t>biosphere</t>
        </is>
      </c>
      <c r="H96" s="4" t="n"/>
    </row>
    <row r="97">
      <c r="A97" t="inlineStr">
        <is>
          <t>Nitrogen oxides</t>
        </is>
      </c>
      <c r="B97" s="4" t="n">
        <v>0.0002191015565086674</v>
      </c>
      <c r="C97" t="inlineStr">
        <is>
          <t>kilogram</t>
        </is>
      </c>
      <c r="D97" t="inlineStr">
        <is>
          <t>air</t>
        </is>
      </c>
      <c r="F97" t="inlineStr">
        <is>
          <t>biosphere</t>
        </is>
      </c>
      <c r="H97" s="4" t="n"/>
    </row>
    <row r="98">
      <c r="A98" t="inlineStr">
        <is>
          <t>Nitrogen oxides</t>
        </is>
      </c>
      <c r="B98" s="4" t="n">
        <v>7.652568311343119e-08</v>
      </c>
      <c r="C98" t="inlineStr">
        <is>
          <t>kilogram</t>
        </is>
      </c>
      <c r="D98" t="inlineStr">
        <is>
          <t>air::non-urban air or from high stacks</t>
        </is>
      </c>
      <c r="F98" t="inlineStr">
        <is>
          <t>biosphere</t>
        </is>
      </c>
      <c r="H98" s="4" t="n"/>
    </row>
    <row r="99">
      <c r="A99" t="inlineStr">
        <is>
          <t>NMVOC, non-methane volatile organic compounds, unspecified origin</t>
        </is>
      </c>
      <c r="B99" s="4" t="n">
        <v>2.876712328767123e-11</v>
      </c>
      <c r="C99" t="inlineStr">
        <is>
          <t>kilogram</t>
        </is>
      </c>
      <c r="D99" t="inlineStr">
        <is>
          <t>air::non-urban air or from high stacks</t>
        </is>
      </c>
      <c r="F99" t="inlineStr">
        <is>
          <t>biosphere</t>
        </is>
      </c>
      <c r="H99" s="4" t="n"/>
    </row>
    <row r="100">
      <c r="A100" t="inlineStr">
        <is>
          <t>PAH, polycyclic aromatic hydrocarbons</t>
        </is>
      </c>
      <c r="B100" s="4" t="n">
        <v>1.301369863013698e-10</v>
      </c>
      <c r="C100" t="inlineStr">
        <is>
          <t>kilogram</t>
        </is>
      </c>
      <c r="D100" t="inlineStr">
        <is>
          <t>air</t>
        </is>
      </c>
      <c r="F100" t="inlineStr">
        <is>
          <t>biosphere</t>
        </is>
      </c>
      <c r="H100" s="4" t="n"/>
    </row>
    <row r="101">
      <c r="A101" t="inlineStr">
        <is>
          <t>Particulates, &lt; 2.5 um</t>
        </is>
      </c>
      <c r="B101" s="4" t="n">
        <v>5.144513671538505e-05</v>
      </c>
      <c r="C101" t="inlineStr">
        <is>
          <t>kilogram</t>
        </is>
      </c>
      <c r="D101" t="inlineStr">
        <is>
          <t>air</t>
        </is>
      </c>
      <c r="F101" t="inlineStr">
        <is>
          <t>biosphere</t>
        </is>
      </c>
      <c r="H101" s="4" t="n"/>
    </row>
    <row r="102">
      <c r="A102" t="inlineStr">
        <is>
          <t>Particulates, &lt; 2.5 um</t>
        </is>
      </c>
      <c r="B102" s="4" t="n">
        <v>1.302057503683703e-07</v>
      </c>
      <c r="C102" t="inlineStr">
        <is>
          <t>kilogram</t>
        </is>
      </c>
      <c r="D102" t="inlineStr">
        <is>
          <t>air::non-urban air or from high stacks</t>
        </is>
      </c>
      <c r="F102" t="inlineStr">
        <is>
          <t>biosphere</t>
        </is>
      </c>
      <c r="H102" s="4" t="n"/>
    </row>
    <row r="103">
      <c r="A103" t="inlineStr">
        <is>
          <t>Particulates, &gt; 10 um</t>
        </is>
      </c>
      <c r="B103" s="4" t="n">
        <v>4.013698630136986e-07</v>
      </c>
      <c r="C103" t="inlineStr">
        <is>
          <t>kilogram</t>
        </is>
      </c>
      <c r="D103" t="inlineStr">
        <is>
          <t>air::non-urban air or from high stacks</t>
        </is>
      </c>
      <c r="F103" t="inlineStr">
        <is>
          <t>biosphere</t>
        </is>
      </c>
      <c r="H103" s="4" t="n"/>
    </row>
    <row r="104">
      <c r="A104" t="inlineStr">
        <is>
          <t>Particulates, &gt; 2.5 um, and &lt; 10um</t>
        </is>
      </c>
      <c r="B104" s="4" t="n">
        <v>2.746575342465754e-07</v>
      </c>
      <c r="C104" t="inlineStr">
        <is>
          <t>kilogram</t>
        </is>
      </c>
      <c r="D104" t="inlineStr">
        <is>
          <t>air::non-urban air or from high stacks</t>
        </is>
      </c>
      <c r="F104" t="inlineStr">
        <is>
          <t>biosphere</t>
        </is>
      </c>
      <c r="H104" s="4" t="n"/>
    </row>
    <row r="105">
      <c r="A105" t="inlineStr">
        <is>
          <t>Phosphorus</t>
        </is>
      </c>
      <c r="B105" s="4" t="n">
        <v>5.095890410958904e-10</v>
      </c>
      <c r="C105" t="inlineStr">
        <is>
          <t>kilogram</t>
        </is>
      </c>
      <c r="D105" t="inlineStr">
        <is>
          <t>water::surface water</t>
        </is>
      </c>
      <c r="F105" t="inlineStr">
        <is>
          <t>biosphere</t>
        </is>
      </c>
      <c r="H105" s="4" t="n"/>
    </row>
    <row r="106">
      <c r="A106" t="inlineStr">
        <is>
          <t>Silver</t>
        </is>
      </c>
      <c r="B106" s="4" t="n">
        <v>3.863013698630137e-11</v>
      </c>
      <c r="C106" t="inlineStr">
        <is>
          <t>kilogram</t>
        </is>
      </c>
      <c r="D106" t="inlineStr">
        <is>
          <t>air::non-urban air or from high stacks</t>
        </is>
      </c>
      <c r="F106" t="inlineStr">
        <is>
          <t>biosphere</t>
        </is>
      </c>
      <c r="H106" s="4" t="n"/>
    </row>
    <row r="107">
      <c r="A107" t="inlineStr">
        <is>
          <t>Sulfur dioxide</t>
        </is>
      </c>
      <c r="B107" s="4" t="n">
        <v>8.937496372347181e-05</v>
      </c>
      <c r="C107" t="inlineStr">
        <is>
          <t>kilogram</t>
        </is>
      </c>
      <c r="D107" t="inlineStr">
        <is>
          <t>air</t>
        </is>
      </c>
      <c r="F107" t="inlineStr">
        <is>
          <t>biosphere</t>
        </is>
      </c>
      <c r="H107" s="4" t="n"/>
    </row>
    <row r="108">
      <c r="A108" t="inlineStr">
        <is>
          <t>Sulfur dioxide</t>
        </is>
      </c>
      <c r="B108" s="4" t="n">
        <v>3.510636737884773e-07</v>
      </c>
      <c r="C108" t="inlineStr">
        <is>
          <t>kilogram</t>
        </is>
      </c>
      <c r="D108" t="inlineStr">
        <is>
          <t>air::non-urban air or from high stacks</t>
        </is>
      </c>
      <c r="F108" t="inlineStr">
        <is>
          <t>biosphere</t>
        </is>
      </c>
      <c r="H108" s="4" t="n"/>
    </row>
    <row r="109">
      <c r="A109" t="inlineStr">
        <is>
          <t>Suspended solids, unspecified</t>
        </is>
      </c>
      <c r="B109" s="4" t="n">
        <v>2.719178082191781e-08</v>
      </c>
      <c r="C109" t="inlineStr">
        <is>
          <t>kilogram</t>
        </is>
      </c>
      <c r="D109" t="inlineStr">
        <is>
          <t>water::surface water</t>
        </is>
      </c>
      <c r="F109" t="inlineStr">
        <is>
          <t>biosphere</t>
        </is>
      </c>
      <c r="H109" s="4" t="n"/>
    </row>
    <row r="110">
      <c r="A110" t="inlineStr">
        <is>
          <t>Water</t>
        </is>
      </c>
      <c r="B110" s="4" t="n">
        <v>1.26027397260274e-05</v>
      </c>
      <c r="C110" t="inlineStr">
        <is>
          <t>cubic meter</t>
        </is>
      </c>
      <c r="D110" t="inlineStr">
        <is>
          <t>water</t>
        </is>
      </c>
      <c r="F110" t="inlineStr">
        <is>
          <t>biosphere</t>
        </is>
      </c>
      <c r="H110" s="4" t="n"/>
    </row>
    <row r="111">
      <c r="A111" t="inlineStr">
        <is>
          <t>Water</t>
        </is>
      </c>
      <c r="B111" s="4" t="n">
        <v>0.002226027397260274</v>
      </c>
      <c r="C111" t="inlineStr">
        <is>
          <t>cubic meter</t>
        </is>
      </c>
      <c r="D111" t="inlineStr">
        <is>
          <t>air</t>
        </is>
      </c>
      <c r="F111" t="inlineStr">
        <is>
          <t>biosphere</t>
        </is>
      </c>
      <c r="H111" s="4" t="n"/>
    </row>
    <row r="112">
      <c r="A112" t="inlineStr">
        <is>
          <t>Water, unspecified natural origin</t>
        </is>
      </c>
      <c r="B112" s="4" t="n">
        <v>6.164383561643837e-05</v>
      </c>
      <c r="C112" t="inlineStr">
        <is>
          <t>cubic meter</t>
        </is>
      </c>
      <c r="D112" t="inlineStr">
        <is>
          <t>natural resource::in water</t>
        </is>
      </c>
      <c r="F112" t="inlineStr">
        <is>
          <t>biosphere</t>
        </is>
      </c>
      <c r="H112" s="4" t="n"/>
    </row>
    <row r="113">
      <c r="A113" t="inlineStr">
        <is>
          <t>Zinc</t>
        </is>
      </c>
      <c r="B113" s="4" t="n">
        <v>3.849315068493151e-08</v>
      </c>
      <c r="C113" t="inlineStr">
        <is>
          <t>kilogram</t>
        </is>
      </c>
      <c r="D113" t="inlineStr">
        <is>
          <t>air</t>
        </is>
      </c>
      <c r="F113" t="inlineStr">
        <is>
          <t>biosphere</t>
        </is>
      </c>
      <c r="H113" s="4" t="n"/>
    </row>
    <row r="114">
      <c r="A114" t="inlineStr">
        <is>
          <t>Zinc, ion</t>
        </is>
      </c>
      <c r="B114" s="4" t="n">
        <v>1.698630136986301e-11</v>
      </c>
      <c r="C114" t="inlineStr">
        <is>
          <t>kilogram</t>
        </is>
      </c>
      <c r="D114" t="inlineStr">
        <is>
          <t>water::surface water</t>
        </is>
      </c>
      <c r="F114" t="inlineStr">
        <is>
          <t>biosphere</t>
        </is>
      </c>
      <c r="H114" s="4" t="n"/>
    </row>
    <row r="115">
      <c r="H115" s="4" t="n"/>
    </row>
    <row r="116">
      <c r="A116" s="1" t="inlineStr">
        <is>
          <t>Activity</t>
        </is>
      </c>
      <c r="B116" s="1" t="inlineStr">
        <is>
          <t>vanadium pentoxide bearing cast iron, production</t>
        </is>
      </c>
    </row>
    <row r="117">
      <c r="A117" t="inlineStr">
        <is>
          <t>comment</t>
        </is>
      </c>
      <c r="B117" t="inlineStr">
        <is>
          <t>A reduction is performed on vanadium pentoxide-bearing magnetite in an electric arc furnace to obtain a cast iron (pig iron) which still contains the vanadium from the ore (1.4 % vanadium pentoxide in the iron).</t>
        </is>
      </c>
    </row>
    <row r="118">
      <c r="A118" t="inlineStr">
        <is>
          <t>source</t>
        </is>
      </c>
      <c r="B118" t="inlineStr">
        <is>
          <t>Life Cycle Assessment of a Vanadium Redox Flow Battery, Selina Weber, Jens F. Peters, Manuel Baumann, and Marcel Weil, Environ. Sci. Technol. 2018, 52, 10864−10873, DOI: 10.1021/acs.est.8b02073</t>
        </is>
      </c>
    </row>
    <row r="119">
      <c r="A119" t="inlineStr">
        <is>
          <t>location</t>
        </is>
      </c>
      <c r="B119" t="inlineStr">
        <is>
          <t>ZA</t>
        </is>
      </c>
    </row>
    <row r="120">
      <c r="A120" t="inlineStr">
        <is>
          <t>production amount</t>
        </is>
      </c>
      <c r="B120" t="n">
        <v>1</v>
      </c>
    </row>
    <row r="121">
      <c r="A121" t="inlineStr">
        <is>
          <t>reference product</t>
        </is>
      </c>
      <c r="B121" t="inlineStr">
        <is>
          <t>vanadium pentoxide bearing cast iron</t>
        </is>
      </c>
    </row>
    <row r="122">
      <c r="A122" t="inlineStr">
        <is>
          <t>unit</t>
        </is>
      </c>
      <c r="B122" t="inlineStr">
        <is>
          <t>kilogram</t>
        </is>
      </c>
    </row>
    <row r="123">
      <c r="A123" s="1" t="inlineStr">
        <is>
          <t>Exchanges</t>
        </is>
      </c>
    </row>
    <row r="124" customFormat="1" s="1">
      <c r="A124" s="1" t="inlineStr">
        <is>
          <t>name</t>
        </is>
      </c>
      <c r="B124" s="1" t="inlineStr">
        <is>
          <t>amount</t>
        </is>
      </c>
      <c r="C124" s="1" t="inlineStr">
        <is>
          <t>unit</t>
        </is>
      </c>
      <c r="D124" s="1" t="inlineStr">
        <is>
          <t>categories</t>
        </is>
      </c>
      <c r="E124" s="1" t="inlineStr">
        <is>
          <t>location</t>
        </is>
      </c>
      <c r="F124" s="1" t="inlineStr">
        <is>
          <t>type</t>
        </is>
      </c>
      <c r="G124" s="1" t="inlineStr">
        <is>
          <t>reference product</t>
        </is>
      </c>
      <c r="H124" s="1" t="inlineStr">
        <is>
          <t>Comment</t>
        </is>
      </c>
    </row>
    <row r="125">
      <c r="A125" t="inlineStr">
        <is>
          <t>vanadium pentoxide bearing cast iron, production</t>
        </is>
      </c>
      <c r="B125" s="4" t="n">
        <v>1</v>
      </c>
      <c r="C125" t="inlineStr">
        <is>
          <t>kilogram</t>
        </is>
      </c>
      <c r="E125" t="inlineStr">
        <is>
          <t>ZA</t>
        </is>
      </c>
      <c r="F125" t="inlineStr">
        <is>
          <t>production</t>
        </is>
      </c>
      <c r="G125" t="inlineStr">
        <is>
          <t>vanadium pentoxide bearing cast iron</t>
        </is>
      </c>
      <c r="H125" s="4" t="n"/>
    </row>
    <row r="126">
      <c r="A126" t="inlineStr">
        <is>
          <t>pre-reduced vanadium pentoxide bearing magnetite production</t>
        </is>
      </c>
      <c r="B126" t="n">
        <v>1.106060606060606</v>
      </c>
      <c r="C126" t="inlineStr">
        <is>
          <t>kilogram</t>
        </is>
      </c>
      <c r="E126" t="inlineStr">
        <is>
          <t>ZA</t>
        </is>
      </c>
      <c r="F126" t="inlineStr">
        <is>
          <t>technosphere</t>
        </is>
      </c>
      <c r="G126" t="inlineStr">
        <is>
          <t>pre-reduced vanadium pentoxide bearing magnetite</t>
        </is>
      </c>
    </row>
    <row r="127">
      <c r="A127" t="inlineStr">
        <is>
          <t>market for anode, for metal electrolysis</t>
        </is>
      </c>
      <c r="B127" s="4" t="n">
        <v>0.002272727272727273</v>
      </c>
      <c r="C127" t="inlineStr">
        <is>
          <t>kilogram</t>
        </is>
      </c>
      <c r="E127" t="inlineStr">
        <is>
          <t>GLO</t>
        </is>
      </c>
      <c r="F127" t="inlineStr">
        <is>
          <t>technosphere</t>
        </is>
      </c>
      <c r="G127" t="inlineStr">
        <is>
          <t>anode, for metal electrolysis</t>
        </is>
      </c>
    </row>
    <row r="128">
      <c r="A128" t="inlineStr">
        <is>
          <t>market for electric arc furnace converter</t>
        </is>
      </c>
      <c r="B128" s="4" t="n">
        <v>3.03030303030303e-11</v>
      </c>
      <c r="C128" t="inlineStr">
        <is>
          <t>unit</t>
        </is>
      </c>
      <c r="E128" t="inlineStr">
        <is>
          <t>GLO</t>
        </is>
      </c>
      <c r="F128" t="inlineStr">
        <is>
          <t>technosphere</t>
        </is>
      </c>
      <c r="G128" t="inlineStr">
        <is>
          <t>electric arc furnace converter</t>
        </is>
      </c>
    </row>
    <row r="129">
      <c r="A129" t="inlineStr">
        <is>
          <t>market for electric arc furnace dust</t>
        </is>
      </c>
      <c r="B129" s="4" t="n">
        <v>0.007272727272727272</v>
      </c>
      <c r="C129" t="inlineStr">
        <is>
          <t>kilogram</t>
        </is>
      </c>
      <c r="E129" t="inlineStr">
        <is>
          <t>RoW</t>
        </is>
      </c>
      <c r="F129" t="inlineStr">
        <is>
          <t>technosphere</t>
        </is>
      </c>
      <c r="G129" t="inlineStr">
        <is>
          <t>electric arc furnace dust</t>
        </is>
      </c>
    </row>
    <row r="130">
      <c r="A130" t="inlineStr">
        <is>
          <t>market for electric arc furnace slag</t>
        </is>
      </c>
      <c r="B130" s="4" t="n">
        <v>-0.0703030303030303</v>
      </c>
      <c r="C130" t="inlineStr">
        <is>
          <t>kilogram</t>
        </is>
      </c>
      <c r="E130" t="inlineStr">
        <is>
          <t>RoW</t>
        </is>
      </c>
      <c r="F130" t="inlineStr">
        <is>
          <t>technosphere</t>
        </is>
      </c>
      <c r="G130" t="inlineStr">
        <is>
          <t>electric arc furnace slag</t>
        </is>
      </c>
    </row>
    <row r="131">
      <c r="A131" t="inlineStr">
        <is>
          <t>market for electricity, medium voltage</t>
        </is>
      </c>
      <c r="B131" t="n">
        <v>0.3181818181818182</v>
      </c>
      <c r="C131" t="inlineStr">
        <is>
          <t>kilowatt hour</t>
        </is>
      </c>
      <c r="E131" t="inlineStr">
        <is>
          <t>ZA</t>
        </is>
      </c>
      <c r="F131" t="inlineStr">
        <is>
          <t>technosphere</t>
        </is>
      </c>
      <c r="G131" t="inlineStr">
        <is>
          <t>electricity, medium voltage</t>
        </is>
      </c>
    </row>
    <row r="132">
      <c r="A132" t="inlineStr">
        <is>
          <t>market for hard coal</t>
        </is>
      </c>
      <c r="B132" s="4" t="n">
        <v>0.0106060606060606</v>
      </c>
      <c r="C132" t="inlineStr">
        <is>
          <t>kilogram</t>
        </is>
      </c>
      <c r="E132" t="inlineStr">
        <is>
          <t>ZA</t>
        </is>
      </c>
      <c r="F132" t="inlineStr">
        <is>
          <t>technosphere</t>
        </is>
      </c>
      <c r="G132" t="inlineStr">
        <is>
          <t>hard coal</t>
        </is>
      </c>
    </row>
    <row r="133">
      <c r="A133" t="inlineStr">
        <is>
          <t>market for inert waste, for final disposal</t>
        </is>
      </c>
      <c r="B133" s="4" t="n">
        <v>-0.003787878787878788</v>
      </c>
      <c r="C133" t="inlineStr">
        <is>
          <t>kilogram</t>
        </is>
      </c>
      <c r="E133" t="inlineStr">
        <is>
          <t>RoW</t>
        </is>
      </c>
      <c r="F133" t="inlineStr">
        <is>
          <t>technosphere</t>
        </is>
      </c>
      <c r="G133" t="inlineStr">
        <is>
          <t>inert waste, for final disposal</t>
        </is>
      </c>
    </row>
    <row r="134">
      <c r="A134" t="inlineStr">
        <is>
          <t>market for natural gas, high pressure</t>
        </is>
      </c>
      <c r="B134" s="4" t="n">
        <v>0.01893939393939394</v>
      </c>
      <c r="C134" t="inlineStr">
        <is>
          <t>cubic meter</t>
        </is>
      </c>
      <c r="E134" t="inlineStr">
        <is>
          <t>RoW</t>
        </is>
      </c>
      <c r="F134" t="inlineStr">
        <is>
          <t>technosphere</t>
        </is>
      </c>
      <c r="G134" t="inlineStr">
        <is>
          <t>natural gas, high pressure</t>
        </is>
      </c>
    </row>
    <row r="135">
      <c r="A135" t="inlineStr">
        <is>
          <t>market for oxygen, liquid</t>
        </is>
      </c>
      <c r="B135" s="4" t="n">
        <v>0.03840909090909091</v>
      </c>
      <c r="C135" t="inlineStr">
        <is>
          <t>kilogram</t>
        </is>
      </c>
      <c r="E135" t="inlineStr">
        <is>
          <t>RoW</t>
        </is>
      </c>
      <c r="F135" t="inlineStr">
        <is>
          <t>technosphere</t>
        </is>
      </c>
      <c r="G135" t="inlineStr">
        <is>
          <t>oxygen, liquid</t>
        </is>
      </c>
    </row>
    <row r="136">
      <c r="A136" t="inlineStr">
        <is>
          <t>market for quicklime, in pieces, loose</t>
        </is>
      </c>
      <c r="B136" s="4" t="n">
        <v>0.04166666666666666</v>
      </c>
      <c r="C136" t="inlineStr">
        <is>
          <t>kilogram</t>
        </is>
      </c>
      <c r="E136" t="inlineStr">
        <is>
          <t>RoW</t>
        </is>
      </c>
      <c r="F136" t="inlineStr">
        <is>
          <t>technosphere</t>
        </is>
      </c>
      <c r="G136" t="inlineStr">
        <is>
          <t>quicklime, in pieces, loose</t>
        </is>
      </c>
    </row>
    <row r="137">
      <c r="A137" t="inlineStr">
        <is>
          <t>market for refractory, basic, packed</t>
        </is>
      </c>
      <c r="B137" s="4" t="n">
        <v>0.01022727272727273</v>
      </c>
      <c r="C137" t="inlineStr">
        <is>
          <t>kilogram</t>
        </is>
      </c>
      <c r="E137" t="inlineStr">
        <is>
          <t>GLO</t>
        </is>
      </c>
      <c r="F137" t="inlineStr">
        <is>
          <t>technosphere</t>
        </is>
      </c>
      <c r="G137" t="inlineStr">
        <is>
          <t>refractory, basic, packed</t>
        </is>
      </c>
    </row>
    <row r="138">
      <c r="A138" t="inlineStr">
        <is>
          <t>Benzene</t>
        </is>
      </c>
      <c r="B138" s="4" t="n">
        <v>1.75e-06</v>
      </c>
      <c r="C138" t="inlineStr">
        <is>
          <t>kilogram</t>
        </is>
      </c>
      <c r="D138" t="inlineStr">
        <is>
          <t>air</t>
        </is>
      </c>
      <c r="F138" t="inlineStr">
        <is>
          <t>biosphere</t>
        </is>
      </c>
    </row>
    <row r="139">
      <c r="A139" t="inlineStr">
        <is>
          <t>Cadmium</t>
        </is>
      </c>
      <c r="B139" s="4" t="n">
        <v>2.765151515151515e-08</v>
      </c>
      <c r="C139" t="inlineStr">
        <is>
          <t>kilogram</t>
        </is>
      </c>
      <c r="D139" t="inlineStr">
        <is>
          <t>air</t>
        </is>
      </c>
      <c r="F139" t="inlineStr">
        <is>
          <t>biosphere</t>
        </is>
      </c>
    </row>
    <row r="140">
      <c r="A140" t="inlineStr">
        <is>
          <t>Carbon monoxide, fossil</t>
        </is>
      </c>
      <c r="B140" s="4" t="n">
        <v>0.001757575757575757</v>
      </c>
      <c r="C140" t="inlineStr">
        <is>
          <t>kilogram</t>
        </is>
      </c>
      <c r="D140" t="inlineStr">
        <is>
          <t>air</t>
        </is>
      </c>
      <c r="F140" t="inlineStr">
        <is>
          <t>biosphere</t>
        </is>
      </c>
    </row>
    <row r="141">
      <c r="A141" t="inlineStr">
        <is>
          <t>Chromium</t>
        </is>
      </c>
      <c r="B141" s="4" t="n">
        <v>9.469696969696971e-07</v>
      </c>
      <c r="C141" t="inlineStr">
        <is>
          <t>kilogram</t>
        </is>
      </c>
      <c r="D141" t="inlineStr">
        <is>
          <t>air</t>
        </is>
      </c>
      <c r="F141" t="inlineStr">
        <is>
          <t>biosphere</t>
        </is>
      </c>
    </row>
    <row r="142">
      <c r="A142" t="inlineStr">
        <is>
          <t>Copper</t>
        </is>
      </c>
      <c r="B142" s="4" t="n">
        <v>1.75e-07</v>
      </c>
      <c r="C142" t="inlineStr">
        <is>
          <t>kilogram</t>
        </is>
      </c>
      <c r="D142" t="inlineStr">
        <is>
          <t>air</t>
        </is>
      </c>
      <c r="F142" t="inlineStr">
        <is>
          <t>biosphere</t>
        </is>
      </c>
    </row>
    <row r="143">
      <c r="A143" t="inlineStr">
        <is>
          <t>Dioxins, measured as 2,3,7,8-tetrachlorodibenzo-p-dioxin</t>
        </is>
      </c>
      <c r="B143" s="4" t="n">
        <v>3.439393939393939e-12</v>
      </c>
      <c r="C143" t="inlineStr">
        <is>
          <t>kilogram</t>
        </is>
      </c>
      <c r="D143" t="inlineStr">
        <is>
          <t>air</t>
        </is>
      </c>
      <c r="F143" t="inlineStr">
        <is>
          <t>biosphere</t>
        </is>
      </c>
    </row>
    <row r="144">
      <c r="A144" t="inlineStr">
        <is>
          <t>Hydrocarbons, aromatic</t>
        </is>
      </c>
      <c r="B144" s="4" t="n">
        <v>5.833333333333333e-05</v>
      </c>
      <c r="C144" t="inlineStr">
        <is>
          <t>kilogram</t>
        </is>
      </c>
      <c r="D144" t="inlineStr">
        <is>
          <t>air</t>
        </is>
      </c>
      <c r="F144" t="inlineStr">
        <is>
          <t>biosphere</t>
        </is>
      </c>
    </row>
    <row r="145">
      <c r="A145" t="inlineStr">
        <is>
          <t>Hydrogen chloride</t>
        </is>
      </c>
      <c r="B145" s="4" t="n">
        <v>3.939393939393939e-06</v>
      </c>
      <c r="C145" t="inlineStr">
        <is>
          <t>kilogram</t>
        </is>
      </c>
      <c r="D145" t="inlineStr">
        <is>
          <t>air</t>
        </is>
      </c>
      <c r="F145" t="inlineStr">
        <is>
          <t>biosphere</t>
        </is>
      </c>
    </row>
    <row r="146">
      <c r="A146" t="inlineStr">
        <is>
          <t>Hydrogen fluoride</t>
        </is>
      </c>
      <c r="B146" s="4" t="n">
        <v>1.78030303030303e-06</v>
      </c>
      <c r="C146" t="inlineStr">
        <is>
          <t>kilogram</t>
        </is>
      </c>
      <c r="D146" t="inlineStr">
        <is>
          <t>air</t>
        </is>
      </c>
      <c r="F146" t="inlineStr">
        <is>
          <t>biosphere</t>
        </is>
      </c>
    </row>
    <row r="147">
      <c r="A147" t="inlineStr">
        <is>
          <t>Lead</t>
        </is>
      </c>
      <c r="B147" s="4" t="n">
        <v>1.371212121212121e-06</v>
      </c>
      <c r="C147" t="inlineStr">
        <is>
          <t>kilogram</t>
        </is>
      </c>
      <c r="D147" t="inlineStr">
        <is>
          <t>air</t>
        </is>
      </c>
      <c r="F147" t="inlineStr">
        <is>
          <t>biosphere</t>
        </is>
      </c>
    </row>
    <row r="148">
      <c r="A148" t="inlineStr">
        <is>
          <t>Mercury</t>
        </is>
      </c>
      <c r="B148" s="4" t="n">
        <v>1.696969696969697e-06</v>
      </c>
      <c r="C148" t="inlineStr">
        <is>
          <t>kilogram</t>
        </is>
      </c>
      <c r="D148" t="inlineStr">
        <is>
          <t>air</t>
        </is>
      </c>
      <c r="F148" t="inlineStr">
        <is>
          <t>biosphere</t>
        </is>
      </c>
    </row>
    <row r="149">
      <c r="A149" t="inlineStr">
        <is>
          <t>Nickel</t>
        </is>
      </c>
      <c r="B149" s="4" t="n">
        <v>5.310606060606061e-07</v>
      </c>
      <c r="C149" t="inlineStr">
        <is>
          <t>kilogram</t>
        </is>
      </c>
      <c r="D149" t="inlineStr">
        <is>
          <t>air</t>
        </is>
      </c>
      <c r="F149" t="inlineStr">
        <is>
          <t>biosphere</t>
        </is>
      </c>
    </row>
    <row r="150">
      <c r="A150" t="inlineStr">
        <is>
          <t>Nitrogen oxides</t>
        </is>
      </c>
      <c r="B150" s="4" t="n">
        <v>0.0001363636363636364</v>
      </c>
      <c r="C150" t="inlineStr">
        <is>
          <t>kilogram</t>
        </is>
      </c>
      <c r="D150" t="inlineStr">
        <is>
          <t>air</t>
        </is>
      </c>
      <c r="F150" t="inlineStr">
        <is>
          <t>biosphere</t>
        </is>
      </c>
    </row>
    <row r="151">
      <c r="A151" t="inlineStr">
        <is>
          <t>PAH, polycyclic aromatic hydrocarbons</t>
        </is>
      </c>
      <c r="B151" s="4" t="n">
        <v>2.825757575757576e-08</v>
      </c>
      <c r="C151" t="inlineStr">
        <is>
          <t>kilogram</t>
        </is>
      </c>
      <c r="D151" t="inlineStr">
        <is>
          <t>air</t>
        </is>
      </c>
      <c r="F151" t="inlineStr">
        <is>
          <t>biosphere</t>
        </is>
      </c>
    </row>
    <row r="152">
      <c r="A152" t="inlineStr">
        <is>
          <t>Particulates, &lt; 2.5 um</t>
        </is>
      </c>
      <c r="B152" s="4" t="n">
        <v>0.0001287878787878788</v>
      </c>
      <c r="C152" t="inlineStr">
        <is>
          <t>kilogram</t>
        </is>
      </c>
      <c r="D152" t="inlineStr">
        <is>
          <t>air</t>
        </is>
      </c>
      <c r="F152" t="inlineStr">
        <is>
          <t>biosphere</t>
        </is>
      </c>
    </row>
    <row r="153">
      <c r="A153" t="inlineStr">
        <is>
          <t>Particulates, &gt; 10 um</t>
        </is>
      </c>
      <c r="B153" s="4" t="n">
        <v>4.439393939393939e-05</v>
      </c>
      <c r="C153" t="inlineStr">
        <is>
          <t>kilogram</t>
        </is>
      </c>
      <c r="D153" t="inlineStr">
        <is>
          <t>air</t>
        </is>
      </c>
      <c r="F153" t="inlineStr">
        <is>
          <t>biosphere</t>
        </is>
      </c>
    </row>
    <row r="154">
      <c r="A154" t="inlineStr">
        <is>
          <t>Particulates, &gt; 2.5 um, and &lt; 10um</t>
        </is>
      </c>
      <c r="B154" s="4" t="n">
        <v>0.0001287878787878788</v>
      </c>
      <c r="C154" t="inlineStr">
        <is>
          <t>kilogram</t>
        </is>
      </c>
      <c r="D154" t="inlineStr">
        <is>
          <t>air</t>
        </is>
      </c>
      <c r="F154" t="inlineStr">
        <is>
          <t>biosphere</t>
        </is>
      </c>
    </row>
    <row r="155">
      <c r="A155" t="inlineStr">
        <is>
          <t>Polychlorinated biphenyls</t>
        </is>
      </c>
      <c r="B155" s="4" t="n">
        <v>1.765151515151515e-08</v>
      </c>
      <c r="C155" t="inlineStr">
        <is>
          <t>kilogram</t>
        </is>
      </c>
      <c r="D155" t="inlineStr">
        <is>
          <t>air</t>
        </is>
      </c>
      <c r="F155" t="inlineStr">
        <is>
          <t>biosphere</t>
        </is>
      </c>
    </row>
    <row r="156">
      <c r="A156" t="inlineStr">
        <is>
          <t>Sulfur dioxide</t>
        </is>
      </c>
      <c r="B156" s="4" t="n">
        <v>5.833333333333333e-05</v>
      </c>
      <c r="C156" t="inlineStr">
        <is>
          <t>kilogram</t>
        </is>
      </c>
      <c r="D156" t="inlineStr">
        <is>
          <t>air</t>
        </is>
      </c>
      <c r="F156" t="inlineStr">
        <is>
          <t>biosphere</t>
        </is>
      </c>
    </row>
    <row r="157">
      <c r="A157" t="inlineStr">
        <is>
          <t>Water</t>
        </is>
      </c>
      <c r="B157" s="4" t="n">
        <v>0.002424242424242424</v>
      </c>
      <c r="C157" t="inlineStr">
        <is>
          <t>cubic meter</t>
        </is>
      </c>
      <c r="D157" t="inlineStr">
        <is>
          <t>water</t>
        </is>
      </c>
      <c r="F157" t="inlineStr">
        <is>
          <t>biosphere</t>
        </is>
      </c>
    </row>
    <row r="158">
      <c r="A158" t="inlineStr">
        <is>
          <t>Water</t>
        </is>
      </c>
      <c r="B158" s="4" t="n">
        <v>0.001531321518659583</v>
      </c>
      <c r="C158" t="inlineStr">
        <is>
          <t>cubic meter</t>
        </is>
      </c>
      <c r="D158" t="inlineStr">
        <is>
          <t>air</t>
        </is>
      </c>
      <c r="F158" t="inlineStr">
        <is>
          <t>biosphere</t>
        </is>
      </c>
    </row>
    <row r="159">
      <c r="A159" t="inlineStr">
        <is>
          <t>Water, cooling, unspecified natural origin</t>
        </is>
      </c>
      <c r="B159" s="4" t="n">
        <v>0.003954545454545455</v>
      </c>
      <c r="C159" t="inlineStr">
        <is>
          <t>cubic meter</t>
        </is>
      </c>
      <c r="D159" t="inlineStr">
        <is>
          <t>natural resource::in water</t>
        </is>
      </c>
      <c r="F159" t="inlineStr">
        <is>
          <t>biosphere</t>
        </is>
      </c>
    </row>
    <row r="160">
      <c r="A160" t="inlineStr">
        <is>
          <t>Zinc</t>
        </is>
      </c>
      <c r="B160" s="4" t="n">
        <v>1.734848484848485e-05</v>
      </c>
      <c r="C160" t="inlineStr">
        <is>
          <t>kilogram</t>
        </is>
      </c>
      <c r="D160" t="inlineStr">
        <is>
          <t>air</t>
        </is>
      </c>
      <c r="F160" t="inlineStr">
        <is>
          <t>biosphere</t>
        </is>
      </c>
    </row>
    <row r="161">
      <c r="B161" s="4" t="n"/>
    </row>
    <row r="162">
      <c r="A162" s="1" t="inlineStr">
        <is>
          <t>Activity</t>
        </is>
      </c>
      <c r="B162" s="1" t="inlineStr">
        <is>
          <t>vanadium slag production</t>
        </is>
      </c>
    </row>
    <row r="163">
      <c r="A163" t="inlineStr">
        <is>
          <t>comment</t>
        </is>
      </c>
      <c r="B163" t="inlineStr">
        <is>
          <t>After reduction, a slag is also formed during the reduction stage. It contains about 30 % titanium dioxide which is deposited on slag piles. In a heat-resistant ladle, the molten pig iron is oxidized with oxygen lances, with the vanadium being transferred to the slag. The resulting slag contains 25 % vanadium pentoxide, being the principal raw material for the vanadium production.
In order to model this process, the ecoinvent dataset “steel production, electric arc furnace” is modified. Steel and vanadium pentoxide bearing slag are outputs of the process. The amount of the slag is adjusted so that the ladle slag (vanadium slag) has targeted vanadium pentoxide concentration of 25 %. In addition, the allocation between the two by-products, vanadium slag and steel, is done based on their market prices. Since no price for vanadium bearing slag is available, this is approximated by the market price for vanadium pentoxide and the corresponding V2O5 content of the slag. Original values were multiplied by 50%, following allocation in Table S12 from the original paper</t>
        </is>
      </c>
    </row>
    <row r="164">
      <c r="A164" t="inlineStr">
        <is>
          <t>source</t>
        </is>
      </c>
      <c r="B164" t="inlineStr">
        <is>
          <t>Life Cycle Assessment of a Vanadium Redox Flow Battery, Selina Weber, Jens F. Peters, Manuel Baumann, and Marcel Weil, Environ. Sci. Technol. 2018, 52, 10864−10873, DOI: 10.1021/acs.est.8b02073</t>
        </is>
      </c>
    </row>
    <row r="165">
      <c r="A165" t="inlineStr">
        <is>
          <t>location</t>
        </is>
      </c>
      <c r="B165" t="inlineStr">
        <is>
          <t>ZA</t>
        </is>
      </c>
    </row>
    <row r="166">
      <c r="A166" t="inlineStr">
        <is>
          <t>production amount</t>
        </is>
      </c>
      <c r="B166" t="n">
        <v>1</v>
      </c>
    </row>
    <row r="167">
      <c r="A167" t="inlineStr">
        <is>
          <t>reference product</t>
        </is>
      </c>
      <c r="B167" t="inlineStr">
        <is>
          <t>vanadium slag</t>
        </is>
      </c>
    </row>
    <row r="168">
      <c r="A168" t="inlineStr">
        <is>
          <t>unit</t>
        </is>
      </c>
      <c r="B168" t="inlineStr">
        <is>
          <t>kilogram</t>
        </is>
      </c>
    </row>
    <row r="169">
      <c r="A169" s="1" t="inlineStr">
        <is>
          <t>Exchanges</t>
        </is>
      </c>
    </row>
    <row r="170" customFormat="1" s="1">
      <c r="A170" s="1" t="inlineStr">
        <is>
          <t>name</t>
        </is>
      </c>
      <c r="B170" s="1" t="inlineStr">
        <is>
          <t>amount</t>
        </is>
      </c>
      <c r="C170" s="1" t="inlineStr">
        <is>
          <t>unit</t>
        </is>
      </c>
      <c r="D170" s="1" t="inlineStr">
        <is>
          <t>categories</t>
        </is>
      </c>
      <c r="E170" s="1" t="inlineStr">
        <is>
          <t>location</t>
        </is>
      </c>
      <c r="F170" s="1" t="inlineStr">
        <is>
          <t>type</t>
        </is>
      </c>
      <c r="G170" s="1" t="inlineStr">
        <is>
          <t>reference product</t>
        </is>
      </c>
      <c r="H170" s="1" t="inlineStr">
        <is>
          <t>Comment</t>
        </is>
      </c>
    </row>
    <row r="171">
      <c r="A171" t="inlineStr">
        <is>
          <t>vanadium slag production</t>
        </is>
      </c>
      <c r="B171" s="4" t="n">
        <v>1</v>
      </c>
      <c r="C171" t="inlineStr">
        <is>
          <t>kilogram</t>
        </is>
      </c>
      <c r="E171" t="inlineStr">
        <is>
          <t>ZA</t>
        </is>
      </c>
      <c r="F171" t="inlineStr">
        <is>
          <t>production</t>
        </is>
      </c>
      <c r="G171" t="inlineStr">
        <is>
          <t>vanadium slag</t>
        </is>
      </c>
      <c r="H171" s="4" t="n"/>
      <c r="I171" s="4" t="n"/>
    </row>
    <row r="172">
      <c r="A172" t="inlineStr">
        <is>
          <t>vanadium pentoxide bearing cast iron, production</t>
        </is>
      </c>
      <c r="B172" s="4" t="n">
        <v>10.76672104404568</v>
      </c>
      <c r="C172" t="inlineStr">
        <is>
          <t>kilogram</t>
        </is>
      </c>
      <c r="E172" t="inlineStr">
        <is>
          <t>ZA</t>
        </is>
      </c>
      <c r="F172" t="inlineStr">
        <is>
          <t>technosphere</t>
        </is>
      </c>
      <c r="G172" t="inlineStr">
        <is>
          <t>vanadium pentoxide bearing cast iron</t>
        </is>
      </c>
      <c r="H172" s="4" t="n"/>
      <c r="I172" s="4" t="n"/>
    </row>
    <row r="173">
      <c r="A173" t="inlineStr">
        <is>
          <t>market for aluminium, wrought alloy</t>
        </is>
      </c>
      <c r="B173" s="4" t="n">
        <v>0.0001207177814029364</v>
      </c>
      <c r="C173" t="inlineStr">
        <is>
          <t>kilogram</t>
        </is>
      </c>
      <c r="E173" t="inlineStr">
        <is>
          <t>GLO</t>
        </is>
      </c>
      <c r="F173" t="inlineStr">
        <is>
          <t>technosphere</t>
        </is>
      </c>
      <c r="G173" t="inlineStr">
        <is>
          <t>aluminium, wrought alloy</t>
        </is>
      </c>
      <c r="H173" s="4" t="n"/>
      <c r="I173" s="4" t="n"/>
    </row>
    <row r="174">
      <c r="A174" t="inlineStr">
        <is>
          <t>market for anode, for metal electrolysis</t>
        </is>
      </c>
      <c r="B174" s="4" t="n">
        <v>0.02446982055464927</v>
      </c>
      <c r="C174" t="inlineStr">
        <is>
          <t>kilogram</t>
        </is>
      </c>
      <c r="E174" t="inlineStr">
        <is>
          <t>GLO</t>
        </is>
      </c>
      <c r="F174" t="inlineStr">
        <is>
          <t>technosphere</t>
        </is>
      </c>
      <c r="G174" t="inlineStr">
        <is>
          <t>anode, for metal electrolysis</t>
        </is>
      </c>
      <c r="H174" s="4" t="n"/>
      <c r="I174" s="4" t="n"/>
    </row>
    <row r="175">
      <c r="A175" t="inlineStr">
        <is>
          <t>market for argon, liquid</t>
        </is>
      </c>
      <c r="B175" s="4" t="n">
        <v>0.02683523654159869</v>
      </c>
      <c r="C175" t="inlineStr">
        <is>
          <t>kilogram</t>
        </is>
      </c>
      <c r="E175" t="inlineStr">
        <is>
          <t>RoW</t>
        </is>
      </c>
      <c r="F175" t="inlineStr">
        <is>
          <t>technosphere</t>
        </is>
      </c>
      <c r="G175" t="inlineStr">
        <is>
          <t>argon, liquid</t>
        </is>
      </c>
      <c r="H175" s="4" t="n"/>
      <c r="I175" s="4" t="n"/>
    </row>
    <row r="176">
      <c r="A176" t="inlineStr">
        <is>
          <t>market for cast iron</t>
        </is>
      </c>
      <c r="B176" s="4" t="n">
        <v>0.0004200652528548124</v>
      </c>
      <c r="C176" t="inlineStr">
        <is>
          <t>kilogram</t>
        </is>
      </c>
      <c r="E176" t="inlineStr">
        <is>
          <t>GLO</t>
        </is>
      </c>
      <c r="F176" t="inlineStr">
        <is>
          <t>technosphere</t>
        </is>
      </c>
      <c r="G176" t="inlineStr">
        <is>
          <t>cast iron</t>
        </is>
      </c>
      <c r="H176" s="4" t="n"/>
      <c r="I176" s="4" t="n"/>
    </row>
    <row r="177">
      <c r="A177" t="inlineStr">
        <is>
          <t>market for diesel, burned in building machine</t>
        </is>
      </c>
      <c r="B177" s="4" t="n">
        <v>0.02822185970636215</v>
      </c>
      <c r="C177" t="inlineStr">
        <is>
          <t>megajoule</t>
        </is>
      </c>
      <c r="E177" t="inlineStr">
        <is>
          <t>GLO</t>
        </is>
      </c>
      <c r="F177" t="inlineStr">
        <is>
          <t>technosphere</t>
        </is>
      </c>
      <c r="G177" t="inlineStr">
        <is>
          <t>diesel, burned in building machine</t>
        </is>
      </c>
      <c r="H177" s="4" t="n"/>
      <c r="I177" s="4" t="n"/>
    </row>
    <row r="178">
      <c r="A178" t="inlineStr">
        <is>
          <t>market for electric arc furnace converter</t>
        </is>
      </c>
      <c r="B178" s="4" t="n">
        <v>3.262642740619902e-10</v>
      </c>
      <c r="C178" t="inlineStr">
        <is>
          <t>unit</t>
        </is>
      </c>
      <c r="E178" t="inlineStr">
        <is>
          <t>GLO</t>
        </is>
      </c>
      <c r="F178" t="inlineStr">
        <is>
          <t>technosphere</t>
        </is>
      </c>
      <c r="G178" t="inlineStr">
        <is>
          <t>electric arc furnace converter</t>
        </is>
      </c>
      <c r="H178" s="4" t="n"/>
      <c r="I178" s="4" t="n"/>
    </row>
    <row r="179">
      <c r="A179" t="inlineStr">
        <is>
          <t>market for electric arc furnace dust</t>
        </is>
      </c>
      <c r="B179" s="4" t="n">
        <v>-0.07830342577487764</v>
      </c>
      <c r="C179" t="inlineStr">
        <is>
          <t>kilogram</t>
        </is>
      </c>
      <c r="E179" t="inlineStr">
        <is>
          <t>RoW</t>
        </is>
      </c>
      <c r="F179" t="inlineStr">
        <is>
          <t>technosphere</t>
        </is>
      </c>
      <c r="G179" t="inlineStr">
        <is>
          <t>electric arc furnace dust</t>
        </is>
      </c>
      <c r="H179" s="4" t="n"/>
      <c r="I179" s="4" t="n"/>
    </row>
    <row r="180">
      <c r="A180" t="inlineStr">
        <is>
          <t>market for electric arc furnace slag</t>
        </is>
      </c>
      <c r="B180" s="4" t="n">
        <v>0.7569331158238173</v>
      </c>
      <c r="C180" t="inlineStr">
        <is>
          <t>kilogram</t>
        </is>
      </c>
      <c r="E180" t="inlineStr">
        <is>
          <t>RoW</t>
        </is>
      </c>
      <c r="F180" t="inlineStr">
        <is>
          <t>technosphere</t>
        </is>
      </c>
      <c r="G180" t="inlineStr">
        <is>
          <t>electric arc furnace slag</t>
        </is>
      </c>
      <c r="H180" s="4" t="n"/>
      <c r="I180" s="4" t="n"/>
    </row>
    <row r="181">
      <c r="A181" t="inlineStr">
        <is>
          <t>market for electric arc furnace slag</t>
        </is>
      </c>
      <c r="B181" s="4" t="n">
        <v>-0.4061990212071778</v>
      </c>
      <c r="C181" t="inlineStr">
        <is>
          <t>kilogram</t>
        </is>
      </c>
      <c r="E181" t="inlineStr">
        <is>
          <t>RoW</t>
        </is>
      </c>
      <c r="F181" t="inlineStr">
        <is>
          <t>technosphere</t>
        </is>
      </c>
      <c r="G181" t="inlineStr">
        <is>
          <t>electric arc furnace slag</t>
        </is>
      </c>
      <c r="H181" s="4" t="n"/>
      <c r="I181" s="4" t="n"/>
    </row>
    <row r="182">
      <c r="A182" t="inlineStr">
        <is>
          <t>market for electricity, low voltage</t>
        </is>
      </c>
      <c r="B182" s="4" t="n">
        <v>0.2822185970636215</v>
      </c>
      <c r="C182" t="inlineStr">
        <is>
          <t>kilowatt hour</t>
        </is>
      </c>
      <c r="E182" t="inlineStr">
        <is>
          <t>ZA</t>
        </is>
      </c>
      <c r="F182" t="inlineStr">
        <is>
          <t>technosphere</t>
        </is>
      </c>
      <c r="G182" t="inlineStr">
        <is>
          <t>electricity, low voltage</t>
        </is>
      </c>
      <c r="H182" s="4" t="n"/>
      <c r="I182" s="4" t="n"/>
    </row>
    <row r="183">
      <c r="A183" t="inlineStr">
        <is>
          <t>market for electricity, medium voltage</t>
        </is>
      </c>
      <c r="B183" s="4" t="n">
        <v>4.404567699836868</v>
      </c>
      <c r="C183" t="inlineStr">
        <is>
          <t>kilowatt hour</t>
        </is>
      </c>
      <c r="E183" t="inlineStr">
        <is>
          <t>ZA</t>
        </is>
      </c>
      <c r="F183" t="inlineStr">
        <is>
          <t>technosphere</t>
        </is>
      </c>
      <c r="G183" t="inlineStr">
        <is>
          <t>electricity, medium voltage</t>
        </is>
      </c>
      <c r="I183" s="4" t="n"/>
    </row>
    <row r="184">
      <c r="A184" t="inlineStr">
        <is>
          <t>market for ethylene glycol</t>
        </is>
      </c>
      <c r="B184" s="4" t="n">
        <v>2.707993474714518e-07</v>
      </c>
      <c r="C184" t="inlineStr">
        <is>
          <t>kilogram</t>
        </is>
      </c>
      <c r="E184" t="inlineStr">
        <is>
          <t>GLO</t>
        </is>
      </c>
      <c r="F184" t="inlineStr">
        <is>
          <t>technosphere</t>
        </is>
      </c>
      <c r="G184" t="inlineStr">
        <is>
          <t>ethylene glycol</t>
        </is>
      </c>
      <c r="H184" s="4" t="n"/>
      <c r="I184" s="4" t="n"/>
    </row>
    <row r="185">
      <c r="A185" t="inlineStr">
        <is>
          <t>market for ferrochromium, high-carbon, 68% Cr</t>
        </is>
      </c>
      <c r="B185" s="4" t="n">
        <v>0.0008972267536704731</v>
      </c>
      <c r="C185" t="inlineStr">
        <is>
          <t>kilogram</t>
        </is>
      </c>
      <c r="E185" t="inlineStr">
        <is>
          <t>GLO</t>
        </is>
      </c>
      <c r="F185" t="inlineStr">
        <is>
          <t>technosphere</t>
        </is>
      </c>
      <c r="G185" t="inlineStr">
        <is>
          <t>ferrochromium, high-carbon, 68% Cr</t>
        </is>
      </c>
      <c r="H185" s="4" t="n"/>
      <c r="I185" s="4" t="n"/>
    </row>
    <row r="186">
      <c r="A186" t="inlineStr">
        <is>
          <t>market for ferromanganese, high-coal, 74.5% Mn</t>
        </is>
      </c>
      <c r="B186" s="4" t="n">
        <v>0.0003629690048939641</v>
      </c>
      <c r="C186" t="inlineStr">
        <is>
          <t>kilogram</t>
        </is>
      </c>
      <c r="E186" t="inlineStr">
        <is>
          <t>GLO</t>
        </is>
      </c>
      <c r="F186" t="inlineStr">
        <is>
          <t>technosphere</t>
        </is>
      </c>
      <c r="G186" t="inlineStr">
        <is>
          <t>ferromanganese, high-coal, 74.5% Mn</t>
        </is>
      </c>
      <c r="H186" s="4" t="n"/>
      <c r="I186" s="4" t="n"/>
    </row>
    <row r="187">
      <c r="A187" t="inlineStr">
        <is>
          <t>market for ferrosilicon</t>
        </is>
      </c>
      <c r="B187" s="4" t="n">
        <v>0.0301794453507341</v>
      </c>
      <c r="C187" t="inlineStr">
        <is>
          <t>kilogram</t>
        </is>
      </c>
      <c r="E187" t="inlineStr">
        <is>
          <t>GLO</t>
        </is>
      </c>
      <c r="F187" t="inlineStr">
        <is>
          <t>technosphere</t>
        </is>
      </c>
      <c r="G187" t="inlineStr">
        <is>
          <t>ferrosilicon</t>
        </is>
      </c>
      <c r="H187" s="4" t="n"/>
      <c r="I187" s="4" t="n"/>
    </row>
    <row r="188">
      <c r="A188" t="inlineStr">
        <is>
          <t>market for hard coal</t>
        </is>
      </c>
      <c r="B188" s="4" t="n">
        <v>0.1141924959216966</v>
      </c>
      <c r="C188" t="inlineStr">
        <is>
          <t>kilogram</t>
        </is>
      </c>
      <c r="E188" t="inlineStr">
        <is>
          <t>ZA</t>
        </is>
      </c>
      <c r="F188" t="inlineStr">
        <is>
          <t>technosphere</t>
        </is>
      </c>
      <c r="G188" t="inlineStr">
        <is>
          <t>hard coal</t>
        </is>
      </c>
      <c r="H188" s="4" t="n"/>
      <c r="I188" s="4" t="n"/>
    </row>
    <row r="189">
      <c r="A189" t="inlineStr">
        <is>
          <t>market for heat, district or industrial, natural gas</t>
        </is>
      </c>
      <c r="B189" s="4" t="n">
        <v>10.0326264274062</v>
      </c>
      <c r="C189" t="inlineStr">
        <is>
          <t>megajoule</t>
        </is>
      </c>
      <c r="E189" t="inlineStr">
        <is>
          <t>RoW</t>
        </is>
      </c>
      <c r="F189" t="inlineStr">
        <is>
          <t>technosphere</t>
        </is>
      </c>
      <c r="G189" t="inlineStr">
        <is>
          <t>heat, district or industrial, natural gas</t>
        </is>
      </c>
      <c r="I189" s="4" t="n"/>
    </row>
    <row r="190">
      <c r="A190" t="inlineStr">
        <is>
          <t>market for inert waste, for final disposal</t>
        </is>
      </c>
      <c r="B190" s="4" t="n">
        <v>-0.04078303425774878</v>
      </c>
      <c r="C190" t="inlineStr">
        <is>
          <t>kilogram</t>
        </is>
      </c>
      <c r="E190" t="inlineStr">
        <is>
          <t>RoW</t>
        </is>
      </c>
      <c r="F190" t="inlineStr">
        <is>
          <t>technosphere</t>
        </is>
      </c>
      <c r="G190" t="inlineStr">
        <is>
          <t>inert waste, for final disposal</t>
        </is>
      </c>
      <c r="H190" s="4" t="n"/>
      <c r="I190" s="4" t="n"/>
    </row>
    <row r="191">
      <c r="A191" t="inlineStr">
        <is>
          <t>market for iron scrap, unsorted</t>
        </is>
      </c>
      <c r="B191" s="4" t="n">
        <v>-0.0004200652528548124</v>
      </c>
      <c r="C191" t="inlineStr">
        <is>
          <t>kilogram</t>
        </is>
      </c>
      <c r="E191" t="inlineStr">
        <is>
          <t>GLO</t>
        </is>
      </c>
      <c r="F191" t="inlineStr">
        <is>
          <t>technosphere</t>
        </is>
      </c>
      <c r="G191" t="inlineStr">
        <is>
          <t>iron scrap, unsorted</t>
        </is>
      </c>
      <c r="H191" s="4" t="n"/>
      <c r="I191" s="4" t="n"/>
    </row>
    <row r="192">
      <c r="A192" t="inlineStr">
        <is>
          <t>market for molybdenum trioxide</t>
        </is>
      </c>
      <c r="B192" s="4" t="n">
        <v>0.0001150081566068516</v>
      </c>
      <c r="C192" t="inlineStr">
        <is>
          <t>kilogram</t>
        </is>
      </c>
      <c r="E192" t="inlineStr">
        <is>
          <t>GLO</t>
        </is>
      </c>
      <c r="F192" t="inlineStr">
        <is>
          <t>technosphere</t>
        </is>
      </c>
      <c r="G192" t="inlineStr">
        <is>
          <t>molybdenum trioxide</t>
        </is>
      </c>
      <c r="H192" s="4" t="n"/>
      <c r="I192" s="4" t="n"/>
    </row>
    <row r="193">
      <c r="A193" t="inlineStr">
        <is>
          <t>market for natural gas, high pressure</t>
        </is>
      </c>
      <c r="B193" s="4" t="n">
        <v>0.2039151712887439</v>
      </c>
      <c r="C193" t="inlineStr">
        <is>
          <t>cubic meter</t>
        </is>
      </c>
      <c r="E193" t="inlineStr">
        <is>
          <t>RoW</t>
        </is>
      </c>
      <c r="F193" t="inlineStr">
        <is>
          <t>technosphere</t>
        </is>
      </c>
      <c r="G193" t="inlineStr">
        <is>
          <t>natural gas, high pressure</t>
        </is>
      </c>
      <c r="H193" s="4" t="n"/>
      <c r="I193" s="4" t="n"/>
    </row>
    <row r="194">
      <c r="A194" t="inlineStr">
        <is>
          <t>market for nickel, class 1</t>
        </is>
      </c>
      <c r="B194" s="4" t="n">
        <v>0.0002707993474714519</v>
      </c>
      <c r="C194" t="inlineStr">
        <is>
          <t>kilogram</t>
        </is>
      </c>
      <c r="E194" t="inlineStr">
        <is>
          <t>GLO</t>
        </is>
      </c>
      <c r="F194" t="inlineStr">
        <is>
          <t>technosphere</t>
        </is>
      </c>
      <c r="G194" t="inlineStr">
        <is>
          <t>nickel, class 1</t>
        </is>
      </c>
      <c r="H194" s="4" t="n"/>
      <c r="I194" s="4" t="n"/>
    </row>
    <row r="195">
      <c r="A195" t="inlineStr">
        <is>
          <t>market for oxygen, liquid</t>
        </is>
      </c>
      <c r="B195" s="4" t="n">
        <v>0.4135399673735726</v>
      </c>
      <c r="C195" t="inlineStr">
        <is>
          <t>kilogram</t>
        </is>
      </c>
      <c r="E195" t="inlineStr">
        <is>
          <t>RoW</t>
        </is>
      </c>
      <c r="F195" t="inlineStr">
        <is>
          <t>technosphere</t>
        </is>
      </c>
      <c r="G195" t="inlineStr">
        <is>
          <t>oxygen, liquid</t>
        </is>
      </c>
      <c r="H195" s="4" t="n"/>
      <c r="I195" s="4" t="n"/>
    </row>
    <row r="196">
      <c r="A196" t="inlineStr">
        <is>
          <t>market for propane, burned in building machine</t>
        </is>
      </c>
      <c r="B196" s="4" t="n">
        <v>0.02226753670473083</v>
      </c>
      <c r="C196" t="inlineStr">
        <is>
          <t>megajoule</t>
        </is>
      </c>
      <c r="E196" t="inlineStr">
        <is>
          <t>GLO</t>
        </is>
      </c>
      <c r="F196" t="inlineStr">
        <is>
          <t>technosphere</t>
        </is>
      </c>
      <c r="G196" t="inlineStr">
        <is>
          <t>propane, burned in building machine</t>
        </is>
      </c>
      <c r="H196" s="4" t="n"/>
      <c r="I196" s="4" t="n"/>
    </row>
    <row r="197">
      <c r="A197" t="inlineStr">
        <is>
          <t>market for quicklime, in pieces, loose</t>
        </is>
      </c>
      <c r="B197" s="4" t="n">
        <v>0.4486133768352366</v>
      </c>
      <c r="C197" t="inlineStr">
        <is>
          <t>kilogram</t>
        </is>
      </c>
      <c r="E197" t="inlineStr">
        <is>
          <t>RoW</t>
        </is>
      </c>
      <c r="F197" t="inlineStr">
        <is>
          <t>technosphere</t>
        </is>
      </c>
      <c r="G197" t="inlineStr">
        <is>
          <t>quicklime, in pieces, loose</t>
        </is>
      </c>
      <c r="H197" s="4" t="n"/>
      <c r="I197" s="4" t="n"/>
    </row>
    <row r="198">
      <c r="A198" t="inlineStr">
        <is>
          <t>market for refractory, basic, packed</t>
        </is>
      </c>
      <c r="B198" s="4" t="n">
        <v>0.1101141924959217</v>
      </c>
      <c r="C198" t="inlineStr">
        <is>
          <t>kilogram</t>
        </is>
      </c>
      <c r="E198" t="inlineStr">
        <is>
          <t>GLO</t>
        </is>
      </c>
      <c r="F198" t="inlineStr">
        <is>
          <t>technosphere</t>
        </is>
      </c>
      <c r="G198" t="inlineStr">
        <is>
          <t>refractory, basic, packed</t>
        </is>
      </c>
      <c r="H198" s="4" t="n"/>
      <c r="I198" s="4" t="n"/>
    </row>
    <row r="199">
      <c r="A199" t="inlineStr">
        <is>
          <t>market for spent solvent mixture</t>
        </is>
      </c>
      <c r="B199" s="4" t="n">
        <v>-2.707993474714518e-07</v>
      </c>
      <c r="C199" t="inlineStr">
        <is>
          <t>kilogram</t>
        </is>
      </c>
      <c r="E199" t="inlineStr">
        <is>
          <t>RoW</t>
        </is>
      </c>
      <c r="F199" t="inlineStr">
        <is>
          <t>technosphere</t>
        </is>
      </c>
      <c r="G199" t="inlineStr">
        <is>
          <t>spent solvent mixture</t>
        </is>
      </c>
      <c r="H199" s="4" t="n"/>
      <c r="I199" s="4" t="n"/>
    </row>
    <row r="200">
      <c r="A200" t="inlineStr">
        <is>
          <t>Argon-40</t>
        </is>
      </c>
      <c r="B200" s="4" t="n">
        <v>0.02683523654159869</v>
      </c>
      <c r="C200" t="inlineStr">
        <is>
          <t>kilogram</t>
        </is>
      </c>
      <c r="D200" t="inlineStr">
        <is>
          <t>air</t>
        </is>
      </c>
      <c r="F200" t="inlineStr">
        <is>
          <t>biosphere</t>
        </is>
      </c>
      <c r="H200" s="4" t="n"/>
      <c r="I200" s="4" t="n"/>
    </row>
    <row r="201">
      <c r="A201" t="inlineStr">
        <is>
          <t>Benzene</t>
        </is>
      </c>
      <c r="B201" s="4" t="n">
        <v>1.867862969004894e-05</v>
      </c>
      <c r="C201" t="inlineStr">
        <is>
          <t>kilogram</t>
        </is>
      </c>
      <c r="D201" t="inlineStr">
        <is>
          <t>air</t>
        </is>
      </c>
      <c r="F201" t="inlineStr">
        <is>
          <t>biosphere</t>
        </is>
      </c>
      <c r="H201" s="4" t="n"/>
      <c r="I201" s="4" t="n"/>
    </row>
    <row r="202">
      <c r="A202" t="inlineStr">
        <is>
          <t>Benzene, hexachloro-</t>
        </is>
      </c>
      <c r="B202" s="4" t="n">
        <v>1.631321370309951e-07</v>
      </c>
      <c r="C202" t="inlineStr">
        <is>
          <t>kilogram</t>
        </is>
      </c>
      <c r="D202" t="inlineStr">
        <is>
          <t>air</t>
        </is>
      </c>
      <c r="F202" t="inlineStr">
        <is>
          <t>biosphere</t>
        </is>
      </c>
      <c r="H202" s="4" t="n"/>
      <c r="I202" s="4" t="n"/>
    </row>
    <row r="203">
      <c r="A203" t="inlineStr">
        <is>
          <t>Cadmium</t>
        </is>
      </c>
      <c r="B203" s="4" t="n">
        <v>2.799182151488468e-07</v>
      </c>
      <c r="C203" t="inlineStr">
        <is>
          <t>kilogram</t>
        </is>
      </c>
      <c r="D203" t="inlineStr">
        <is>
          <t>air</t>
        </is>
      </c>
      <c r="F203" t="inlineStr">
        <is>
          <t>biosphere</t>
        </is>
      </c>
      <c r="H203" s="4" t="n"/>
      <c r="I203" s="4" t="n"/>
    </row>
    <row r="204">
      <c r="A204" t="inlineStr">
        <is>
          <t>Cadmium</t>
        </is>
      </c>
      <c r="B204" s="4" t="n">
        <v>1.779793493271924e-08</v>
      </c>
      <c r="C204" t="inlineStr">
        <is>
          <t>kilogram</t>
        </is>
      </c>
      <c r="D204" t="inlineStr">
        <is>
          <t>air::urban air close to ground</t>
        </is>
      </c>
      <c r="F204" t="inlineStr">
        <is>
          <t>biosphere</t>
        </is>
      </c>
      <c r="H204" s="4" t="n"/>
      <c r="I204" s="4" t="n"/>
    </row>
    <row r="205">
      <c r="A205" t="inlineStr">
        <is>
          <t>Carbon monoxide, fossil</t>
        </is>
      </c>
      <c r="B205" s="4" t="n">
        <v>0.01811891860810718</v>
      </c>
      <c r="C205" t="inlineStr">
        <is>
          <t>kilogram</t>
        </is>
      </c>
      <c r="D205" t="inlineStr">
        <is>
          <t>air</t>
        </is>
      </c>
      <c r="F205" t="inlineStr">
        <is>
          <t>biosphere</t>
        </is>
      </c>
      <c r="H205" s="4" t="n"/>
      <c r="I205" s="4" t="n"/>
    </row>
    <row r="206">
      <c r="A206" t="inlineStr">
        <is>
          <t>Carbon monoxide, fossil</t>
        </is>
      </c>
      <c r="B206" s="4" t="n">
        <v>0.0008044092874882501</v>
      </c>
      <c r="C206" t="inlineStr">
        <is>
          <t>kilogram</t>
        </is>
      </c>
      <c r="D206" t="inlineStr">
        <is>
          <t>air::urban air close to ground</t>
        </is>
      </c>
      <c r="F206" t="inlineStr">
        <is>
          <t>biosphere</t>
        </is>
      </c>
      <c r="H206" s="4" t="n"/>
      <c r="I206" s="4" t="n"/>
    </row>
    <row r="207">
      <c r="A207" t="inlineStr">
        <is>
          <t>Chloride</t>
        </is>
      </c>
      <c r="B207" s="4" t="n">
        <v>1.484502446982055e-05</v>
      </c>
      <c r="C207" t="inlineStr">
        <is>
          <t>kilogram</t>
        </is>
      </c>
      <c r="D207" t="inlineStr">
        <is>
          <t>water</t>
        </is>
      </c>
      <c r="F207" t="inlineStr">
        <is>
          <t>biosphere</t>
        </is>
      </c>
      <c r="H207" s="4" t="n"/>
      <c r="I207" s="4" t="n"/>
    </row>
    <row r="208">
      <c r="A208" t="inlineStr">
        <is>
          <t>Chromium</t>
        </is>
      </c>
      <c r="B208" s="4" t="n">
        <v>6.361900127729115e-08</v>
      </c>
      <c r="C208" t="inlineStr">
        <is>
          <t>kilogram</t>
        </is>
      </c>
      <c r="D208" t="inlineStr">
        <is>
          <t>air::urban air close to ground</t>
        </is>
      </c>
      <c r="F208" t="inlineStr">
        <is>
          <t>biosphere</t>
        </is>
      </c>
      <c r="H208" s="4" t="n"/>
      <c r="I208" s="4" t="n"/>
    </row>
    <row r="209">
      <c r="A209" t="inlineStr">
        <is>
          <t>Chromium</t>
        </is>
      </c>
      <c r="B209" s="4" t="n">
        <v>1.01321395631599e-05</v>
      </c>
      <c r="C209" t="inlineStr">
        <is>
          <t>kilogram</t>
        </is>
      </c>
      <c r="D209" t="inlineStr">
        <is>
          <t>air</t>
        </is>
      </c>
      <c r="F209" t="inlineStr">
        <is>
          <t>biosphere</t>
        </is>
      </c>
      <c r="H209" s="4" t="n"/>
      <c r="I209" s="4" t="n"/>
    </row>
    <row r="210">
      <c r="A210" t="inlineStr">
        <is>
          <t>Chromium VI</t>
        </is>
      </c>
      <c r="B210" s="4" t="n">
        <v>1.566068515497553e-08</v>
      </c>
      <c r="C210" t="inlineStr">
        <is>
          <t>kilogram</t>
        </is>
      </c>
      <c r="D210" t="inlineStr">
        <is>
          <t>water</t>
        </is>
      </c>
      <c r="F210" t="inlineStr">
        <is>
          <t>biosphere</t>
        </is>
      </c>
      <c r="H210" s="4" t="n"/>
      <c r="I210" s="4" t="n"/>
    </row>
    <row r="211">
      <c r="A211" t="inlineStr">
        <is>
          <t>Copper</t>
        </is>
      </c>
      <c r="B211" s="4" t="n">
        <v>1.815681079925738e-06</v>
      </c>
      <c r="C211" t="inlineStr">
        <is>
          <t>kilogram</t>
        </is>
      </c>
      <c r="D211" t="inlineStr">
        <is>
          <t>air</t>
        </is>
      </c>
      <c r="F211" t="inlineStr">
        <is>
          <t>biosphere</t>
        </is>
      </c>
      <c r="H211" s="4" t="n"/>
      <c r="I211" s="4" t="n"/>
    </row>
    <row r="212">
      <c r="A212" t="inlineStr">
        <is>
          <t>Copper</t>
        </is>
      </c>
      <c r="B212" s="4" t="n">
        <v>6.849510278225518e-08</v>
      </c>
      <c r="C212" t="inlineStr">
        <is>
          <t>kilogram</t>
        </is>
      </c>
      <c r="D212" t="inlineStr">
        <is>
          <t>air::urban air close to ground</t>
        </is>
      </c>
      <c r="F212" t="inlineStr">
        <is>
          <t>biosphere</t>
        </is>
      </c>
      <c r="H212" s="4" t="n"/>
      <c r="I212" s="4" t="n"/>
    </row>
    <row r="213">
      <c r="A213" t="inlineStr">
        <is>
          <t>Dioxins, measured as 2,3,7,8-tetrachlorodibenzo-p-dioxin</t>
        </is>
      </c>
      <c r="B213" s="4" t="n">
        <v>3.690347964471865e-11</v>
      </c>
      <c r="C213" t="inlineStr">
        <is>
          <t>kilogram</t>
        </is>
      </c>
      <c r="D213" t="inlineStr">
        <is>
          <t>air</t>
        </is>
      </c>
      <c r="F213" t="inlineStr">
        <is>
          <t>biosphere</t>
        </is>
      </c>
      <c r="H213" s="4" t="n"/>
      <c r="I213" s="4" t="n"/>
    </row>
    <row r="214">
      <c r="A214" t="inlineStr">
        <is>
          <t>Dioxins, measured as 2,3,7,8-tetrachlorodibenzo-p-dioxin</t>
        </is>
      </c>
      <c r="B214" s="4" t="n">
        <v>1.275154613172401e-13</v>
      </c>
      <c r="C214" t="inlineStr">
        <is>
          <t>kilogram</t>
        </is>
      </c>
      <c r="D214" t="inlineStr">
        <is>
          <t>air::urban air close to ground</t>
        </is>
      </c>
      <c r="F214" t="inlineStr">
        <is>
          <t>biosphere</t>
        </is>
      </c>
      <c r="H214" s="4" t="n"/>
      <c r="I214" s="4" t="n"/>
    </row>
    <row r="215">
      <c r="A215" t="inlineStr">
        <is>
          <t>Hydrocarbons, aromatic</t>
        </is>
      </c>
      <c r="B215" s="4" t="n">
        <v>0.0006280587275693312</v>
      </c>
      <c r="C215" t="inlineStr">
        <is>
          <t>kilogram</t>
        </is>
      </c>
      <c r="D215" t="inlineStr">
        <is>
          <t>air</t>
        </is>
      </c>
      <c r="F215" t="inlineStr">
        <is>
          <t>biosphere</t>
        </is>
      </c>
      <c r="H215" s="4" t="n"/>
      <c r="I215" s="4" t="n"/>
    </row>
    <row r="216">
      <c r="A216" t="inlineStr">
        <is>
          <t>Hydrogen chloride</t>
        </is>
      </c>
      <c r="B216" s="4" t="n">
        <v>4.19069973491374e-05</v>
      </c>
      <c r="C216" t="inlineStr">
        <is>
          <t>kilogram</t>
        </is>
      </c>
      <c r="D216" t="inlineStr">
        <is>
          <t>air</t>
        </is>
      </c>
      <c r="F216" t="inlineStr">
        <is>
          <t>biosphere</t>
        </is>
      </c>
      <c r="H216" s="4" t="n"/>
      <c r="I216" s="4" t="n"/>
    </row>
    <row r="217">
      <c r="A217" t="inlineStr">
        <is>
          <t>Hydrogen chloride</t>
        </is>
      </c>
      <c r="B217" s="4" t="n">
        <v>5.073582789213279e-07</v>
      </c>
      <c r="C217" t="inlineStr">
        <is>
          <t>kilogram</t>
        </is>
      </c>
      <c r="D217" t="inlineStr">
        <is>
          <t>air::urban air close to ground</t>
        </is>
      </c>
      <c r="F217" t="inlineStr">
        <is>
          <t>biosphere</t>
        </is>
      </c>
      <c r="H217" s="4" t="n"/>
      <c r="I217" s="4" t="n"/>
    </row>
    <row r="218">
      <c r="A218" t="inlineStr">
        <is>
          <t>Hydrogen fluoride</t>
        </is>
      </c>
      <c r="B218" s="4" t="n">
        <v>1.916802610114193e-05</v>
      </c>
      <c r="C218" t="inlineStr">
        <is>
          <t>kilogram</t>
        </is>
      </c>
      <c r="D218" t="inlineStr">
        <is>
          <t>air</t>
        </is>
      </c>
      <c r="F218" t="inlineStr">
        <is>
          <t>biosphere</t>
        </is>
      </c>
      <c r="H218" s="4" t="n"/>
      <c r="I218" s="4" t="n"/>
    </row>
    <row r="219">
      <c r="A219" t="inlineStr">
        <is>
          <t>Lead</t>
        </is>
      </c>
      <c r="B219" s="4" t="n">
        <v>1.390405864138468e-05</v>
      </c>
      <c r="C219" t="inlineStr">
        <is>
          <t>kilogram</t>
        </is>
      </c>
      <c r="D219" t="inlineStr">
        <is>
          <t>air</t>
        </is>
      </c>
      <c r="F219" t="inlineStr">
        <is>
          <t>biosphere</t>
        </is>
      </c>
      <c r="H219" s="4" t="n"/>
      <c r="I219" s="4" t="n"/>
    </row>
    <row r="220">
      <c r="A220" t="inlineStr">
        <is>
          <t>Lead</t>
        </is>
      </c>
      <c r="B220" s="4" t="n">
        <v>8.593997599203747e-07</v>
      </c>
      <c r="C220" t="inlineStr">
        <is>
          <t>kilogram</t>
        </is>
      </c>
      <c r="D220" t="inlineStr">
        <is>
          <t>air::urban air close to ground</t>
        </is>
      </c>
      <c r="F220" t="inlineStr">
        <is>
          <t>biosphere</t>
        </is>
      </c>
      <c r="H220" s="4" t="n"/>
      <c r="I220" s="4" t="n"/>
    </row>
    <row r="221">
      <c r="A221" t="inlineStr">
        <is>
          <t>Mercury</t>
        </is>
      </c>
      <c r="B221" s="4" t="n">
        <v>1.804058686279636e-05</v>
      </c>
      <c r="C221" t="inlineStr">
        <is>
          <t>kilogram</t>
        </is>
      </c>
      <c r="D221" t="inlineStr">
        <is>
          <t>air</t>
        </is>
      </c>
      <c r="F221" t="inlineStr">
        <is>
          <t>biosphere</t>
        </is>
      </c>
      <c r="H221" s="4" t="n"/>
      <c r="I221" s="4" t="n"/>
    </row>
    <row r="222">
      <c r="A222" t="inlineStr">
        <is>
          <t>Mercury</t>
        </is>
      </c>
      <c r="B222" s="4" t="n">
        <v>2.302124846750949e-07</v>
      </c>
      <c r="C222" t="inlineStr">
        <is>
          <t>kilogram</t>
        </is>
      </c>
      <c r="D222" t="inlineStr">
        <is>
          <t>air::urban air close to ground</t>
        </is>
      </c>
      <c r="F222" t="inlineStr">
        <is>
          <t>biosphere</t>
        </is>
      </c>
      <c r="H222" s="4" t="n"/>
      <c r="I222" s="4" t="n"/>
    </row>
    <row r="223">
      <c r="A223" t="inlineStr">
        <is>
          <t>Nickel</t>
        </is>
      </c>
      <c r="B223" s="4" t="n">
        <v>6.334403156917815e-09</v>
      </c>
      <c r="C223" t="inlineStr">
        <is>
          <t>kilogram</t>
        </is>
      </c>
      <c r="D223" t="inlineStr">
        <is>
          <t>air::urban air close to ground</t>
        </is>
      </c>
      <c r="F223" t="inlineStr">
        <is>
          <t>biosphere</t>
        </is>
      </c>
      <c r="H223" s="4" t="n"/>
      <c r="I223" s="4" t="n"/>
    </row>
    <row r="224">
      <c r="A224" t="inlineStr">
        <is>
          <t>Nickel</t>
        </is>
      </c>
      <c r="B224" s="4" t="n">
        <v>5.711446999779462e-06</v>
      </c>
      <c r="C224" t="inlineStr">
        <is>
          <t>kilogram</t>
        </is>
      </c>
      <c r="D224" t="inlineStr">
        <is>
          <t>air</t>
        </is>
      </c>
      <c r="F224" t="inlineStr">
        <is>
          <t>biosphere</t>
        </is>
      </c>
      <c r="H224" s="4" t="n"/>
      <c r="I224" s="4" t="n"/>
    </row>
    <row r="225">
      <c r="A225" t="inlineStr">
        <is>
          <t>Nitrogen oxides</t>
        </is>
      </c>
      <c r="B225" s="4" t="n">
        <v>9.831128120452985e-05</v>
      </c>
      <c r="C225" t="inlineStr">
        <is>
          <t>kilogram</t>
        </is>
      </c>
      <c r="D225" t="inlineStr">
        <is>
          <t>air::urban air close to ground</t>
        </is>
      </c>
      <c r="F225" t="inlineStr">
        <is>
          <t>biosphere</t>
        </is>
      </c>
      <c r="H225" s="4" t="n"/>
      <c r="I225" s="4" t="n"/>
    </row>
    <row r="226">
      <c r="A226" t="inlineStr">
        <is>
          <t>Nitrogen oxides</t>
        </is>
      </c>
      <c r="B226" s="4" t="n">
        <v>0.001369877952074426</v>
      </c>
      <c r="C226" t="inlineStr">
        <is>
          <t>kilogram</t>
        </is>
      </c>
      <c r="D226" t="inlineStr">
        <is>
          <t>air</t>
        </is>
      </c>
      <c r="F226" t="inlineStr">
        <is>
          <t>biosphere</t>
        </is>
      </c>
      <c r="H226" s="4" t="n"/>
      <c r="I226" s="4" t="n"/>
    </row>
    <row r="227">
      <c r="A227" t="inlineStr">
        <is>
          <t>PAH, polycyclic aromatic hydrocarbons</t>
        </is>
      </c>
      <c r="B227" s="4" t="n">
        <v>4.398075257501457e-08</v>
      </c>
      <c r="C227" t="inlineStr">
        <is>
          <t>kilogram</t>
        </is>
      </c>
      <c r="D227" t="inlineStr">
        <is>
          <t>air::urban air close to ground</t>
        </is>
      </c>
      <c r="F227" t="inlineStr">
        <is>
          <t>biosphere</t>
        </is>
      </c>
      <c r="H227" s="4" t="n"/>
      <c r="I227" s="4" t="n"/>
    </row>
    <row r="228">
      <c r="A228" t="inlineStr">
        <is>
          <t>PAH, polycyclic aromatic hydrocarbons</t>
        </is>
      </c>
      <c r="B228" s="4" t="n">
        <v>2.602606829877914e-07</v>
      </c>
      <c r="C228" t="inlineStr">
        <is>
          <t>kilogram</t>
        </is>
      </c>
      <c r="D228" t="inlineStr">
        <is>
          <t>air</t>
        </is>
      </c>
      <c r="F228" t="inlineStr">
        <is>
          <t>biosphere</t>
        </is>
      </c>
      <c r="H228" s="4" t="n"/>
      <c r="I228" s="4" t="n"/>
    </row>
    <row r="229">
      <c r="A229" t="inlineStr">
        <is>
          <t>Particulates, &lt; 2.5 um</t>
        </is>
      </c>
      <c r="B229" s="4" t="n">
        <v>0.001369294711599833</v>
      </c>
      <c r="C229" t="inlineStr">
        <is>
          <t>kilogram</t>
        </is>
      </c>
      <c r="D229" t="inlineStr">
        <is>
          <t>air</t>
        </is>
      </c>
      <c r="F229" t="inlineStr">
        <is>
          <t>biosphere</t>
        </is>
      </c>
      <c r="H229" s="4" t="n"/>
      <c r="I229" s="4" t="n"/>
    </row>
    <row r="230">
      <c r="A230" t="inlineStr">
        <is>
          <t>Particulates, &lt; 2.5 um</t>
        </is>
      </c>
      <c r="B230" s="4" t="n">
        <v>1.732845316362552e-05</v>
      </c>
      <c r="C230" t="inlineStr">
        <is>
          <t>kilogram</t>
        </is>
      </c>
      <c r="D230" t="inlineStr">
        <is>
          <t>air::urban air close to ground</t>
        </is>
      </c>
      <c r="F230" t="inlineStr">
        <is>
          <t>biosphere</t>
        </is>
      </c>
      <c r="H230" s="4" t="n"/>
      <c r="I230" s="4" t="n"/>
    </row>
    <row r="231">
      <c r="A231" t="inlineStr">
        <is>
          <t>Particulates, &gt; 10 um</t>
        </is>
      </c>
      <c r="B231" s="4" t="n">
        <v>0.0004718920055909982</v>
      </c>
      <c r="C231" t="inlineStr">
        <is>
          <t>kilogram</t>
        </is>
      </c>
      <c r="D231" t="inlineStr">
        <is>
          <t>air</t>
        </is>
      </c>
      <c r="F231" t="inlineStr">
        <is>
          <t>biosphere</t>
        </is>
      </c>
      <c r="H231" s="4" t="n"/>
      <c r="I231" s="4" t="n"/>
    </row>
    <row r="232">
      <c r="A232" t="inlineStr">
        <is>
          <t>Particulates, &gt; 10 um</t>
        </is>
      </c>
      <c r="B232" s="4" t="n">
        <v>6.085155909817475e-06</v>
      </c>
      <c r="C232" t="inlineStr">
        <is>
          <t>kilogram</t>
        </is>
      </c>
      <c r="D232" t="inlineStr">
        <is>
          <t>air::urban air close to ground</t>
        </is>
      </c>
      <c r="F232" t="inlineStr">
        <is>
          <t>biosphere</t>
        </is>
      </c>
      <c r="H232" s="4" t="n"/>
      <c r="I232" s="4" t="n"/>
    </row>
    <row r="233">
      <c r="A233" t="inlineStr">
        <is>
          <t>Particulates, &gt; 2.5 um, and &lt; 10um</t>
        </is>
      </c>
      <c r="B233" s="4" t="n">
        <v>1.730614628103265e-05</v>
      </c>
      <c r="C233" t="inlineStr">
        <is>
          <t>kilogram</t>
        </is>
      </c>
      <c r="D233" t="inlineStr">
        <is>
          <t>air::urban air close to ground</t>
        </is>
      </c>
      <c r="F233" t="inlineStr">
        <is>
          <t>biosphere</t>
        </is>
      </c>
      <c r="H233" s="4" t="n"/>
      <c r="I233" s="4" t="n"/>
    </row>
    <row r="234">
      <c r="A234" t="inlineStr">
        <is>
          <t>Particulates, &gt; 2.5 um, and &lt; 10um</t>
        </is>
      </c>
      <c r="B234" s="4" t="n">
        <v>0.001369317018482426</v>
      </c>
      <c r="C234" t="inlineStr">
        <is>
          <t>kilogram</t>
        </is>
      </c>
      <c r="D234" t="inlineStr">
        <is>
          <t>air</t>
        </is>
      </c>
      <c r="F234" t="inlineStr">
        <is>
          <t>biosphere</t>
        </is>
      </c>
      <c r="H234" s="4" t="n"/>
      <c r="I234" s="4" t="n"/>
    </row>
    <row r="235">
      <c r="A235" t="inlineStr">
        <is>
          <t>Polychlorinated biphenyls</t>
        </is>
      </c>
      <c r="B235" s="4" t="n">
        <v>1.879005865040217e-07</v>
      </c>
      <c r="C235" t="inlineStr">
        <is>
          <t>kilogram</t>
        </is>
      </c>
      <c r="D235" t="inlineStr">
        <is>
          <t>air</t>
        </is>
      </c>
      <c r="F235" t="inlineStr">
        <is>
          <t>biosphere</t>
        </is>
      </c>
      <c r="H235" s="4" t="n"/>
      <c r="I235" s="4" t="n"/>
    </row>
    <row r="236">
      <c r="A236" t="inlineStr">
        <is>
          <t>Polychlorinated biphenyls</t>
        </is>
      </c>
      <c r="B236" s="4" t="n">
        <v>2.148353137087635e-09</v>
      </c>
      <c r="C236" t="inlineStr">
        <is>
          <t>kilogram</t>
        </is>
      </c>
      <c r="D236" t="inlineStr">
        <is>
          <t>air::urban air close to ground</t>
        </is>
      </c>
      <c r="F236" t="inlineStr">
        <is>
          <t>biosphere</t>
        </is>
      </c>
      <c r="H236" s="4" t="n"/>
      <c r="I236" s="4" t="n"/>
    </row>
    <row r="237">
      <c r="A237" t="inlineStr">
        <is>
          <t>Sulfur dioxide</t>
        </is>
      </c>
      <c r="B237" s="4" t="n">
        <v>0.0006257718808091986</v>
      </c>
      <c r="C237" t="inlineStr">
        <is>
          <t>kilogram</t>
        </is>
      </c>
      <c r="D237" t="inlineStr">
        <is>
          <t>air</t>
        </is>
      </c>
      <c r="F237" t="inlineStr">
        <is>
          <t>biosphere</t>
        </is>
      </c>
      <c r="H237" s="4" t="n"/>
      <c r="I237" s="4" t="n"/>
    </row>
    <row r="238">
      <c r="A238" t="inlineStr">
        <is>
          <t>Sulfur dioxide</t>
        </is>
      </c>
      <c r="B238" s="4" t="n">
        <v>2.286846760132496e-06</v>
      </c>
      <c r="C238" t="inlineStr">
        <is>
          <t>kilogram</t>
        </is>
      </c>
      <c r="D238" t="inlineStr">
        <is>
          <t>air::urban air close to ground</t>
        </is>
      </c>
      <c r="F238" t="inlineStr">
        <is>
          <t>biosphere</t>
        </is>
      </c>
      <c r="H238" s="4" t="n"/>
      <c r="I238" s="4" t="n"/>
    </row>
    <row r="239">
      <c r="A239" t="inlineStr">
        <is>
          <t>Water</t>
        </is>
      </c>
      <c r="B239" s="4" t="n">
        <v>0.0001923280962871876</v>
      </c>
      <c r="C239" t="inlineStr">
        <is>
          <t>cubic meter</t>
        </is>
      </c>
      <c r="D239" t="inlineStr">
        <is>
          <t>air::urban air close to ground</t>
        </is>
      </c>
      <c r="F239" t="inlineStr">
        <is>
          <t>biosphere</t>
        </is>
      </c>
      <c r="H239" s="4" t="n"/>
      <c r="I239" s="4" t="n"/>
    </row>
    <row r="240">
      <c r="A240" t="inlineStr">
        <is>
          <t>Water</t>
        </is>
      </c>
      <c r="B240" s="4" t="n">
        <v>0.01876019575856444</v>
      </c>
      <c r="C240" t="inlineStr">
        <is>
          <t>cubic meter</t>
        </is>
      </c>
      <c r="D240" t="inlineStr">
        <is>
          <t>water</t>
        </is>
      </c>
      <c r="F240" t="inlineStr">
        <is>
          <t>biosphere</t>
        </is>
      </c>
      <c r="H240" s="4" t="n"/>
      <c r="I240" s="4" t="n"/>
    </row>
    <row r="241">
      <c r="A241" t="inlineStr">
        <is>
          <t>Water</t>
        </is>
      </c>
      <c r="B241" s="4" t="n">
        <v>0.0236249639102381</v>
      </c>
      <c r="C241" t="inlineStr">
        <is>
          <t>cubic meter</t>
        </is>
      </c>
      <c r="D241" t="inlineStr">
        <is>
          <t>air</t>
        </is>
      </c>
      <c r="F241" t="inlineStr">
        <is>
          <t>biosphere</t>
        </is>
      </c>
      <c r="H241" s="4" t="n"/>
      <c r="I241" s="4" t="n"/>
    </row>
    <row r="242">
      <c r="A242" t="inlineStr">
        <is>
          <t>Water, cooling, unspecified natural origin</t>
        </is>
      </c>
      <c r="B242" s="4" t="n">
        <v>0.004507264979687344</v>
      </c>
      <c r="C242" t="inlineStr">
        <is>
          <t>cubic meter</t>
        </is>
      </c>
      <c r="D242" t="inlineStr">
        <is>
          <t>natural resource::in water</t>
        </is>
      </c>
      <c r="F242" t="inlineStr">
        <is>
          <t>biosphere</t>
        </is>
      </c>
      <c r="H242" s="4" t="n"/>
      <c r="I242" s="4" t="n"/>
    </row>
    <row r="243">
      <c r="A243" t="inlineStr">
        <is>
          <t>Water, unspecified natural origin</t>
        </is>
      </c>
      <c r="B243" s="4" t="n">
        <v>0.004507264979687344</v>
      </c>
      <c r="C243" t="inlineStr">
        <is>
          <t>cubic meter</t>
        </is>
      </c>
      <c r="D243" t="inlineStr">
        <is>
          <t>natural resource::in ground</t>
        </is>
      </c>
      <c r="F243" t="inlineStr">
        <is>
          <t>biosphere</t>
        </is>
      </c>
      <c r="H243" s="4" t="n"/>
      <c r="I243" s="4" t="n"/>
    </row>
    <row r="244">
      <c r="A244" t="inlineStr">
        <is>
          <t>Zinc</t>
        </is>
      </c>
      <c r="B244" s="4" t="n">
        <v>1.57975495500382e-05</v>
      </c>
      <c r="C244" t="inlineStr">
        <is>
          <t>kilogram</t>
        </is>
      </c>
      <c r="D244" t="inlineStr">
        <is>
          <t>air::urban air close to ground</t>
        </is>
      </c>
      <c r="F244" t="inlineStr">
        <is>
          <t>biosphere</t>
        </is>
      </c>
      <c r="H244" s="4" t="n"/>
      <c r="I244" s="4" t="n"/>
    </row>
    <row r="245">
      <c r="A245" t="inlineStr">
        <is>
          <t>Zinc</t>
        </is>
      </c>
      <c r="B245" s="4" t="n">
        <v>0.0001709887473504512</v>
      </c>
      <c r="C245" t="inlineStr">
        <is>
          <t>kilogram</t>
        </is>
      </c>
      <c r="D245" t="inlineStr">
        <is>
          <t>air</t>
        </is>
      </c>
      <c r="F245" t="inlineStr">
        <is>
          <t>biosphere</t>
        </is>
      </c>
      <c r="H245" s="4" t="n"/>
      <c r="I245" s="4" t="n"/>
    </row>
    <row r="246"/>
    <row r="247">
      <c r="A247" s="1" t="inlineStr">
        <is>
          <t>Activity</t>
        </is>
      </c>
      <c r="B247" s="1" t="inlineStr">
        <is>
          <t>vanadium pentoxide production</t>
        </is>
      </c>
    </row>
    <row r="248">
      <c r="A248" t="inlineStr">
        <is>
          <t>comment</t>
        </is>
      </c>
      <c r="B248" t="inlineStr">
        <is>
          <t>The basic process for the preparation of the vanadium pentoxide is based on literature data. The obtained vanadium slag is first ground and the iron granulates are removed. Electricity demand for these process steps are taken from reference processes (grinding and crushing for aluminum oxide and sieving for soda ash). Afterwards, the material is mixed with sodium salts (Na2SO4 and Na2CO3) and roasted in a rotary kiln at 850 °C. Emissions, such as sulfur dioxide and carbon dioxide are calculated using stoichiometric relationships. Electricity and heat demand for driving the rotary kiln are taken from a reference process (rotary kiln for phosphorus production). After cooling, the roasted product is leached with water by adding sulfuric acid and ammonium at elevated temperature. The intermediate product ammonium polyvanadate is precipitated. A yield of 90 % is assumed. In addition, sodium sulfate is formed as a by-product. As reference process for the electricity demand, the digestor in the titanium dioxide production is used. Based on stoichiometric calculations, the required input of sulfuric acid and the output of sodium sulfate are computed.</t>
        </is>
      </c>
    </row>
    <row r="249">
      <c r="A249" t="inlineStr">
        <is>
          <t>source</t>
        </is>
      </c>
      <c r="B249" t="inlineStr">
        <is>
          <t>Life Cycle Assessment of a Vanadium Redox Flow Battery, Selina Weber, Jens F. Peters, Manuel Baumann, and Marcel Weil, Environ. Sci. Technol. 2018, 52, 10864−10873, DOI: 10.1021/acs.est.8b02073</t>
        </is>
      </c>
    </row>
    <row r="250">
      <c r="A250" t="inlineStr">
        <is>
          <t>location</t>
        </is>
      </c>
      <c r="B250" t="inlineStr">
        <is>
          <t>ZA</t>
        </is>
      </c>
    </row>
    <row r="251">
      <c r="A251" t="inlineStr">
        <is>
          <t>production amount</t>
        </is>
      </c>
      <c r="B251" t="n">
        <v>1</v>
      </c>
    </row>
    <row r="252">
      <c r="A252" t="inlineStr">
        <is>
          <t>reference product</t>
        </is>
      </c>
      <c r="B252" t="inlineStr">
        <is>
          <t>vanadium pentoxide</t>
        </is>
      </c>
    </row>
    <row r="253">
      <c r="A253" t="inlineStr">
        <is>
          <t>unit</t>
        </is>
      </c>
      <c r="B253" t="inlineStr">
        <is>
          <t>kilogram</t>
        </is>
      </c>
    </row>
    <row r="254">
      <c r="A254" s="1" t="inlineStr">
        <is>
          <t>Exchanges</t>
        </is>
      </c>
    </row>
    <row r="255">
      <c r="A255" s="1" t="inlineStr">
        <is>
          <t>name</t>
        </is>
      </c>
      <c r="B255" s="1" t="inlineStr">
        <is>
          <t>amount</t>
        </is>
      </c>
      <c r="C255" s="1" t="inlineStr">
        <is>
          <t>unit</t>
        </is>
      </c>
      <c r="D255" s="1" t="inlineStr">
        <is>
          <t>categories</t>
        </is>
      </c>
      <c r="E255" s="1" t="inlineStr">
        <is>
          <t>location</t>
        </is>
      </c>
      <c r="F255" s="1" t="inlineStr">
        <is>
          <t>type</t>
        </is>
      </c>
      <c r="G255" s="1" t="inlineStr">
        <is>
          <t>reference product</t>
        </is>
      </c>
      <c r="H255" s="1" t="inlineStr">
        <is>
          <t>Comment</t>
        </is>
      </c>
    </row>
    <row r="256">
      <c r="A256" t="inlineStr">
        <is>
          <t>vanadium pentoxide production</t>
        </is>
      </c>
      <c r="B256" t="n">
        <v>1</v>
      </c>
      <c r="C256" t="inlineStr">
        <is>
          <t>kilogram</t>
        </is>
      </c>
      <c r="E256" t="inlineStr">
        <is>
          <t>ZA</t>
        </is>
      </c>
      <c r="F256" t="inlineStr">
        <is>
          <t>production</t>
        </is>
      </c>
      <c r="G256" t="inlineStr">
        <is>
          <t>vanadium pentoxide</t>
        </is>
      </c>
    </row>
    <row r="257">
      <c r="A257" t="inlineStr">
        <is>
          <t>vanadium slag production</t>
        </is>
      </c>
      <c r="B257" s="4" t="n">
        <v>1.35</v>
      </c>
      <c r="C257" t="inlineStr">
        <is>
          <t>kilogram</t>
        </is>
      </c>
      <c r="E257" t="inlineStr">
        <is>
          <t>ZA</t>
        </is>
      </c>
      <c r="F257" t="inlineStr">
        <is>
          <t>technosphere</t>
        </is>
      </c>
      <c r="G257" t="inlineStr">
        <is>
          <t>vanadium slag</t>
        </is>
      </c>
      <c r="H257" s="4" t="n"/>
    </row>
    <row r="258">
      <c r="A258" t="inlineStr">
        <is>
          <t>market for ammonium sulfate</t>
        </is>
      </c>
      <c r="B258" t="n">
        <v>0.31</v>
      </c>
      <c r="C258" t="inlineStr">
        <is>
          <t>kilogram</t>
        </is>
      </c>
      <c r="E258" t="inlineStr">
        <is>
          <t>RoW</t>
        </is>
      </c>
      <c r="F258" t="inlineStr">
        <is>
          <t>technosphere</t>
        </is>
      </c>
      <c r="G258" t="inlineStr">
        <is>
          <t>ammonium sulfate</t>
        </is>
      </c>
    </row>
    <row r="259">
      <c r="A259" t="inlineStr">
        <is>
          <t>market for sulfuric acid</t>
        </is>
      </c>
      <c r="B259" t="n">
        <v>0.46</v>
      </c>
      <c r="C259" t="inlineStr">
        <is>
          <t>kilogram</t>
        </is>
      </c>
      <c r="E259" t="inlineStr">
        <is>
          <t>RoW</t>
        </is>
      </c>
      <c r="F259" t="inlineStr">
        <is>
          <t>technosphere</t>
        </is>
      </c>
      <c r="G259" t="inlineStr">
        <is>
          <t>sulfuric acid</t>
        </is>
      </c>
    </row>
    <row r="260">
      <c r="A260" t="inlineStr">
        <is>
          <t>market for sodium sulfate, anhydrite</t>
        </is>
      </c>
      <c r="B260" t="n">
        <v>0.5</v>
      </c>
      <c r="C260" t="inlineStr">
        <is>
          <t>kilogram</t>
        </is>
      </c>
      <c r="E260" t="inlineStr">
        <is>
          <t>RoW</t>
        </is>
      </c>
      <c r="F260" t="inlineStr">
        <is>
          <t>technosphere</t>
        </is>
      </c>
      <c r="G260" t="inlineStr">
        <is>
          <t>sodium sulfate, anhydrite</t>
        </is>
      </c>
    </row>
    <row r="261">
      <c r="A261" t="inlineStr">
        <is>
          <t>market for soda ash, dense</t>
        </is>
      </c>
      <c r="B261" t="n">
        <v>0.37</v>
      </c>
      <c r="C261" t="inlineStr">
        <is>
          <t>kilogram</t>
        </is>
      </c>
      <c r="E261" t="inlineStr">
        <is>
          <t>GLO</t>
        </is>
      </c>
      <c r="F261" t="inlineStr">
        <is>
          <t>technosphere</t>
        </is>
      </c>
      <c r="G261" t="inlineStr">
        <is>
          <t>soda ash, dense</t>
        </is>
      </c>
    </row>
    <row r="262">
      <c r="A262" t="inlineStr">
        <is>
          <t>market for water, deionised</t>
        </is>
      </c>
      <c r="B262" t="n">
        <v>3.16</v>
      </c>
      <c r="C262" t="inlineStr">
        <is>
          <t>kilogram</t>
        </is>
      </c>
      <c r="E262" t="inlineStr">
        <is>
          <t>RoW</t>
        </is>
      </c>
      <c r="F262" t="inlineStr">
        <is>
          <t>technosphere</t>
        </is>
      </c>
      <c r="G262" t="inlineStr">
        <is>
          <t>water, deionised</t>
        </is>
      </c>
    </row>
    <row r="263">
      <c r="A263" t="inlineStr">
        <is>
          <t>market for electricity, medium voltage</t>
        </is>
      </c>
      <c r="B263" t="n">
        <v>0.2</v>
      </c>
      <c r="C263" t="inlineStr">
        <is>
          <t>kilowatt hour</t>
        </is>
      </c>
      <c r="E263" t="inlineStr">
        <is>
          <t>ZA</t>
        </is>
      </c>
      <c r="F263" t="inlineStr">
        <is>
          <t>technosphere</t>
        </is>
      </c>
      <c r="G263" t="inlineStr">
        <is>
          <t>electricity, medium voltage</t>
        </is>
      </c>
    </row>
    <row r="264">
      <c r="A264" t="inlineStr">
        <is>
          <t>market for heat, district or industrial, natural gas</t>
        </is>
      </c>
      <c r="B264" t="n">
        <v>0.93</v>
      </c>
      <c r="C264" t="inlineStr">
        <is>
          <t>megajoule</t>
        </is>
      </c>
      <c r="E264" t="inlineStr">
        <is>
          <t>RoW</t>
        </is>
      </c>
      <c r="F264" t="inlineStr">
        <is>
          <t>technosphere</t>
        </is>
      </c>
      <c r="G264" t="inlineStr">
        <is>
          <t>heat, district or industrial, natural gas</t>
        </is>
      </c>
    </row>
    <row r="265">
      <c r="A265" t="inlineStr">
        <is>
          <t>market group for transport, freight, lorry, unspecified</t>
        </is>
      </c>
      <c r="B265" s="4" t="n">
        <v>0.0771</v>
      </c>
      <c r="C265" t="inlineStr">
        <is>
          <t>ton kilometer</t>
        </is>
      </c>
      <c r="E265" t="inlineStr">
        <is>
          <t>GLO</t>
        </is>
      </c>
      <c r="F265" t="inlineStr">
        <is>
          <t>technosphere</t>
        </is>
      </c>
      <c r="G265" t="inlineStr">
        <is>
          <t>transport, freight, lorry, unspecified</t>
        </is>
      </c>
    </row>
    <row r="266">
      <c r="A266" t="inlineStr">
        <is>
          <t>market group for transport, freight train</t>
        </is>
      </c>
      <c r="B266" t="n">
        <v>0.46</v>
      </c>
      <c r="C266" t="inlineStr">
        <is>
          <t>ton kilometer</t>
        </is>
      </c>
      <c r="E266" t="inlineStr">
        <is>
          <t>GLO</t>
        </is>
      </c>
      <c r="F266" t="inlineStr">
        <is>
          <t>technosphere</t>
        </is>
      </c>
      <c r="G266" t="inlineStr">
        <is>
          <t>transport, freight train</t>
        </is>
      </c>
    </row>
    <row r="267">
      <c r="A267" t="inlineStr">
        <is>
          <t>treatment of basic oxygen furnace slag, residual material landfill</t>
        </is>
      </c>
      <c r="B267" t="n">
        <v>-0.47</v>
      </c>
      <c r="C267" t="inlineStr">
        <is>
          <t>kilogram</t>
        </is>
      </c>
      <c r="E267" t="inlineStr">
        <is>
          <t>GLO</t>
        </is>
      </c>
      <c r="F267" t="inlineStr">
        <is>
          <t>technosphere</t>
        </is>
      </c>
      <c r="G267" t="inlineStr">
        <is>
          <t>basic oxygen furnace slag</t>
        </is>
      </c>
    </row>
    <row r="268">
      <c r="A268" t="inlineStr">
        <is>
          <t>market for iron scrap, unsorted</t>
        </is>
      </c>
      <c r="B268" s="4" t="n">
        <v>-0.065</v>
      </c>
      <c r="C268" t="inlineStr">
        <is>
          <t>kilogram</t>
        </is>
      </c>
      <c r="E268" t="inlineStr">
        <is>
          <t>GLO</t>
        </is>
      </c>
      <c r="F268" t="inlineStr">
        <is>
          <t>technosphere</t>
        </is>
      </c>
      <c r="G268" t="inlineStr">
        <is>
          <t>iron scrap, unsorted</t>
        </is>
      </c>
    </row>
    <row r="269">
      <c r="A269" t="inlineStr">
        <is>
          <t>market for spent solvent mixture</t>
        </is>
      </c>
      <c r="B269" s="4" t="n">
        <v>-0.06320000000000001</v>
      </c>
      <c r="C269" t="inlineStr">
        <is>
          <t>kilogram</t>
        </is>
      </c>
      <c r="E269" t="inlineStr">
        <is>
          <t>RoW</t>
        </is>
      </c>
      <c r="F269" t="inlineStr">
        <is>
          <t>technosphere</t>
        </is>
      </c>
      <c r="G269" t="inlineStr">
        <is>
          <t>spent solvent mixture</t>
        </is>
      </c>
    </row>
    <row r="270">
      <c r="A270" t="inlineStr">
        <is>
          <t>Oxygen</t>
        </is>
      </c>
      <c r="B270" s="4" t="n">
        <v>0.0564</v>
      </c>
      <c r="C270" t="inlineStr">
        <is>
          <t>kilogram</t>
        </is>
      </c>
      <c r="D270" t="inlineStr">
        <is>
          <t>air</t>
        </is>
      </c>
      <c r="F270" t="inlineStr">
        <is>
          <t>biosphere</t>
        </is>
      </c>
    </row>
    <row r="271">
      <c r="A271" t="inlineStr">
        <is>
          <t>Sulfur dioxide</t>
        </is>
      </c>
      <c r="B271" s="4">
        <f>(0.0000520580602692922/(0.0000520580602692922+1.90243138300923E-07)) * 0.000077</f>
        <v>7.671963258720775E-5</v>
      </c>
      <c r="C271" t="inlineStr">
        <is>
          <t>kilogram</t>
        </is>
      </c>
      <c r="D271" t="inlineStr">
        <is>
          <t>air</t>
        </is>
      </c>
      <c r="F271" t="inlineStr">
        <is>
          <t>biosphere</t>
        </is>
      </c>
    </row>
    <row r="272">
      <c r="A272" t="inlineStr">
        <is>
          <t>Carbon dioxide, fossil</t>
        </is>
      </c>
      <c r="B272" s="4" t="n">
        <v>0.16</v>
      </c>
      <c r="C272" t="inlineStr">
        <is>
          <t>kilogram</t>
        </is>
      </c>
      <c r="D272" t="inlineStr">
        <is>
          <t>air</t>
        </is>
      </c>
      <c r="F272" t="inlineStr">
        <is>
          <t>biosphere</t>
        </is>
      </c>
    </row>
    <row r="273">
      <c r="A273" t="inlineStr">
        <is>
          <t>Water</t>
        </is>
      </c>
      <c r="B273" s="4" t="n">
        <v>8.449999999999999e-05</v>
      </c>
      <c r="C273" t="inlineStr">
        <is>
          <t>cubic meter</t>
        </is>
      </c>
      <c r="D273" t="inlineStr">
        <is>
          <t>air</t>
        </is>
      </c>
      <c r="F273" t="inlineStr">
        <is>
          <t>biosphere</t>
        </is>
      </c>
    </row>
  </sheetData>
  <autoFilter ref="A4:I273"/>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G6"/>
  <sheetViews>
    <sheetView workbookViewId="0">
      <selection activeCell="I11" sqref="I11"/>
    </sheetView>
  </sheetViews>
  <sheetFormatPr baseColWidth="10" defaultColWidth="8.83203125" defaultRowHeight="15"/>
  <cols>
    <col width="31" bestFit="1" customWidth="1" min="1" max="1"/>
    <col width="13.33203125" bestFit="1" customWidth="1" min="3" max="3"/>
    <col width="11" bestFit="1" customWidth="1" min="4" max="4"/>
    <col width="10" bestFit="1" customWidth="1" min="5" max="5"/>
  </cols>
  <sheetData>
    <row r="1">
      <c r="A1" t="inlineStr">
        <is>
          <t>skip</t>
        </is>
      </c>
    </row>
    <row r="2">
      <c r="A2" s="1" t="inlineStr">
        <is>
          <t>Product</t>
        </is>
      </c>
      <c r="B2" s="1" t="inlineStr">
        <is>
          <t>mass</t>
        </is>
      </c>
      <c r="C2" s="1" t="inlineStr">
        <is>
          <t>price (eur/kg)</t>
        </is>
      </c>
      <c r="D2" s="1" t="inlineStr">
        <is>
          <t>Value (eur)</t>
        </is>
      </c>
      <c r="E2" s="1" t="inlineStr">
        <is>
          <t>Allocation</t>
        </is>
      </c>
    </row>
    <row r="3">
      <c r="A3" t="inlineStr">
        <is>
          <t>V2O5</t>
        </is>
      </c>
      <c r="B3">
        <f>1.53*0.022</f>
        <v>3.3659999999999995E-2</v>
      </c>
      <c r="C3" t="n">
        <v>9.619999999999999</v>
      </c>
      <c r="D3">
        <f>B3*C3</f>
        <v>0.32380919999999991</v>
      </c>
      <c r="E3">
        <f>D3/SUM($D$3:$D$5)</f>
        <v>0.6621982682588029</v>
      </c>
      <c r="G3" s="3">
        <f>E3+E4</f>
        <v>0.76740406381698656</v>
      </c>
    </row>
    <row r="4">
      <c r="A4" t="inlineStr">
        <is>
          <t>Fe</t>
        </is>
      </c>
      <c r="B4" s="2">
        <f>1.53*0.72</f>
        <v>1.1015999999999999</v>
      </c>
      <c r="C4" t="n">
        <v>0.0467</v>
      </c>
      <c r="D4">
        <f>B4*C4</f>
        <v>5.1444719999999992E-2</v>
      </c>
      <c r="E4">
        <f>D4/SUM($D$3:$D$5)</f>
        <v>0.10520579555818367</v>
      </c>
      <c r="G4" s="3" t="n"/>
    </row>
    <row r="5">
      <c r="A5" t="inlineStr">
        <is>
          <t>titania slag, 94% titanium dioxide</t>
        </is>
      </c>
      <c r="B5">
        <f>0.46*0.54</f>
        <v>0.24840000000000004</v>
      </c>
      <c r="C5" t="n">
        <v>0.45788</v>
      </c>
      <c r="D5">
        <f>B5*C5</f>
        <v>0.11373739200000002</v>
      </c>
      <c r="E5">
        <f>D5/SUM($D$3:$D$5)</f>
        <v>0.2325959361830135</v>
      </c>
      <c r="G5" s="3">
        <f>E5</f>
        <v>0.2325959361830135</v>
      </c>
    </row>
    <row r="6">
      <c r="B6">
        <f>SUM(B3:B5)</f>
        <v>1.3836599999999999</v>
      </c>
      <c r="G6" s="3"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2021-12-06T10:43:53Z</dcterms:created>
  <dcterms:modified xmlns:dcterms="http://purl.org/dc/terms/" xmlns:xsi="http://www.w3.org/2001/XMLSchema-instance" xsi:type="dcterms:W3CDTF">2026-07-07T14:16:26Z</dcterms:modified>
  <cp:lastModifiedBy>Romain Sacchi</cp:lastModifiedBy>
</cp:coreProperties>
</file>