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'Sheet1'!$A$1:$J$25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1" fontId="0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tabSelected="1" topLeftCell="A22" zoomScale="115" zoomScaleNormal="115" workbookViewId="0">
      <selection activeCell="B23" sqref="B23"/>
    </sheetView>
  </sheetViews>
  <sheetFormatPr baseColWidth="10" defaultColWidth="8.83203125" defaultRowHeight="15"/>
  <cols>
    <col width="54.5" customWidth="1" min="1" max="1"/>
    <col width="9.1640625" bestFit="1" customWidth="1" min="2" max="2"/>
    <col width="47.1640625" bestFit="1" customWidth="1" min="5" max="5"/>
    <col width="12.83203125" bestFit="1" customWidth="1" min="6" max="6"/>
    <col width="27.33203125" customWidth="1" min="9" max="9"/>
  </cols>
  <sheetData>
    <row r="1" ht="16" customHeight="1">
      <c r="A1" s="1" t="inlineStr">
        <is>
          <t>Database</t>
        </is>
      </c>
      <c r="B1" s="1" t="inlineStr">
        <is>
          <t>Hydrogen from coal Gasification</t>
        </is>
      </c>
    </row>
    <row r="2"/>
    <row r="3" ht="16" customHeight="1">
      <c r="A3" s="1" t="inlineStr">
        <is>
          <t>Activity</t>
        </is>
      </c>
      <c r="B3" s="1" t="inlineStr">
        <is>
          <t>hydrogen production, coal gasification</t>
        </is>
      </c>
    </row>
    <row r="4">
      <c r="A4" t="inlineStr">
        <is>
          <t>production amount</t>
        </is>
      </c>
      <c r="B4" t="n">
        <v>1</v>
      </c>
    </row>
    <row r="5" ht="16" customHeight="1">
      <c r="A5" t="inlineStr">
        <is>
          <t>reference product</t>
        </is>
      </c>
      <c r="B5" s="6" t="inlineStr">
        <is>
          <t>hydrogen, gaseous, low pressure</t>
        </is>
      </c>
    </row>
    <row r="6">
      <c r="A6" t="inlineStr">
        <is>
          <t>type</t>
        </is>
      </c>
      <c r="B6" t="inlineStr">
        <is>
          <t>process</t>
        </is>
      </c>
    </row>
    <row r="7">
      <c r="A7" t="inlineStr">
        <is>
          <t>unit</t>
        </is>
      </c>
      <c r="B7" t="inlineStr">
        <is>
          <t>kilogram</t>
        </is>
      </c>
    </row>
    <row r="8">
      <c r="A8" t="inlineStr">
        <is>
          <t>location</t>
        </is>
      </c>
      <c r="B8" t="inlineStr">
        <is>
          <t>RoW</t>
        </is>
      </c>
    </row>
    <row r="9">
      <c r="A9" t="inlineStr">
        <is>
          <t>comment</t>
        </is>
      </c>
      <c r="B9" t="inlineStr">
        <is>
          <t>Originally in megajoule. LHV: 120 MJ/kg. Originally: Wokaun A, Wilhelm E, Schenler W, Simons A, Bauer C, Bond S, et al. Transition to hydrogen - pathways toward clean transportation. New York: Cambridge University Press; 2011. Updated with: Jiaquan Li, Yi-Ming Wei, Lancui Liu, Xiaoyu Li, Rui Yan, The carbon footprint and cost of coal-based hydrogen production with and without carbon capture and storage technology in China, Journal of Cleaner Production, 2022, https://doi.org/10.1016/j.jclepro.2022.132514.</t>
        </is>
      </c>
    </row>
    <row r="10">
      <c r="A10" t="inlineStr">
        <is>
          <t>source</t>
        </is>
      </c>
      <c r="B10" t="inlineStr">
        <is>
          <t>Originally: Wokaun A, Wilhelm E, Schenler W, Simons A, Bauer C, Bond S, et al. Transition to hydrogen - pathways toward clean transportation. New York: Cambridge University Press; 2011
Updated with: Jiaquan Li, Yi-Ming Wei, Lancui Liu, Xiaoyu Li, Rui Yan, The carbon footprint and cost of coal-based hydrogen production with and without carbon capture and storage technology in China, Journal of Cleaner Production, 2022, https://doi.org/10.1016/j.jclepro.2022.132514.</t>
        </is>
      </c>
    </row>
    <row r="11" ht="16" customHeight="1">
      <c r="A11" s="1" t="inlineStr">
        <is>
          <t>Exchanges</t>
        </is>
      </c>
    </row>
    <row r="12">
      <c r="A12" t="inlineStr">
        <is>
          <t>name</t>
        </is>
      </c>
      <c r="B12" t="inlineStr">
        <is>
          <t>amount</t>
        </is>
      </c>
      <c r="C12" t="inlineStr">
        <is>
          <t>location</t>
        </is>
      </c>
      <c r="D12" t="inlineStr">
        <is>
          <t>unit</t>
        </is>
      </c>
      <c r="E12" t="inlineStr">
        <is>
          <t>categories</t>
        </is>
      </c>
      <c r="F12" t="inlineStr">
        <is>
          <t>type</t>
        </is>
      </c>
      <c r="G12" t="inlineStr">
        <is>
          <t>uncertainty type</t>
        </is>
      </c>
      <c r="H12" t="inlineStr">
        <is>
          <t>loc</t>
        </is>
      </c>
      <c r="I12" t="inlineStr">
        <is>
          <t>comment</t>
        </is>
      </c>
      <c r="J12" t="inlineStr">
        <is>
          <t>reference product</t>
        </is>
      </c>
    </row>
    <row r="13" ht="16" customHeight="1">
      <c r="A13" s="2" t="inlineStr">
        <is>
          <t>hydrogen production, coal gasification</t>
        </is>
      </c>
      <c r="B13" t="n">
        <v>1</v>
      </c>
      <c r="C13" t="inlineStr">
        <is>
          <t>RoW</t>
        </is>
      </c>
      <c r="D13" t="inlineStr">
        <is>
          <t>kilogram</t>
        </is>
      </c>
      <c r="F13" t="inlineStr">
        <is>
          <t>production</t>
        </is>
      </c>
      <c r="I13" t="inlineStr">
        <is>
          <t>LHV</t>
        </is>
      </c>
      <c r="J13" s="6" t="inlineStr">
        <is>
          <t>hydrogen, gaseous, low pressure</t>
        </is>
      </c>
    </row>
    <row r="14">
      <c r="A14" t="inlineStr">
        <is>
          <t>water production, deionised</t>
        </is>
      </c>
      <c r="B14" t="n">
        <v>10.5</v>
      </c>
      <c r="C14" t="inlineStr">
        <is>
          <t>RoW</t>
        </is>
      </c>
      <c r="D14" t="inlineStr">
        <is>
          <t>kilogram</t>
        </is>
      </c>
      <c r="F14" t="inlineStr">
        <is>
          <t>technosphere</t>
        </is>
      </c>
      <c r="G14" t="n">
        <v>0</v>
      </c>
      <c r="H14" t="n">
        <v>0.07783</v>
      </c>
      <c r="I14" t="inlineStr">
        <is>
          <t>From Li et al., 2022.</t>
        </is>
      </c>
      <c r="J14" t="inlineStr">
        <is>
          <t>water, deionised</t>
        </is>
      </c>
    </row>
    <row r="15">
      <c r="A15" t="inlineStr">
        <is>
          <t>chemical factory construction, organics</t>
        </is>
      </c>
      <c r="B15" t="n">
        <v>6.997199999999999e-10</v>
      </c>
      <c r="C15" t="inlineStr">
        <is>
          <t>RoW</t>
        </is>
      </c>
      <c r="D15" t="inlineStr">
        <is>
          <t>unit</t>
        </is>
      </c>
      <c r="F15" t="inlineStr">
        <is>
          <t>technosphere</t>
        </is>
      </c>
      <c r="G15" t="n">
        <v>0</v>
      </c>
      <c r="H15" t="n">
        <v>5.831e-12</v>
      </c>
      <c r="I15" t="inlineStr">
        <is>
          <t>Tab J-26</t>
        </is>
      </c>
      <c r="J15" t="inlineStr">
        <is>
          <t>chemical factory, organics</t>
        </is>
      </c>
    </row>
    <row r="16">
      <c r="A16" t="inlineStr">
        <is>
          <t>lime production, milled, packed</t>
        </is>
      </c>
      <c r="B16" t="n">
        <v>0.16752</v>
      </c>
      <c r="C16" t="inlineStr">
        <is>
          <t>RoW</t>
        </is>
      </c>
      <c r="D16" t="inlineStr">
        <is>
          <t>kilogram</t>
        </is>
      </c>
      <c r="F16" t="inlineStr">
        <is>
          <t>technosphere</t>
        </is>
      </c>
      <c r="G16" t="n">
        <v>0</v>
      </c>
      <c r="H16" t="n">
        <v>0.001396</v>
      </c>
      <c r="I16" t="inlineStr">
        <is>
          <t>From Wokaun et al., 2011.</t>
        </is>
      </c>
      <c r="J16" t="inlineStr">
        <is>
          <t>lime, packed</t>
        </is>
      </c>
    </row>
    <row r="17">
      <c r="A17" t="inlineStr">
        <is>
          <t>liquid storage tank production, chemicals, organics</t>
        </is>
      </c>
      <c r="B17" t="n">
        <v>3.9744e-09</v>
      </c>
      <c r="C17" t="inlineStr">
        <is>
          <t>RoW</t>
        </is>
      </c>
      <c r="D17" t="inlineStr">
        <is>
          <t>unit</t>
        </is>
      </c>
      <c r="F17" t="inlineStr">
        <is>
          <t>technosphere</t>
        </is>
      </c>
      <c r="G17" t="n">
        <v>0</v>
      </c>
      <c r="H17" t="n">
        <v>3.312e-11</v>
      </c>
      <c r="I17" t="inlineStr">
        <is>
          <t>3.5*8.01e-12 (Tab C-21 and section J.10.2)</t>
        </is>
      </c>
      <c r="J17" t="inlineStr">
        <is>
          <t>liquid storage tank, chemicals, organics</t>
        </is>
      </c>
    </row>
    <row r="18">
      <c r="A18" t="inlineStr">
        <is>
          <t>market for hard coal</t>
        </is>
      </c>
      <c r="B18" t="n">
        <v>6.771</v>
      </c>
      <c r="C18" t="inlineStr">
        <is>
          <t>RoW</t>
        </is>
      </c>
      <c r="D18" t="inlineStr">
        <is>
          <t>kilogram</t>
        </is>
      </c>
      <c r="F18" t="inlineStr">
        <is>
          <t>technosphere</t>
        </is>
      </c>
      <c r="G18" t="n">
        <v>0</v>
      </c>
      <c r="H18" t="n">
        <v>0.05606</v>
      </c>
      <c r="I18" t="inlineStr">
        <is>
          <t>Originally 8.99 kg coal/kg H2 in Li et al., 2022, we remove the supply chain losses to match the stoichiometric CO2 emissions of the process, since coal losses are already included in the upstream coal mining and supply datasets.</t>
        </is>
      </c>
      <c r="J18" t="inlineStr">
        <is>
          <t>hard coal</t>
        </is>
      </c>
    </row>
    <row r="19">
      <c r="A19" t="inlineStr">
        <is>
          <t>market for transport, freight train</t>
        </is>
      </c>
      <c r="B19" t="n">
        <v>1.13976</v>
      </c>
      <c r="C19" t="inlineStr">
        <is>
          <t>RoW</t>
        </is>
      </c>
      <c r="D19" t="inlineStr">
        <is>
          <t>ton kilometer</t>
        </is>
      </c>
      <c r="F19" t="inlineStr">
        <is>
          <t>technosphere</t>
        </is>
      </c>
      <c r="G19" t="n">
        <v>0</v>
      </c>
      <c r="H19" t="n">
        <v>0.009497999999999999</v>
      </c>
      <c r="I19" t="inlineStr">
        <is>
          <t>From Wokaun et al., 2011.</t>
        </is>
      </c>
      <c r="J19" t="inlineStr">
        <is>
          <t>transport, freight train</t>
        </is>
      </c>
    </row>
    <row r="20">
      <c r="A20" t="inlineStr">
        <is>
          <t>market group for electricity, medium voltage</t>
        </is>
      </c>
      <c r="B20" t="n">
        <v>4.39</v>
      </c>
      <c r="C20" t="inlineStr">
        <is>
          <t>GLO</t>
        </is>
      </c>
      <c r="D20" t="inlineStr">
        <is>
          <t>kilowatt hour</t>
        </is>
      </c>
      <c r="F20" t="inlineStr">
        <is>
          <t>technosphere</t>
        </is>
      </c>
      <c r="G20" t="n">
        <v>0</v>
      </c>
      <c r="H20" t="n">
        <v>0.02318</v>
      </c>
      <c r="I20" t="inlineStr">
        <is>
          <t>From Li et al., 2022.</t>
        </is>
      </c>
      <c r="J20" t="inlineStr">
        <is>
          <t>electricity, medium voltage</t>
        </is>
      </c>
    </row>
    <row r="21">
      <c r="A21" t="inlineStr">
        <is>
          <t>market for aluminium oxide, metallurgical</t>
        </is>
      </c>
      <c r="B21">
        <f>0.98/1000</f>
        <v>9.7999999999999997E-4</v>
      </c>
      <c r="C21" t="inlineStr">
        <is>
          <t>RoW</t>
        </is>
      </c>
      <c r="D21" t="inlineStr">
        <is>
          <t>kilogram</t>
        </is>
      </c>
      <c r="F21" t="inlineStr">
        <is>
          <t>technosphere</t>
        </is>
      </c>
      <c r="I21" t="inlineStr">
        <is>
          <t>From Li et al., 2022.</t>
        </is>
      </c>
      <c r="J21" t="inlineStr">
        <is>
          <t>aluminium oxide, metallurgical</t>
        </is>
      </c>
    </row>
    <row r="22">
      <c r="A22" t="inlineStr">
        <is>
          <t xml:space="preserve">methanol production, coal gasification </t>
        </is>
      </c>
      <c r="B22">
        <f>4.44/1000</f>
        <v>4.4400000000000004E-3</v>
      </c>
      <c r="C22" t="inlineStr">
        <is>
          <t>RoW</t>
        </is>
      </c>
      <c r="D22" t="inlineStr">
        <is>
          <t>kilogram</t>
        </is>
      </c>
      <c r="F22" t="inlineStr">
        <is>
          <t>technosphere</t>
        </is>
      </c>
      <c r="I22" t="inlineStr">
        <is>
          <t>From Li et al., 2022.</t>
        </is>
      </c>
      <c r="J22" t="inlineStr">
        <is>
          <t>methanol</t>
        </is>
      </c>
    </row>
    <row r="23">
      <c r="A23" t="inlineStr">
        <is>
          <t>transport, freight, inland waterways, barge</t>
        </is>
      </c>
      <c r="B23" t="n">
        <v>0.42432</v>
      </c>
      <c r="C23" t="inlineStr">
        <is>
          <t>RoW</t>
        </is>
      </c>
      <c r="D23" t="inlineStr">
        <is>
          <t>ton kilometer</t>
        </is>
      </c>
      <c r="F23" t="inlineStr">
        <is>
          <t>technosphere</t>
        </is>
      </c>
      <c r="G23" t="n">
        <v>0</v>
      </c>
      <c r="H23" t="n">
        <v>0.003536</v>
      </c>
      <c r="I23" t="inlineStr">
        <is>
          <t>From Wokaun et al., 2011.</t>
        </is>
      </c>
      <c r="J23" t="inlineStr">
        <is>
          <t>transport, freight, inland waterways, barge</t>
        </is>
      </c>
    </row>
    <row r="24">
      <c r="A24" t="inlineStr">
        <is>
          <t>treatment of hard coal ash, residual material landfill</t>
        </is>
      </c>
      <c r="B24" t="n">
        <v>-0.50532</v>
      </c>
      <c r="C24" t="inlineStr">
        <is>
          <t>RoW</t>
        </is>
      </c>
      <c r="D24" t="inlineStr">
        <is>
          <t>kilogram</t>
        </is>
      </c>
      <c r="F24" t="inlineStr">
        <is>
          <t>technosphere</t>
        </is>
      </c>
      <c r="G24" t="n">
        <v>0</v>
      </c>
      <c r="H24" t="n">
        <v>0.004211</v>
      </c>
      <c r="I24" t="inlineStr">
        <is>
          <t>From Wokaun et al., 2011.</t>
        </is>
      </c>
      <c r="J24" t="inlineStr">
        <is>
          <t>hard coal ash</t>
        </is>
      </c>
    </row>
    <row r="25">
      <c r="A25" t="inlineStr">
        <is>
          <t>treatment of waste gypsum, inert material landfill</t>
        </is>
      </c>
      <c r="B25" t="n">
        <v>-0.22848</v>
      </c>
      <c r="C25" t="inlineStr">
        <is>
          <t>RoW</t>
        </is>
      </c>
      <c r="D25" t="inlineStr">
        <is>
          <t>kilogram</t>
        </is>
      </c>
      <c r="F25" t="inlineStr">
        <is>
          <t>technosphere</t>
        </is>
      </c>
      <c r="G25" t="n">
        <v>0</v>
      </c>
      <c r="H25" t="n">
        <v>0.001904</v>
      </c>
      <c r="I25" t="inlineStr">
        <is>
          <t>From Wokaun et al., 2011.</t>
        </is>
      </c>
      <c r="J25" t="inlineStr">
        <is>
          <t>waste gypsum</t>
        </is>
      </c>
    </row>
    <row r="26">
      <c r="A26" t="inlineStr">
        <is>
          <t>treatment of wastewater, average, capacity 1E9l/year</t>
        </is>
      </c>
      <c r="B26" s="3">
        <f>-36.07/1000</f>
        <v>-3.6069999999999998E-2</v>
      </c>
      <c r="C26" t="inlineStr">
        <is>
          <t>RoW</t>
        </is>
      </c>
      <c r="D26" t="inlineStr">
        <is>
          <t>cubic meter</t>
        </is>
      </c>
      <c r="F26" t="inlineStr">
        <is>
          <t>technosphere</t>
        </is>
      </c>
      <c r="I26" t="inlineStr">
        <is>
          <t>From Li et al., 2022.</t>
        </is>
      </c>
      <c r="J26" t="inlineStr">
        <is>
          <t>wastewater, average</t>
        </is>
      </c>
    </row>
    <row r="27">
      <c r="A27" t="inlineStr">
        <is>
          <t>Ammonia</t>
        </is>
      </c>
      <c r="B27" t="n">
        <v>0.0069264</v>
      </c>
      <c r="D27" t="inlineStr">
        <is>
          <t>kilogram</t>
        </is>
      </c>
      <c r="E27" t="inlineStr">
        <is>
          <t>air::non-urban air or from high stacks</t>
        </is>
      </c>
      <c r="F27" t="inlineStr">
        <is>
          <t>biosphere</t>
        </is>
      </c>
      <c r="G27" t="n">
        <v>0</v>
      </c>
      <c r="H27" t="n">
        <v>5.772e-05</v>
      </c>
      <c r="I27" t="inlineStr">
        <is>
          <t>From Wokaun et al., 2011.</t>
        </is>
      </c>
    </row>
    <row r="28">
      <c r="A28" t="inlineStr">
        <is>
          <t>Carbon dioxide, fossil</t>
        </is>
      </c>
      <c r="B28" t="n">
        <v>17.77</v>
      </c>
      <c r="D28" t="inlineStr">
        <is>
          <t>kilogram</t>
        </is>
      </c>
      <c r="E28" t="inlineStr">
        <is>
          <t>air::non-urban air or from high stacks</t>
        </is>
      </c>
      <c r="F28" t="inlineStr">
        <is>
          <t>biosphere</t>
        </is>
      </c>
      <c r="G28" t="n">
        <v>0</v>
      </c>
      <c r="H28" t="n">
        <v>0.1502</v>
      </c>
      <c r="I28" t="inlineStr">
        <is>
          <t>From Li et al., 2022.</t>
        </is>
      </c>
    </row>
    <row r="29">
      <c r="A29" t="inlineStr">
        <is>
          <t>Hydrogen chloride</t>
        </is>
      </c>
      <c r="B29" t="n">
        <v>0.0103752</v>
      </c>
      <c r="D29" t="inlineStr">
        <is>
          <t>kilogram</t>
        </is>
      </c>
      <c r="E29" t="inlineStr">
        <is>
          <t>air::non-urban air or from high stacks</t>
        </is>
      </c>
      <c r="F29" t="inlineStr">
        <is>
          <t>biosphere</t>
        </is>
      </c>
      <c r="G29" t="n">
        <v>0</v>
      </c>
      <c r="H29" t="n">
        <v>8.646e-05</v>
      </c>
      <c r="I29" t="inlineStr">
        <is>
          <t>From Wokaun et al., 2011.</t>
        </is>
      </c>
    </row>
    <row r="30"/>
    <row r="31">
      <c r="A31" s="4" t="inlineStr">
        <is>
          <t>Activity</t>
        </is>
      </c>
      <c r="B31" s="4" t="inlineStr">
        <is>
          <t xml:space="preserve">methanol production, coal gasification </t>
        </is>
      </c>
    </row>
    <row r="32">
      <c r="A32" t="inlineStr">
        <is>
          <t>production amount</t>
        </is>
      </c>
      <c r="B32" t="n">
        <v>1</v>
      </c>
    </row>
    <row r="33">
      <c r="A33" t="inlineStr">
        <is>
          <t>comment</t>
        </is>
      </c>
      <c r="B33" t="inlineStr">
        <is>
          <t>LHV: 19.9 MJ/kg</t>
        </is>
      </c>
    </row>
    <row r="34">
      <c r="A34" t="inlineStr">
        <is>
          <t>reference product</t>
        </is>
      </c>
      <c r="B34" t="inlineStr">
        <is>
          <t>methanol</t>
        </is>
      </c>
    </row>
    <row r="35">
      <c r="A35" t="inlineStr">
        <is>
          <t>type</t>
        </is>
      </c>
      <c r="B35" t="inlineStr">
        <is>
          <t>process</t>
        </is>
      </c>
    </row>
    <row r="36">
      <c r="A36" t="inlineStr">
        <is>
          <t>unit</t>
        </is>
      </c>
      <c r="B36" t="inlineStr">
        <is>
          <t>kilogram</t>
        </is>
      </c>
    </row>
    <row r="37">
      <c r="A37" t="inlineStr">
        <is>
          <t>source</t>
        </is>
      </c>
      <c r="B37" t="inlineStr">
        <is>
          <t>Methanol process adapted from Comparative well-to-wheel life cycle assessment of OME3–5 synfuel production via the power-to-liquid pathway, Hank et al. 2019. https://doi.org/10.1039/C9SE00658C</t>
        </is>
      </c>
    </row>
    <row r="38">
      <c r="A38" t="inlineStr">
        <is>
          <t>location</t>
        </is>
      </c>
      <c r="B38" t="inlineStr">
        <is>
          <t>RoW</t>
        </is>
      </c>
    </row>
    <row r="39">
      <c r="A39" t="inlineStr">
        <is>
          <t>comment</t>
        </is>
      </c>
      <c r="B39" t="inlineStr">
        <is>
          <t>Adapted from Comparative well-to-wheel life cycle assessment of OME3–5 synfuel production via the power-to-liquid pathway, Hank et al. 2019</t>
        </is>
      </c>
    </row>
    <row r="40">
      <c r="A40" t="inlineStr">
        <is>
          <t>source</t>
        </is>
      </c>
      <c r="B40" t="inlineStr">
        <is>
          <t>Comparative well-to-wheel life cycle assessment of OME3–5 synfuel production via the power-to-liquid pathway. Christoph Hank, Lukas Lazar, Franz Mantei, Mohamed Ouda, Robin J. White, Tom Smolinka, Achim Schaadt, Christopher Hebling and Hans-Martin Henning. 2019. https://doi.org/10.1039/C9SE00658C</t>
        </is>
      </c>
    </row>
    <row r="41">
      <c r="A41" s="4" t="inlineStr">
        <is>
          <t>Exchanges</t>
        </is>
      </c>
    </row>
    <row r="42">
      <c r="A42" s="4" t="inlineStr">
        <is>
          <t>name</t>
        </is>
      </c>
      <c r="B42" s="4" t="inlineStr">
        <is>
          <t>amount</t>
        </is>
      </c>
      <c r="C42" s="4" t="inlineStr">
        <is>
          <t>location</t>
        </is>
      </c>
      <c r="D42" s="4" t="inlineStr">
        <is>
          <t>unit</t>
        </is>
      </c>
      <c r="E42" s="4" t="inlineStr">
        <is>
          <t>categories</t>
        </is>
      </c>
      <c r="F42" s="4" t="inlineStr">
        <is>
          <t>type</t>
        </is>
      </c>
      <c r="G42" s="4" t="inlineStr">
        <is>
          <t>reference product</t>
        </is>
      </c>
      <c r="H42" s="4" t="n"/>
    </row>
    <row r="43">
      <c r="A43" t="inlineStr">
        <is>
          <t xml:space="preserve">methanol production, coal gasification </t>
        </is>
      </c>
      <c r="B43" t="n">
        <v>1</v>
      </c>
      <c r="C43" t="inlineStr">
        <is>
          <t>RoW</t>
        </is>
      </c>
      <c r="D43" t="inlineStr">
        <is>
          <t>kilogram</t>
        </is>
      </c>
      <c r="F43" t="inlineStr">
        <is>
          <t>production</t>
        </is>
      </c>
      <c r="G43" t="inlineStr">
        <is>
          <t>methanol</t>
        </is>
      </c>
    </row>
    <row r="44">
      <c r="A44" t="inlineStr">
        <is>
          <t>methanol synthesis, hydrogen from coal gasification</t>
        </is>
      </c>
      <c r="B44" t="n">
        <v>1</v>
      </c>
      <c r="C44" t="inlineStr">
        <is>
          <t>RoW</t>
        </is>
      </c>
      <c r="D44" t="inlineStr">
        <is>
          <t>kilogram</t>
        </is>
      </c>
      <c r="F44" t="inlineStr">
        <is>
          <t>technosphere</t>
        </is>
      </c>
      <c r="G44" t="inlineStr">
        <is>
          <t>methanol, unpurified</t>
        </is>
      </c>
    </row>
    <row r="45">
      <c r="A45" t="inlineStr">
        <is>
          <t>steam production, as energy carrier, in chemical industry</t>
        </is>
      </c>
      <c r="B45" t="n">
        <v>3.509803027737619</v>
      </c>
      <c r="C45" t="inlineStr">
        <is>
          <t>RoW</t>
        </is>
      </c>
      <c r="D45" t="inlineStr">
        <is>
          <t>megajoule</t>
        </is>
      </c>
      <c r="F45" t="inlineStr">
        <is>
          <t>technosphere</t>
        </is>
      </c>
      <c r="G45" t="inlineStr">
        <is>
          <t>heat, from steam, in chemical industry</t>
        </is>
      </c>
    </row>
    <row r="46">
      <c r="A46" t="inlineStr">
        <is>
          <t>Carbon dioxide, fossil</t>
        </is>
      </c>
      <c r="B46" t="n">
        <v>0.1320675882873066</v>
      </c>
      <c r="D46" t="inlineStr">
        <is>
          <t>kilogram</t>
        </is>
      </c>
      <c r="E46" t="inlineStr">
        <is>
          <t>air</t>
        </is>
      </c>
      <c r="F46" t="inlineStr">
        <is>
          <t>biosphere</t>
        </is>
      </c>
    </row>
    <row r="47">
      <c r="A47" t="inlineStr">
        <is>
          <t>Carbon monoxide, fossil</t>
        </is>
      </c>
      <c r="B47" t="n">
        <v>1.669406311911098e-06</v>
      </c>
      <c r="D47" t="inlineStr">
        <is>
          <t>kilogram</t>
        </is>
      </c>
      <c r="E47" t="inlineStr">
        <is>
          <t>air</t>
        </is>
      </c>
      <c r="F47" t="inlineStr">
        <is>
          <t>biosphere</t>
        </is>
      </c>
    </row>
    <row r="48">
      <c r="A48" t="inlineStr">
        <is>
          <t>methanol production facility, construction</t>
        </is>
      </c>
      <c r="B48" t="n">
        <v>12.4568278943279</v>
      </c>
      <c r="C48" t="inlineStr">
        <is>
          <t>RER</t>
        </is>
      </c>
      <c r="D48" t="inlineStr">
        <is>
          <t>unit</t>
        </is>
      </c>
      <c r="F48" t="inlineStr">
        <is>
          <t>technosphere</t>
        </is>
      </c>
      <c r="G48" t="inlineStr">
        <is>
          <t>methanol production facility, construction</t>
        </is>
      </c>
    </row>
    <row r="49"/>
    <row r="50" ht="16" customHeight="1">
      <c r="A50" s="1" t="inlineStr">
        <is>
          <t>Activity</t>
        </is>
      </c>
      <c r="B50" s="4" t="inlineStr">
        <is>
          <t>methanol synthesis, hydrogen from coal gasification</t>
        </is>
      </c>
    </row>
    <row r="51">
      <c r="A51" t="inlineStr">
        <is>
          <t>production amount</t>
        </is>
      </c>
      <c r="B51" t="n">
        <v>1</v>
      </c>
    </row>
    <row r="52">
      <c r="A52" t="inlineStr">
        <is>
          <t>reference product</t>
        </is>
      </c>
      <c r="B52" t="inlineStr">
        <is>
          <t>methanol, unpurified</t>
        </is>
      </c>
    </row>
    <row r="53">
      <c r="A53" t="inlineStr">
        <is>
          <t>type</t>
        </is>
      </c>
      <c r="B53" t="inlineStr">
        <is>
          <t>process</t>
        </is>
      </c>
    </row>
    <row r="54">
      <c r="A54" t="inlineStr">
        <is>
          <t>unit</t>
        </is>
      </c>
      <c r="B54" t="inlineStr">
        <is>
          <t>kilogram</t>
        </is>
      </c>
    </row>
    <row r="55">
      <c r="A55" t="inlineStr">
        <is>
          <t>location</t>
        </is>
      </c>
      <c r="B55" t="inlineStr">
        <is>
          <t>RoW</t>
        </is>
      </c>
    </row>
    <row r="56">
      <c r="A56" t="inlineStr">
        <is>
          <t>comment</t>
        </is>
      </c>
      <c r="B56" t="inlineStr">
        <is>
          <t>Adapted from Comparative well-to-wheel life cycle assessment of
OME3–5 synfuel production via the power-to-liquid
pathway, Hank et al. 2019</t>
        </is>
      </c>
    </row>
    <row r="57">
      <c r="A57" t="inlineStr">
        <is>
          <t>source</t>
        </is>
      </c>
      <c r="B57" t="inlineStr">
        <is>
          <t>Comparative well-to-wheel life cycle assessment of OME3–5 synfuel production via the power-to-liquid pathway. Christoph Hank, Lukas Lazar, Franz Mantei, Mohamed Ouda, Robin J. White, Tom Smolinka, Achim Schaadt, Christopher Hebling and Hans-Martin Henning. 2019. https://doi.org/10.1039/C9SE00658C</t>
        </is>
      </c>
    </row>
    <row r="58" ht="16" customHeight="1">
      <c r="A58" s="1" t="inlineStr">
        <is>
          <t>Exchanges</t>
        </is>
      </c>
    </row>
    <row r="59">
      <c r="A59" t="inlineStr">
        <is>
          <t>name</t>
        </is>
      </c>
      <c r="B59" t="inlineStr">
        <is>
          <t>amount</t>
        </is>
      </c>
      <c r="C59" t="inlineStr">
        <is>
          <t>location</t>
        </is>
      </c>
      <c r="D59" t="inlineStr">
        <is>
          <t>unit</t>
        </is>
      </c>
      <c r="E59" t="inlineStr">
        <is>
          <t>categories</t>
        </is>
      </c>
      <c r="F59" t="inlineStr">
        <is>
          <t>type</t>
        </is>
      </c>
      <c r="G59" t="inlineStr">
        <is>
          <t>reference product</t>
        </is>
      </c>
    </row>
    <row r="60">
      <c r="A60" t="inlineStr">
        <is>
          <t>methanol synthesis, hydrogen from coal gasification</t>
        </is>
      </c>
      <c r="B60" t="n">
        <v>1</v>
      </c>
      <c r="C60" t="inlineStr">
        <is>
          <t>RoW</t>
        </is>
      </c>
      <c r="D60" t="inlineStr">
        <is>
          <t>kilogram</t>
        </is>
      </c>
      <c r="F60" t="inlineStr">
        <is>
          <t>production</t>
        </is>
      </c>
      <c r="G60" t="inlineStr">
        <is>
          <t>methanol, unpurified</t>
        </is>
      </c>
    </row>
    <row r="61">
      <c r="A61" t="inlineStr">
        <is>
          <t>methanol production facility, construction</t>
        </is>
      </c>
      <c r="B61">
        <f>12.89</f>
        <v>12.89</v>
      </c>
      <c r="C61" t="inlineStr">
        <is>
          <t>RER</t>
        </is>
      </c>
      <c r="D61" t="inlineStr">
        <is>
          <t>unit</t>
        </is>
      </c>
      <c r="F61" t="inlineStr">
        <is>
          <t>technosphere</t>
        </is>
      </c>
      <c r="G61" t="inlineStr">
        <is>
          <t>methanol production facility, construction</t>
        </is>
      </c>
    </row>
    <row r="62">
      <c r="A62" t="inlineStr">
        <is>
          <t>market for tap water</t>
        </is>
      </c>
      <c r="B62" s="5">
        <f>((3090000*1000)/44900000)</f>
        <v>68.819599109131403</v>
      </c>
      <c r="C62" t="inlineStr">
        <is>
          <t>Europe without Switzerland</t>
        </is>
      </c>
      <c r="D62" t="inlineStr">
        <is>
          <t>kilogram</t>
        </is>
      </c>
      <c r="F62" t="inlineStr">
        <is>
          <t>technosphere</t>
        </is>
      </c>
      <c r="G62" t="inlineStr">
        <is>
          <t>tap water</t>
        </is>
      </c>
    </row>
    <row r="63">
      <c r="A63" t="inlineStr">
        <is>
          <t>market group for electricity, low voltage</t>
        </is>
      </c>
      <c r="B63" s="5">
        <f>(13600*1000)/44900000</f>
        <v>0.30289532293986637</v>
      </c>
      <c r="C63" t="inlineStr">
        <is>
          <t>RER</t>
        </is>
      </c>
      <c r="D63" t="inlineStr">
        <is>
          <t>kilowatt hour</t>
        </is>
      </c>
      <c r="F63" t="inlineStr">
        <is>
          <t>technosphere</t>
        </is>
      </c>
      <c r="G63" t="inlineStr">
        <is>
          <t>electricity, low voltage</t>
        </is>
      </c>
    </row>
    <row r="64">
      <c r="A64" t="inlineStr">
        <is>
          <t>market for zinc oxide</t>
        </is>
      </c>
      <c r="B64" s="5">
        <f>356/44900000</f>
        <v>7.9287305122494425E-6</v>
      </c>
      <c r="C64" t="inlineStr">
        <is>
          <t>GLO</t>
        </is>
      </c>
      <c r="D64" t="inlineStr">
        <is>
          <t>kilogram</t>
        </is>
      </c>
      <c r="F64" t="inlineStr">
        <is>
          <t>technosphere</t>
        </is>
      </c>
      <c r="G64" t="inlineStr">
        <is>
          <t>zinc oxide</t>
        </is>
      </c>
    </row>
    <row r="65">
      <c r="A65" t="inlineStr">
        <is>
          <t>market for copper oxide</t>
        </is>
      </c>
      <c r="B65" s="5">
        <f>949/44900000</f>
        <v>2.11358574610245E-5</v>
      </c>
      <c r="C65" t="inlineStr">
        <is>
          <t>GLO</t>
        </is>
      </c>
      <c r="D65" t="inlineStr">
        <is>
          <t>kilogram</t>
        </is>
      </c>
      <c r="F65" t="inlineStr">
        <is>
          <t>technosphere</t>
        </is>
      </c>
      <c r="G65" t="inlineStr">
        <is>
          <t>copper oxide</t>
        </is>
      </c>
    </row>
    <row r="66">
      <c r="A66" t="inlineStr">
        <is>
          <t>market for aluminium oxide, metallurgical</t>
        </is>
      </c>
      <c r="B66" s="5">
        <f>178/44900000</f>
        <v>3.9643652561247212E-6</v>
      </c>
      <c r="C66" t="inlineStr">
        <is>
          <t>IAI Area, EU27 &amp; EFTA</t>
        </is>
      </c>
      <c r="D66" t="inlineStr">
        <is>
          <t>kilogram</t>
        </is>
      </c>
      <c r="F66" t="inlineStr">
        <is>
          <t>technosphere</t>
        </is>
      </c>
      <c r="G66" t="inlineStr">
        <is>
          <t>aluminium oxide, metallurgical</t>
        </is>
      </c>
    </row>
    <row r="67" ht="16" customHeight="1">
      <c r="A67" s="2" t="inlineStr">
        <is>
          <t>hydrogen production, coal gasification</t>
        </is>
      </c>
      <c r="B67" s="5">
        <f>6240000/44900000</f>
        <v>0.13897550111358575</v>
      </c>
      <c r="C67" t="inlineStr">
        <is>
          <t>RoW</t>
        </is>
      </c>
      <c r="D67" t="inlineStr">
        <is>
          <t>kilogram</t>
        </is>
      </c>
      <c r="F67" t="inlineStr">
        <is>
          <t>technosphere</t>
        </is>
      </c>
      <c r="G67" s="6" t="inlineStr">
        <is>
          <t>hydrogen, gaseous, low pressure</t>
        </is>
      </c>
    </row>
    <row r="68">
      <c r="A68" t="inlineStr">
        <is>
          <t>treatment of wastewater, average, capacity 1E9l/year</t>
        </is>
      </c>
      <c r="B68" s="3">
        <f>-B62/1000</f>
        <v>-6.8819599109131407E-2</v>
      </c>
      <c r="C68" t="inlineStr">
        <is>
          <t>Europe without Switzerland</t>
        </is>
      </c>
      <c r="D68" t="inlineStr">
        <is>
          <t>cubic meter</t>
        </is>
      </c>
      <c r="F68" t="inlineStr">
        <is>
          <t>technosphere</t>
        </is>
      </c>
      <c r="G68" t="inlineStr">
        <is>
          <t>wastewater, average</t>
        </is>
      </c>
    </row>
  </sheetData>
  <autoFilter ref="A1:J25"/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Zhang Xiaojin</dc:creator>
  <dcterms:created xmlns:dcterms="http://purl.org/dc/terms/" xmlns:xsi="http://www.w3.org/2001/XMLSchema-instance" xsi:type="dcterms:W3CDTF">2020-03-26T07:51:53Z</dcterms:created>
  <dcterms:modified xmlns:dcterms="http://purl.org/dc/terms/" xmlns:xsi="http://www.w3.org/2001/XMLSchema-instance" xsi:type="dcterms:W3CDTF">2026-07-07T13:56:48Z</dcterms:modified>
  <cp:lastModifiedBy>Romain Sacchi</cp:lastModifiedBy>
</cp:coreProperties>
</file>