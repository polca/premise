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440" yWindow="760" windowWidth="25800" windowHeight="18880" tabRatio="847" firstSheet="0" activeTab="6" autoFilterDateGrouping="1"/>
  </bookViews>
  <sheets>
    <sheet xmlns:r="http://schemas.openxmlformats.org/officeDocument/2006/relationships" name="Information" sheetId="1" state="visible" r:id="rId1"/>
    <sheet xmlns:r="http://schemas.openxmlformats.org/officeDocument/2006/relationships" name="LCI - market" sheetId="2" state="visible" r:id="rId2"/>
    <sheet xmlns:r="http://schemas.openxmlformats.org/officeDocument/2006/relationships" name="LCI - Salar de Atacama" sheetId="3" state="visible" r:id="rId3"/>
    <sheet xmlns:r="http://schemas.openxmlformats.org/officeDocument/2006/relationships" name="LCI - Salar de Olaroz" sheetId="4" state="visible" r:id="rId4"/>
    <sheet xmlns:r="http://schemas.openxmlformats.org/officeDocument/2006/relationships" name="LCI - Salar de Cauchari-Olaroz" sheetId="5" state="visible" r:id="rId5"/>
    <sheet xmlns:r="http://schemas.openxmlformats.org/officeDocument/2006/relationships" name="LCI - Salar del Hombre Muerto" sheetId="6" state="visible" r:id="rId6"/>
    <sheet xmlns:r="http://schemas.openxmlformats.org/officeDocument/2006/relationships" name="LCI - Chaerhan salt lake" sheetId="7" state="visible" r:id="rId7"/>
    <sheet xmlns:r="http://schemas.openxmlformats.org/officeDocument/2006/relationships" name="LCI - Lithium hydroxide" sheetId="8" state="visible" r:id="rId8"/>
  </sheets>
  <definedNames>
    <definedName name="_xlnm._FilterDatabase" localSheetId="3" hidden="1">'LCI - Salar de Olaroz'!$A$1:$M$88</definedName>
    <definedName name="_xlnm._FilterDatabase" localSheetId="4" hidden="1">'LCI - Salar de Cauchari-Olaroz'!$A$1:$M$128</definedName>
    <definedName name="_xlnm._FilterDatabase" localSheetId="6" hidden="1">'LCI - Chaerhan salt lake'!$A$1:$M$105</definedName>
  </definedNames>
  <calcPr calcId="191029" fullCalcOnLoad="1"/>
</workbook>
</file>

<file path=xl/styles.xml><?xml version="1.0" encoding="utf-8"?>
<styleSheet xmlns="http://schemas.openxmlformats.org/spreadsheetml/2006/main">
  <numFmts count="1">
    <numFmt numFmtId="164" formatCode="0.000"/>
  </numFmts>
  <fonts count="5">
    <font>
      <name val="Calibri"/>
      <family val="2"/>
      <color theme="1"/>
      <sz val="11"/>
      <scheme val="minor"/>
    </font>
    <font>
      <name val="Calibri"/>
      <family val="2"/>
      <b val="1"/>
      <color theme="1"/>
      <sz val="11"/>
      <scheme val="minor"/>
    </font>
    <font>
      <name val="Calibri"/>
      <family val="2"/>
      <i val="1"/>
      <color theme="1"/>
      <sz val="11"/>
      <scheme val="minor"/>
    </font>
    <font>
      <name val="Calibri"/>
      <family val="2"/>
      <b val="1"/>
      <color theme="1"/>
      <sz val="18"/>
      <scheme val="minor"/>
    </font>
    <font>
      <name val="Calibri"/>
      <family val="2"/>
      <color rgb="FF000000"/>
      <sz val="11"/>
      <scheme val="minor"/>
    </font>
  </fonts>
  <fills count="3">
    <fill>
      <patternFill/>
    </fill>
    <fill>
      <patternFill patternType="gray125"/>
    </fill>
    <fill>
      <patternFill patternType="solid">
        <fgColor theme="0"/>
        <bgColor indexed="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2" borderId="0" pivotButton="0" quotePrefix="0" xfId="0"/>
    <xf numFmtId="0" fontId="2" fillId="2" borderId="0" pivotButton="0" quotePrefix="0" xfId="0"/>
    <xf numFmtId="0" fontId="3" fillId="2" borderId="0" pivotButton="0" quotePrefix="0" xfId="0"/>
    <xf numFmtId="164" fontId="0" fillId="0" borderId="0" pivotButton="0" quotePrefix="0" xfId="0"/>
    <xf numFmtId="0" fontId="4"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tabColor theme="1" tint="0.499984740745262"/>
    <outlinePr summaryBelow="1" summaryRight="1"/>
    <pageSetUpPr/>
  </sheetPr>
  <dimension ref="A1:A7"/>
  <sheetViews>
    <sheetView zoomScale="80" zoomScaleNormal="80" workbookViewId="0">
      <selection activeCell="A45" sqref="A45"/>
    </sheetView>
  </sheetViews>
  <sheetFormatPr baseColWidth="10" defaultColWidth="9" defaultRowHeight="15"/>
  <cols>
    <col width="39.1640625" customWidth="1" style="2" min="1" max="1"/>
    <col width="11.5" customWidth="1" style="2" min="2" max="3"/>
    <col width="9" customWidth="1" style="2" min="4" max="16384"/>
  </cols>
  <sheetData>
    <row r="1">
      <c r="A1" s="2" t="inlineStr">
        <is>
          <t>skip</t>
        </is>
      </c>
    </row>
    <row r="2" ht="33" customHeight="1">
      <c r="A2" s="2" t="inlineStr">
        <is>
          <t xml:space="preserve">The supplementary information (B) for: </t>
        </is>
      </c>
    </row>
    <row r="3" ht="33" customHeight="1">
      <c r="A3" s="4" t="inlineStr">
        <is>
          <t xml:space="preserve">Regionalized life cycle assessment of present and future lithium production for Li-ion batteries </t>
        </is>
      </c>
    </row>
    <row r="4" ht="33" customHeight="1">
      <c r="A4" s="3" t="inlineStr">
        <is>
          <t>Vanessa Schenker (1,2), Christopher Oberschelp (1,2), Stephan Pfister (1)</t>
        </is>
      </c>
    </row>
    <row r="5" ht="33" customHeight="1">
      <c r="A5" s="2" t="inlineStr">
        <is>
          <t>(1) Institute of Environmental Engineering, ETH Zürich, John-von-Neumann-Weg 9, 8093 Zürich, Switzerland</t>
        </is>
      </c>
    </row>
    <row r="6" ht="33" customHeight="1">
      <c r="A6" s="2" t="inlineStr">
        <is>
          <t>(2)  National Centre of Competence in Research (NCCR) Catalysis, ETH Zürich, Zürich, Switzerland</t>
        </is>
      </c>
    </row>
    <row r="7" ht="33" customHeight="1">
      <c r="A7" s="2" t="inlineStr">
        <is>
          <t>E-mail address of corresponding author: vanessa.schenker@ifu.baug.ethz.ch</t>
        </is>
      </c>
    </row>
  </sheetData>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H30"/>
  <sheetViews>
    <sheetView workbookViewId="0">
      <selection activeCell="A17" sqref="A17"/>
    </sheetView>
  </sheetViews>
  <sheetFormatPr baseColWidth="10" defaultRowHeight="15"/>
  <cols>
    <col width="40.33203125" bestFit="1" customWidth="1" min="1" max="1"/>
    <col width="26.1640625" bestFit="1" customWidth="1" min="2" max="2"/>
    <col width="11.5" bestFit="1" customWidth="1" min="7" max="7"/>
  </cols>
  <sheetData>
    <row r="1">
      <c r="A1" t="inlineStr">
        <is>
          <t>database</t>
        </is>
      </c>
      <c r="B1" t="inlineStr">
        <is>
          <t>lithium</t>
        </is>
      </c>
    </row>
    <row r="2"/>
    <row r="3"/>
    <row r="4">
      <c r="A4" s="1" t="inlineStr">
        <is>
          <t>Activity</t>
        </is>
      </c>
      <c r="B4" s="1" t="inlineStr">
        <is>
          <t>market for lithium carbonate, battery grade</t>
        </is>
      </c>
    </row>
    <row r="5">
      <c r="A5" t="inlineStr">
        <is>
          <t>reference product</t>
        </is>
      </c>
      <c r="B5" t="inlineStr">
        <is>
          <t>lithium carbonate, battery grade</t>
        </is>
      </c>
    </row>
    <row r="6">
      <c r="A6" t="inlineStr">
        <is>
          <t>location</t>
        </is>
      </c>
      <c r="B6" t="inlineStr">
        <is>
          <t>GLO</t>
        </is>
      </c>
    </row>
    <row r="7">
      <c r="A7" t="inlineStr">
        <is>
          <t>amount</t>
        </is>
      </c>
      <c r="B7" t="n">
        <v>1</v>
      </c>
    </row>
    <row r="8">
      <c r="A8" t="inlineStr">
        <is>
          <t>unit</t>
        </is>
      </c>
      <c r="B8" t="inlineStr">
        <is>
          <t>kilogram</t>
        </is>
      </c>
    </row>
    <row r="9">
      <c r="A9" t="inlineStr">
        <is>
          <t>comment</t>
        </is>
      </c>
      <c r="B9" t="inlineStr">
        <is>
          <t>Source: Regionalized life cycle assessment of present and future lithium production for Li-ion batteries. Vanessa Schenker, Christopher Oberschelp, Stephan Pfister.
Market shares based on respective production volumes of the different mines. The market LCI dataset was not part of the publication. Inventories covers a production volume of 88'100t + 12'000tt + 40'000t + 5'000t + 8'000 = 153'100t. Further considers 16'000 km of shipping from Argentina/Chile to China (Kelly et al.).</t>
        </is>
      </c>
    </row>
    <row r="10">
      <c r="A10" t="inlineStr">
        <is>
          <t>Exchanges</t>
        </is>
      </c>
    </row>
    <row r="11">
      <c r="A11" s="1" t="inlineStr">
        <is>
          <t>name</t>
        </is>
      </c>
      <c r="B11" s="1" t="inlineStr">
        <is>
          <t>reference product</t>
        </is>
      </c>
      <c r="C11" s="1" t="inlineStr">
        <is>
          <t>location</t>
        </is>
      </c>
      <c r="D11" s="1" t="inlineStr">
        <is>
          <t>amount</t>
        </is>
      </c>
      <c r="E11" s="1" t="inlineStr">
        <is>
          <t>unit</t>
        </is>
      </c>
      <c r="F11" s="1" t="inlineStr">
        <is>
          <t>database</t>
        </is>
      </c>
      <c r="G11" s="1" t="inlineStr">
        <is>
          <t>type</t>
        </is>
      </c>
      <c r="H11" s="1" t="n"/>
    </row>
    <row r="12">
      <c r="A12" t="inlineStr">
        <is>
          <t>market for lithium carbonate, battery grade</t>
        </is>
      </c>
      <c r="B12" t="inlineStr">
        <is>
          <t>lithium carbonate, battery grade</t>
        </is>
      </c>
      <c r="C12" t="inlineStr">
        <is>
          <t>GLO</t>
        </is>
      </c>
      <c r="D12" t="n">
        <v>1</v>
      </c>
      <c r="E12" t="inlineStr">
        <is>
          <t>kilogram</t>
        </is>
      </c>
      <c r="F12" t="inlineStr">
        <is>
          <t>Atacama_38</t>
        </is>
      </c>
      <c r="G12" t="inlineStr">
        <is>
          <t>production</t>
        </is>
      </c>
    </row>
    <row r="13">
      <c r="A13" t="inlineStr">
        <is>
          <t>lithium carbonate production, from Salar de Atacama</t>
        </is>
      </c>
      <c r="B13" t="inlineStr">
        <is>
          <t>lithium carbonate, battery grade</t>
        </is>
      </c>
      <c r="C13" t="inlineStr">
        <is>
          <t>CL</t>
        </is>
      </c>
      <c r="D13" s="5">
        <f>88100/153100</f>
        <v>0.57544088830829521</v>
      </c>
      <c r="E13" t="inlineStr">
        <is>
          <t>kilogram</t>
        </is>
      </c>
      <c r="F13" t="inlineStr">
        <is>
          <t>Atacama_38</t>
        </is>
      </c>
      <c r="G13" t="inlineStr">
        <is>
          <t>technosphere</t>
        </is>
      </c>
    </row>
    <row r="14">
      <c r="A14" t="inlineStr">
        <is>
          <t>lithium carbonate production, from Salar de Olaroz</t>
        </is>
      </c>
      <c r="B14" t="inlineStr">
        <is>
          <t>lithium carbonate, battery grade</t>
        </is>
      </c>
      <c r="C14" t="inlineStr">
        <is>
          <t>AR</t>
        </is>
      </c>
      <c r="D14" s="5">
        <f>12000/153100</f>
        <v>7.838014369693011E-2</v>
      </c>
      <c r="E14" t="inlineStr">
        <is>
          <t>kilogram</t>
        </is>
      </c>
      <c r="F14" t="inlineStr">
        <is>
          <t>Atacama_38</t>
        </is>
      </c>
      <c r="G14" t="inlineStr">
        <is>
          <t>technosphere</t>
        </is>
      </c>
    </row>
    <row r="15">
      <c r="A15" t="inlineStr">
        <is>
          <t>lithium carbonate production, from Salar de Cauchari-Olaroz</t>
        </is>
      </c>
      <c r="B15" t="inlineStr">
        <is>
          <t>lithium carbonate, battery grade</t>
        </is>
      </c>
      <c r="C15" t="inlineStr">
        <is>
          <t>AR</t>
        </is>
      </c>
      <c r="D15" s="5">
        <f>40000/153100</f>
        <v>0.26126714565643372</v>
      </c>
      <c r="E15" t="inlineStr">
        <is>
          <t>kilogram</t>
        </is>
      </c>
      <c r="F15" t="inlineStr">
        <is>
          <t>Atacama_38</t>
        </is>
      </c>
      <c r="G15" t="inlineStr">
        <is>
          <t>technosphere</t>
        </is>
      </c>
    </row>
    <row r="16">
      <c r="A16" t="inlineStr">
        <is>
          <t>lithium carbonate production, from Salar del Hombre Muerto</t>
        </is>
      </c>
      <c r="B16" t="inlineStr">
        <is>
          <t>lithium carbonate, battery grade</t>
        </is>
      </c>
      <c r="C16" t="inlineStr">
        <is>
          <t>AR</t>
        </is>
      </c>
      <c r="D16" s="5">
        <f>5000/153100</f>
        <v>3.2658393207054215E-2</v>
      </c>
      <c r="E16" t="inlineStr">
        <is>
          <t>kilogram</t>
        </is>
      </c>
      <c r="F16" t="inlineStr">
        <is>
          <t>Atacama_38</t>
        </is>
      </c>
      <c r="G16" t="inlineStr">
        <is>
          <t>technosphere</t>
        </is>
      </c>
    </row>
    <row r="17">
      <c r="A17" t="inlineStr">
        <is>
          <t>lithium carbonate production, from Chaerhan salt lake</t>
        </is>
      </c>
      <c r="B17" t="inlineStr">
        <is>
          <t>lithium carbonate, battery grade</t>
        </is>
      </c>
      <c r="C17" t="inlineStr">
        <is>
          <t>CN</t>
        </is>
      </c>
      <c r="D17" s="5">
        <f>8000/153100</f>
        <v>5.2253429131286742E-2</v>
      </c>
      <c r="E17" t="inlineStr">
        <is>
          <t>kilogram</t>
        </is>
      </c>
      <c r="F17" t="inlineStr">
        <is>
          <t>Atacama_38</t>
        </is>
      </c>
      <c r="G17" t="inlineStr">
        <is>
          <t>technosphere</t>
        </is>
      </c>
    </row>
    <row r="18">
      <c r="A18" t="inlineStr">
        <is>
          <t>market for transport, freight, sea, bulk carrier for dry goods</t>
        </is>
      </c>
      <c r="B18" t="inlineStr">
        <is>
          <t>transport, freight, sea, bulk carrier for dry goods</t>
        </is>
      </c>
      <c r="C18" t="inlineStr">
        <is>
          <t>GLO</t>
        </is>
      </c>
      <c r="D18">
        <f>16000*0.001</f>
        <v>16</v>
      </c>
      <c r="E18" t="inlineStr">
        <is>
          <t>ton kilometer</t>
        </is>
      </c>
      <c r="F18" t="inlineStr">
        <is>
          <t>ecoinvent</t>
        </is>
      </c>
      <c r="G18" t="inlineStr">
        <is>
          <t>technosphere</t>
        </is>
      </c>
    </row>
    <row r="19"/>
    <row r="20">
      <c r="A20" s="1" t="inlineStr">
        <is>
          <t>Activity</t>
        </is>
      </c>
      <c r="B20" s="1" t="inlineStr">
        <is>
          <t>market for lithium hydroxide, battery grade</t>
        </is>
      </c>
    </row>
    <row r="21">
      <c r="A21" t="inlineStr">
        <is>
          <t>reference product</t>
        </is>
      </c>
      <c r="B21" t="inlineStr">
        <is>
          <t>lithium hydroxide, battery grade</t>
        </is>
      </c>
    </row>
    <row r="22">
      <c r="A22" t="inlineStr">
        <is>
          <t>location</t>
        </is>
      </c>
      <c r="B22" t="inlineStr">
        <is>
          <t>GLO</t>
        </is>
      </c>
    </row>
    <row r="23">
      <c r="A23" t="inlineStr">
        <is>
          <t>amount</t>
        </is>
      </c>
      <c r="B23" t="n">
        <v>1</v>
      </c>
    </row>
    <row r="24">
      <c r="A24" t="inlineStr">
        <is>
          <t>unit</t>
        </is>
      </c>
      <c r="B24" t="inlineStr">
        <is>
          <t>kilogram</t>
        </is>
      </c>
    </row>
    <row r="25">
      <c r="A25" t="inlineStr">
        <is>
          <t>comment</t>
        </is>
      </c>
      <c r="B25" t="inlineStr">
        <is>
          <t>Source: Jarod C. Kelly, Michael Wang, Qiang Dai, Olumide Winjobi, Energy, greenhouse gas, and water life cycle analysis of lithium carbonate and lithium hydroxide monohydrate from brine and ore resources and their use in lithium ion battery cathodes and lithium ion batteries, Resources, Conservation and Recycling, Volume 174, 2021, 105762, ISSN 0921-3449, https://doi.org/10.1016/j.resconrec.2021.105762.
The market LCI dataset was not part of the publication. Inventories covers a production volume of 88'100t + 12'000tt + 40'000t + 5'000t + 8'000 = 153'100t. Further assumes 20'400 km of shipping from Argentina/Chile to China. Uses lithium carbonate as input from Schenker et al. Further considers 16'000 km of shipping from Argentina/Chile to China (Kelly et al.).</t>
        </is>
      </c>
    </row>
    <row r="26">
      <c r="A26" t="inlineStr">
        <is>
          <t>Exchanges</t>
        </is>
      </c>
    </row>
    <row r="27">
      <c r="A27" s="1" t="inlineStr">
        <is>
          <t>name</t>
        </is>
      </c>
      <c r="B27" s="1" t="inlineStr">
        <is>
          <t>reference product</t>
        </is>
      </c>
      <c r="C27" s="1" t="inlineStr">
        <is>
          <t>location</t>
        </is>
      </c>
      <c r="D27" s="1" t="inlineStr">
        <is>
          <t>amount</t>
        </is>
      </c>
      <c r="E27" s="1" t="inlineStr">
        <is>
          <t>unit</t>
        </is>
      </c>
      <c r="F27" s="1" t="inlineStr">
        <is>
          <t>database</t>
        </is>
      </c>
      <c r="G27" s="1" t="inlineStr">
        <is>
          <t>type</t>
        </is>
      </c>
      <c r="H27" s="1" t="n"/>
    </row>
    <row r="28">
      <c r="A28" t="inlineStr">
        <is>
          <t>market for lithium hydroxide, battery grade</t>
        </is>
      </c>
      <c r="B28" t="inlineStr">
        <is>
          <t>lithium hydroxide, battery grade</t>
        </is>
      </c>
      <c r="C28" t="inlineStr">
        <is>
          <t>GLO</t>
        </is>
      </c>
      <c r="D28" t="n">
        <v>1</v>
      </c>
      <c r="E28" t="inlineStr">
        <is>
          <t>kilogram</t>
        </is>
      </c>
      <c r="F28" t="inlineStr">
        <is>
          <t>Atacama_38</t>
        </is>
      </c>
      <c r="G28" t="inlineStr">
        <is>
          <t>production</t>
        </is>
      </c>
    </row>
    <row r="29">
      <c r="A29" t="inlineStr">
        <is>
          <t>lithium hydroxide production, battery grade</t>
        </is>
      </c>
      <c r="B29" t="inlineStr">
        <is>
          <t>lithium hydroxide, battery grade</t>
        </is>
      </c>
      <c r="C29" t="inlineStr">
        <is>
          <t>GLO</t>
        </is>
      </c>
      <c r="D29" t="n">
        <v>1</v>
      </c>
      <c r="E29" t="inlineStr">
        <is>
          <t>kilogram</t>
        </is>
      </c>
      <c r="F29" t="inlineStr">
        <is>
          <t>Chaerhan_38</t>
        </is>
      </c>
      <c r="G29" t="inlineStr">
        <is>
          <t>technosphere</t>
        </is>
      </c>
    </row>
    <row r="30">
      <c r="A30" t="inlineStr">
        <is>
          <t>market for transport, freight, sea, bulk carrier for dry goods</t>
        </is>
      </c>
      <c r="B30" t="inlineStr">
        <is>
          <t>transport, freight, sea, bulk carrier for dry goods</t>
        </is>
      </c>
      <c r="C30" t="inlineStr">
        <is>
          <t>GLO</t>
        </is>
      </c>
      <c r="D30">
        <f>16000*0.001</f>
        <v>16</v>
      </c>
      <c r="E30" t="inlineStr">
        <is>
          <t>ton kilometer</t>
        </is>
      </c>
      <c r="F30" t="inlineStr">
        <is>
          <t>ecoinvent</t>
        </is>
      </c>
      <c r="G30" t="inlineStr">
        <is>
          <t>technosphere</t>
        </is>
      </c>
    </row>
  </sheetData>
  <pageMargins left="0.7" right="0.7" top="0.75" bottom="0.75" header="0.3" footer="0.3"/>
</worksheet>
</file>

<file path=xl/worksheets/sheet3.xml><?xml version="1.0" encoding="utf-8"?>
<worksheet xmlns="http://schemas.openxmlformats.org/spreadsheetml/2006/main">
  <sheetPr>
    <tabColor rgb="FFFFC000"/>
    <outlinePr summaryBelow="1" summaryRight="1"/>
    <pageSetUpPr/>
  </sheetPr>
  <dimension ref="A1:M154"/>
  <sheetViews>
    <sheetView topLeftCell="A47" zoomScaleNormal="50" workbookViewId="0">
      <selection activeCell="B67" sqref="B67"/>
    </sheetView>
  </sheetViews>
  <sheetFormatPr baseColWidth="10" defaultColWidth="8.83203125" defaultRowHeight="15"/>
  <cols>
    <col width="49.5" customWidth="1" min="1" max="1"/>
    <col width="30.83203125" customWidth="1" min="2" max="2"/>
    <col width="20.83203125" customWidth="1" min="3" max="3"/>
    <col width="16.1640625" bestFit="1" customWidth="1" min="4" max="4"/>
    <col width="22.33203125" customWidth="1" min="5" max="5"/>
    <col width="20.5" customWidth="1" min="6" max="6"/>
    <col width="16.83203125" customWidth="1" min="7" max="7"/>
    <col width="9.1640625" customWidth="1" min="8" max="8"/>
    <col width="9" customWidth="1" min="9" max="13"/>
  </cols>
  <sheetData>
    <row r="1" customFormat="1" s="1">
      <c r="A1" s="1" t="inlineStr">
        <is>
          <t>Activity</t>
        </is>
      </c>
      <c r="B1" s="1" t="inlineStr">
        <is>
          <t>water, pure, via reverse osmosis</t>
        </is>
      </c>
    </row>
    <row r="2">
      <c r="A2" t="inlineStr">
        <is>
          <t>reference product</t>
        </is>
      </c>
      <c r="B2" t="inlineStr">
        <is>
          <t>water, pure</t>
        </is>
      </c>
    </row>
    <row r="3">
      <c r="A3" t="inlineStr">
        <is>
          <t>location</t>
        </is>
      </c>
      <c r="B3" t="inlineStr">
        <is>
          <t>CL</t>
        </is>
      </c>
    </row>
    <row r="4">
      <c r="A4" t="inlineStr">
        <is>
          <t>amount</t>
        </is>
      </c>
      <c r="B4" t="n">
        <v>1</v>
      </c>
    </row>
    <row r="5" ht="14" customHeight="1">
      <c r="A5" t="inlineStr">
        <is>
          <t>unit</t>
        </is>
      </c>
      <c r="B5" t="inlineStr">
        <is>
          <t>kilogram</t>
        </is>
      </c>
    </row>
    <row r="6">
      <c r="A6" t="inlineStr">
        <is>
          <t>comment</t>
        </is>
      </c>
      <c r="B6" t="inlineStr">
        <is>
          <t>Source: Regionalized life cycle assessment of present and future lithium production for Li-ion batteries. Vanessa Schenker, Christopher Oberschelp, Stephan Pfister.</t>
        </is>
      </c>
    </row>
    <row r="7">
      <c r="A7" t="inlineStr">
        <is>
          <t>Exchanges</t>
        </is>
      </c>
    </row>
    <row r="8">
      <c r="A8" t="inlineStr">
        <is>
          <t>name</t>
        </is>
      </c>
      <c r="B8" t="inlineStr">
        <is>
          <t>reference product</t>
        </is>
      </c>
      <c r="C8" t="inlineStr">
        <is>
          <t>location</t>
        </is>
      </c>
      <c r="D8" t="inlineStr">
        <is>
          <t>amount</t>
        </is>
      </c>
      <c r="E8" t="inlineStr">
        <is>
          <t>unit</t>
        </is>
      </c>
      <c r="F8" t="inlineStr">
        <is>
          <t>database</t>
        </is>
      </c>
      <c r="G8" t="inlineStr">
        <is>
          <t>type</t>
        </is>
      </c>
      <c r="H8" t="inlineStr">
        <is>
          <t>categories</t>
        </is>
      </c>
      <c r="I8" t="inlineStr">
        <is>
          <t>uncertainty type</t>
        </is>
      </c>
      <c r="J8" t="inlineStr">
        <is>
          <t>loc</t>
        </is>
      </c>
      <c r="K8" t="inlineStr">
        <is>
          <t>scale</t>
        </is>
      </c>
      <c r="L8" t="inlineStr">
        <is>
          <t>minimum</t>
        </is>
      </c>
      <c r="M8" t="inlineStr">
        <is>
          <t>maximum</t>
        </is>
      </c>
    </row>
    <row r="9">
      <c r="A9" t="inlineStr">
        <is>
          <t>water, pure, via reverse osmosis</t>
        </is>
      </c>
      <c r="B9" t="inlineStr">
        <is>
          <t>water, pure</t>
        </is>
      </c>
      <c r="C9" t="inlineStr">
        <is>
          <t>CL</t>
        </is>
      </c>
      <c r="D9" t="n">
        <v>1</v>
      </c>
      <c r="E9" t="inlineStr">
        <is>
          <t>kilogram</t>
        </is>
      </c>
      <c r="F9" t="inlineStr">
        <is>
          <t>Atacama_38</t>
        </is>
      </c>
      <c r="G9" t="inlineStr">
        <is>
          <t>production</t>
        </is>
      </c>
    </row>
    <row r="10">
      <c r="A10" t="inlineStr">
        <is>
          <t>market for electricity, high voltage</t>
        </is>
      </c>
      <c r="B10" t="inlineStr">
        <is>
          <t>electricity, high voltage</t>
        </is>
      </c>
      <c r="C10" t="inlineStr">
        <is>
          <t>CL</t>
        </is>
      </c>
      <c r="D10" t="n">
        <v>0.003603</v>
      </c>
      <c r="E10" t="inlineStr">
        <is>
          <t>kilowatt hour</t>
        </is>
      </c>
      <c r="F10" t="inlineStr">
        <is>
          <t>ecoinvent 3.8 cutoff</t>
        </is>
      </c>
      <c r="G10" t="inlineStr">
        <is>
          <t>technosphere</t>
        </is>
      </c>
      <c r="I10" t="n">
        <v>2</v>
      </c>
      <c r="J10" t="n">
        <v>-5.625988447216181</v>
      </c>
      <c r="K10" t="n">
        <v>0.5226943987482665</v>
      </c>
    </row>
    <row r="11">
      <c r="A11" t="inlineStr">
        <is>
          <t>Water, unspecified natural origin</t>
        </is>
      </c>
      <c r="D11" t="n">
        <v>0.001</v>
      </c>
      <c r="E11" t="inlineStr">
        <is>
          <t>cubic meter</t>
        </is>
      </c>
      <c r="F11" t="inlineStr">
        <is>
          <t>biosphere3</t>
        </is>
      </c>
      <c r="G11" t="inlineStr">
        <is>
          <t>biosphere</t>
        </is>
      </c>
      <c r="H11" t="inlineStr">
        <is>
          <t>natural resource::in ground</t>
        </is>
      </c>
      <c r="I11" t="n">
        <v>2</v>
      </c>
      <c r="J11" t="n">
        <v>-6.907755278982137</v>
      </c>
      <c r="K11" t="n">
        <v>0.5226943987482665</v>
      </c>
    </row>
    <row r="12"/>
    <row r="13" customFormat="1" s="1">
      <c r="A13" s="1" t="inlineStr">
        <is>
          <t>Activity</t>
        </is>
      </c>
      <c r="B13" s="1" t="inlineStr">
        <is>
          <t>filtering, through water ion exchanger</t>
        </is>
      </c>
    </row>
    <row r="14">
      <c r="A14" t="inlineStr">
        <is>
          <t>reference product</t>
        </is>
      </c>
      <c r="B14" t="inlineStr">
        <is>
          <t>filtering, through water ion exchanger</t>
        </is>
      </c>
    </row>
    <row r="15">
      <c r="A15" t="inlineStr">
        <is>
          <t>location</t>
        </is>
      </c>
      <c r="B15" t="inlineStr">
        <is>
          <t>CL</t>
        </is>
      </c>
    </row>
    <row r="16">
      <c r="A16" t="inlineStr">
        <is>
          <t>amount</t>
        </is>
      </c>
      <c r="B16" t="n">
        <v>1</v>
      </c>
    </row>
    <row r="17" ht="14" customHeight="1">
      <c r="A17" t="inlineStr">
        <is>
          <t>unit</t>
        </is>
      </c>
      <c r="B17" t="inlineStr">
        <is>
          <t>kilogram</t>
        </is>
      </c>
    </row>
    <row r="18">
      <c r="A18" t="inlineStr">
        <is>
          <t>comment</t>
        </is>
      </c>
      <c r="B18" t="inlineStr">
        <is>
          <t>Source: Regionalized life cycle assessment of present and future lithium production for Li-ion batteries. Vanessa Schenker, Christopher Oberschelp, Stephan Pfister.</t>
        </is>
      </c>
    </row>
    <row r="19">
      <c r="A19" t="inlineStr">
        <is>
          <t>Exchanges</t>
        </is>
      </c>
    </row>
    <row r="20">
      <c r="A20" t="inlineStr">
        <is>
          <t>name</t>
        </is>
      </c>
      <c r="B20" t="inlineStr">
        <is>
          <t>reference product</t>
        </is>
      </c>
      <c r="C20" t="inlineStr">
        <is>
          <t>location</t>
        </is>
      </c>
      <c r="D20" t="inlineStr">
        <is>
          <t>amount</t>
        </is>
      </c>
      <c r="E20" t="inlineStr">
        <is>
          <t>unit</t>
        </is>
      </c>
      <c r="F20" t="inlineStr">
        <is>
          <t>database</t>
        </is>
      </c>
      <c r="G20" t="inlineStr">
        <is>
          <t>type</t>
        </is>
      </c>
      <c r="H20" t="inlineStr">
        <is>
          <t>categories</t>
        </is>
      </c>
      <c r="I20" t="inlineStr">
        <is>
          <t>uncertainty type</t>
        </is>
      </c>
      <c r="J20" t="inlineStr">
        <is>
          <t>loc</t>
        </is>
      </c>
      <c r="K20" t="inlineStr">
        <is>
          <t>scale</t>
        </is>
      </c>
      <c r="L20" t="inlineStr">
        <is>
          <t>minimum</t>
        </is>
      </c>
      <c r="M20" t="inlineStr">
        <is>
          <t>maximum</t>
        </is>
      </c>
    </row>
    <row r="21">
      <c r="A21" t="inlineStr">
        <is>
          <t>filtering, through water ion exchanger</t>
        </is>
      </c>
      <c r="B21" t="inlineStr">
        <is>
          <t>filtering, through water ion exchanger</t>
        </is>
      </c>
      <c r="C21" t="inlineStr">
        <is>
          <t>CL</t>
        </is>
      </c>
      <c r="D21" t="n">
        <v>1</v>
      </c>
      <c r="E21" t="inlineStr">
        <is>
          <t>kilogram</t>
        </is>
      </c>
      <c r="F21" t="inlineStr">
        <is>
          <t>Atacama_38</t>
        </is>
      </c>
      <c r="G21" t="inlineStr">
        <is>
          <t>production</t>
        </is>
      </c>
    </row>
    <row r="22">
      <c r="A22" t="inlineStr">
        <is>
          <t>market for electricity, high voltage</t>
        </is>
      </c>
      <c r="B22" t="inlineStr">
        <is>
          <t>electricity, high voltage</t>
        </is>
      </c>
      <c r="C22" t="inlineStr">
        <is>
          <t>CL</t>
        </is>
      </c>
      <c r="D22" t="n">
        <v>0.00082</v>
      </c>
      <c r="E22" t="inlineStr">
        <is>
          <t>kilowatt hour</t>
        </is>
      </c>
      <c r="F22" t="inlineStr">
        <is>
          <t>ecoinvent 3.8 cutoff</t>
        </is>
      </c>
      <c r="G22" t="inlineStr">
        <is>
          <t>technosphere</t>
        </is>
      </c>
      <c r="I22" t="n">
        <v>2</v>
      </c>
      <c r="J22" t="n">
        <v>-7.106206217705975</v>
      </c>
      <c r="K22" t="n">
        <v>0.5226943987482665</v>
      </c>
    </row>
    <row r="23">
      <c r="A23" t="inlineStr">
        <is>
          <t>Water, unspecified natural origin</t>
        </is>
      </c>
      <c r="D23" t="n">
        <v>0.001</v>
      </c>
      <c r="E23" t="inlineStr">
        <is>
          <t>cubic meter</t>
        </is>
      </c>
      <c r="F23" t="inlineStr">
        <is>
          <t>biosphere3</t>
        </is>
      </c>
      <c r="G23" t="inlineStr">
        <is>
          <t>biosphere</t>
        </is>
      </c>
      <c r="H23" t="inlineStr">
        <is>
          <t>natural resource::in ground</t>
        </is>
      </c>
      <c r="I23" t="n">
        <v>2</v>
      </c>
      <c r="J23" t="n">
        <v>-6.907755278982137</v>
      </c>
      <c r="K23" t="n">
        <v>0.5226943987482665</v>
      </c>
    </row>
    <row r="24"/>
    <row r="25" customFormat="1" s="1">
      <c r="A25" s="1" t="inlineStr">
        <is>
          <t>Activity</t>
        </is>
      </c>
      <c r="B25" s="1" t="inlineStr">
        <is>
          <t>dearomatized hydrocarbon fluid production</t>
        </is>
      </c>
    </row>
    <row r="26">
      <c r="A26" t="inlineStr">
        <is>
          <t>reference product</t>
        </is>
      </c>
      <c r="B26" t="inlineStr">
        <is>
          <t>dearomatized hydrocarbon fluid</t>
        </is>
      </c>
    </row>
    <row r="27">
      <c r="A27" t="inlineStr">
        <is>
          <t>location</t>
        </is>
      </c>
      <c r="B27" t="inlineStr">
        <is>
          <t>GLO</t>
        </is>
      </c>
    </row>
    <row r="28">
      <c r="A28" t="inlineStr">
        <is>
          <t>amount</t>
        </is>
      </c>
      <c r="B28" t="n">
        <v>1</v>
      </c>
    </row>
    <row r="29">
      <c r="A29" t="inlineStr">
        <is>
          <t>unit</t>
        </is>
      </c>
      <c r="B29" t="inlineStr">
        <is>
          <t>kilogram</t>
        </is>
      </c>
    </row>
    <row r="30">
      <c r="A30" t="inlineStr">
        <is>
          <t>comment</t>
        </is>
      </c>
      <c r="B30" t="inlineStr">
        <is>
          <t>Source: Regionalized life cycle assessment of present and future lithium production for Li-ion batteries. Vanessa Schenker, Christopher Oberschelp, Stephan Pfister. Commercial name: Exxon's ESCAID.</t>
        </is>
      </c>
    </row>
    <row r="31">
      <c r="A31" t="inlineStr">
        <is>
          <t>Exchanges</t>
        </is>
      </c>
    </row>
    <row r="32">
      <c r="A32" t="inlineStr">
        <is>
          <t>name</t>
        </is>
      </c>
      <c r="B32" t="inlineStr">
        <is>
          <t>reference product</t>
        </is>
      </c>
      <c r="C32" t="inlineStr">
        <is>
          <t>location</t>
        </is>
      </c>
      <c r="D32" t="inlineStr">
        <is>
          <t>amount</t>
        </is>
      </c>
      <c r="E32" t="inlineStr">
        <is>
          <t>unit</t>
        </is>
      </c>
      <c r="F32" t="inlineStr">
        <is>
          <t>database</t>
        </is>
      </c>
      <c r="G32" t="inlineStr">
        <is>
          <t>type</t>
        </is>
      </c>
      <c r="H32" t="inlineStr">
        <is>
          <t>categories</t>
        </is>
      </c>
      <c r="I32" t="inlineStr">
        <is>
          <t>uncertainty type</t>
        </is>
      </c>
      <c r="J32" t="inlineStr">
        <is>
          <t>loc</t>
        </is>
      </c>
      <c r="K32" t="inlineStr">
        <is>
          <t>scale</t>
        </is>
      </c>
      <c r="L32" t="inlineStr">
        <is>
          <t>minimum</t>
        </is>
      </c>
      <c r="M32" t="inlineStr">
        <is>
          <t>maximum</t>
        </is>
      </c>
    </row>
    <row r="33">
      <c r="A33" t="inlineStr">
        <is>
          <t>dearomatized hydrocarbon fluid production</t>
        </is>
      </c>
      <c r="B33" t="inlineStr">
        <is>
          <t>dearomatized hydrocarbon fluid</t>
        </is>
      </c>
      <c r="C33" t="inlineStr">
        <is>
          <t>GLO</t>
        </is>
      </c>
      <c r="D33" t="n">
        <v>1</v>
      </c>
      <c r="E33" t="inlineStr">
        <is>
          <t>kilogram</t>
        </is>
      </c>
      <c r="F33" t="inlineStr">
        <is>
          <t>Atacama_38</t>
        </is>
      </c>
      <c r="G33" t="inlineStr">
        <is>
          <t>production</t>
        </is>
      </c>
    </row>
    <row r="34">
      <c r="A34" t="inlineStr">
        <is>
          <t>market for kerosene</t>
        </is>
      </c>
      <c r="B34" t="inlineStr">
        <is>
          <t>kerosene</t>
        </is>
      </c>
      <c r="C34" t="inlineStr">
        <is>
          <t>RoW</t>
        </is>
      </c>
      <c r="D34" t="n">
        <v>2</v>
      </c>
      <c r="E34" t="inlineStr">
        <is>
          <t>kilogram</t>
        </is>
      </c>
      <c r="F34" t="inlineStr">
        <is>
          <t>ecoinvent 3.8 cutoff</t>
        </is>
      </c>
      <c r="G34" t="inlineStr">
        <is>
          <t>technosphere</t>
        </is>
      </c>
      <c r="I34" t="n">
        <v>2</v>
      </c>
      <c r="J34" t="n">
        <v>0.6931471805599453</v>
      </c>
      <c r="K34" t="n">
        <v>0.9228120622047786</v>
      </c>
    </row>
    <row r="35"/>
    <row r="36" customFormat="1" s="1">
      <c r="A36" s="1" t="inlineStr">
        <is>
          <t>Activity</t>
        </is>
      </c>
      <c r="B36" s="1" t="inlineStr">
        <is>
          <t>lithium brine production, from evaporation pond</t>
        </is>
      </c>
    </row>
    <row r="37">
      <c r="A37" t="inlineStr">
        <is>
          <t>reference product</t>
        </is>
      </c>
      <c r="B37" t="inlineStr">
        <is>
          <t>lithium brine, from evaporation pond</t>
        </is>
      </c>
    </row>
    <row r="38">
      <c r="A38" t="inlineStr">
        <is>
          <t>location</t>
        </is>
      </c>
      <c r="B38" t="inlineStr">
        <is>
          <t>CL</t>
        </is>
      </c>
    </row>
    <row r="39">
      <c r="A39" t="inlineStr">
        <is>
          <t>amount</t>
        </is>
      </c>
      <c r="B39" t="n">
        <v>1</v>
      </c>
    </row>
    <row r="40" ht="14" customHeight="1">
      <c r="A40" t="inlineStr">
        <is>
          <t>unit</t>
        </is>
      </c>
      <c r="B40" t="inlineStr">
        <is>
          <t>kilogram</t>
        </is>
      </c>
    </row>
    <row r="41">
      <c r="A41" t="inlineStr">
        <is>
          <t>comment</t>
        </is>
      </c>
      <c r="B41" t="inlineStr">
        <is>
          <t>Source: Regionalized life cycle assessment of present and future lithium production for Li-ion batteries. Vanessa Schenker, Christopher Oberschelp, Stephan Pfister. Includes transport to boron removal step.</t>
        </is>
      </c>
    </row>
    <row r="42">
      <c r="A42" t="inlineStr">
        <is>
          <t>Exchanges</t>
        </is>
      </c>
    </row>
    <row r="43">
      <c r="A43" s="1" t="inlineStr">
        <is>
          <t>name</t>
        </is>
      </c>
      <c r="B43" s="1" t="inlineStr">
        <is>
          <t>reference product</t>
        </is>
      </c>
      <c r="C43" s="1" t="inlineStr">
        <is>
          <t>location</t>
        </is>
      </c>
      <c r="D43" s="1" t="inlineStr">
        <is>
          <t>amount</t>
        </is>
      </c>
      <c r="E43" s="1" t="inlineStr">
        <is>
          <t>unit</t>
        </is>
      </c>
      <c r="F43" s="1" t="inlineStr">
        <is>
          <t>database</t>
        </is>
      </c>
      <c r="G43" s="1" t="inlineStr">
        <is>
          <t>type</t>
        </is>
      </c>
      <c r="H43" s="1" t="inlineStr">
        <is>
          <t>categories</t>
        </is>
      </c>
      <c r="I43" s="1" t="inlineStr">
        <is>
          <t>uncertainty type</t>
        </is>
      </c>
      <c r="J43" s="1" t="inlineStr">
        <is>
          <t>loc</t>
        </is>
      </c>
      <c r="K43" s="1" t="inlineStr">
        <is>
          <t>scale</t>
        </is>
      </c>
      <c r="L43" s="1" t="inlineStr">
        <is>
          <t>minimum</t>
        </is>
      </c>
      <c r="M43" s="1" t="inlineStr">
        <is>
          <t>maximum</t>
        </is>
      </c>
    </row>
    <row r="44">
      <c r="A44" t="inlineStr">
        <is>
          <t>lithium brine production, from evaporation pond</t>
        </is>
      </c>
      <c r="B44" t="inlineStr">
        <is>
          <t>lithium brine, from evaporation pond</t>
        </is>
      </c>
      <c r="C44" t="inlineStr">
        <is>
          <t>CL</t>
        </is>
      </c>
      <c r="D44" t="n">
        <v>1</v>
      </c>
      <c r="E44" t="inlineStr">
        <is>
          <t>kilogram</t>
        </is>
      </c>
      <c r="F44" t="inlineStr">
        <is>
          <t>Atacama_38</t>
        </is>
      </c>
      <c r="G44" t="inlineStr">
        <is>
          <t>production</t>
        </is>
      </c>
    </row>
    <row r="45">
      <c r="A45" t="inlineStr">
        <is>
          <t>Lithium, in ground</t>
        </is>
      </c>
      <c r="D45" t="n">
        <v>0.1055414191739782</v>
      </c>
      <c r="E45" t="inlineStr">
        <is>
          <t>kilogram</t>
        </is>
      </c>
      <c r="F45" t="inlineStr">
        <is>
          <t>biosphere3</t>
        </is>
      </c>
      <c r="G45" t="inlineStr">
        <is>
          <t>biosphere</t>
        </is>
      </c>
      <c r="H45" t="inlineStr">
        <is>
          <t>natural resource::in ground</t>
        </is>
      </c>
      <c r="I45" t="n">
        <v>5</v>
      </c>
      <c r="J45" t="n">
        <v>0.1055414191739782</v>
      </c>
      <c r="L45" t="n">
        <v>0.07387899342178474</v>
      </c>
      <c r="M45" t="n">
        <v>0.1372038449261717</v>
      </c>
    </row>
    <row r="46">
      <c r="A46" t="inlineStr">
        <is>
          <t>market for electricity, high voltage</t>
        </is>
      </c>
      <c r="B46" t="inlineStr">
        <is>
          <t>electricity, high voltage</t>
        </is>
      </c>
      <c r="C46" t="inlineStr">
        <is>
          <t>CL</t>
        </is>
      </c>
      <c r="D46" t="n">
        <v>0.002247263250551199</v>
      </c>
      <c r="E46" t="inlineStr">
        <is>
          <t>kilowatt hour</t>
        </is>
      </c>
      <c r="F46" t="inlineStr">
        <is>
          <t>ecoinvent 3.8 cutoff</t>
        </is>
      </c>
      <c r="G46" t="inlineStr">
        <is>
          <t>technosphere</t>
        </is>
      </c>
      <c r="I46" t="n">
        <v>5</v>
      </c>
      <c r="J46" t="n">
        <v>0.002247263250551199</v>
      </c>
      <c r="L46" t="n">
        <v>0.001910173762968519</v>
      </c>
      <c r="M46" t="n">
        <v>0.002584352738133879</v>
      </c>
    </row>
    <row r="47">
      <c r="A47" t="inlineStr">
        <is>
          <t>machine operation, diesel, &gt;= 74.57 kW, high load factor</t>
        </is>
      </c>
      <c r="B47" t="inlineStr">
        <is>
          <t>machine operation, diesel, &gt;= 74.57 kW, high load factor</t>
        </is>
      </c>
      <c r="C47" t="inlineStr">
        <is>
          <t>GLO</t>
        </is>
      </c>
      <c r="D47" t="n">
        <v>0.0001608866593351935</v>
      </c>
      <c r="E47" t="inlineStr">
        <is>
          <t>hour</t>
        </is>
      </c>
      <c r="F47" t="inlineStr">
        <is>
          <t>ecoinvent 3.8 cutoff</t>
        </is>
      </c>
      <c r="G47" t="inlineStr">
        <is>
          <t>technosphere</t>
        </is>
      </c>
      <c r="I47" t="n">
        <v>2</v>
      </c>
      <c r="J47" t="n">
        <v>-8.734810420174096</v>
      </c>
      <c r="K47" t="n">
        <v>0.2169934116176439</v>
      </c>
    </row>
    <row r="48">
      <c r="A48" t="inlineStr">
        <is>
          <t>water, pure, via reverse osmosis</t>
        </is>
      </c>
      <c r="B48" t="inlineStr">
        <is>
          <t>water, pure</t>
        </is>
      </c>
      <c r="C48" t="inlineStr">
        <is>
          <t>CL</t>
        </is>
      </c>
      <c r="D48" t="n">
        <v>0.1895833262163252</v>
      </c>
      <c r="E48" t="inlineStr">
        <is>
          <t>kilogram</t>
        </is>
      </c>
      <c r="F48" t="inlineStr">
        <is>
          <t>Atacama_38</t>
        </is>
      </c>
      <c r="G48" t="inlineStr">
        <is>
          <t>technosphere</t>
        </is>
      </c>
      <c r="I48" t="n">
        <v>2</v>
      </c>
      <c r="J48" t="n">
        <v>-1.66292663492535</v>
      </c>
      <c r="K48" t="n">
        <v>0.1110776002800187</v>
      </c>
    </row>
    <row r="49">
      <c r="A49" t="inlineStr">
        <is>
          <t>transport, freight, lorry &gt;32 metric ton, EURO3</t>
        </is>
      </c>
      <c r="B49" t="inlineStr">
        <is>
          <t>transport, freight, lorry &gt;32 metric ton, EURO3</t>
        </is>
      </c>
      <c r="C49" t="inlineStr">
        <is>
          <t>RoW</t>
        </is>
      </c>
      <c r="D49" t="n">
        <v>0.24</v>
      </c>
      <c r="E49" t="inlineStr">
        <is>
          <t>ton kilometer</t>
        </is>
      </c>
      <c r="F49" t="inlineStr">
        <is>
          <t>ecoinvent 3.8 cutoff</t>
        </is>
      </c>
      <c r="G49" t="inlineStr">
        <is>
          <t>technosphere</t>
        </is>
      </c>
      <c r="I49" t="n">
        <v>5</v>
      </c>
      <c r="J49" t="n">
        <v>0.24</v>
      </c>
      <c r="L49" t="n">
        <v>0.216</v>
      </c>
      <c r="M49" t="n">
        <v>0.264</v>
      </c>
    </row>
    <row r="50">
      <c r="A50" t="inlineStr">
        <is>
          <t>Occupation, mineral extraction site</t>
        </is>
      </c>
      <c r="D50" t="n">
        <v>2.203331168911998e-10</v>
      </c>
      <c r="E50" t="inlineStr">
        <is>
          <t>square meter-year</t>
        </is>
      </c>
      <c r="F50" t="inlineStr">
        <is>
          <t>biosphere3</t>
        </is>
      </c>
      <c r="G50" t="inlineStr">
        <is>
          <t>biosphere</t>
        </is>
      </c>
      <c r="H50" t="inlineStr">
        <is>
          <t>natural resource::land</t>
        </is>
      </c>
      <c r="I50" t="n">
        <v>2</v>
      </c>
      <c r="J50" t="n">
        <v>-22.23588054708494</v>
      </c>
      <c r="K50" t="n">
        <v>0.1897729544463139</v>
      </c>
    </row>
    <row r="51">
      <c r="A51" t="inlineStr">
        <is>
          <t>Transformation, from unknown</t>
        </is>
      </c>
      <c r="D51" t="n">
        <v>5.508327922279994e-12</v>
      </c>
      <c r="E51" t="inlineStr">
        <is>
          <t>square meter</t>
        </is>
      </c>
      <c r="F51" t="inlineStr">
        <is>
          <t>biosphere3</t>
        </is>
      </c>
      <c r="G51" t="inlineStr">
        <is>
          <t>biosphere</t>
        </is>
      </c>
      <c r="H51" t="inlineStr">
        <is>
          <t>natural resource::land</t>
        </is>
      </c>
      <c r="I51" t="n">
        <v>2</v>
      </c>
      <c r="J51" t="n">
        <v>-25.92476000119888</v>
      </c>
      <c r="K51" t="n">
        <v>0.05265571353150134</v>
      </c>
    </row>
    <row r="52">
      <c r="A52" t="inlineStr">
        <is>
          <t>Transformation, to mineral extraction site</t>
        </is>
      </c>
      <c r="D52" t="n">
        <v>5.508327922279994e-12</v>
      </c>
      <c r="E52" t="inlineStr">
        <is>
          <t>square meter</t>
        </is>
      </c>
      <c r="F52" t="inlineStr">
        <is>
          <t>biosphere3</t>
        </is>
      </c>
      <c r="G52" t="inlineStr">
        <is>
          <t>biosphere</t>
        </is>
      </c>
      <c r="H52" t="inlineStr">
        <is>
          <t>natural resource::land</t>
        </is>
      </c>
      <c r="I52" t="n">
        <v>2</v>
      </c>
      <c r="J52" t="n">
        <v>-25.92476000119888</v>
      </c>
      <c r="K52" t="n">
        <v>0.05265571353150134</v>
      </c>
    </row>
    <row r="53"/>
    <row r="54" customFormat="1" s="1">
      <c r="A54" s="1" t="inlineStr">
        <is>
          <t>Activity</t>
        </is>
      </c>
      <c r="B54" s="1" t="inlineStr">
        <is>
          <t>lithium brine production, boron removal</t>
        </is>
      </c>
    </row>
    <row r="55">
      <c r="A55" t="inlineStr">
        <is>
          <t>reference product</t>
        </is>
      </c>
      <c r="B55" t="inlineStr">
        <is>
          <t>lithium brine, boron-free</t>
        </is>
      </c>
    </row>
    <row r="56">
      <c r="A56" t="inlineStr">
        <is>
          <t>location</t>
        </is>
      </c>
      <c r="B56" t="inlineStr">
        <is>
          <t>CL</t>
        </is>
      </c>
    </row>
    <row r="57">
      <c r="A57" t="inlineStr">
        <is>
          <t>amount</t>
        </is>
      </c>
      <c r="B57" t="n">
        <v>1</v>
      </c>
    </row>
    <row r="58">
      <c r="A58" t="inlineStr">
        <is>
          <t>unit</t>
        </is>
      </c>
      <c r="B58" t="inlineStr">
        <is>
          <t>kilogram</t>
        </is>
      </c>
    </row>
    <row r="59">
      <c r="A59" t="inlineStr">
        <is>
          <t>comment</t>
        </is>
      </c>
      <c r="B59" t="inlineStr">
        <is>
          <t>Source: Regionalized life cycle assessment of present and future lithium production for Li-ion batteries. Vanessa Schenker, Christopher Oberschelp, Stephan Pfister.</t>
        </is>
      </c>
    </row>
    <row r="60">
      <c r="A60" t="inlineStr">
        <is>
          <t>Exchanges</t>
        </is>
      </c>
    </row>
    <row r="61" customFormat="1" s="1">
      <c r="A61" s="1" t="inlineStr">
        <is>
          <t>name</t>
        </is>
      </c>
      <c r="B61" s="1" t="inlineStr">
        <is>
          <t>reference product</t>
        </is>
      </c>
      <c r="C61" s="1" t="inlineStr">
        <is>
          <t>location</t>
        </is>
      </c>
      <c r="D61" s="1" t="inlineStr">
        <is>
          <t>amount</t>
        </is>
      </c>
      <c r="E61" s="1" t="inlineStr">
        <is>
          <t>unit</t>
        </is>
      </c>
      <c r="F61" s="1" t="inlineStr">
        <is>
          <t>database</t>
        </is>
      </c>
      <c r="G61" s="1" t="inlineStr">
        <is>
          <t>type</t>
        </is>
      </c>
      <c r="H61" s="1" t="inlineStr">
        <is>
          <t>categories</t>
        </is>
      </c>
      <c r="I61" s="1" t="inlineStr">
        <is>
          <t>uncertainty type</t>
        </is>
      </c>
      <c r="J61" s="1" t="inlineStr">
        <is>
          <t>loc</t>
        </is>
      </c>
      <c r="K61" s="1" t="inlineStr">
        <is>
          <t>scale</t>
        </is>
      </c>
      <c r="L61" s="1" t="inlineStr">
        <is>
          <t>minimum</t>
        </is>
      </c>
      <c r="M61" s="1" t="inlineStr">
        <is>
          <t>maximum</t>
        </is>
      </c>
    </row>
    <row r="62">
      <c r="A62" t="inlineStr">
        <is>
          <t>lithium brine production, boron removal</t>
        </is>
      </c>
      <c r="B62" t="inlineStr">
        <is>
          <t>lithium brine, boron-free</t>
        </is>
      </c>
      <c r="C62" t="inlineStr">
        <is>
          <t>CL</t>
        </is>
      </c>
      <c r="D62" t="n">
        <v>1</v>
      </c>
      <c r="E62" t="inlineStr">
        <is>
          <t>kilogram</t>
        </is>
      </c>
      <c r="F62" t="inlineStr">
        <is>
          <t>Atacama_38</t>
        </is>
      </c>
      <c r="G62" t="inlineStr">
        <is>
          <t>production</t>
        </is>
      </c>
    </row>
    <row r="63">
      <c r="A63" t="inlineStr">
        <is>
          <t>lithium brine production, from evaporation pond</t>
        </is>
      </c>
      <c r="B63" t="inlineStr">
        <is>
          <t>lithium brine, from evaporation pond</t>
        </is>
      </c>
      <c r="C63" t="inlineStr">
        <is>
          <t>CL</t>
        </is>
      </c>
      <c r="D63" t="n">
        <v>0.992</v>
      </c>
      <c r="E63" t="inlineStr">
        <is>
          <t>kilogram</t>
        </is>
      </c>
      <c r="F63" t="inlineStr">
        <is>
          <t>Atacama_38</t>
        </is>
      </c>
      <c r="G63" t="inlineStr">
        <is>
          <t>technosphere</t>
        </is>
      </c>
      <c r="I63" t="n">
        <v>5</v>
      </c>
      <c r="J63" t="n">
        <v>0.992</v>
      </c>
      <c r="L63" t="n">
        <v>0.6943999999999999</v>
      </c>
      <c r="M63" t="n">
        <v>1.2896</v>
      </c>
    </row>
    <row r="64">
      <c r="A64" t="inlineStr">
        <is>
          <t>heat production, natural gas, at industrial furnace &gt;100kW</t>
        </is>
      </c>
      <c r="B64" t="inlineStr">
        <is>
          <t>heat, district or industrial, natural gas</t>
        </is>
      </c>
      <c r="C64" t="inlineStr">
        <is>
          <t>RoW</t>
        </is>
      </c>
      <c r="D64" t="n">
        <v>0.03127941714285715</v>
      </c>
      <c r="E64" t="inlineStr">
        <is>
          <t>megajoule</t>
        </is>
      </c>
      <c r="F64" t="inlineStr">
        <is>
          <t>ecoinvent 3.8 cutoff</t>
        </is>
      </c>
      <c r="G64" t="inlineStr">
        <is>
          <t>technosphere</t>
        </is>
      </c>
      <c r="I64" t="n">
        <v>5</v>
      </c>
      <c r="J64" t="n">
        <v>0.03127941714285715</v>
      </c>
      <c r="L64" t="n">
        <v>0.021895592</v>
      </c>
      <c r="M64" t="n">
        <v>0.04066324228571429</v>
      </c>
    </row>
    <row r="65">
      <c r="A65" t="inlineStr">
        <is>
          <t>market for hydrochloric acid, without water, in 30% solution state</t>
        </is>
      </c>
      <c r="B65" t="inlineStr">
        <is>
          <t>hydrochloric acid, without water, in 30% solution state</t>
        </is>
      </c>
      <c r="C65" t="inlineStr">
        <is>
          <t>RoW</t>
        </is>
      </c>
      <c r="D65" t="n">
        <v>0.02740805800467841</v>
      </c>
      <c r="E65" t="inlineStr">
        <is>
          <t>kilogram</t>
        </is>
      </c>
      <c r="F65" t="inlineStr">
        <is>
          <t>ecoinvent 3.8 cutoff</t>
        </is>
      </c>
      <c r="G65" t="inlineStr">
        <is>
          <t>technosphere</t>
        </is>
      </c>
      <c r="I65" t="n">
        <v>5</v>
      </c>
      <c r="J65" t="n">
        <v>0.02740805800467841</v>
      </c>
      <c r="L65" t="n">
        <v>0.0137040290023392</v>
      </c>
      <c r="M65" t="n">
        <v>0.04111208700701761</v>
      </c>
    </row>
    <row r="66">
      <c r="A66" t="inlineStr">
        <is>
          <t>dearomatized hydrocarbon fluid production</t>
        </is>
      </c>
      <c r="B66" t="inlineStr">
        <is>
          <t>dearomatized hydrocarbon fluid</t>
        </is>
      </c>
      <c r="C66" t="inlineStr">
        <is>
          <t>GLO</t>
        </is>
      </c>
      <c r="D66" t="n">
        <v>0.02454613653413354</v>
      </c>
      <c r="E66" t="inlineStr">
        <is>
          <t>kilogram</t>
        </is>
      </c>
      <c r="F66" t="inlineStr">
        <is>
          <t>Atacama_38</t>
        </is>
      </c>
      <c r="G66" t="inlineStr">
        <is>
          <t>technosphere</t>
        </is>
      </c>
      <c r="I66" t="n">
        <v>5</v>
      </c>
      <c r="J66" t="n">
        <v>0.02454613653413354</v>
      </c>
      <c r="L66" t="n">
        <v>0.01227306826706677</v>
      </c>
      <c r="M66" t="n">
        <v>0.03681920480120031</v>
      </c>
    </row>
    <row r="67">
      <c r="A67" t="inlineStr">
        <is>
          <t>market for neutralising agent, sodium hydroxide-equivalent</t>
        </is>
      </c>
      <c r="B67" t="inlineStr">
        <is>
          <t>neutralising agent, sodium hydroxide-equivalent</t>
        </is>
      </c>
      <c r="C67" t="inlineStr">
        <is>
          <t>GLO</t>
        </is>
      </c>
      <c r="D67" t="n">
        <v>0.0148</v>
      </c>
      <c r="E67" t="inlineStr">
        <is>
          <t>kilogram</t>
        </is>
      </c>
      <c r="F67" t="inlineStr">
        <is>
          <t>ecoinvent 3.8 cutoff</t>
        </is>
      </c>
      <c r="G67" t="inlineStr">
        <is>
          <t>technosphere</t>
        </is>
      </c>
      <c r="I67" t="n">
        <v>5</v>
      </c>
      <c r="J67" t="n">
        <v>0.0148</v>
      </c>
      <c r="L67" t="n">
        <v>0.0074</v>
      </c>
      <c r="M67" t="n">
        <v>0.0222</v>
      </c>
    </row>
    <row r="68">
      <c r="A68" t="inlineStr">
        <is>
          <t>filtering, through water ion exchanger</t>
        </is>
      </c>
      <c r="B68" t="inlineStr">
        <is>
          <t>filtering, through water ion exchanger</t>
        </is>
      </c>
      <c r="C68" t="inlineStr">
        <is>
          <t>CL</t>
        </is>
      </c>
      <c r="D68" t="n">
        <v>0.05933583395848962</v>
      </c>
      <c r="E68" t="inlineStr">
        <is>
          <t>kilogram</t>
        </is>
      </c>
      <c r="F68" t="inlineStr">
        <is>
          <t>Atacama_38</t>
        </is>
      </c>
      <c r="G68" t="inlineStr">
        <is>
          <t>technosphere</t>
        </is>
      </c>
      <c r="I68" t="n">
        <v>5</v>
      </c>
      <c r="J68" t="n">
        <v>0.05933583395848962</v>
      </c>
      <c r="L68" t="n">
        <v>0.02966791697924481</v>
      </c>
      <c r="M68" t="n">
        <v>0.08900375093773442</v>
      </c>
    </row>
    <row r="69"/>
    <row r="70" customFormat="1" s="1">
      <c r="A70" s="1" t="inlineStr">
        <is>
          <t>Activity</t>
        </is>
      </c>
      <c r="B70" s="1" t="inlineStr">
        <is>
          <t>lithium brine production, manganese removal</t>
        </is>
      </c>
    </row>
    <row r="71">
      <c r="A71" t="inlineStr">
        <is>
          <t>reference product</t>
        </is>
      </c>
      <c r="B71" t="inlineStr">
        <is>
          <t>lithium brine, manganese-free</t>
        </is>
      </c>
    </row>
    <row r="72">
      <c r="A72" t="inlineStr">
        <is>
          <t>location</t>
        </is>
      </c>
      <c r="B72" t="inlineStr">
        <is>
          <t>CL</t>
        </is>
      </c>
    </row>
    <row r="73">
      <c r="A73" t="inlineStr">
        <is>
          <t>amount</t>
        </is>
      </c>
      <c r="B73" t="n">
        <v>1</v>
      </c>
    </row>
    <row r="74">
      <c r="A74" t="inlineStr">
        <is>
          <t>unit</t>
        </is>
      </c>
      <c r="B74" t="inlineStr">
        <is>
          <t>kilogram</t>
        </is>
      </c>
    </row>
    <row r="75">
      <c r="A75" t="inlineStr">
        <is>
          <t>comment</t>
        </is>
      </c>
      <c r="B75" t="inlineStr">
        <is>
          <t>Source: Regionalized life cycle assessment of present and future lithium production for Li-ion batteries. Vanessa Schenker, Christopher Oberschelp, Stephan Pfister. Includes centrifugation step.</t>
        </is>
      </c>
    </row>
    <row r="76">
      <c r="A76" t="inlineStr">
        <is>
          <t>Exchanges</t>
        </is>
      </c>
    </row>
    <row r="77">
      <c r="A77" t="inlineStr">
        <is>
          <t>name</t>
        </is>
      </c>
      <c r="B77" t="inlineStr">
        <is>
          <t>reference product</t>
        </is>
      </c>
      <c r="C77" t="inlineStr">
        <is>
          <t>location</t>
        </is>
      </c>
      <c r="D77" t="inlineStr">
        <is>
          <t>amount</t>
        </is>
      </c>
      <c r="E77" t="inlineStr">
        <is>
          <t>unit</t>
        </is>
      </c>
      <c r="F77" t="inlineStr">
        <is>
          <t>database</t>
        </is>
      </c>
      <c r="G77" t="inlineStr">
        <is>
          <t>type</t>
        </is>
      </c>
      <c r="H77" t="inlineStr">
        <is>
          <t>categories</t>
        </is>
      </c>
      <c r="I77" s="1" t="inlineStr">
        <is>
          <t>uncertainty type</t>
        </is>
      </c>
      <c r="J77" s="1" t="inlineStr">
        <is>
          <t>loc</t>
        </is>
      </c>
      <c r="K77" s="1" t="inlineStr">
        <is>
          <t>scale</t>
        </is>
      </c>
      <c r="L77" s="1" t="inlineStr">
        <is>
          <t>minimum</t>
        </is>
      </c>
      <c r="M77" s="1" t="inlineStr">
        <is>
          <t>maximum</t>
        </is>
      </c>
    </row>
    <row r="78">
      <c r="A78" t="inlineStr">
        <is>
          <t>lithium brine production, manganese removal</t>
        </is>
      </c>
      <c r="B78" t="inlineStr">
        <is>
          <t>lithium brine, manganese-free</t>
        </is>
      </c>
      <c r="C78" t="inlineStr">
        <is>
          <t>CL</t>
        </is>
      </c>
      <c r="D78" t="n">
        <v>1</v>
      </c>
      <c r="E78" t="inlineStr">
        <is>
          <t>kilogram</t>
        </is>
      </c>
      <c r="F78" t="inlineStr">
        <is>
          <t>Atacama</t>
        </is>
      </c>
      <c r="G78" t="inlineStr">
        <is>
          <t>production</t>
        </is>
      </c>
    </row>
    <row r="79">
      <c r="A79" t="inlineStr">
        <is>
          <t>market for electricity, high voltage</t>
        </is>
      </c>
      <c r="B79" t="inlineStr">
        <is>
          <t>electricity, high voltage</t>
        </is>
      </c>
      <c r="C79" t="inlineStr">
        <is>
          <t>CL</t>
        </is>
      </c>
      <c r="D79">
        <f>0.166666666666667*0.00106295993458708</f>
        <v>1.7715998909784703E-4</v>
      </c>
      <c r="E79" t="inlineStr">
        <is>
          <t>kilowatt hour</t>
        </is>
      </c>
      <c r="F79" t="inlineStr">
        <is>
          <t>Atacama</t>
        </is>
      </c>
      <c r="G79" t="inlineStr">
        <is>
          <t>technosphere</t>
        </is>
      </c>
      <c r="I79" t="n">
        <v>5</v>
      </c>
      <c r="J79">
        <f>0.166666666666667*0.00106295993458708</f>
        <v>1.7715998909784703E-4</v>
      </c>
      <c r="L79">
        <f>0.166666666666667*0.00106295993458708</f>
        <v>1.7715998909784703E-4</v>
      </c>
      <c r="M79">
        <f>0.166666666666667*0.00106295993458708*2</f>
        <v>3.5431997819569406E-4</v>
      </c>
    </row>
    <row r="80">
      <c r="A80" t="inlineStr">
        <is>
          <t>lithium brine production, boron removal</t>
        </is>
      </c>
      <c r="B80" t="inlineStr">
        <is>
          <t>lithium brine, boron-free</t>
        </is>
      </c>
      <c r="C80" t="inlineStr">
        <is>
          <t>CL</t>
        </is>
      </c>
      <c r="D80" t="n">
        <v>0.166666666666667</v>
      </c>
      <c r="E80" t="inlineStr">
        <is>
          <t>kilogram</t>
        </is>
      </c>
      <c r="F80" t="inlineStr">
        <is>
          <t>Atacama</t>
        </is>
      </c>
      <c r="G80" t="inlineStr">
        <is>
          <t>technosphere</t>
        </is>
      </c>
      <c r="I80" t="n">
        <v>5</v>
      </c>
      <c r="J80" t="n">
        <v>0.166666666666667</v>
      </c>
      <c r="L80">
        <f>0.166666667*0.7</f>
        <v>0.11666666689999998</v>
      </c>
      <c r="M80">
        <f>0.166666667*1.3</f>
        <v>0.21666666709999999</v>
      </c>
    </row>
    <row r="81">
      <c r="A81" t="inlineStr">
        <is>
          <t>heat production, natural gas, at industrial furnace &gt;100kW</t>
        </is>
      </c>
      <c r="B81" t="inlineStr">
        <is>
          <t>heat, district or industrial, natural gas</t>
        </is>
      </c>
      <c r="C81" t="inlineStr">
        <is>
          <t>RoW</t>
        </is>
      </c>
      <c r="D81" t="n">
        <v>0</v>
      </c>
      <c r="E81" t="inlineStr">
        <is>
          <t>megajoule</t>
        </is>
      </c>
      <c r="F81" t="inlineStr">
        <is>
          <t>ecoinvent 3.8 cutoff</t>
        </is>
      </c>
      <c r="G81" t="inlineStr">
        <is>
          <t>technosphere</t>
        </is>
      </c>
      <c r="I81" t="n">
        <v>5</v>
      </c>
      <c r="J81" t="n">
        <v>0</v>
      </c>
      <c r="L81" t="n">
        <v>0</v>
      </c>
      <c r="M81" t="n">
        <v>0.3</v>
      </c>
    </row>
    <row r="82">
      <c r="A82" t="inlineStr">
        <is>
          <t>market for soda ash, light, crystalline, heptahydrate</t>
        </is>
      </c>
      <c r="B82" t="inlineStr">
        <is>
          <t>soda ash, light, crystalline, heptahydrate</t>
        </is>
      </c>
      <c r="C82" t="inlineStr">
        <is>
          <t>GLO</t>
        </is>
      </c>
      <c r="D82" t="n">
        <v>0.01319382605060973</v>
      </c>
      <c r="E82" t="inlineStr">
        <is>
          <t>kilogram</t>
        </is>
      </c>
      <c r="F82" t="inlineStr">
        <is>
          <t>ecoinvent 3.8 cutoff</t>
        </is>
      </c>
      <c r="G82" t="inlineStr">
        <is>
          <t>technosphere</t>
        </is>
      </c>
      <c r="I82" t="n">
        <v>5</v>
      </c>
      <c r="J82" t="n">
        <v>0.01319382605060973</v>
      </c>
      <c r="L82" t="n">
        <v>0.01187444344554876</v>
      </c>
      <c r="M82" t="n">
        <v>0.0145132086556707</v>
      </c>
    </row>
    <row r="83">
      <c r="A83" t="inlineStr">
        <is>
          <t>filtering, through water ion exchanger</t>
        </is>
      </c>
      <c r="B83" t="inlineStr">
        <is>
          <t>filtering, through water ion exchanger</t>
        </is>
      </c>
      <c r="C83" t="inlineStr">
        <is>
          <t>CL</t>
        </is>
      </c>
      <c r="D83" t="n">
        <v>0</v>
      </c>
      <c r="E83" t="inlineStr">
        <is>
          <t>kilogram</t>
        </is>
      </c>
      <c r="F83" t="inlineStr">
        <is>
          <t>Atacama_38</t>
        </is>
      </c>
      <c r="G83" t="inlineStr">
        <is>
          <t>technosphere</t>
        </is>
      </c>
    </row>
    <row r="84"/>
    <row r="85" customFormat="1" s="1">
      <c r="A85" s="1" t="inlineStr">
        <is>
          <t>Activity</t>
        </is>
      </c>
      <c r="B85" s="1" t="inlineStr">
        <is>
          <t>lithium brine production, lime removal</t>
        </is>
      </c>
    </row>
    <row r="86">
      <c r="A86" t="inlineStr">
        <is>
          <t>reference product</t>
        </is>
      </c>
      <c r="B86" t="inlineStr">
        <is>
          <t>lithium brine, lime-free</t>
        </is>
      </c>
    </row>
    <row r="87">
      <c r="A87" t="inlineStr">
        <is>
          <t>location</t>
        </is>
      </c>
      <c r="B87" t="inlineStr">
        <is>
          <t>CL</t>
        </is>
      </c>
    </row>
    <row r="88">
      <c r="A88" t="inlineStr">
        <is>
          <t>amount</t>
        </is>
      </c>
      <c r="B88" t="n">
        <v>1</v>
      </c>
    </row>
    <row r="89">
      <c r="A89" t="inlineStr">
        <is>
          <t>unit</t>
        </is>
      </c>
      <c r="B89" t="inlineStr">
        <is>
          <t>kilogram</t>
        </is>
      </c>
    </row>
    <row r="90">
      <c r="A90" t="inlineStr">
        <is>
          <t>comment</t>
        </is>
      </c>
      <c r="B90" t="inlineStr">
        <is>
          <t>Source: Regionalized life cycle assessment of present and future lithium production for Li-ion batteries. Vanessa Schenker, Christopher Oberschelp, Stephan Pfister.</t>
        </is>
      </c>
    </row>
    <row r="91">
      <c r="A91" t="inlineStr">
        <is>
          <t>Exchanges</t>
        </is>
      </c>
    </row>
    <row r="92">
      <c r="A92" t="inlineStr">
        <is>
          <t>name</t>
        </is>
      </c>
      <c r="B92" t="inlineStr">
        <is>
          <t>reference product</t>
        </is>
      </c>
      <c r="C92" t="inlineStr">
        <is>
          <t>location</t>
        </is>
      </c>
      <c r="D92" t="inlineStr">
        <is>
          <t>amount</t>
        </is>
      </c>
      <c r="E92" t="inlineStr">
        <is>
          <t>unit</t>
        </is>
      </c>
      <c r="F92" t="inlineStr">
        <is>
          <t>database</t>
        </is>
      </c>
      <c r="G92" t="inlineStr">
        <is>
          <t>type</t>
        </is>
      </c>
      <c r="H92" t="inlineStr">
        <is>
          <t>categories</t>
        </is>
      </c>
      <c r="I92" s="1" t="inlineStr">
        <is>
          <t>uncertainty type</t>
        </is>
      </c>
      <c r="J92" s="1" t="inlineStr">
        <is>
          <t>loc</t>
        </is>
      </c>
      <c r="K92" s="1" t="inlineStr">
        <is>
          <t>scale</t>
        </is>
      </c>
      <c r="L92" s="1" t="inlineStr">
        <is>
          <t>minimum</t>
        </is>
      </c>
      <c r="M92" s="1" t="inlineStr">
        <is>
          <t>maximum</t>
        </is>
      </c>
    </row>
    <row r="93">
      <c r="A93" t="inlineStr">
        <is>
          <t>lithium brine production, lime removal</t>
        </is>
      </c>
      <c r="B93" t="inlineStr">
        <is>
          <t>lithium brine, lime-free</t>
        </is>
      </c>
      <c r="C93" t="inlineStr">
        <is>
          <t>CL</t>
        </is>
      </c>
      <c r="D93" t="n">
        <v>1</v>
      </c>
      <c r="E93" t="inlineStr">
        <is>
          <t>kilogram</t>
        </is>
      </c>
      <c r="F93" t="inlineStr">
        <is>
          <t>Atacama_38</t>
        </is>
      </c>
      <c r="G93" t="inlineStr">
        <is>
          <t>production</t>
        </is>
      </c>
    </row>
    <row r="94">
      <c r="A94" t="inlineStr">
        <is>
          <t>lithium brine production, manganese removal</t>
        </is>
      </c>
      <c r="B94" t="inlineStr">
        <is>
          <t>lithium brine, manganese-free</t>
        </is>
      </c>
      <c r="C94" t="inlineStr">
        <is>
          <t>CL</t>
        </is>
      </c>
      <c r="D94">
        <f>1.021316546*0.999412878</f>
        <v>1.0207169085868795</v>
      </c>
      <c r="E94" t="inlineStr">
        <is>
          <t>kilogram</t>
        </is>
      </c>
      <c r="F94" t="inlineStr">
        <is>
          <t>Atacama_38</t>
        </is>
      </c>
      <c r="G94" t="inlineStr">
        <is>
          <t>technosphere</t>
        </is>
      </c>
      <c r="I94" t="n">
        <v>5</v>
      </c>
      <c r="J94">
        <f>1.02131654611599*0.999412878</f>
        <v>1.0207169087028014</v>
      </c>
      <c r="L94">
        <f>0.714921582281192*0.999412878</f>
        <v>0.71450183609195983</v>
      </c>
      <c r="M94">
        <f>1.32771150995078*0.999412878</f>
        <v>1.3269319813136347</v>
      </c>
    </row>
    <row r="95">
      <c r="A95" t="inlineStr">
        <is>
          <t>market for electricity, high voltage</t>
        </is>
      </c>
      <c r="B95" t="inlineStr">
        <is>
          <t>electricity, high voltage</t>
        </is>
      </c>
      <c r="C95" t="inlineStr">
        <is>
          <t>CL</t>
        </is>
      </c>
      <c r="D95">
        <f>0.999412878*0.000996032640623244</f>
        <v>9.9544784794721591E-4</v>
      </c>
      <c r="E95" t="inlineStr">
        <is>
          <t>kilowatt hour</t>
        </is>
      </c>
      <c r="F95" t="inlineStr">
        <is>
          <t>ecoinvent 3.8 cutoff</t>
        </is>
      </c>
      <c r="G95" t="inlineStr">
        <is>
          <t>technosphere</t>
        </is>
      </c>
      <c r="I95" t="n">
        <v>2</v>
      </c>
      <c r="J95" t="n">
        <v>-6.911730529206572</v>
      </c>
      <c r="K95" t="n">
        <v>0.6111542917726381</v>
      </c>
    </row>
    <row r="96">
      <c r="A96" t="inlineStr">
        <is>
          <t>market for quicklime, milled, packed</t>
        </is>
      </c>
      <c r="B96" t="inlineStr">
        <is>
          <t>quicklime, milled, packed</t>
        </is>
      </c>
      <c r="C96" t="inlineStr">
        <is>
          <t>RoW</t>
        </is>
      </c>
      <c r="D96" t="n">
        <v>0.0018276552313449</v>
      </c>
      <c r="E96" t="inlineStr">
        <is>
          <t>kilogram</t>
        </is>
      </c>
      <c r="F96" t="inlineStr">
        <is>
          <t>ecoinvent 3.8 cutoff</t>
        </is>
      </c>
      <c r="G96" t="inlineStr">
        <is>
          <t>technosphere</t>
        </is>
      </c>
      <c r="I96" t="n">
        <v>5</v>
      </c>
      <c r="J96" t="n">
        <v>0.0018276552313449</v>
      </c>
      <c r="L96" t="n">
        <v>0.00127935866194143</v>
      </c>
      <c r="M96" t="n">
        <v>0.00237595180074837</v>
      </c>
    </row>
    <row r="97">
      <c r="A97" t="inlineStr">
        <is>
          <t>filtering, through water ion exchanger</t>
        </is>
      </c>
      <c r="B97" t="inlineStr">
        <is>
          <t>filtering, through water ion exchanger</t>
        </is>
      </c>
      <c r="C97" t="inlineStr">
        <is>
          <t>CL</t>
        </is>
      </c>
      <c r="D97" t="n">
        <v>0.000587121899332698</v>
      </c>
      <c r="E97" t="inlineStr">
        <is>
          <t>kilogram</t>
        </is>
      </c>
      <c r="F97" t="inlineStr">
        <is>
          <t>Atacama_38</t>
        </is>
      </c>
      <c r="G97" t="inlineStr">
        <is>
          <t>technosphere</t>
        </is>
      </c>
      <c r="I97" t="n">
        <v>5</v>
      </c>
      <c r="J97" t="n">
        <v>0.000587121899332698</v>
      </c>
      <c r="L97" t="n">
        <v>0.0004109853295328885</v>
      </c>
      <c r="M97" t="n">
        <v>0.0007632584691325074</v>
      </c>
    </row>
    <row r="98"/>
    <row r="99" customFormat="1" s="1">
      <c r="A99" s="1" t="inlineStr">
        <is>
          <t>Activity</t>
        </is>
      </c>
      <c r="B99" s="1" t="inlineStr">
        <is>
          <t>lithium carbonate precipitation 1</t>
        </is>
      </c>
    </row>
    <row r="100">
      <c r="A100" t="inlineStr">
        <is>
          <t>reference product</t>
        </is>
      </c>
      <c r="B100" t="inlineStr">
        <is>
          <t>lithium carbonate, precipitated</t>
        </is>
      </c>
    </row>
    <row r="101">
      <c r="A101" t="inlineStr">
        <is>
          <t>location</t>
        </is>
      </c>
      <c r="B101" t="inlineStr">
        <is>
          <t>CL</t>
        </is>
      </c>
    </row>
    <row r="102">
      <c r="A102" t="inlineStr">
        <is>
          <t>amount</t>
        </is>
      </c>
      <c r="B102" t="n">
        <v>1</v>
      </c>
    </row>
    <row r="103">
      <c r="A103" t="inlineStr">
        <is>
          <t>unit</t>
        </is>
      </c>
      <c r="B103" t="inlineStr">
        <is>
          <t>kilogram</t>
        </is>
      </c>
    </row>
    <row r="104">
      <c r="A104" t="inlineStr">
        <is>
          <t>comment</t>
        </is>
      </c>
      <c r="B104" t="inlineStr">
        <is>
          <t>Source: Regionalized life cycle assessment of present and future lithium production for Li-ion batteries. Vanessa Schenker, Christopher Oberschelp, Stephan Pfister. First precipitation. Includes centrifugation.</t>
        </is>
      </c>
    </row>
    <row r="105">
      <c r="A105" t="inlineStr">
        <is>
          <t>Exchanges</t>
        </is>
      </c>
    </row>
    <row r="106">
      <c r="A106" t="inlineStr">
        <is>
          <t>name</t>
        </is>
      </c>
      <c r="B106" t="inlineStr">
        <is>
          <t>reference product</t>
        </is>
      </c>
      <c r="C106" t="inlineStr">
        <is>
          <t>location</t>
        </is>
      </c>
      <c r="D106" t="inlineStr">
        <is>
          <t>amount</t>
        </is>
      </c>
      <c r="E106" t="inlineStr">
        <is>
          <t>unit</t>
        </is>
      </c>
      <c r="F106" t="inlineStr">
        <is>
          <t>database</t>
        </is>
      </c>
      <c r="G106" t="inlineStr">
        <is>
          <t>type</t>
        </is>
      </c>
      <c r="H106" t="inlineStr">
        <is>
          <t>categories</t>
        </is>
      </c>
      <c r="I106" s="1" t="inlineStr">
        <is>
          <t>uncertainty type</t>
        </is>
      </c>
      <c r="J106" s="1" t="inlineStr">
        <is>
          <t>loc</t>
        </is>
      </c>
      <c r="K106" s="1" t="inlineStr">
        <is>
          <t>scale</t>
        </is>
      </c>
      <c r="L106" s="1" t="inlineStr">
        <is>
          <t>minimum</t>
        </is>
      </c>
      <c r="M106" s="1" t="inlineStr">
        <is>
          <t>maximum</t>
        </is>
      </c>
    </row>
    <row r="107">
      <c r="A107" t="inlineStr">
        <is>
          <t>lithium carbonate precipitation 1</t>
        </is>
      </c>
      <c r="B107" t="inlineStr">
        <is>
          <t>lithium carbonate, precipitated</t>
        </is>
      </c>
      <c r="C107" t="inlineStr">
        <is>
          <t>CL</t>
        </is>
      </c>
      <c r="D107" t="n">
        <v>1</v>
      </c>
      <c r="E107" t="inlineStr">
        <is>
          <t>kilogram</t>
        </is>
      </c>
      <c r="F107" t="inlineStr">
        <is>
          <t>Atacama_38</t>
        </is>
      </c>
      <c r="G107" t="inlineStr">
        <is>
          <t>production</t>
        </is>
      </c>
    </row>
    <row r="108">
      <c r="A108" t="inlineStr">
        <is>
          <t>market for electricity, high voltage</t>
        </is>
      </c>
      <c r="B108" t="inlineStr">
        <is>
          <t>electricity, high voltage</t>
        </is>
      </c>
      <c r="C108" t="inlineStr">
        <is>
          <t>CL</t>
        </is>
      </c>
      <c r="D108">
        <f>0.638398335*0.00106748788883396</f>
        <v>6.8148249086426511E-4</v>
      </c>
      <c r="E108" t="inlineStr">
        <is>
          <t>kilowatt hour</t>
        </is>
      </c>
      <c r="F108" t="inlineStr">
        <is>
          <t>ecoinvent 3.8 cutoff</t>
        </is>
      </c>
      <c r="G108" t="inlineStr">
        <is>
          <t>technosphere</t>
        </is>
      </c>
      <c r="I108" t="n">
        <v>2</v>
      </c>
      <c r="J108">
        <f>0.638398335*-6.84244715828046</f>
        <v>-4.3682068731717267</v>
      </c>
      <c r="K108">
        <f>0.638398335*0.611154291772638</f>
        <v>0.39015988229575632</v>
      </c>
    </row>
    <row r="109">
      <c r="A109" t="inlineStr">
        <is>
          <t>lithium brine production, lime removal</t>
        </is>
      </c>
      <c r="B109" t="inlineStr">
        <is>
          <t>lithium brine, lime-free</t>
        </is>
      </c>
      <c r="C109" t="inlineStr">
        <is>
          <t>CL</t>
        </is>
      </c>
      <c r="D109">
        <f>1.00425976*0.638398335</f>
        <v>0.64111775869149967</v>
      </c>
      <c r="E109" t="inlineStr">
        <is>
          <t>kilogram</t>
        </is>
      </c>
      <c r="F109" t="inlineStr">
        <is>
          <t>Atacama_38</t>
        </is>
      </c>
      <c r="G109" t="inlineStr">
        <is>
          <t>technosphere</t>
        </is>
      </c>
      <c r="I109" t="n">
        <v>5</v>
      </c>
      <c r="J109">
        <f>0.638398335*1.00425976003379</f>
        <v>0.64111775871307097</v>
      </c>
      <c r="L109">
        <f>0.638398335*0.702981832023654</f>
        <v>0.44878243109915039</v>
      </c>
      <c r="M109">
        <f>0.638398335*1.30553768804393</f>
        <v>0.83345308632699433</v>
      </c>
    </row>
    <row r="110">
      <c r="A110" t="inlineStr">
        <is>
          <t>heat production, natural gas, at industrial furnace &gt;100kW</t>
        </is>
      </c>
      <c r="B110" t="inlineStr">
        <is>
          <t>heat, district or industrial, natural gas</t>
        </is>
      </c>
      <c r="C110" t="inlineStr">
        <is>
          <t>RoW</t>
        </is>
      </c>
      <c r="D110" t="n">
        <v>0.08788921076614128</v>
      </c>
      <c r="E110" t="inlineStr">
        <is>
          <t>megajoule</t>
        </is>
      </c>
      <c r="F110" t="inlineStr">
        <is>
          <t>ecoinvent 3.8 cutoff</t>
        </is>
      </c>
      <c r="G110" t="inlineStr">
        <is>
          <t>technosphere</t>
        </is>
      </c>
      <c r="I110" t="n">
        <v>5</v>
      </c>
      <c r="J110" t="n">
        <v>0.08788921076614128</v>
      </c>
      <c r="L110" t="n">
        <v>0.0615224475362989</v>
      </c>
      <c r="M110" t="n">
        <v>0.1142559739959837</v>
      </c>
    </row>
    <row r="111">
      <c r="A111" t="inlineStr">
        <is>
          <t>market for soda ash, light, crystalline, heptahydrate</t>
        </is>
      </c>
      <c r="B111" t="inlineStr">
        <is>
          <t>soda ash, light, crystalline, heptahydrate</t>
        </is>
      </c>
      <c r="C111" t="inlineStr">
        <is>
          <t>GLO</t>
        </is>
      </c>
      <c r="D111" t="n">
        <v>0.06026694417989886</v>
      </c>
      <c r="E111" t="inlineStr">
        <is>
          <t>kilogram</t>
        </is>
      </c>
      <c r="F111" t="inlineStr">
        <is>
          <t>ecoinvent 3.8 cutoff</t>
        </is>
      </c>
      <c r="G111" t="inlineStr">
        <is>
          <t>technosphere</t>
        </is>
      </c>
      <c r="I111" t="n">
        <v>5</v>
      </c>
      <c r="J111" t="n">
        <v>0.06026694417989886</v>
      </c>
      <c r="L111" t="n">
        <v>0.0421868609259292</v>
      </c>
      <c r="M111" t="n">
        <v>0.07834702743386852</v>
      </c>
    </row>
    <row r="112">
      <c r="A112" t="inlineStr">
        <is>
          <t>filtering, through water ion exchanger</t>
        </is>
      </c>
      <c r="B112" t="inlineStr">
        <is>
          <t>filtering, through water ion exchanger</t>
        </is>
      </c>
      <c r="C112" t="inlineStr">
        <is>
          <t>CL</t>
        </is>
      </c>
      <c r="D112" t="n">
        <v>0.3013347208994943</v>
      </c>
      <c r="E112" t="inlineStr">
        <is>
          <t>kilogram</t>
        </is>
      </c>
      <c r="F112" t="inlineStr">
        <is>
          <t>Water_38</t>
        </is>
      </c>
      <c r="G112" t="inlineStr">
        <is>
          <t>technosphere</t>
        </is>
      </c>
      <c r="I112" t="n">
        <v>5</v>
      </c>
      <c r="J112" t="n">
        <v>0.3013347208994943</v>
      </c>
      <c r="L112" t="n">
        <v>0.210934304629646</v>
      </c>
      <c r="M112" t="n">
        <v>0.3917351371693426</v>
      </c>
    </row>
    <row r="113"/>
    <row r="114" customFormat="1" s="1">
      <c r="A114" s="1" t="inlineStr">
        <is>
          <t>Activity</t>
        </is>
      </c>
      <c r="B114" s="1" t="inlineStr">
        <is>
          <t>lithium carbonate washing</t>
        </is>
      </c>
    </row>
    <row r="115">
      <c r="A115" t="inlineStr">
        <is>
          <t>reference product</t>
        </is>
      </c>
      <c r="B115" t="inlineStr">
        <is>
          <t>lithium carbonate, washed</t>
        </is>
      </c>
    </row>
    <row r="116">
      <c r="A116" t="inlineStr">
        <is>
          <t>location</t>
        </is>
      </c>
      <c r="B116" t="inlineStr">
        <is>
          <t>CL</t>
        </is>
      </c>
    </row>
    <row r="117">
      <c r="A117" t="inlineStr">
        <is>
          <t>amount</t>
        </is>
      </c>
      <c r="B117" t="n">
        <v>1</v>
      </c>
    </row>
    <row r="118">
      <c r="A118" t="inlineStr">
        <is>
          <t>unit</t>
        </is>
      </c>
      <c r="B118" t="inlineStr">
        <is>
          <t>kilogram</t>
        </is>
      </c>
    </row>
    <row r="119">
      <c r="A119" t="inlineStr">
        <is>
          <t>comment</t>
        </is>
      </c>
      <c r="B119" t="inlineStr">
        <is>
          <t>Source: Regionalized life cycle assessment of present and future lithium production for Li-ion batteries. Vanessa Schenker, Christopher Oberschelp, Stephan Pfister. Includes centrifugation.</t>
        </is>
      </c>
    </row>
    <row r="120">
      <c r="A120" t="inlineStr">
        <is>
          <t>Exchanges</t>
        </is>
      </c>
    </row>
    <row r="121">
      <c r="A121" t="inlineStr">
        <is>
          <t>name</t>
        </is>
      </c>
      <c r="B121" t="inlineStr">
        <is>
          <t>reference product</t>
        </is>
      </c>
      <c r="C121" t="inlineStr">
        <is>
          <t>location</t>
        </is>
      </c>
      <c r="D121" t="inlineStr">
        <is>
          <t>amount</t>
        </is>
      </c>
      <c r="E121" t="inlineStr">
        <is>
          <t>unit</t>
        </is>
      </c>
      <c r="F121" t="inlineStr">
        <is>
          <t>database</t>
        </is>
      </c>
      <c r="G121" t="inlineStr">
        <is>
          <t>type</t>
        </is>
      </c>
      <c r="H121" t="inlineStr">
        <is>
          <t>categories</t>
        </is>
      </c>
      <c r="I121" s="1" t="inlineStr">
        <is>
          <t>uncertainty type</t>
        </is>
      </c>
      <c r="J121" s="1" t="inlineStr">
        <is>
          <t>loc</t>
        </is>
      </c>
      <c r="K121" s="1" t="inlineStr">
        <is>
          <t>scale</t>
        </is>
      </c>
      <c r="L121" s="1" t="inlineStr">
        <is>
          <t>minimum</t>
        </is>
      </c>
      <c r="M121" s="1" t="inlineStr">
        <is>
          <t>maximum</t>
        </is>
      </c>
    </row>
    <row r="122">
      <c r="A122" t="inlineStr">
        <is>
          <t>lithium carbonate washing</t>
        </is>
      </c>
      <c r="B122" t="inlineStr">
        <is>
          <t>lithium carbonate, washed</t>
        </is>
      </c>
      <c r="C122" t="inlineStr">
        <is>
          <t>CL</t>
        </is>
      </c>
      <c r="D122" t="n">
        <v>1</v>
      </c>
      <c r="E122" t="inlineStr">
        <is>
          <t>kilogram</t>
        </is>
      </c>
      <c r="F122" t="inlineStr">
        <is>
          <t>Atacama_38</t>
        </is>
      </c>
      <c r="G122" t="inlineStr">
        <is>
          <t>production</t>
        </is>
      </c>
    </row>
    <row r="123">
      <c r="A123" t="inlineStr">
        <is>
          <t>market for electricity, high voltage</t>
        </is>
      </c>
      <c r="B123" t="inlineStr">
        <is>
          <t>electricity, high voltage</t>
        </is>
      </c>
      <c r="C123" t="inlineStr">
        <is>
          <t>CL</t>
        </is>
      </c>
      <c r="D123">
        <f>0.75*0.0240952374678258</f>
        <v>1.8071428100869352E-2</v>
      </c>
      <c r="E123" t="inlineStr">
        <is>
          <t>kilowatt hour</t>
        </is>
      </c>
      <c r="F123" t="inlineStr">
        <is>
          <t>ecoinvent 3.8 cutoff</t>
        </is>
      </c>
      <c r="G123" t="inlineStr">
        <is>
          <t>technosphere</t>
        </is>
      </c>
      <c r="I123" t="n">
        <v>2</v>
      </c>
      <c r="J123">
        <f>0.75*-3.72574107345695</f>
        <v>-2.7943058050927125</v>
      </c>
      <c r="K123">
        <f>0.75*0.611154291772638</f>
        <v>0.45836571882947852</v>
      </c>
    </row>
    <row r="124">
      <c r="A124" t="inlineStr">
        <is>
          <t>lithium carbonate precipitation 1</t>
        </is>
      </c>
      <c r="B124" t="inlineStr">
        <is>
          <t>lithium carbonate, precipitated</t>
        </is>
      </c>
      <c r="C124" t="inlineStr">
        <is>
          <t>CL</t>
        </is>
      </c>
      <c r="D124">
        <f>0.75*22.66805802</f>
        <v>17.001043514999999</v>
      </c>
      <c r="E124" t="inlineStr">
        <is>
          <t>kilogram</t>
        </is>
      </c>
      <c r="F124" t="inlineStr">
        <is>
          <t>Atacama_38</t>
        </is>
      </c>
      <c r="G124" t="inlineStr">
        <is>
          <t>technosphere</t>
        </is>
      </c>
      <c r="I124" t="n">
        <v>5</v>
      </c>
      <c r="J124">
        <f>0.75*22.6680580178084</f>
        <v>17.001043513356301</v>
      </c>
      <c r="L124">
        <f>0.75*15.8676406124659</f>
        <v>11.900730459349425</v>
      </c>
      <c r="M124">
        <f>0.75*29.4684754231509</f>
        <v>22.101356567363176</v>
      </c>
    </row>
    <row r="125">
      <c r="A125" t="inlineStr">
        <is>
          <t>filtering, through water ion exchanger</t>
        </is>
      </c>
      <c r="B125" t="inlineStr">
        <is>
          <t>filtering, through water ion exchanger</t>
        </is>
      </c>
      <c r="C125" t="inlineStr">
        <is>
          <t>CL</t>
        </is>
      </c>
      <c r="D125" t="n">
        <v>1</v>
      </c>
      <c r="E125" t="inlineStr">
        <is>
          <t>kilogram</t>
        </is>
      </c>
      <c r="F125" t="inlineStr">
        <is>
          <t>Atacama_38</t>
        </is>
      </c>
      <c r="G125" t="inlineStr">
        <is>
          <t>technosphere</t>
        </is>
      </c>
      <c r="I125" t="n">
        <v>2</v>
      </c>
      <c r="J125" t="n">
        <v>0</v>
      </c>
      <c r="K125" t="n">
        <v>0.4572828604473926</v>
      </c>
    </row>
    <row r="126">
      <c r="A126" t="inlineStr">
        <is>
          <t>heat production, natural gas, at industrial furnace &gt;100kW</t>
        </is>
      </c>
      <c r="B126" t="inlineStr">
        <is>
          <t>heat, district or industrial, natural gas</t>
        </is>
      </c>
      <c r="C126" t="inlineStr">
        <is>
          <t>RoW</t>
        </is>
      </c>
      <c r="D126" t="n">
        <v>0.4950185714285714</v>
      </c>
      <c r="E126" t="inlineStr">
        <is>
          <t>megajoule</t>
        </is>
      </c>
      <c r="F126" t="inlineStr">
        <is>
          <t>ecoinvent 3.8 cutoff</t>
        </is>
      </c>
      <c r="G126" t="inlineStr">
        <is>
          <t>technosphere</t>
        </is>
      </c>
      <c r="I126" t="n">
        <v>5</v>
      </c>
      <c r="J126" t="n">
        <v>0.4950185714285714</v>
      </c>
      <c r="L126" t="n">
        <v>0.346513</v>
      </c>
      <c r="M126" t="n">
        <v>0.6435241428571429</v>
      </c>
    </row>
    <row r="127"/>
    <row r="128" customFormat="1" s="1">
      <c r="A128" s="1" t="inlineStr">
        <is>
          <t>Activity</t>
        </is>
      </c>
      <c r="B128" s="1" t="inlineStr">
        <is>
          <t>lithium carbonate precipitation 2</t>
        </is>
      </c>
    </row>
    <row r="129">
      <c r="A129" t="inlineStr">
        <is>
          <t>reference product</t>
        </is>
      </c>
      <c r="B129" t="inlineStr">
        <is>
          <t>lithium carbonate, precipitated</t>
        </is>
      </c>
    </row>
    <row r="130">
      <c r="A130" t="inlineStr">
        <is>
          <t>location</t>
        </is>
      </c>
      <c r="B130" t="inlineStr">
        <is>
          <t>CL</t>
        </is>
      </c>
    </row>
    <row r="131">
      <c r="A131" t="inlineStr">
        <is>
          <t>amount</t>
        </is>
      </c>
      <c r="B131" t="n">
        <v>1</v>
      </c>
    </row>
    <row r="132">
      <c r="A132" t="inlineStr">
        <is>
          <t>unit</t>
        </is>
      </c>
      <c r="B132" t="inlineStr">
        <is>
          <t>kilogram</t>
        </is>
      </c>
    </row>
    <row r="133">
      <c r="A133" t="inlineStr">
        <is>
          <t>comment</t>
        </is>
      </c>
      <c r="B133" t="inlineStr">
        <is>
          <t>Source: Regionalized life cycle assessment of present and future lithium production for Li-ion batteries. Vanessa Schenker, Christopher Oberschelp, Stephan Pfister.</t>
        </is>
      </c>
    </row>
    <row r="134">
      <c r="A134" t="inlineStr">
        <is>
          <t>Exchanges</t>
        </is>
      </c>
    </row>
    <row r="135">
      <c r="A135" t="inlineStr">
        <is>
          <t>name</t>
        </is>
      </c>
      <c r="B135" t="inlineStr">
        <is>
          <t>reference product</t>
        </is>
      </c>
      <c r="C135" t="inlineStr">
        <is>
          <t>location</t>
        </is>
      </c>
      <c r="D135" t="inlineStr">
        <is>
          <t>amount</t>
        </is>
      </c>
      <c r="E135" t="inlineStr">
        <is>
          <t>unit</t>
        </is>
      </c>
      <c r="F135" t="inlineStr">
        <is>
          <t>database</t>
        </is>
      </c>
      <c r="G135" t="inlineStr">
        <is>
          <t>type</t>
        </is>
      </c>
      <c r="H135" t="inlineStr">
        <is>
          <t>categories</t>
        </is>
      </c>
      <c r="I135" s="1" t="inlineStr">
        <is>
          <t>uncertainty type</t>
        </is>
      </c>
      <c r="J135" s="1" t="inlineStr">
        <is>
          <t>loc</t>
        </is>
      </c>
      <c r="K135" s="1" t="inlineStr">
        <is>
          <t>scale</t>
        </is>
      </c>
      <c r="L135" s="1" t="inlineStr">
        <is>
          <t>minimum</t>
        </is>
      </c>
      <c r="M135" s="1" t="inlineStr">
        <is>
          <t>maximum</t>
        </is>
      </c>
    </row>
    <row r="136">
      <c r="A136" t="inlineStr">
        <is>
          <t>lithium carbonate precipitation 2</t>
        </is>
      </c>
      <c r="B136" t="inlineStr">
        <is>
          <t>lithium carbonate, precipitated</t>
        </is>
      </c>
      <c r="C136" t="inlineStr">
        <is>
          <t>CL</t>
        </is>
      </c>
      <c r="D136" t="n">
        <v>1</v>
      </c>
      <c r="E136" t="inlineStr">
        <is>
          <t>kilogram</t>
        </is>
      </c>
      <c r="F136" t="inlineStr">
        <is>
          <t>Atacama_38</t>
        </is>
      </c>
      <c r="G136" t="inlineStr">
        <is>
          <t>production</t>
        </is>
      </c>
    </row>
    <row r="137">
      <c r="A137" t="inlineStr">
        <is>
          <t>filtering, through water ion exchanger</t>
        </is>
      </c>
      <c r="B137" t="inlineStr">
        <is>
          <t>filtering, through water ion exchanger</t>
        </is>
      </c>
      <c r="C137" t="inlineStr">
        <is>
          <t>CL</t>
        </is>
      </c>
      <c r="D137">
        <f>1.045680271*0.96487842531841</f>
        <v>1.0089543332690081</v>
      </c>
      <c r="E137" t="inlineStr">
        <is>
          <t>kilogram</t>
        </is>
      </c>
      <c r="F137" t="inlineStr">
        <is>
          <t>Atacama_38</t>
        </is>
      </c>
      <c r="G137" t="inlineStr">
        <is>
          <t>technosphere</t>
        </is>
      </c>
      <c r="I137" t="n">
        <v>5</v>
      </c>
      <c r="J137">
        <f>1.045680271*0.96487842531841</f>
        <v>1.0089543332690081</v>
      </c>
      <c r="L137">
        <f>1.045680271*0.675414897722887</f>
        <v>0.70626803328830567</v>
      </c>
      <c r="M137">
        <f>1.045680271*1.25434195291393</f>
        <v>1.3116406332497075</v>
      </c>
    </row>
    <row r="138">
      <c r="A138" t="inlineStr">
        <is>
          <t>lithium carbonate washing</t>
        </is>
      </c>
      <c r="B138" t="inlineStr">
        <is>
          <t>lithium carbonate, washed</t>
        </is>
      </c>
      <c r="C138" t="inlineStr">
        <is>
          <t>CL</t>
        </is>
      </c>
      <c r="D138">
        <f>0.070243149*1.045680271</f>
        <v>7.3451875082213375E-2</v>
      </c>
      <c r="E138" t="inlineStr">
        <is>
          <t>kilogram</t>
        </is>
      </c>
      <c r="F138" t="inlineStr">
        <is>
          <t>Atacama_38</t>
        </is>
      </c>
      <c r="G138" t="inlineStr">
        <is>
          <t>technosphere</t>
        </is>
      </c>
      <c r="I138" t="n">
        <v>5</v>
      </c>
      <c r="J138">
        <f>1.045680271*0.0702431493631802</f>
        <v>7.3451875461983743E-2</v>
      </c>
      <c r="L138">
        <f>1.045680271*0.0491702045542262</f>
        <v>5.1416312823388682E-2</v>
      </c>
      <c r="M138">
        <f>1.045680271*0.0913160941721343</f>
        <v>9.54874381005789E-2</v>
      </c>
    </row>
    <row r="139">
      <c r="A139" t="inlineStr">
        <is>
          <t>heat production, natural gas, at industrial furnace &gt;100kW</t>
        </is>
      </c>
      <c r="B139" t="inlineStr">
        <is>
          <t>heat, district or industrial, natural gas</t>
        </is>
      </c>
      <c r="C139" t="inlineStr">
        <is>
          <t>RoW</t>
        </is>
      </c>
      <c r="D139" t="n">
        <v>0.5836944311174694</v>
      </c>
      <c r="E139" t="inlineStr">
        <is>
          <t>megajoule</t>
        </is>
      </c>
      <c r="F139" t="inlineStr">
        <is>
          <t>ecoinvent 3.8 cutoff</t>
        </is>
      </c>
      <c r="G139" t="inlineStr">
        <is>
          <t>technosphere</t>
        </is>
      </c>
      <c r="I139" t="n">
        <v>5</v>
      </c>
      <c r="J139" t="n">
        <v>0.5836944311174694</v>
      </c>
      <c r="L139" t="n">
        <v>0.4085861017822286</v>
      </c>
      <c r="M139" t="n">
        <v>0.7588027604527103</v>
      </c>
    </row>
    <row r="140"/>
    <row r="141" customFormat="1" s="1">
      <c r="A141" s="1" t="inlineStr">
        <is>
          <t>Activity</t>
        </is>
      </c>
      <c r="B141" s="1" t="inlineStr">
        <is>
          <t>lithium carbonate production, from Salar de Atacama</t>
        </is>
      </c>
    </row>
    <row r="142">
      <c r="A142" t="inlineStr">
        <is>
          <t>reference product</t>
        </is>
      </c>
      <c r="B142" t="inlineStr">
        <is>
          <t>lithium carbonate, battery grade</t>
        </is>
      </c>
    </row>
    <row r="143">
      <c r="A143" t="inlineStr">
        <is>
          <t>location</t>
        </is>
      </c>
      <c r="B143" t="inlineStr">
        <is>
          <t>CL</t>
        </is>
      </c>
    </row>
    <row r="144">
      <c r="A144" t="inlineStr">
        <is>
          <t>amount</t>
        </is>
      </c>
      <c r="B144" t="n">
        <v>1</v>
      </c>
    </row>
    <row r="145">
      <c r="A145" t="inlineStr">
        <is>
          <t>unit</t>
        </is>
      </c>
      <c r="B145" t="inlineStr">
        <is>
          <t>kilogram</t>
        </is>
      </c>
    </row>
    <row r="146">
      <c r="A146" t="inlineStr">
        <is>
          <t>comment</t>
        </is>
      </c>
      <c r="B146" t="inlineStr">
        <is>
          <t>Source: Regionalized life cycle assessment of present and future lithium production for Li-ion batteries. Vanessa Schenker, Christopher Oberschelp, Stephan Pfister. Includes washing, centrifugation and drying.</t>
        </is>
      </c>
    </row>
    <row r="147">
      <c r="A147" t="inlineStr">
        <is>
          <t>Exchanges</t>
        </is>
      </c>
    </row>
    <row r="148">
      <c r="A148" t="inlineStr">
        <is>
          <t>name</t>
        </is>
      </c>
      <c r="B148" t="inlineStr">
        <is>
          <t>reference product</t>
        </is>
      </c>
      <c r="C148" t="inlineStr">
        <is>
          <t>location</t>
        </is>
      </c>
      <c r="D148" t="inlineStr">
        <is>
          <t>amount</t>
        </is>
      </c>
      <c r="E148" t="inlineStr">
        <is>
          <t>unit</t>
        </is>
      </c>
      <c r="F148" t="inlineStr">
        <is>
          <t>database</t>
        </is>
      </c>
      <c r="G148" t="inlineStr">
        <is>
          <t>type</t>
        </is>
      </c>
      <c r="H148" t="inlineStr">
        <is>
          <t>categories</t>
        </is>
      </c>
      <c r="I148" s="1" t="inlineStr">
        <is>
          <t>uncertainty type</t>
        </is>
      </c>
      <c r="J148" s="1" t="inlineStr">
        <is>
          <t>loc</t>
        </is>
      </c>
      <c r="K148" s="1" t="inlineStr">
        <is>
          <t>scale</t>
        </is>
      </c>
      <c r="L148" s="1" t="inlineStr">
        <is>
          <t>minimum</t>
        </is>
      </c>
      <c r="M148" s="1" t="inlineStr">
        <is>
          <t>maximum</t>
        </is>
      </c>
    </row>
    <row r="149">
      <c r="A149" t="inlineStr">
        <is>
          <t>lithium carbonate production, from Salar de Atacama</t>
        </is>
      </c>
      <c r="B149" t="inlineStr">
        <is>
          <t>lithium carbonate, battery grade</t>
        </is>
      </c>
      <c r="C149" t="inlineStr">
        <is>
          <t>CL</t>
        </is>
      </c>
      <c r="D149" t="n">
        <v>1</v>
      </c>
      <c r="E149" t="inlineStr">
        <is>
          <t>kilogram</t>
        </is>
      </c>
      <c r="F149" t="inlineStr">
        <is>
          <t>Atacama_38</t>
        </is>
      </c>
      <c r="G149" t="inlineStr">
        <is>
          <t>production</t>
        </is>
      </c>
    </row>
    <row r="150">
      <c r="A150" t="inlineStr">
        <is>
          <t>market for electricity, high voltage</t>
        </is>
      </c>
      <c r="B150" t="inlineStr">
        <is>
          <t>electricity, high voltage</t>
        </is>
      </c>
      <c r="C150" t="inlineStr">
        <is>
          <t>CL</t>
        </is>
      </c>
      <c r="D150">
        <f>0.0192953536452123*0.75*1.1764*1.7</f>
        <v>2.8941293885990382E-2</v>
      </c>
      <c r="E150" t="inlineStr">
        <is>
          <t>kilowatt hour</t>
        </is>
      </c>
      <c r="F150" t="inlineStr">
        <is>
          <t>ecoinvent 3.8 cutoff</t>
        </is>
      </c>
      <c r="G150" t="inlineStr">
        <is>
          <t>technosphere</t>
        </is>
      </c>
      <c r="I150" t="n">
        <v>2</v>
      </c>
      <c r="J150">
        <f>-3.94789095582612*0.75*1.1764*0.17</f>
        <v>-0.59214811235531561</v>
      </c>
      <c r="K150">
        <f>0.611154291772638*0.75*1.1764*1.7</f>
        <v>0.91667643377269736</v>
      </c>
    </row>
    <row r="151">
      <c r="A151" t="inlineStr">
        <is>
          <t>lithium carbonate precipitation 2</t>
        </is>
      </c>
      <c r="B151" t="inlineStr">
        <is>
          <t>lithium carbonate, precipitated</t>
        </is>
      </c>
      <c r="C151" t="inlineStr">
        <is>
          <t>CL</t>
        </is>
      </c>
      <c r="D151">
        <f>18.15*0.75*1.1764*1.7</f>
        <v>27.223366499999994</v>
      </c>
      <c r="E151" t="inlineStr">
        <is>
          <t>kilogram</t>
        </is>
      </c>
      <c r="G151" t="inlineStr">
        <is>
          <t>technosphere</t>
        </is>
      </c>
      <c r="I151" t="n">
        <v>5</v>
      </c>
      <c r="J151">
        <f>18.1524750062266*0.75*1.1764*1.7</f>
        <v>27.227078786589338</v>
      </c>
      <c r="L151">
        <f>12.7067325043586*0.75*1.1764*1.7</f>
        <v>19.058955150612508</v>
      </c>
      <c r="M151">
        <f>23.5982175080946*0.75*1.1764*1.7</f>
        <v>35.395202422566165</v>
      </c>
    </row>
    <row r="152">
      <c r="A152" t="inlineStr">
        <is>
          <t>market for electricity, high voltage</t>
        </is>
      </c>
      <c r="B152" t="inlineStr">
        <is>
          <t>electricity, high voltage</t>
        </is>
      </c>
      <c r="C152" t="inlineStr">
        <is>
          <t>CL</t>
        </is>
      </c>
      <c r="D152">
        <f>0.00125054109951421*1.7</f>
        <v>2.1259198691741571E-3</v>
      </c>
      <c r="E152" t="inlineStr">
        <is>
          <t>kilowatt hour</t>
        </is>
      </c>
      <c r="F152" t="inlineStr">
        <is>
          <t>ecoinvent 3.8 cutoff</t>
        </is>
      </c>
      <c r="G152" t="inlineStr">
        <is>
          <t>technosphere</t>
        </is>
      </c>
      <c r="I152" t="n">
        <v>2</v>
      </c>
      <c r="J152">
        <f>-6.68417894172191*1.7</f>
        <v>-11.363104200927248</v>
      </c>
      <c r="K152">
        <f>0.611154291772638*1.7</f>
        <v>1.0389622960134846</v>
      </c>
    </row>
    <row r="153">
      <c r="A153" t="inlineStr">
        <is>
          <t>heat production, natural gas, at industrial furnace &gt;100kW</t>
        </is>
      </c>
      <c r="B153" t="inlineStr">
        <is>
          <t>heat, district or industrial, natural gas</t>
        </is>
      </c>
      <c r="C153" t="inlineStr">
        <is>
          <t>RoW</t>
        </is>
      </c>
      <c r="D153" t="n">
        <v>3</v>
      </c>
      <c r="E153" t="inlineStr">
        <is>
          <t>megajoule</t>
        </is>
      </c>
      <c r="F153" t="inlineStr">
        <is>
          <t>ecoinvent 3.8 cutoff</t>
        </is>
      </c>
      <c r="G153" t="inlineStr">
        <is>
          <t>technosphere</t>
        </is>
      </c>
      <c r="I153" t="n">
        <v>2</v>
      </c>
      <c r="J153" t="n">
        <v>1.09861228866811</v>
      </c>
      <c r="K153" t="n">
        <v>1.003444081984377</v>
      </c>
    </row>
    <row r="154">
      <c r="A154" t="inlineStr">
        <is>
          <t>market for electricity, high voltage</t>
        </is>
      </c>
      <c r="B154" t="inlineStr">
        <is>
          <t>electricity, high voltage</t>
        </is>
      </c>
      <c r="C154" t="inlineStr">
        <is>
          <t>CL</t>
        </is>
      </c>
      <c r="D154" t="n">
        <v>0.3</v>
      </c>
      <c r="E154" t="inlineStr">
        <is>
          <t>kilowatt hour</t>
        </is>
      </c>
      <c r="F154" t="inlineStr">
        <is>
          <t>ecoinvent 3.8 cutoff</t>
        </is>
      </c>
      <c r="G154" t="inlineStr">
        <is>
          <t>technosphere</t>
        </is>
      </c>
      <c r="I154" t="n">
        <v>2</v>
      </c>
      <c r="J154" t="n">
        <v>-1.203972804325936</v>
      </c>
      <c r="K154" t="n">
        <v>1.003444081984377</v>
      </c>
    </row>
  </sheetData>
  <pageMargins left="0.7" right="0.7" top="0.75" bottom="0.75" header="0.3" footer="0.3"/>
  <pageSetup orientation="portrait" paperSize="9"/>
</worksheet>
</file>

<file path=xl/worksheets/sheet4.xml><?xml version="1.0" encoding="utf-8"?>
<worksheet xmlns="http://schemas.openxmlformats.org/spreadsheetml/2006/main">
  <sheetPr>
    <tabColor rgb="FFFFFF00"/>
    <outlinePr summaryBelow="1" summaryRight="1"/>
    <pageSetUpPr/>
  </sheetPr>
  <dimension ref="A1:M84"/>
  <sheetViews>
    <sheetView zoomScale="90" zoomScaleNormal="55" workbookViewId="0">
      <selection activeCell="D83" sqref="D83"/>
    </sheetView>
  </sheetViews>
  <sheetFormatPr baseColWidth="10" defaultColWidth="8.83203125" defaultRowHeight="15"/>
  <cols>
    <col width="51.6640625" customWidth="1" min="1" max="1"/>
    <col width="19" customWidth="1" min="2" max="2"/>
    <col width="20.83203125" customWidth="1" min="3" max="3"/>
    <col width="16.1640625" bestFit="1" customWidth="1" min="4" max="4"/>
    <col width="22.33203125" customWidth="1" min="5" max="5"/>
    <col width="20.5" customWidth="1" min="6" max="6"/>
    <col width="16.83203125" customWidth="1" min="7" max="7"/>
    <col width="9" customWidth="1" min="8" max="8"/>
    <col width="8.5" customWidth="1" min="9" max="9"/>
    <col width="8.5" customWidth="1" min="13" max="13"/>
  </cols>
  <sheetData>
    <row r="1" customFormat="1" s="1">
      <c r="A1" s="1" t="inlineStr">
        <is>
          <t>Activity</t>
        </is>
      </c>
      <c r="B1" s="1" t="inlineStr">
        <is>
          <t>water, pure, via reverse osmosis</t>
        </is>
      </c>
    </row>
    <row r="2">
      <c r="A2" t="inlineStr">
        <is>
          <t>reference product</t>
        </is>
      </c>
      <c r="B2" t="inlineStr">
        <is>
          <t>water, pure</t>
        </is>
      </c>
    </row>
    <row r="3">
      <c r="A3" t="inlineStr">
        <is>
          <t>location</t>
        </is>
      </c>
      <c r="B3" t="inlineStr">
        <is>
          <t>AR</t>
        </is>
      </c>
    </row>
    <row r="4">
      <c r="A4" t="inlineStr">
        <is>
          <t>amount</t>
        </is>
      </c>
      <c r="B4" t="n">
        <v>1</v>
      </c>
    </row>
    <row r="5" ht="14" customHeight="1">
      <c r="A5" t="inlineStr">
        <is>
          <t>unit</t>
        </is>
      </c>
      <c r="B5" t="inlineStr">
        <is>
          <t>kilogram</t>
        </is>
      </c>
    </row>
    <row r="6">
      <c r="A6" t="inlineStr">
        <is>
          <t>comment</t>
        </is>
      </c>
      <c r="B6" t="inlineStr">
        <is>
          <t>Source: Regionalized life cycle assessment of present and future lithium production for Li-ion batteries. Vanessa Schenker, Christopher Oberschelp, Stephan Pfister.</t>
        </is>
      </c>
    </row>
    <row r="7">
      <c r="A7" t="inlineStr">
        <is>
          <t>Exchanges</t>
        </is>
      </c>
    </row>
    <row r="8">
      <c r="A8" t="inlineStr">
        <is>
          <t>name</t>
        </is>
      </c>
      <c r="B8" t="inlineStr">
        <is>
          <t>reference product</t>
        </is>
      </c>
      <c r="C8" t="inlineStr">
        <is>
          <t>location</t>
        </is>
      </c>
      <c r="D8" t="inlineStr">
        <is>
          <t>amount</t>
        </is>
      </c>
      <c r="E8" t="inlineStr">
        <is>
          <t>unit</t>
        </is>
      </c>
      <c r="F8" t="inlineStr">
        <is>
          <t>database</t>
        </is>
      </c>
      <c r="G8" t="inlineStr">
        <is>
          <t>type</t>
        </is>
      </c>
      <c r="H8" t="inlineStr">
        <is>
          <t>categories</t>
        </is>
      </c>
      <c r="I8" t="inlineStr">
        <is>
          <t>uncertainty type</t>
        </is>
      </c>
      <c r="J8" t="inlineStr">
        <is>
          <t>loc</t>
        </is>
      </c>
      <c r="K8" t="inlineStr">
        <is>
          <t>scale</t>
        </is>
      </c>
      <c r="L8" t="inlineStr">
        <is>
          <t>minimum</t>
        </is>
      </c>
      <c r="M8" t="inlineStr">
        <is>
          <t>maximum</t>
        </is>
      </c>
    </row>
    <row r="9">
      <c r="A9" t="inlineStr">
        <is>
          <t>water, pure, via reverse osmosis</t>
        </is>
      </c>
      <c r="B9" t="inlineStr">
        <is>
          <t>water, pure</t>
        </is>
      </c>
      <c r="C9" t="inlineStr">
        <is>
          <t>AR</t>
        </is>
      </c>
      <c r="D9" t="n">
        <v>1</v>
      </c>
      <c r="E9" t="inlineStr">
        <is>
          <t>kilogram</t>
        </is>
      </c>
      <c r="F9" t="inlineStr">
        <is>
          <t>Atacama_38</t>
        </is>
      </c>
      <c r="G9" t="inlineStr">
        <is>
          <t>production</t>
        </is>
      </c>
    </row>
    <row r="10">
      <c r="A10" t="inlineStr">
        <is>
          <t>market for electricity, high voltage</t>
        </is>
      </c>
      <c r="B10" t="inlineStr">
        <is>
          <t>electricity, high voltage</t>
        </is>
      </c>
      <c r="C10" t="inlineStr">
        <is>
          <t>AR</t>
        </is>
      </c>
      <c r="D10" t="n">
        <v>0.003603</v>
      </c>
      <c r="E10" t="inlineStr">
        <is>
          <t>kilowatt hour</t>
        </is>
      </c>
      <c r="F10" t="inlineStr">
        <is>
          <t>ecoinvent 3.8 cutoff</t>
        </is>
      </c>
      <c r="G10" t="inlineStr">
        <is>
          <t>technosphere</t>
        </is>
      </c>
      <c r="I10" t="n">
        <v>2</v>
      </c>
      <c r="J10" t="n">
        <v>-5.625988447216181</v>
      </c>
      <c r="K10" t="n">
        <v>0.5226943987482665</v>
      </c>
    </row>
    <row r="11">
      <c r="A11" t="inlineStr">
        <is>
          <t>Water, unspecified natural origin</t>
        </is>
      </c>
      <c r="D11" t="n">
        <v>0.001</v>
      </c>
      <c r="E11" t="inlineStr">
        <is>
          <t>cubic meter</t>
        </is>
      </c>
      <c r="F11" t="inlineStr">
        <is>
          <t>biosphere3</t>
        </is>
      </c>
      <c r="G11" t="inlineStr">
        <is>
          <t>biosphere</t>
        </is>
      </c>
      <c r="H11" t="inlineStr">
        <is>
          <t>natural resource::in ground</t>
        </is>
      </c>
      <c r="I11" t="n">
        <v>2</v>
      </c>
      <c r="J11" t="n">
        <v>-6.907755278982137</v>
      </c>
      <c r="K11" t="n">
        <v>0.5226943987482665</v>
      </c>
    </row>
    <row r="12"/>
    <row r="13" customFormat="1" s="1">
      <c r="A13" s="1" t="inlineStr">
        <is>
          <t>Activity</t>
        </is>
      </c>
      <c r="B13" s="1" t="inlineStr">
        <is>
          <t>lithium brine production, from evaporation pond, from Salar de Olaroz</t>
        </is>
      </c>
    </row>
    <row r="14">
      <c r="A14" t="inlineStr">
        <is>
          <t>reference product</t>
        </is>
      </c>
      <c r="B14" t="inlineStr">
        <is>
          <t>lithium brine, from evaporation pond</t>
        </is>
      </c>
    </row>
    <row r="15">
      <c r="A15" t="inlineStr">
        <is>
          <t>location</t>
        </is>
      </c>
      <c r="B15" t="inlineStr">
        <is>
          <t>AR</t>
        </is>
      </c>
    </row>
    <row r="16">
      <c r="A16" t="inlineStr">
        <is>
          <t>amount</t>
        </is>
      </c>
      <c r="B16" t="n">
        <v>1</v>
      </c>
    </row>
    <row r="17" ht="14" customHeight="1">
      <c r="A17" t="inlineStr">
        <is>
          <t>unit</t>
        </is>
      </c>
      <c r="B17" t="inlineStr">
        <is>
          <t>kilogram</t>
        </is>
      </c>
    </row>
    <row r="18">
      <c r="A18" t="inlineStr">
        <is>
          <t>comment</t>
        </is>
      </c>
      <c r="B18" t="inlineStr">
        <is>
          <t>Source: Regionalized life cycle assessment of present and future lithium production for Li-ion batteries. Vanessa Schenker, Christopher Oberschelp, Stephan Pfister.</t>
        </is>
      </c>
    </row>
    <row r="19">
      <c r="A19" t="inlineStr">
        <is>
          <t>Exchanges</t>
        </is>
      </c>
    </row>
    <row r="20" customFormat="1" s="1">
      <c r="A20" s="1" t="inlineStr">
        <is>
          <t>name</t>
        </is>
      </c>
      <c r="B20" s="1" t="inlineStr">
        <is>
          <t>reference product</t>
        </is>
      </c>
      <c r="C20" s="1" t="inlineStr">
        <is>
          <t>location</t>
        </is>
      </c>
      <c r="D20" s="1" t="inlineStr">
        <is>
          <t>amount</t>
        </is>
      </c>
      <c r="E20" s="1" t="inlineStr">
        <is>
          <t>unit</t>
        </is>
      </c>
      <c r="F20" s="1" t="inlineStr">
        <is>
          <t>database</t>
        </is>
      </c>
      <c r="G20" s="1" t="inlineStr">
        <is>
          <t>type</t>
        </is>
      </c>
      <c r="H20" s="1" t="inlineStr">
        <is>
          <t>categories</t>
        </is>
      </c>
      <c r="I20" s="1" t="inlineStr">
        <is>
          <t>uncertainty type</t>
        </is>
      </c>
      <c r="J20" s="1" t="inlineStr">
        <is>
          <t>loc</t>
        </is>
      </c>
      <c r="K20" s="1" t="inlineStr">
        <is>
          <t>scale</t>
        </is>
      </c>
      <c r="L20" s="1" t="inlineStr">
        <is>
          <t>minimum</t>
        </is>
      </c>
      <c r="M20" s="1" t="inlineStr">
        <is>
          <t>maximum</t>
        </is>
      </c>
    </row>
    <row r="21">
      <c r="A21" t="inlineStr">
        <is>
          <t>lithium brine production, from evaporation pond, from Salar de Olaroz</t>
        </is>
      </c>
      <c r="B21" t="inlineStr">
        <is>
          <t>lithium brine, from evaporation pond</t>
        </is>
      </c>
      <c r="C21" t="inlineStr">
        <is>
          <t>AR</t>
        </is>
      </c>
      <c r="D21" t="n">
        <v>1</v>
      </c>
      <c r="E21" t="inlineStr">
        <is>
          <t>kilogram</t>
        </is>
      </c>
      <c r="F21" t="inlineStr">
        <is>
          <t>Olaroz_38</t>
        </is>
      </c>
      <c r="G21" t="inlineStr">
        <is>
          <t>production</t>
        </is>
      </c>
      <c r="I21" t="n">
        <v>0</v>
      </c>
    </row>
    <row r="22">
      <c r="A22" t="inlineStr">
        <is>
          <t>Lithium, in ground</t>
        </is>
      </c>
      <c r="D22" t="n">
        <v>0.0246438646485755</v>
      </c>
      <c r="E22" t="inlineStr">
        <is>
          <t>kilogram</t>
        </is>
      </c>
      <c r="F22" t="inlineStr">
        <is>
          <t>biosphere3</t>
        </is>
      </c>
      <c r="G22" t="inlineStr">
        <is>
          <t>biosphere</t>
        </is>
      </c>
      <c r="H22" t="inlineStr">
        <is>
          <t>natural resource::in ground</t>
        </is>
      </c>
      <c r="I22" t="n">
        <v>5</v>
      </c>
      <c r="J22" t="n">
        <v>0.0246438646485755</v>
      </c>
      <c r="L22" t="n">
        <v>0.01725070525400285</v>
      </c>
      <c r="M22" t="n">
        <v>0.03203702404314815</v>
      </c>
    </row>
    <row r="23">
      <c r="A23" t="inlineStr">
        <is>
          <t>heat and power co-generation, natural gas, 1MW electrical, lean burn</t>
        </is>
      </c>
      <c r="B23" t="inlineStr">
        <is>
          <t>electricity, high voltage</t>
        </is>
      </c>
      <c r="C23" t="inlineStr">
        <is>
          <t>RoW</t>
        </is>
      </c>
      <c r="D23" t="n">
        <v>0.005525651419474835</v>
      </c>
      <c r="E23" t="inlineStr">
        <is>
          <t>kilowatt hour</t>
        </is>
      </c>
      <c r="F23" t="inlineStr">
        <is>
          <t>ecoinvent 3.8 cutoff</t>
        </is>
      </c>
      <c r="G23" t="inlineStr">
        <is>
          <t>technosphere</t>
        </is>
      </c>
      <c r="I23" t="n">
        <v>5</v>
      </c>
      <c r="J23" t="n">
        <v>0.005525651419474835</v>
      </c>
      <c r="L23" t="n">
        <v>0.00469680370655361</v>
      </c>
      <c r="M23" t="n">
        <v>0.00635449913239606</v>
      </c>
    </row>
    <row r="24">
      <c r="A24" t="inlineStr">
        <is>
          <t>machine operation, diesel, &gt;= 74.57 kW, high load factor</t>
        </is>
      </c>
      <c r="B24" t="inlineStr">
        <is>
          <t>machine operation, diesel, &gt;= 74.57 kW, high load factor</t>
        </is>
      </c>
      <c r="C24" t="inlineStr">
        <is>
          <t>GLO</t>
        </is>
      </c>
      <c r="D24" t="n">
        <v>8.712446031056624e-05</v>
      </c>
      <c r="E24" t="inlineStr">
        <is>
          <t>hour</t>
        </is>
      </c>
      <c r="F24" t="inlineStr">
        <is>
          <t>ecoinvent 3.8 cutoff</t>
        </is>
      </c>
      <c r="G24" t="inlineStr">
        <is>
          <t>technosphere</t>
        </is>
      </c>
      <c r="I24" t="n">
        <v>2</v>
      </c>
      <c r="J24" t="n">
        <v>-9.348172883329559</v>
      </c>
      <c r="K24" t="n">
        <v>0.7490959055619069</v>
      </c>
    </row>
    <row r="25">
      <c r="A25" t="inlineStr">
        <is>
          <t>market for quicklime, milled, packed</t>
        </is>
      </c>
      <c r="B25" t="inlineStr">
        <is>
          <t>quicklime, milled, packed</t>
        </is>
      </c>
      <c r="C25" t="inlineStr">
        <is>
          <t>RoW</t>
        </is>
      </c>
      <c r="D25" t="n">
        <v>0.2361297135148511</v>
      </c>
      <c r="E25" t="inlineStr">
        <is>
          <t>kilogram</t>
        </is>
      </c>
      <c r="F25" t="inlineStr">
        <is>
          <t>ecoinvent 3.8 cutoff</t>
        </is>
      </c>
      <c r="G25" t="inlineStr">
        <is>
          <t>technosphere</t>
        </is>
      </c>
      <c r="I25" t="n">
        <v>5</v>
      </c>
      <c r="J25" t="n">
        <v>0.2361297135148511</v>
      </c>
      <c r="L25" t="n">
        <v>0.212516742163366</v>
      </c>
      <c r="M25" t="n">
        <v>0.2597426848663362</v>
      </c>
    </row>
    <row r="26">
      <c r="A26" t="inlineStr">
        <is>
          <t>water, pure, via reverse osmosis</t>
        </is>
      </c>
      <c r="B26" t="inlineStr">
        <is>
          <t>water, pure</t>
        </is>
      </c>
      <c r="C26" t="inlineStr">
        <is>
          <t>AR</t>
        </is>
      </c>
      <c r="D26" t="n">
        <v>0.178477919480956</v>
      </c>
      <c r="E26" t="inlineStr">
        <is>
          <t>kilogram</t>
        </is>
      </c>
      <c r="F26" t="inlineStr">
        <is>
          <t>Olaroz_38</t>
        </is>
      </c>
      <c r="G26" t="inlineStr">
        <is>
          <t>technosphere</t>
        </is>
      </c>
      <c r="I26" t="n">
        <v>2</v>
      </c>
      <c r="J26" t="n">
        <v>-1.723290385800768</v>
      </c>
      <c r="K26" t="n">
        <v>0.5143126949204253</v>
      </c>
    </row>
    <row r="27">
      <c r="A27" t="inlineStr">
        <is>
          <t>Occupation, mineral extraction site</t>
        </is>
      </c>
      <c r="D27" t="n">
        <v>1.513059157704539e-10</v>
      </c>
      <c r="E27" t="inlineStr">
        <is>
          <t>square meter-year</t>
        </is>
      </c>
      <c r="F27" t="inlineStr">
        <is>
          <t>biosphere3</t>
        </is>
      </c>
      <c r="G27" t="inlineStr">
        <is>
          <t>biosphere</t>
        </is>
      </c>
      <c r="H27" t="inlineStr">
        <is>
          <t>natural resource::land</t>
        </is>
      </c>
      <c r="I27" t="n">
        <v>2</v>
      </c>
      <c r="J27" t="n">
        <v>-22.61171739629217</v>
      </c>
      <c r="K27" t="n">
        <v>0.1897729544463139</v>
      </c>
    </row>
    <row r="28">
      <c r="A28" t="inlineStr">
        <is>
          <t>Transformation, from unknown</t>
        </is>
      </c>
      <c r="D28" t="n">
        <v>3.782647894261348e-12</v>
      </c>
      <c r="E28" t="inlineStr">
        <is>
          <t>square meter</t>
        </is>
      </c>
      <c r="F28" t="inlineStr">
        <is>
          <t>biosphere3</t>
        </is>
      </c>
      <c r="G28" t="inlineStr">
        <is>
          <t>biosphere</t>
        </is>
      </c>
      <c r="H28" t="inlineStr">
        <is>
          <t>natural resource::land</t>
        </is>
      </c>
      <c r="I28" t="n">
        <v>2</v>
      </c>
      <c r="J28" t="n">
        <v>-26.30059685040611</v>
      </c>
      <c r="K28" t="n">
        <v>0.05265571353150134</v>
      </c>
    </row>
    <row r="29">
      <c r="A29" t="inlineStr">
        <is>
          <t>Transformation, to mineral extraction site</t>
        </is>
      </c>
      <c r="D29" t="n">
        <v>3.782647894261348e-12</v>
      </c>
      <c r="E29" t="inlineStr">
        <is>
          <t>square meter</t>
        </is>
      </c>
      <c r="F29" t="inlineStr">
        <is>
          <t>biosphere3</t>
        </is>
      </c>
      <c r="G29" t="inlineStr">
        <is>
          <t>biosphere</t>
        </is>
      </c>
      <c r="H29" t="inlineStr">
        <is>
          <t>natural resource::land</t>
        </is>
      </c>
      <c r="I29" t="n">
        <v>2</v>
      </c>
      <c r="J29" t="n">
        <v>-26.30059685040611</v>
      </c>
      <c r="K29" t="n">
        <v>0.05265571353150134</v>
      </c>
    </row>
    <row r="30"/>
    <row r="31" customFormat="1" s="1">
      <c r="A31" s="1" t="inlineStr">
        <is>
          <t>Activity</t>
        </is>
      </c>
      <c r="B31" s="1" t="inlineStr">
        <is>
          <t>lithium carbonate precipitation 1, from Salar de Olaroz</t>
        </is>
      </c>
    </row>
    <row r="32">
      <c r="A32" t="inlineStr">
        <is>
          <t>reference product</t>
        </is>
      </c>
      <c r="B32" t="inlineStr">
        <is>
          <t>lithium carbonate, precipitated</t>
        </is>
      </c>
    </row>
    <row r="33">
      <c r="A33" t="inlineStr">
        <is>
          <t>location</t>
        </is>
      </c>
      <c r="B33" t="inlineStr">
        <is>
          <t>AR</t>
        </is>
      </c>
    </row>
    <row r="34">
      <c r="A34" t="inlineStr">
        <is>
          <t>amount</t>
        </is>
      </c>
      <c r="B34" t="n">
        <v>1</v>
      </c>
    </row>
    <row r="35">
      <c r="A35" t="inlineStr">
        <is>
          <t>unit</t>
        </is>
      </c>
      <c r="B35" t="inlineStr">
        <is>
          <t>kilogram</t>
        </is>
      </c>
    </row>
    <row r="36">
      <c r="A36" t="inlineStr">
        <is>
          <t>comment</t>
        </is>
      </c>
      <c r="B36" t="inlineStr">
        <is>
          <t>Source: Regionalized life cycle assessment of present and future lithium production for Li-ion batteries. Vanessa Schenker, Christopher Oberschelp, Stephan Pfister.</t>
        </is>
      </c>
    </row>
    <row r="37">
      <c r="A37" t="inlineStr">
        <is>
          <t>Exchanges</t>
        </is>
      </c>
    </row>
    <row r="38" customFormat="1" s="1">
      <c r="A38" s="1" t="inlineStr">
        <is>
          <t>name</t>
        </is>
      </c>
      <c r="B38" s="1" t="inlineStr">
        <is>
          <t>reference product</t>
        </is>
      </c>
      <c r="C38" s="1" t="inlineStr">
        <is>
          <t>location</t>
        </is>
      </c>
      <c r="D38" s="1" t="inlineStr">
        <is>
          <t>amount</t>
        </is>
      </c>
      <c r="E38" s="1" t="inlineStr">
        <is>
          <t>unit</t>
        </is>
      </c>
      <c r="F38" s="1" t="inlineStr">
        <is>
          <t>database</t>
        </is>
      </c>
      <c r="G38" s="1" t="inlineStr">
        <is>
          <t>type</t>
        </is>
      </c>
      <c r="H38" s="1" t="inlineStr">
        <is>
          <t>categories</t>
        </is>
      </c>
      <c r="I38" s="1" t="inlineStr">
        <is>
          <t>uncertainty type</t>
        </is>
      </c>
      <c r="J38" s="1" t="inlineStr">
        <is>
          <t>loc</t>
        </is>
      </c>
      <c r="K38" s="1" t="inlineStr">
        <is>
          <t>scale</t>
        </is>
      </c>
      <c r="L38" s="1" t="inlineStr">
        <is>
          <t>minimum</t>
        </is>
      </c>
      <c r="M38" s="1" t="inlineStr">
        <is>
          <t>maximum</t>
        </is>
      </c>
    </row>
    <row r="39">
      <c r="A39" t="inlineStr">
        <is>
          <t>lithium carbonate precipitation 1, from Salar de Olaroz</t>
        </is>
      </c>
      <c r="B39" t="inlineStr">
        <is>
          <t>lithium carbonate, precipitated</t>
        </is>
      </c>
      <c r="C39" t="inlineStr">
        <is>
          <t>AR</t>
        </is>
      </c>
      <c r="D39" t="n">
        <v>1</v>
      </c>
      <c r="E39" t="inlineStr">
        <is>
          <t>kilogram</t>
        </is>
      </c>
      <c r="F39" t="inlineStr">
        <is>
          <t>Olaroz_38</t>
        </is>
      </c>
      <c r="G39" t="inlineStr">
        <is>
          <t>production</t>
        </is>
      </c>
      <c r="I39" t="n">
        <v>0</v>
      </c>
    </row>
    <row r="40">
      <c r="A40" t="inlineStr">
        <is>
          <t>lithium brine production, from evaporation pond, from Salar de Olaroz</t>
        </is>
      </c>
      <c r="B40" t="inlineStr">
        <is>
          <t>lithium brine, from evaporation pond</t>
        </is>
      </c>
      <c r="C40" t="inlineStr">
        <is>
          <t>AR</t>
        </is>
      </c>
      <c r="D40" t="n">
        <v>0.6614219897627382</v>
      </c>
      <c r="E40" t="inlineStr">
        <is>
          <t>kilogram</t>
        </is>
      </c>
      <c r="F40" t="inlineStr">
        <is>
          <t>Olaroz_38</t>
        </is>
      </c>
      <c r="G40" t="inlineStr">
        <is>
          <t>technosphere</t>
        </is>
      </c>
      <c r="I40" t="n">
        <v>2</v>
      </c>
      <c r="J40">
        <f>0.661421989762738*-6.8368374790856</f>
        <v>-4.5220346491012595</v>
      </c>
      <c r="K40">
        <f>0.661421989762738*0.905936770530121</f>
        <v>0.59920650136326159</v>
      </c>
    </row>
    <row r="41">
      <c r="A41" t="inlineStr">
        <is>
          <t>heat and power co-generation, natural gas, 1MW electrical, lean burn</t>
        </is>
      </c>
      <c r="B41" t="inlineStr">
        <is>
          <t>electricity, high voltage</t>
        </is>
      </c>
      <c r="C41" t="inlineStr">
        <is>
          <t>RoW</t>
        </is>
      </c>
      <c r="D41">
        <f>0.00107349298100743*0.66142199</f>
        <v>7.1003186374896652E-4</v>
      </c>
      <c r="E41" t="inlineStr">
        <is>
          <t>kilowatt hour</t>
        </is>
      </c>
      <c r="F41" t="inlineStr">
        <is>
          <t>ecoinvent 3.8 cutoff</t>
        </is>
      </c>
      <c r="G41" t="inlineStr">
        <is>
          <t>technosphere</t>
        </is>
      </c>
      <c r="I41" t="n">
        <v>2</v>
      </c>
      <c r="J41">
        <f>-6.8368374790856*0.66142199</f>
        <v>-4.5220346507233806</v>
      </c>
      <c r="K41">
        <f>0.905936770530121*0.66142199</f>
        <v>0.59920650157820599</v>
      </c>
    </row>
    <row r="42">
      <c r="A42" t="inlineStr">
        <is>
          <t>heat and power co-generation, natural gas, 1MW electrical, lean burn</t>
        </is>
      </c>
      <c r="B42" t="inlineStr">
        <is>
          <t>heat, district or industrial, natural gas</t>
        </is>
      </c>
      <c r="C42" t="inlineStr">
        <is>
          <t>RoW</t>
        </is>
      </c>
      <c r="D42" t="n">
        <v>0.187316819693571</v>
      </c>
      <c r="E42" t="inlineStr">
        <is>
          <t>megajoule</t>
        </is>
      </c>
      <c r="F42" t="inlineStr">
        <is>
          <t>ecoinvent 3.8 cutoff</t>
        </is>
      </c>
      <c r="G42" t="inlineStr">
        <is>
          <t>technosphere</t>
        </is>
      </c>
      <c r="I42" t="n">
        <v>5</v>
      </c>
      <c r="J42" t="n">
        <v>0.187316819693571</v>
      </c>
      <c r="L42" t="n">
        <v>0.1311217737854997</v>
      </c>
      <c r="M42" t="n">
        <v>0.2435118656016423</v>
      </c>
    </row>
    <row r="43">
      <c r="A43" t="inlineStr">
        <is>
          <t>market for soda ash, light, crystalline, heptahydrate</t>
        </is>
      </c>
      <c r="B43" t="inlineStr">
        <is>
          <t>soda ash, light, crystalline, heptahydrate</t>
        </is>
      </c>
      <c r="C43" t="inlineStr">
        <is>
          <t>GLO</t>
        </is>
      </c>
      <c r="D43" t="n">
        <v>0.06151763686721608</v>
      </c>
      <c r="E43" t="inlineStr">
        <is>
          <t>kilogram</t>
        </is>
      </c>
      <c r="F43" t="inlineStr">
        <is>
          <t>ecoinvent 3.8 cutoff</t>
        </is>
      </c>
      <c r="G43" t="inlineStr">
        <is>
          <t>technosphere</t>
        </is>
      </c>
      <c r="I43" t="n">
        <v>5</v>
      </c>
      <c r="J43" t="n">
        <v>0.06151763686721608</v>
      </c>
      <c r="L43" t="n">
        <v>0.04306234580705125</v>
      </c>
      <c r="M43" t="n">
        <v>0.07997292792738091</v>
      </c>
    </row>
    <row r="44">
      <c r="A44" t="inlineStr">
        <is>
          <t>water, pure, via reverse osmosis</t>
        </is>
      </c>
      <c r="B44" t="inlineStr">
        <is>
          <t>water, pure</t>
        </is>
      </c>
      <c r="C44" t="inlineStr">
        <is>
          <t>AR</t>
        </is>
      </c>
      <c r="D44" t="n">
        <v>0.3075881843360804</v>
      </c>
      <c r="E44" t="inlineStr">
        <is>
          <t>kilogram</t>
        </is>
      </c>
      <c r="F44" t="inlineStr">
        <is>
          <t>Olaroz_38</t>
        </is>
      </c>
      <c r="G44" t="inlineStr">
        <is>
          <t>technosphere</t>
        </is>
      </c>
      <c r="I44" t="n">
        <v>5</v>
      </c>
      <c r="J44" t="n">
        <v>0.3075881843360804</v>
      </c>
      <c r="L44" t="n">
        <v>0.2153117290352562</v>
      </c>
      <c r="M44" t="n">
        <v>0.3998646396369045</v>
      </c>
    </row>
    <row r="45"/>
    <row r="46">
      <c r="A46" s="1" t="inlineStr">
        <is>
          <t>Activity</t>
        </is>
      </c>
      <c r="B46" s="1" t="inlineStr">
        <is>
          <t>lithium carbonate precipitation 2, from Salar de Olaroz</t>
        </is>
      </c>
    </row>
    <row r="47">
      <c r="A47" t="inlineStr">
        <is>
          <t>reference product</t>
        </is>
      </c>
      <c r="B47" t="inlineStr">
        <is>
          <t>lithium carbonate, precipitated</t>
        </is>
      </c>
    </row>
    <row r="48">
      <c r="A48" t="inlineStr">
        <is>
          <t>location</t>
        </is>
      </c>
      <c r="B48" t="inlineStr">
        <is>
          <t>AR</t>
        </is>
      </c>
    </row>
    <row r="49">
      <c r="A49" t="inlineStr">
        <is>
          <t>amount</t>
        </is>
      </c>
      <c r="B49" t="n">
        <v>1</v>
      </c>
    </row>
    <row r="50">
      <c r="A50" t="inlineStr">
        <is>
          <t>unit</t>
        </is>
      </c>
      <c r="B50" t="inlineStr">
        <is>
          <t>kilogram</t>
        </is>
      </c>
    </row>
    <row r="51">
      <c r="A51" t="inlineStr">
        <is>
          <t>comment</t>
        </is>
      </c>
      <c r="B51" t="inlineStr">
        <is>
          <t>Source: Regionalized life cycle assessment of present and future lithium production for Li-ion batteries. Vanessa Schenker, Christopher Oberschelp, Stephan Pfister. Includes centriguation, washing and filtering.</t>
        </is>
      </c>
    </row>
    <row r="52">
      <c r="A52" t="inlineStr">
        <is>
          <t>Exchanges</t>
        </is>
      </c>
    </row>
    <row r="53" customFormat="1" s="1">
      <c r="A53" s="1" t="inlineStr">
        <is>
          <t>name</t>
        </is>
      </c>
      <c r="B53" s="1" t="inlineStr">
        <is>
          <t>reference product</t>
        </is>
      </c>
      <c r="C53" s="1" t="inlineStr">
        <is>
          <t>location</t>
        </is>
      </c>
      <c r="D53" s="1" t="inlineStr">
        <is>
          <t>amount</t>
        </is>
      </c>
      <c r="E53" s="1" t="inlineStr">
        <is>
          <t>unit</t>
        </is>
      </c>
      <c r="F53" s="1" t="inlineStr">
        <is>
          <t>database</t>
        </is>
      </c>
      <c r="G53" s="1" t="inlineStr">
        <is>
          <t>type</t>
        </is>
      </c>
      <c r="H53" s="1" t="inlineStr">
        <is>
          <t>categories</t>
        </is>
      </c>
      <c r="I53" s="1" t="inlineStr">
        <is>
          <t>uncertainty type</t>
        </is>
      </c>
      <c r="J53" s="1" t="inlineStr">
        <is>
          <t>loc</t>
        </is>
      </c>
      <c r="K53" s="1" t="inlineStr">
        <is>
          <t>scale</t>
        </is>
      </c>
      <c r="L53" s="1" t="inlineStr">
        <is>
          <t>minimum</t>
        </is>
      </c>
      <c r="M53" s="1" t="inlineStr">
        <is>
          <t>maximum</t>
        </is>
      </c>
    </row>
    <row r="54">
      <c r="A54" t="inlineStr">
        <is>
          <t>lithium carbonate precipitation 2, from Salar de Olaroz</t>
        </is>
      </c>
      <c r="B54" t="inlineStr">
        <is>
          <t>lithium carbonate, precipitated</t>
        </is>
      </c>
      <c r="C54" t="inlineStr">
        <is>
          <t>AR</t>
        </is>
      </c>
      <c r="D54" t="n">
        <v>1</v>
      </c>
      <c r="E54" t="inlineStr">
        <is>
          <t>kilogram</t>
        </is>
      </c>
      <c r="F54" t="inlineStr">
        <is>
          <t>Olaroz_38</t>
        </is>
      </c>
      <c r="G54" t="inlineStr">
        <is>
          <t>production</t>
        </is>
      </c>
      <c r="I54" t="n">
        <v>0</v>
      </c>
    </row>
    <row r="55">
      <c r="A55" t="inlineStr">
        <is>
          <t>heat and power co-generation, natural gas, 1MW electrical, lean burn</t>
        </is>
      </c>
      <c r="B55" t="inlineStr">
        <is>
          <t>electricity, high voltage</t>
        </is>
      </c>
      <c r="C55" t="inlineStr">
        <is>
          <t>RoW</t>
        </is>
      </c>
      <c r="D55" t="n">
        <v>0.004055671649556229</v>
      </c>
      <c r="E55" t="inlineStr">
        <is>
          <t>kilowatt hour</t>
        </is>
      </c>
      <c r="F55" t="inlineStr">
        <is>
          <t>ecoinvent 3.8 cutoff</t>
        </is>
      </c>
      <c r="G55" t="inlineStr">
        <is>
          <t>technosphere</t>
        </is>
      </c>
      <c r="I55" t="n">
        <v>2</v>
      </c>
      <c r="J55" t="n">
        <v>-1.867705816469348</v>
      </c>
      <c r="K55" t="n">
        <v>0.3674182076529539</v>
      </c>
    </row>
    <row r="56">
      <c r="A56" t="inlineStr">
        <is>
          <t>lithium carbonate precipitation 1, from Salar de Olaroz</t>
        </is>
      </c>
      <c r="B56" t="inlineStr">
        <is>
          <t>lithium carbonate, precipitated</t>
        </is>
      </c>
      <c r="C56" t="inlineStr">
        <is>
          <t>AR</t>
        </is>
      </c>
      <c r="D56" t="n">
        <v>1.050759727326878</v>
      </c>
      <c r="E56" t="inlineStr">
        <is>
          <t>kilogram</t>
        </is>
      </c>
      <c r="F56" t="inlineStr">
        <is>
          <t>Olaroz_38</t>
        </is>
      </c>
      <c r="G56" t="inlineStr">
        <is>
          <t>technosphere</t>
        </is>
      </c>
      <c r="I56" t="n">
        <v>5</v>
      </c>
      <c r="J56" t="n">
        <v>1.050759727326878</v>
      </c>
      <c r="L56" t="n">
        <v>0.525379863663441</v>
      </c>
      <c r="M56" t="n">
        <v>1.576139590990319</v>
      </c>
    </row>
    <row r="57">
      <c r="A57" t="inlineStr">
        <is>
          <t>heat and power co-generation, natural gas, 1MW electrical, lean burn</t>
        </is>
      </c>
      <c r="B57" t="inlineStr">
        <is>
          <t>heat, district or industrial, natural gas</t>
        </is>
      </c>
      <c r="C57" t="inlineStr">
        <is>
          <t>RoW</t>
        </is>
      </c>
      <c r="D57" t="n">
        <v>0.02718922273862495</v>
      </c>
      <c r="E57" t="inlineStr">
        <is>
          <t>megajoule</t>
        </is>
      </c>
      <c r="F57" t="inlineStr">
        <is>
          <t>ecoinvent 3.8 cutoff</t>
        </is>
      </c>
      <c r="G57" t="inlineStr">
        <is>
          <t>technosphere</t>
        </is>
      </c>
      <c r="I57" t="n">
        <v>5</v>
      </c>
      <c r="J57" t="n">
        <v>0.02718922273862496</v>
      </c>
      <c r="L57" t="n">
        <v>0.01903245591703747</v>
      </c>
      <c r="M57" t="n">
        <v>0.03534598956021244</v>
      </c>
    </row>
    <row r="58">
      <c r="A58" t="inlineStr">
        <is>
          <t>heat and power co-generation, natural gas, 1MW electrical, lean burn</t>
        </is>
      </c>
      <c r="B58" t="inlineStr">
        <is>
          <t>heat, district or industrial, natural gas</t>
        </is>
      </c>
      <c r="C58" t="inlineStr">
        <is>
          <t>RoW</t>
        </is>
      </c>
      <c r="D58" t="n">
        <v>0.4236516061440905</v>
      </c>
      <c r="E58" t="inlineStr">
        <is>
          <t>megajoule</t>
        </is>
      </c>
      <c r="F58" t="inlineStr">
        <is>
          <t>ecoinvent 3.8 cutoff</t>
        </is>
      </c>
      <c r="G58" t="inlineStr">
        <is>
          <t>technosphere</t>
        </is>
      </c>
      <c r="I58" t="n">
        <v>5</v>
      </c>
      <c r="J58" t="n">
        <v>0.4236516061440905</v>
      </c>
      <c r="L58" t="n">
        <v>0.2965561243008633</v>
      </c>
      <c r="M58" t="n">
        <v>0.5507470879873176</v>
      </c>
    </row>
    <row r="59">
      <c r="A59" t="inlineStr">
        <is>
          <t>water, pure, via reverse osmosis</t>
        </is>
      </c>
      <c r="B59" t="inlineStr">
        <is>
          <t>water, pure</t>
        </is>
      </c>
      <c r="C59" t="inlineStr">
        <is>
          <t>AR</t>
        </is>
      </c>
      <c r="D59" t="n">
        <v>0.9983191752753796</v>
      </c>
      <c r="E59" t="inlineStr">
        <is>
          <t>kilogram</t>
        </is>
      </c>
      <c r="F59" t="inlineStr">
        <is>
          <t>Olaroz_38</t>
        </is>
      </c>
      <c r="G59" t="inlineStr">
        <is>
          <t>technosphere</t>
        </is>
      </c>
      <c r="I59" t="n">
        <v>5</v>
      </c>
      <c r="J59" t="n">
        <v>0.9983191752753796</v>
      </c>
      <c r="L59" t="n">
        <v>0.6988234226927662</v>
      </c>
      <c r="M59" t="n">
        <v>1.297814927857994</v>
      </c>
    </row>
    <row r="60">
      <c r="A60" t="inlineStr">
        <is>
          <t>heat and power co-generation, natural gas, 1MW electrical, lean burn</t>
        </is>
      </c>
      <c r="B60" t="inlineStr">
        <is>
          <t>electricity, high voltage</t>
        </is>
      </c>
      <c r="C60" t="inlineStr">
        <is>
          <t>RoW</t>
        </is>
      </c>
      <c r="D60" t="n">
        <v>0.001227762417547477</v>
      </c>
      <c r="E60" t="inlineStr">
        <is>
          <t>kilowatt hour</t>
        </is>
      </c>
      <c r="F60" t="inlineStr">
        <is>
          <t>ecoinvent 3.8 cutoff</t>
        </is>
      </c>
      <c r="G60" t="inlineStr">
        <is>
          <t>technosphere</t>
        </is>
      </c>
      <c r="I60" t="n">
        <v>2</v>
      </c>
      <c r="J60" t="n">
        <v>-7.002751964409573</v>
      </c>
      <c r="K60" t="n">
        <v>0.9411558703725666</v>
      </c>
    </row>
    <row r="61">
      <c r="A61" t="inlineStr">
        <is>
          <t>heat and power co-generation, natural gas, 1MW electrical, lean burn</t>
        </is>
      </c>
      <c r="B61" t="inlineStr">
        <is>
          <t>electricity, high voltage</t>
        </is>
      </c>
      <c r="C61" t="inlineStr">
        <is>
          <t>RoW</t>
        </is>
      </c>
      <c r="D61" t="n">
        <v>0.005963147618765207</v>
      </c>
      <c r="E61" t="inlineStr">
        <is>
          <t>kilowatt hour</t>
        </is>
      </c>
      <c r="F61" t="inlineStr">
        <is>
          <t>ecoinvent 3.8 cutoff</t>
        </is>
      </c>
      <c r="G61" t="inlineStr">
        <is>
          <t>technosphere</t>
        </is>
      </c>
    </row>
    <row r="62">
      <c r="A62" t="inlineStr">
        <is>
          <t>water, pure, via reverse osmosis</t>
        </is>
      </c>
      <c r="B62" t="inlineStr">
        <is>
          <t>water, pure</t>
        </is>
      </c>
      <c r="C62" t="inlineStr">
        <is>
          <t>AR</t>
        </is>
      </c>
      <c r="D62" t="n">
        <v>7.272131242396593</v>
      </c>
      <c r="E62" t="inlineStr">
        <is>
          <t>kilogram</t>
        </is>
      </c>
      <c r="F62" t="inlineStr">
        <is>
          <t>Olaroz_38</t>
        </is>
      </c>
      <c r="G62" t="inlineStr">
        <is>
          <t>technosphere</t>
        </is>
      </c>
    </row>
    <row r="63">
      <c r="A63" t="inlineStr">
        <is>
          <t>market for hydrochloric acid, without water, in 30% solution state</t>
        </is>
      </c>
      <c r="B63" t="inlineStr">
        <is>
          <t>hydrochloric acid, without water, in 30% solution state</t>
        </is>
      </c>
      <c r="C63" t="inlineStr">
        <is>
          <t>RoW</t>
        </is>
      </c>
      <c r="D63" t="n">
        <v>0.001745311498175182</v>
      </c>
      <c r="E63" t="inlineStr">
        <is>
          <t>kilogram</t>
        </is>
      </c>
      <c r="F63" t="inlineStr">
        <is>
          <t>ecoinvent 3.8 cutoff</t>
        </is>
      </c>
      <c r="G63" t="inlineStr">
        <is>
          <t>technosphere</t>
        </is>
      </c>
    </row>
    <row r="64">
      <c r="A64" t="inlineStr">
        <is>
          <t>market for sodium hydroxide, without water, in 50% solution state</t>
        </is>
      </c>
      <c r="B64" t="inlineStr">
        <is>
          <t>sodium hydroxide, without water, in 50% solution state</t>
        </is>
      </c>
      <c r="C64" t="inlineStr">
        <is>
          <t>GLO</t>
        </is>
      </c>
      <c r="D64" t="n">
        <v>0.0008726557490875913</v>
      </c>
      <c r="E64" t="inlineStr">
        <is>
          <t>kilogram</t>
        </is>
      </c>
      <c r="F64" t="inlineStr">
        <is>
          <t>ecoinvent 3.8 cutoff</t>
        </is>
      </c>
      <c r="G64" t="inlineStr">
        <is>
          <t>technosphere</t>
        </is>
      </c>
    </row>
    <row r="65">
      <c r="A65" t="inlineStr">
        <is>
          <t>Heat, waste</t>
        </is>
      </c>
      <c r="D65" t="n">
        <v>0.01178085261268248</v>
      </c>
      <c r="E65" t="inlineStr">
        <is>
          <t>megajoule</t>
        </is>
      </c>
      <c r="F65" t="inlineStr">
        <is>
          <t>biosphere3</t>
        </is>
      </c>
      <c r="G65" t="inlineStr">
        <is>
          <t>biosphere</t>
        </is>
      </c>
      <c r="H65" t="inlineStr">
        <is>
          <t>air</t>
        </is>
      </c>
    </row>
    <row r="66">
      <c r="A66" t="inlineStr">
        <is>
          <t>Chlorine</t>
        </is>
      </c>
      <c r="D66" t="n">
        <v>0.001672590185751217</v>
      </c>
      <c r="E66" t="inlineStr">
        <is>
          <t>kilogram</t>
        </is>
      </c>
      <c r="F66" t="inlineStr">
        <is>
          <t>biosphere3</t>
        </is>
      </c>
      <c r="G66" t="inlineStr">
        <is>
          <t>biosphere</t>
        </is>
      </c>
      <c r="H66" t="inlineStr">
        <is>
          <t>water</t>
        </is>
      </c>
    </row>
    <row r="67">
      <c r="A67" t="inlineStr">
        <is>
          <t>Sodium</t>
        </is>
      </c>
      <c r="D67" t="n">
        <v>0.0005090491869677618</v>
      </c>
      <c r="E67" t="inlineStr">
        <is>
          <t>kilogram</t>
        </is>
      </c>
      <c r="F67" t="inlineStr">
        <is>
          <t>biosphere3</t>
        </is>
      </c>
      <c r="G67" t="inlineStr">
        <is>
          <t>biosphere</t>
        </is>
      </c>
      <c r="H67" t="inlineStr">
        <is>
          <t>water</t>
        </is>
      </c>
    </row>
    <row r="68"/>
    <row r="69" customFormat="1" s="1">
      <c r="A69" s="1" t="inlineStr">
        <is>
          <t>Activity</t>
        </is>
      </c>
      <c r="B69" s="1" t="inlineStr">
        <is>
          <t>lithium carbonate production, from Salar de Olaroz</t>
        </is>
      </c>
    </row>
    <row r="70">
      <c r="A70" t="inlineStr">
        <is>
          <t>reference product</t>
        </is>
      </c>
      <c r="B70" t="inlineStr">
        <is>
          <t>lithium carbonate, battery grade</t>
        </is>
      </c>
    </row>
    <row r="71">
      <c r="A71" t="inlineStr">
        <is>
          <t>location</t>
        </is>
      </c>
      <c r="B71" t="inlineStr">
        <is>
          <t>AR</t>
        </is>
      </c>
    </row>
    <row r="72">
      <c r="A72" t="inlineStr">
        <is>
          <t>amount</t>
        </is>
      </c>
      <c r="B72" t="n">
        <v>1</v>
      </c>
    </row>
    <row r="73">
      <c r="A73" t="inlineStr">
        <is>
          <t>unit</t>
        </is>
      </c>
      <c r="B73" t="inlineStr">
        <is>
          <t>kilogram</t>
        </is>
      </c>
    </row>
    <row r="74">
      <c r="A74" t="inlineStr">
        <is>
          <t>comment</t>
        </is>
      </c>
      <c r="B74" t="inlineStr">
        <is>
          <t>Source: Regionalized life cycle assessment of present and future lithium production for Li-ion batteries. Vanessa Schenker, Christopher Oberschelp, Stephan Pfister.</t>
        </is>
      </c>
    </row>
    <row r="75">
      <c r="A75" t="inlineStr">
        <is>
          <t>Exchanges</t>
        </is>
      </c>
    </row>
    <row r="76" customFormat="1" s="1">
      <c r="A76" s="1" t="inlineStr">
        <is>
          <t>name</t>
        </is>
      </c>
      <c r="B76" s="1" t="inlineStr">
        <is>
          <t>reference product</t>
        </is>
      </c>
      <c r="C76" s="1" t="inlineStr">
        <is>
          <t>location</t>
        </is>
      </c>
      <c r="D76" s="1" t="inlineStr">
        <is>
          <t>amount</t>
        </is>
      </c>
      <c r="E76" s="1" t="inlineStr">
        <is>
          <t>unit</t>
        </is>
      </c>
      <c r="F76" s="1" t="inlineStr">
        <is>
          <t>database</t>
        </is>
      </c>
      <c r="G76" s="1" t="inlineStr">
        <is>
          <t>type</t>
        </is>
      </c>
      <c r="H76" s="1" t="inlineStr">
        <is>
          <t>categories</t>
        </is>
      </c>
    </row>
    <row r="77">
      <c r="A77" t="inlineStr">
        <is>
          <t>lithium carbonate production, from Salar de Olaroz</t>
        </is>
      </c>
      <c r="B77" t="inlineStr">
        <is>
          <t>lithium carbonate, battery grade</t>
        </is>
      </c>
      <c r="C77" t="inlineStr">
        <is>
          <t>AR</t>
        </is>
      </c>
      <c r="D77" t="n">
        <v>1</v>
      </c>
      <c r="E77" t="inlineStr">
        <is>
          <t>kilogram</t>
        </is>
      </c>
      <c r="F77" t="inlineStr">
        <is>
          <t>Olaroz_38</t>
        </is>
      </c>
      <c r="G77" t="inlineStr">
        <is>
          <t>production</t>
        </is>
      </c>
    </row>
    <row r="78">
      <c r="A78" t="inlineStr">
        <is>
          <t>lithium carbonate precipitation 2, from Salar de Olaroz</t>
        </is>
      </c>
      <c r="B78" t="inlineStr">
        <is>
          <t>lithium carbonate, precipitated</t>
        </is>
      </c>
      <c r="C78" t="inlineStr">
        <is>
          <t>AR</t>
        </is>
      </c>
      <c r="D78">
        <f>24.65*0.5*1.33*1.5</f>
        <v>24.588374999999999</v>
      </c>
      <c r="E78" t="inlineStr">
        <is>
          <t>kilogram</t>
        </is>
      </c>
      <c r="F78" t="inlineStr">
        <is>
          <t>Olaroz_38</t>
        </is>
      </c>
      <c r="G78" t="inlineStr">
        <is>
          <t>technosphere</t>
        </is>
      </c>
    </row>
    <row r="79">
      <c r="A79" t="inlineStr">
        <is>
          <t>heat and power co-generation, natural gas, 1MW electrical, lean burn</t>
        </is>
      </c>
      <c r="B79" t="inlineStr">
        <is>
          <t>electricity, high voltage</t>
        </is>
      </c>
      <c r="C79" t="inlineStr">
        <is>
          <t>RoW</t>
        </is>
      </c>
      <c r="D79">
        <f>0.01*0.5*1.33*1.5</f>
        <v>9.9750000000000012E-3</v>
      </c>
      <c r="E79" t="inlineStr">
        <is>
          <t>kilowatt hour</t>
        </is>
      </c>
      <c r="F79" t="inlineStr">
        <is>
          <t>ecoinvent 3.8 cutoff</t>
        </is>
      </c>
      <c r="G79" t="inlineStr">
        <is>
          <t>technosphere</t>
        </is>
      </c>
    </row>
    <row r="80">
      <c r="A80" t="inlineStr">
        <is>
          <t>water, pure, via reverse osmosis</t>
        </is>
      </c>
      <c r="B80" t="inlineStr">
        <is>
          <t>water, pure</t>
        </is>
      </c>
      <c r="C80" t="inlineStr">
        <is>
          <t>AR</t>
        </is>
      </c>
      <c r="D80">
        <f>1*1.33*1.5</f>
        <v>1.9950000000000001</v>
      </c>
      <c r="E80" t="inlineStr">
        <is>
          <t>kilogram</t>
        </is>
      </c>
      <c r="F80" t="inlineStr">
        <is>
          <t>Olaroz_38</t>
        </is>
      </c>
      <c r="G80" t="inlineStr">
        <is>
          <t>technosphere</t>
        </is>
      </c>
    </row>
    <row r="81">
      <c r="A81" t="inlineStr">
        <is>
          <t>heat and power co-generation, natural gas, 1MW electrical, lean burn</t>
        </is>
      </c>
      <c r="B81" t="inlineStr">
        <is>
          <t>heat, district or industrial, natural gas</t>
        </is>
      </c>
      <c r="C81" t="inlineStr">
        <is>
          <t>RoW</t>
        </is>
      </c>
      <c r="D81">
        <f>0.387*1.33*1.5</f>
        <v>0.772065</v>
      </c>
      <c r="E81" t="inlineStr">
        <is>
          <t>megajoule</t>
        </is>
      </c>
      <c r="F81" t="inlineStr">
        <is>
          <t>ecoinvent 3.8 cutoff</t>
        </is>
      </c>
      <c r="G81" t="inlineStr">
        <is>
          <t>technosphere</t>
        </is>
      </c>
    </row>
    <row r="82">
      <c r="A82" t="inlineStr">
        <is>
          <t>heat and power co-generation, natural gas, 1MW electrical, lean burn</t>
        </is>
      </c>
      <c r="B82" t="inlineStr">
        <is>
          <t>electricity, high voltage</t>
        </is>
      </c>
      <c r="C82" t="inlineStr">
        <is>
          <t>RoW</t>
        </is>
      </c>
      <c r="D82">
        <f>0.0067*1.5</f>
        <v>1.005E-2</v>
      </c>
      <c r="E82" t="inlineStr">
        <is>
          <t>kilowatt hour</t>
        </is>
      </c>
      <c r="F82" t="inlineStr">
        <is>
          <t>ecoinvent 3.8 cutoff</t>
        </is>
      </c>
      <c r="G82" t="inlineStr">
        <is>
          <t>technosphere</t>
        </is>
      </c>
    </row>
    <row r="83">
      <c r="A83" t="inlineStr">
        <is>
          <t>heat and power co-generation, natural gas, 1MW electrical, lean burn</t>
        </is>
      </c>
      <c r="B83" t="inlineStr">
        <is>
          <t>heat, district or industrial, natural gas</t>
        </is>
      </c>
      <c r="C83" t="inlineStr">
        <is>
          <t>RoW</t>
        </is>
      </c>
      <c r="D83" t="n">
        <v>2.470588235294118</v>
      </c>
      <c r="E83" t="inlineStr">
        <is>
          <t>megajoule</t>
        </is>
      </c>
      <c r="F83" t="inlineStr">
        <is>
          <t>ecoinvent 3.8 cutoff</t>
        </is>
      </c>
      <c r="G83" t="inlineStr">
        <is>
          <t>technosphere</t>
        </is>
      </c>
    </row>
    <row r="84">
      <c r="A84" t="inlineStr">
        <is>
          <t>heat and power co-generation, natural gas, 1MW electrical, lean burn</t>
        </is>
      </c>
      <c r="B84" t="inlineStr">
        <is>
          <t>electricity, high voltage</t>
        </is>
      </c>
      <c r="C84" t="inlineStr">
        <is>
          <t>RoW</t>
        </is>
      </c>
      <c r="D84" t="n">
        <v>0.3</v>
      </c>
      <c r="E84" t="inlineStr">
        <is>
          <t>kilowatt hour</t>
        </is>
      </c>
      <c r="F84" t="inlineStr">
        <is>
          <t>ecoinvent 3.8 cutoff</t>
        </is>
      </c>
      <c r="G84" t="inlineStr">
        <is>
          <t>technosphere</t>
        </is>
      </c>
    </row>
  </sheetData>
  <autoFilter ref="A1:M88"/>
  <pageMargins left="0.7" right="0.7" top="0.75" bottom="0.75" header="0.3" footer="0.3"/>
</worksheet>
</file>

<file path=xl/worksheets/sheet5.xml><?xml version="1.0" encoding="utf-8"?>
<worksheet xmlns="http://schemas.openxmlformats.org/spreadsheetml/2006/main">
  <sheetPr>
    <tabColor rgb="FF92D050"/>
    <outlinePr summaryBelow="1" summaryRight="1"/>
    <pageSetUpPr/>
  </sheetPr>
  <dimension ref="A1:M128"/>
  <sheetViews>
    <sheetView zoomScaleNormal="40" workbookViewId="0">
      <selection activeCell="A21" sqref="A21"/>
    </sheetView>
  </sheetViews>
  <sheetFormatPr baseColWidth="10" defaultColWidth="8.83203125" defaultRowHeight="15"/>
  <cols>
    <col width="72.5" customWidth="1" min="1" max="1"/>
    <col width="30.83203125" customWidth="1" min="2" max="2"/>
    <col width="20.83203125" customWidth="1" min="3" max="3"/>
    <col width="13.1640625" bestFit="1" customWidth="1" min="4" max="4"/>
    <col width="22.33203125" customWidth="1" min="5" max="5"/>
    <col width="20.5" customWidth="1" min="6" max="6"/>
    <col width="27.1640625" customWidth="1" min="7" max="7"/>
  </cols>
  <sheetData>
    <row r="1">
      <c r="A1" s="1" t="inlineStr">
        <is>
          <t>Activity</t>
        </is>
      </c>
      <c r="B1" s="1" t="inlineStr">
        <is>
          <t>lithium brine production, from evaporation pond, from Salar de Cauchari-Olaroz</t>
        </is>
      </c>
    </row>
    <row r="2">
      <c r="A2" t="inlineStr">
        <is>
          <t>reference product</t>
        </is>
      </c>
      <c r="B2" t="inlineStr">
        <is>
          <t>lithium brine, from evaporation pond</t>
        </is>
      </c>
    </row>
    <row r="3">
      <c r="A3" t="inlineStr">
        <is>
          <t>location</t>
        </is>
      </c>
      <c r="B3" t="inlineStr">
        <is>
          <t>AR</t>
        </is>
      </c>
    </row>
    <row r="4">
      <c r="A4" t="inlineStr">
        <is>
          <t>amount</t>
        </is>
      </c>
      <c r="B4" t="n">
        <v>1</v>
      </c>
    </row>
    <row r="5" ht="14" customHeight="1">
      <c r="A5" t="inlineStr">
        <is>
          <t>unit</t>
        </is>
      </c>
      <c r="B5" t="inlineStr">
        <is>
          <t>kilogram</t>
        </is>
      </c>
    </row>
    <row r="6">
      <c r="A6" t="inlineStr">
        <is>
          <t>comment</t>
        </is>
      </c>
      <c r="B6" t="inlineStr">
        <is>
          <t>Source: Regionalized life cycle assessment of present and future lithium production for Li-ion batteries. Vanessa Schenker, Christopher Oberschelp, Stephan Pfister.</t>
        </is>
      </c>
    </row>
    <row r="7">
      <c r="A7" t="inlineStr">
        <is>
          <t>Exchanges</t>
        </is>
      </c>
    </row>
    <row r="8" customFormat="1" s="1">
      <c r="A8" s="1" t="inlineStr">
        <is>
          <t>name</t>
        </is>
      </c>
      <c r="B8" s="1" t="inlineStr">
        <is>
          <t>reference product</t>
        </is>
      </c>
      <c r="C8" s="1" t="inlineStr">
        <is>
          <t>location</t>
        </is>
      </c>
      <c r="D8" s="1" t="inlineStr">
        <is>
          <t>amount</t>
        </is>
      </c>
      <c r="E8" s="1" t="inlineStr">
        <is>
          <t>unit</t>
        </is>
      </c>
      <c r="F8" s="1" t="inlineStr">
        <is>
          <t>database</t>
        </is>
      </c>
      <c r="G8" s="1" t="inlineStr">
        <is>
          <t>type</t>
        </is>
      </c>
      <c r="H8" s="1" t="inlineStr">
        <is>
          <t>categories</t>
        </is>
      </c>
      <c r="I8" s="1" t="inlineStr">
        <is>
          <t>uncertainty type</t>
        </is>
      </c>
      <c r="J8" s="1" t="inlineStr">
        <is>
          <t>loc</t>
        </is>
      </c>
      <c r="K8" s="1" t="inlineStr">
        <is>
          <t>scale</t>
        </is>
      </c>
      <c r="L8" s="1" t="inlineStr">
        <is>
          <t>minimum</t>
        </is>
      </c>
      <c r="M8" s="1" t="inlineStr">
        <is>
          <t>maximum</t>
        </is>
      </c>
    </row>
    <row r="9">
      <c r="A9" t="inlineStr">
        <is>
          <t>lithium brine production, from evaporation pond, from Salar de Cauchari-Olaroz</t>
        </is>
      </c>
      <c r="B9" t="inlineStr">
        <is>
          <t>lithium brine, from evaporation pond</t>
        </is>
      </c>
      <c r="C9" t="inlineStr">
        <is>
          <t>AR</t>
        </is>
      </c>
      <c r="D9" t="n">
        <v>1</v>
      </c>
      <c r="E9" t="inlineStr">
        <is>
          <t>kilogram</t>
        </is>
      </c>
      <c r="F9" t="inlineStr">
        <is>
          <t>Cauchari_38</t>
        </is>
      </c>
      <c r="G9" t="inlineStr">
        <is>
          <t>production</t>
        </is>
      </c>
    </row>
    <row r="10">
      <c r="A10" t="inlineStr">
        <is>
          <t>Lithium, in ground</t>
        </is>
      </c>
      <c r="D10" t="n">
        <v>0.07160819148241981</v>
      </c>
      <c r="E10" t="inlineStr">
        <is>
          <t>kilogram</t>
        </is>
      </c>
      <c r="F10" t="inlineStr">
        <is>
          <t>biosphere3</t>
        </is>
      </c>
      <c r="G10" t="inlineStr">
        <is>
          <t>biosphere</t>
        </is>
      </c>
      <c r="H10" t="inlineStr">
        <is>
          <t>natural resource::in ground</t>
        </is>
      </c>
      <c r="I10" t="n">
        <v>5</v>
      </c>
      <c r="J10" t="n">
        <v>0.07160819148241981</v>
      </c>
      <c r="L10" t="n">
        <v>0.05012573403769387</v>
      </c>
      <c r="M10" t="n">
        <v>0.09309064892714576</v>
      </c>
    </row>
    <row r="11">
      <c r="A11" t="inlineStr">
        <is>
          <t>market for electricity, high voltage</t>
        </is>
      </c>
      <c r="B11" t="inlineStr">
        <is>
          <t>electricity, high voltage</t>
        </is>
      </c>
      <c r="C11" t="inlineStr">
        <is>
          <t>AR</t>
        </is>
      </c>
      <c r="D11" t="n">
        <v>0.004949548941964035</v>
      </c>
      <c r="E11" t="inlineStr">
        <is>
          <t>kilowatt hour</t>
        </is>
      </c>
      <c r="F11" t="inlineStr">
        <is>
          <t>ecoinvent 3.8 cutoff</t>
        </is>
      </c>
      <c r="G11" t="inlineStr">
        <is>
          <t>technosphere</t>
        </is>
      </c>
      <c r="I11" t="n">
        <v>5</v>
      </c>
      <c r="J11" t="n">
        <v>0.004949548941964035</v>
      </c>
      <c r="L11" t="n">
        <v>0.004207116600669429</v>
      </c>
      <c r="M11" t="n">
        <v>0.00569198128325864</v>
      </c>
    </row>
    <row r="12">
      <c r="A12" t="inlineStr">
        <is>
          <t>machine operation, diesel, &gt;= 74.57 kW, high load factor</t>
        </is>
      </c>
      <c r="B12" t="inlineStr">
        <is>
          <t>machine operation, diesel, &gt;= 74.57 kW, high load factor</t>
        </is>
      </c>
      <c r="C12" t="inlineStr">
        <is>
          <t>GLO</t>
        </is>
      </c>
      <c r="D12" t="n">
        <v>0.0003296526429283114</v>
      </c>
      <c r="E12" t="inlineStr">
        <is>
          <t>hour</t>
        </is>
      </c>
      <c r="F12" t="inlineStr">
        <is>
          <t>ecoinvent 3.8 cutoff</t>
        </is>
      </c>
      <c r="G12" t="inlineStr">
        <is>
          <t>technosphere</t>
        </is>
      </c>
      <c r="I12" t="n">
        <v>2</v>
      </c>
      <c r="J12" t="n">
        <v>-8.017471055060154</v>
      </c>
      <c r="K12" t="n">
        <v>0.7490959055619069</v>
      </c>
    </row>
    <row r="13">
      <c r="A13" t="inlineStr">
        <is>
          <t>market for quicklime, milled, packed</t>
        </is>
      </c>
      <c r="B13" t="inlineStr">
        <is>
          <t>quicklime, milled, packed</t>
        </is>
      </c>
      <c r="C13" t="inlineStr">
        <is>
          <t>RoW</t>
        </is>
      </c>
      <c r="D13" t="n">
        <v>0.5538401489504899</v>
      </c>
      <c r="E13" t="inlineStr">
        <is>
          <t>kilogram</t>
        </is>
      </c>
      <c r="F13" t="inlineStr">
        <is>
          <t>ecoinvent 3.8 cutoff</t>
        </is>
      </c>
      <c r="G13" t="inlineStr">
        <is>
          <t>technosphere</t>
        </is>
      </c>
      <c r="I13" t="n">
        <v>5</v>
      </c>
      <c r="J13" t="n">
        <v>0.5538401489504899</v>
      </c>
      <c r="L13" t="n">
        <v>0.443072119160392</v>
      </c>
      <c r="M13" t="n">
        <v>0.6646081787405879</v>
      </c>
    </row>
    <row r="14">
      <c r="A14" t="inlineStr">
        <is>
          <t>water, pure, via reverse osmosis</t>
        </is>
      </c>
      <c r="B14" t="inlineStr">
        <is>
          <t>water, pure</t>
        </is>
      </c>
      <c r="C14" t="inlineStr">
        <is>
          <t>AR</t>
        </is>
      </c>
      <c r="D14" t="n">
        <v>0.5662112522518122</v>
      </c>
      <c r="E14" t="inlineStr">
        <is>
          <t>kilogram</t>
        </is>
      </c>
      <c r="F14" t="inlineStr">
        <is>
          <t>Cauchari_38</t>
        </is>
      </c>
      <c r="G14" t="inlineStr">
        <is>
          <t>technosphere</t>
        </is>
      </c>
      <c r="I14" t="n">
        <v>2</v>
      </c>
      <c r="J14" t="n">
        <v>-0.5687880332206146</v>
      </c>
      <c r="K14" t="n">
        <v>0.5143126949204253</v>
      </c>
    </row>
    <row r="15">
      <c r="A15" t="inlineStr">
        <is>
          <t>Occupation, mineral extraction site</t>
        </is>
      </c>
      <c r="D15" t="n">
        <v>1.039978926150609e-10</v>
      </c>
      <c r="E15" t="inlineStr">
        <is>
          <t>square meter-year</t>
        </is>
      </c>
      <c r="F15" t="inlineStr">
        <is>
          <t>biosphere3</t>
        </is>
      </c>
      <c r="G15" t="inlineStr">
        <is>
          <t>biosphere</t>
        </is>
      </c>
      <c r="H15" t="inlineStr">
        <is>
          <t>natural resource::land</t>
        </is>
      </c>
      <c r="I15" t="n">
        <v>2</v>
      </c>
      <c r="J15" t="n">
        <v>-22.9866504803092</v>
      </c>
      <c r="K15" t="n">
        <v>0.1070724544129482</v>
      </c>
    </row>
    <row r="16">
      <c r="A16" t="inlineStr">
        <is>
          <t>Transformation, from unknown</t>
        </is>
      </c>
      <c r="D16" t="n">
        <v>2.599947315376522e-12</v>
      </c>
      <c r="E16" t="inlineStr">
        <is>
          <t>square meter</t>
        </is>
      </c>
      <c r="F16" t="inlineStr">
        <is>
          <t>biosphere3</t>
        </is>
      </c>
      <c r="G16" t="inlineStr">
        <is>
          <t>biosphere</t>
        </is>
      </c>
      <c r="H16" t="inlineStr">
        <is>
          <t>natural resource::land</t>
        </is>
      </c>
      <c r="I16" t="n">
        <v>2</v>
      </c>
      <c r="J16" t="n">
        <v>-26.67552993442314</v>
      </c>
      <c r="K16" t="n">
        <v>0.1070724544129482</v>
      </c>
    </row>
    <row r="17">
      <c r="A17" t="inlineStr">
        <is>
          <t>Transformation, to mineral extraction site</t>
        </is>
      </c>
      <c r="D17" t="n">
        <v>2.599947315376522e-12</v>
      </c>
      <c r="E17" t="inlineStr">
        <is>
          <t>square meter</t>
        </is>
      </c>
      <c r="F17" t="inlineStr">
        <is>
          <t>biosphere3</t>
        </is>
      </c>
      <c r="G17" t="inlineStr">
        <is>
          <t>biosphere</t>
        </is>
      </c>
      <c r="H17" t="inlineStr">
        <is>
          <t>natural resource::land</t>
        </is>
      </c>
      <c r="I17" t="n">
        <v>2</v>
      </c>
      <c r="J17" t="n">
        <v>-26.67552993442314</v>
      </c>
      <c r="K17" t="n">
        <v>0.1070724544129482</v>
      </c>
    </row>
    <row r="18"/>
    <row r="19">
      <c r="A19" s="1" t="inlineStr">
        <is>
          <t>Activity</t>
        </is>
      </c>
      <c r="B19" s="1" t="inlineStr">
        <is>
          <t>lithium brine production, boron removal, from Salar de Cauchari-Olaroz</t>
        </is>
      </c>
    </row>
    <row r="20">
      <c r="A20" t="inlineStr">
        <is>
          <t>reference product</t>
        </is>
      </c>
      <c r="B20" t="inlineStr">
        <is>
          <t>lithium brine, boron-free</t>
        </is>
      </c>
    </row>
    <row r="21">
      <c r="A21" t="inlineStr">
        <is>
          <t>location</t>
        </is>
      </c>
      <c r="B21" t="inlineStr">
        <is>
          <t>AR</t>
        </is>
      </c>
    </row>
    <row r="22">
      <c r="A22" t="inlineStr">
        <is>
          <t>amount</t>
        </is>
      </c>
      <c r="B22" t="n">
        <v>1</v>
      </c>
    </row>
    <row r="23">
      <c r="A23" t="inlineStr">
        <is>
          <t>unit</t>
        </is>
      </c>
      <c r="B23" t="inlineStr">
        <is>
          <t>kilogram</t>
        </is>
      </c>
    </row>
    <row r="24">
      <c r="A24" t="inlineStr">
        <is>
          <t>comment</t>
        </is>
      </c>
      <c r="B24" t="inlineStr">
        <is>
          <t>Source: Regionalized life cycle assessment of present and future lithium production for Li-ion batteries. Vanessa Schenker, Christopher Oberschelp, Stephan Pfister.</t>
        </is>
      </c>
    </row>
    <row r="25">
      <c r="A25" t="inlineStr">
        <is>
          <t>Exchanges</t>
        </is>
      </c>
    </row>
    <row r="26" customFormat="1" s="1">
      <c r="A26" s="1" t="inlineStr">
        <is>
          <t>name</t>
        </is>
      </c>
      <c r="B26" s="1" t="inlineStr">
        <is>
          <t>reference product</t>
        </is>
      </c>
      <c r="C26" s="1" t="inlineStr">
        <is>
          <t>location</t>
        </is>
      </c>
      <c r="D26" s="1" t="inlineStr">
        <is>
          <t>amount</t>
        </is>
      </c>
      <c r="E26" s="1" t="inlineStr">
        <is>
          <t>unit</t>
        </is>
      </c>
      <c r="F26" s="1" t="inlineStr">
        <is>
          <t>database</t>
        </is>
      </c>
      <c r="G26" s="1" t="inlineStr">
        <is>
          <t>type</t>
        </is>
      </c>
      <c r="H26" s="1" t="inlineStr">
        <is>
          <t>categories</t>
        </is>
      </c>
      <c r="I26" s="1" t="inlineStr">
        <is>
          <t>uncertainty type</t>
        </is>
      </c>
      <c r="J26" s="1" t="inlineStr">
        <is>
          <t>loc</t>
        </is>
      </c>
      <c r="K26" s="1" t="inlineStr">
        <is>
          <t>scale</t>
        </is>
      </c>
      <c r="L26" s="1" t="inlineStr">
        <is>
          <t>minimum</t>
        </is>
      </c>
      <c r="M26" s="1" t="inlineStr">
        <is>
          <t>maximum</t>
        </is>
      </c>
    </row>
    <row r="27">
      <c r="A27" t="inlineStr">
        <is>
          <t>lithium brine production, boron removal, from Salar de Cauchari-Olaroz</t>
        </is>
      </c>
      <c r="B27" t="inlineStr">
        <is>
          <t>lithium brine, boron-free</t>
        </is>
      </c>
      <c r="C27" t="inlineStr">
        <is>
          <t>AR</t>
        </is>
      </c>
      <c r="D27" t="n">
        <v>1</v>
      </c>
      <c r="E27" t="inlineStr">
        <is>
          <t>kilogram</t>
        </is>
      </c>
      <c r="F27" t="inlineStr">
        <is>
          <t>Cauchari_38</t>
        </is>
      </c>
      <c r="G27" t="inlineStr">
        <is>
          <t>production</t>
        </is>
      </c>
    </row>
    <row r="28">
      <c r="A28" t="inlineStr">
        <is>
          <t>lithium brine production, from evaporation pond, from Salar de Cauchari-Olaroz</t>
        </is>
      </c>
      <c r="B28" t="inlineStr">
        <is>
          <t>lithium brine, from evaporation pond</t>
        </is>
      </c>
      <c r="C28" t="inlineStr">
        <is>
          <t>AR</t>
        </is>
      </c>
      <c r="D28" t="n">
        <v>1.040462427745665</v>
      </c>
      <c r="E28" t="inlineStr">
        <is>
          <t>kilogram</t>
        </is>
      </c>
      <c r="F28" t="inlineStr">
        <is>
          <t>Cauchari_38</t>
        </is>
      </c>
      <c r="G28" t="inlineStr">
        <is>
          <t>technosphere</t>
        </is>
      </c>
      <c r="I28" t="n">
        <v>5</v>
      </c>
      <c r="J28" t="n">
        <v>1.040462427745665</v>
      </c>
      <c r="L28" t="n">
        <v>0.7283236994219655</v>
      </c>
      <c r="M28" t="n">
        <v>1.352601156069365</v>
      </c>
    </row>
    <row r="29">
      <c r="A29" t="inlineStr">
        <is>
          <t>market for hydrochloric acid, without water, in 30% solution state</t>
        </is>
      </c>
      <c r="B29" t="inlineStr">
        <is>
          <t>hydrochloric acid, without water, in 30% solution state</t>
        </is>
      </c>
      <c r="C29" t="inlineStr">
        <is>
          <t>RoW</t>
        </is>
      </c>
      <c r="D29" t="n">
        <v>0.09698846492570905</v>
      </c>
      <c r="E29" t="inlineStr">
        <is>
          <t>kilogram</t>
        </is>
      </c>
      <c r="F29" t="inlineStr">
        <is>
          <t>ecoinvent 3.8 cutoff</t>
        </is>
      </c>
      <c r="G29" t="inlineStr">
        <is>
          <t>technosphere</t>
        </is>
      </c>
      <c r="I29" t="n">
        <v>5</v>
      </c>
      <c r="J29" t="n">
        <v>0.09698846492570905</v>
      </c>
      <c r="L29" t="n">
        <v>0.04849423246285452</v>
      </c>
      <c r="M29" t="n">
        <v>0.1454826973885636</v>
      </c>
    </row>
    <row r="30">
      <c r="A30" t="inlineStr">
        <is>
          <t>dearomatized hydrocarbon fluid production</t>
        </is>
      </c>
      <c r="B30" t="inlineStr">
        <is>
          <t>dearomatized hydrocarbon fluid</t>
        </is>
      </c>
      <c r="C30" t="inlineStr">
        <is>
          <t>GLO</t>
        </is>
      </c>
      <c r="D30" t="n">
        <v>0.02559694032769788</v>
      </c>
      <c r="E30" t="inlineStr">
        <is>
          <t>kilogram</t>
        </is>
      </c>
      <c r="F30" t="inlineStr">
        <is>
          <t>Cauchari_38</t>
        </is>
      </c>
      <c r="G30" t="inlineStr">
        <is>
          <t>technosphere</t>
        </is>
      </c>
      <c r="I30" t="n">
        <v>5</v>
      </c>
      <c r="J30" t="n">
        <v>0.02559694032769788</v>
      </c>
      <c r="L30" t="n">
        <v>0.01279847016384894</v>
      </c>
      <c r="M30" t="n">
        <v>0.03839541049154682</v>
      </c>
    </row>
    <row r="31">
      <c r="A31" t="inlineStr">
        <is>
          <t>market for neutralising agent, sodium hydroxide-equivalent</t>
        </is>
      </c>
      <c r="B31" t="inlineStr">
        <is>
          <t>neutralising agent, sodium hydroxide-equivalent</t>
        </is>
      </c>
      <c r="C31" t="inlineStr">
        <is>
          <t>GLO</t>
        </is>
      </c>
      <c r="D31" t="n">
        <v>0.07485549132947976</v>
      </c>
      <c r="E31" t="inlineStr">
        <is>
          <t>kilogram</t>
        </is>
      </c>
      <c r="F31" t="inlineStr">
        <is>
          <t>ecoinvent 3.8 cutoff</t>
        </is>
      </c>
      <c r="G31" t="inlineStr">
        <is>
          <t>technosphere</t>
        </is>
      </c>
      <c r="I31" t="n">
        <v>5</v>
      </c>
      <c r="J31" t="n">
        <v>0.07485549132947976</v>
      </c>
      <c r="L31" t="n">
        <v>0.03742774566473988</v>
      </c>
      <c r="M31" t="n">
        <v>0.1122832369942196</v>
      </c>
    </row>
    <row r="32">
      <c r="A32" t="inlineStr">
        <is>
          <t>water, pure, via reverse osmosis</t>
        </is>
      </c>
      <c r="B32" t="inlineStr">
        <is>
          <t>water, pure</t>
        </is>
      </c>
      <c r="C32" t="inlineStr">
        <is>
          <t>AR</t>
        </is>
      </c>
      <c r="D32" t="n">
        <v>0.259949005461631</v>
      </c>
      <c r="E32" t="inlineStr">
        <is>
          <t>kilogram</t>
        </is>
      </c>
      <c r="F32" t="inlineStr">
        <is>
          <t>Cauchari_38</t>
        </is>
      </c>
      <c r="G32" t="inlineStr">
        <is>
          <t>technosphere</t>
        </is>
      </c>
      <c r="I32" t="n">
        <v>5</v>
      </c>
      <c r="J32" t="n">
        <v>0.259949005461631</v>
      </c>
      <c r="L32" t="n">
        <v>0.1299745027308155</v>
      </c>
      <c r="M32" t="n">
        <v>0.3899235081924465</v>
      </c>
    </row>
    <row r="33"/>
    <row r="34">
      <c r="A34" s="1" t="inlineStr">
        <is>
          <t>Activity</t>
        </is>
      </c>
      <c r="B34" s="1" t="inlineStr">
        <is>
          <t>lithium brine production, manganese removal, from Salar de Cauchari-Olaroz</t>
        </is>
      </c>
    </row>
    <row r="35">
      <c r="A35" t="inlineStr">
        <is>
          <t>reference product</t>
        </is>
      </c>
      <c r="B35" t="inlineStr">
        <is>
          <t>lithium brine, manganese-free</t>
        </is>
      </c>
    </row>
    <row r="36">
      <c r="A36" t="inlineStr">
        <is>
          <t>location</t>
        </is>
      </c>
      <c r="B36" t="inlineStr">
        <is>
          <t>AR</t>
        </is>
      </c>
    </row>
    <row r="37">
      <c r="A37" t="inlineStr">
        <is>
          <t>amount</t>
        </is>
      </c>
      <c r="B37" t="n">
        <v>1</v>
      </c>
    </row>
    <row r="38">
      <c r="A38" t="inlineStr">
        <is>
          <t>unit</t>
        </is>
      </c>
      <c r="B38" t="inlineStr">
        <is>
          <t>kilogram</t>
        </is>
      </c>
    </row>
    <row r="39">
      <c r="A39" t="inlineStr">
        <is>
          <t>comment</t>
        </is>
      </c>
      <c r="B39" t="inlineStr">
        <is>
          <t>Source: Regionalized life cycle assessment of present and future lithium production for Li-ion batteries. Vanessa Schenker, Christopher Oberschelp, Stephan Pfister.</t>
        </is>
      </c>
    </row>
    <row r="40">
      <c r="A40" t="inlineStr">
        <is>
          <t>Exchanges</t>
        </is>
      </c>
    </row>
    <row r="41" customFormat="1" s="1">
      <c r="A41" s="1" t="inlineStr">
        <is>
          <t>name</t>
        </is>
      </c>
      <c r="B41" s="1" t="inlineStr">
        <is>
          <t>reference product</t>
        </is>
      </c>
      <c r="C41" s="1" t="inlineStr">
        <is>
          <t>location</t>
        </is>
      </c>
      <c r="D41" s="1" t="inlineStr">
        <is>
          <t>amount</t>
        </is>
      </c>
      <c r="E41" s="1" t="inlineStr">
        <is>
          <t>unit</t>
        </is>
      </c>
      <c r="F41" s="1" t="inlineStr">
        <is>
          <t>database</t>
        </is>
      </c>
      <c r="G41" s="1" t="inlineStr">
        <is>
          <t>type</t>
        </is>
      </c>
      <c r="H41" s="1" t="inlineStr">
        <is>
          <t>categories</t>
        </is>
      </c>
      <c r="I41" s="1" t="inlineStr">
        <is>
          <t>uncertainty type</t>
        </is>
      </c>
      <c r="J41" s="1" t="inlineStr">
        <is>
          <t>loc</t>
        </is>
      </c>
      <c r="K41" s="1" t="inlineStr">
        <is>
          <t>scale</t>
        </is>
      </c>
      <c r="L41" s="1" t="inlineStr">
        <is>
          <t>minimum</t>
        </is>
      </c>
      <c r="M41" s="1" t="inlineStr">
        <is>
          <t>maximum</t>
        </is>
      </c>
    </row>
    <row r="42">
      <c r="A42" t="inlineStr">
        <is>
          <t>lithium brine production, manganese removal, from Salar de Cauchari-Olaroz</t>
        </is>
      </c>
      <c r="B42" t="inlineStr">
        <is>
          <t>lithium brine, manganese-free</t>
        </is>
      </c>
      <c r="C42" t="inlineStr">
        <is>
          <t>AR</t>
        </is>
      </c>
      <c r="D42" t="n">
        <v>1</v>
      </c>
      <c r="E42" t="inlineStr">
        <is>
          <t>kilogram</t>
        </is>
      </c>
      <c r="F42" t="inlineStr">
        <is>
          <t>Cauchari_38</t>
        </is>
      </c>
      <c r="G42" t="inlineStr">
        <is>
          <t>production</t>
        </is>
      </c>
    </row>
    <row r="43">
      <c r="A43" t="inlineStr">
        <is>
          <t>lithium brine production, boron removal, from Salar de Cauchari-Olaroz</t>
        </is>
      </c>
      <c r="B43" t="inlineStr">
        <is>
          <t>lithium brine, boron-free</t>
        </is>
      </c>
      <c r="C43" t="inlineStr">
        <is>
          <t>AR</t>
        </is>
      </c>
      <c r="D43" t="n">
        <v>0.1666085555762893</v>
      </c>
      <c r="E43" t="inlineStr">
        <is>
          <t>kilogram</t>
        </is>
      </c>
      <c r="F43" t="inlineStr">
        <is>
          <t>Cauchari_38</t>
        </is>
      </c>
      <c r="G43" t="inlineStr">
        <is>
          <t>technosphere</t>
        </is>
      </c>
      <c r="I43" t="n">
        <v>5</v>
      </c>
      <c r="J43" t="n">
        <v>0.1666085555762893</v>
      </c>
      <c r="L43" t="n">
        <v>0.1166259889034025</v>
      </c>
      <c r="M43" t="n">
        <v>0.2165911222491761</v>
      </c>
    </row>
    <row r="44">
      <c r="A44" t="inlineStr">
        <is>
          <t>heat production, natural gas, at industrial furnace &gt;100kW</t>
        </is>
      </c>
      <c r="B44" t="inlineStr">
        <is>
          <t>heat, district or industrial, natural gas</t>
        </is>
      </c>
      <c r="C44" t="inlineStr">
        <is>
          <t>RoW</t>
        </is>
      </c>
      <c r="D44" t="n">
        <v>0</v>
      </c>
      <c r="E44" t="inlineStr">
        <is>
          <t>megajoule</t>
        </is>
      </c>
      <c r="F44" t="inlineStr">
        <is>
          <t>ecoinvent 3.8 cutoff</t>
        </is>
      </c>
      <c r="G44" t="inlineStr">
        <is>
          <t>technosphere</t>
        </is>
      </c>
    </row>
    <row r="45">
      <c r="A45" t="inlineStr">
        <is>
          <t>market for soda ash, light, crystalline, heptahydrate</t>
        </is>
      </c>
      <c r="B45" t="inlineStr">
        <is>
          <t>soda ash, light, crystalline, heptahydrate</t>
        </is>
      </c>
      <c r="C45" t="inlineStr">
        <is>
          <t>GLO</t>
        </is>
      </c>
      <c r="D45" t="n">
        <v>6.973330845282996e-05</v>
      </c>
      <c r="E45" t="inlineStr">
        <is>
          <t>kilogram</t>
        </is>
      </c>
      <c r="F45" t="inlineStr">
        <is>
          <t>ecoinvent 3.8 cutoff</t>
        </is>
      </c>
      <c r="G45" t="inlineStr">
        <is>
          <t>technosphere</t>
        </is>
      </c>
      <c r="I45" t="n">
        <v>5</v>
      </c>
      <c r="J45" t="n">
        <v>6.973330845282996e-05</v>
      </c>
      <c r="L45" t="n">
        <v>6.275997760754697e-05</v>
      </c>
      <c r="M45" t="n">
        <v>7.670663929811296e-05</v>
      </c>
    </row>
    <row r="46">
      <c r="A46" t="inlineStr">
        <is>
          <t>water, pure, via reverse osmosis</t>
        </is>
      </c>
      <c r="B46" t="inlineStr">
        <is>
          <t>water, pure</t>
        </is>
      </c>
      <c r="C46" t="inlineStr">
        <is>
          <t>AR</t>
        </is>
      </c>
      <c r="D46" t="n">
        <v>0.0002789332338113198</v>
      </c>
      <c r="E46" t="inlineStr">
        <is>
          <t>kilogram</t>
        </is>
      </c>
      <c r="F46" t="inlineStr">
        <is>
          <t>Cauchari_38</t>
        </is>
      </c>
      <c r="G46" t="inlineStr">
        <is>
          <t>technosphere</t>
        </is>
      </c>
      <c r="I46" t="n">
        <v>5</v>
      </c>
      <c r="J46" t="n">
        <v>0.0002789332338113198</v>
      </c>
      <c r="L46" t="n">
        <v>0.0001952532636679238</v>
      </c>
      <c r="M46" t="n">
        <v>0.0003626132039547157</v>
      </c>
    </row>
    <row r="47"/>
    <row r="48">
      <c r="A48" s="1" t="inlineStr">
        <is>
          <t>Activity</t>
        </is>
      </c>
      <c r="B48" s="1" t="inlineStr">
        <is>
          <t>lithium brine production, lime removal, from Salar de Cauchari-Olaroz</t>
        </is>
      </c>
    </row>
    <row r="49">
      <c r="A49" t="inlineStr">
        <is>
          <t>reference product</t>
        </is>
      </c>
      <c r="B49" t="inlineStr">
        <is>
          <t>lithium brine, lime-free</t>
        </is>
      </c>
    </row>
    <row r="50">
      <c r="A50" t="inlineStr">
        <is>
          <t>location</t>
        </is>
      </c>
      <c r="B50" t="inlineStr">
        <is>
          <t>AR</t>
        </is>
      </c>
    </row>
    <row r="51">
      <c r="A51" t="inlineStr">
        <is>
          <t>amount</t>
        </is>
      </c>
      <c r="B51" t="n">
        <v>1</v>
      </c>
    </row>
    <row r="52">
      <c r="A52" t="inlineStr">
        <is>
          <t>unit</t>
        </is>
      </c>
      <c r="B52" t="inlineStr">
        <is>
          <t>kilogram</t>
        </is>
      </c>
    </row>
    <row r="53">
      <c r="A53" t="inlineStr">
        <is>
          <t>comment</t>
        </is>
      </c>
      <c r="B53" t="inlineStr">
        <is>
          <t>Source: Regionalized life cycle assessment of present and future lithium production for Li-ion batteries. Vanessa Schenker, Christopher Oberschelp, Stephan Pfister.</t>
        </is>
      </c>
    </row>
    <row r="54">
      <c r="A54" t="inlineStr">
        <is>
          <t>Exchanges</t>
        </is>
      </c>
    </row>
    <row r="55" customFormat="1" s="1">
      <c r="A55" s="1" t="inlineStr">
        <is>
          <t>name</t>
        </is>
      </c>
      <c r="B55" s="1" t="inlineStr">
        <is>
          <t>reference product</t>
        </is>
      </c>
      <c r="C55" s="1" t="inlineStr">
        <is>
          <t>location</t>
        </is>
      </c>
      <c r="D55" s="1" t="inlineStr">
        <is>
          <t>amount</t>
        </is>
      </c>
      <c r="E55" s="1" t="inlineStr">
        <is>
          <t>unit</t>
        </is>
      </c>
      <c r="F55" s="1" t="inlineStr">
        <is>
          <t>database</t>
        </is>
      </c>
      <c r="G55" s="1" t="inlineStr">
        <is>
          <t>type</t>
        </is>
      </c>
      <c r="H55" s="1" t="inlineStr">
        <is>
          <t>categories</t>
        </is>
      </c>
      <c r="I55" s="1" t="inlineStr">
        <is>
          <t>uncertainty type</t>
        </is>
      </c>
      <c r="J55" s="1" t="inlineStr">
        <is>
          <t>loc</t>
        </is>
      </c>
      <c r="K55" s="1" t="inlineStr">
        <is>
          <t>scale</t>
        </is>
      </c>
      <c r="L55" s="1" t="inlineStr">
        <is>
          <t>minimum</t>
        </is>
      </c>
      <c r="M55" s="1" t="inlineStr">
        <is>
          <t>maximum</t>
        </is>
      </c>
    </row>
    <row r="56">
      <c r="A56" t="inlineStr">
        <is>
          <t>lithium brine production, lime removal, from Salar de Cauchari-Olaroz</t>
        </is>
      </c>
      <c r="B56" t="inlineStr">
        <is>
          <t>lithium brine, lime-free</t>
        </is>
      </c>
      <c r="C56" t="inlineStr">
        <is>
          <t>AR</t>
        </is>
      </c>
      <c r="D56" t="n">
        <v>1</v>
      </c>
      <c r="E56" t="inlineStr">
        <is>
          <t>kilogram</t>
        </is>
      </c>
      <c r="F56" t="inlineStr">
        <is>
          <t>Cauchari_38</t>
        </is>
      </c>
      <c r="G56" t="inlineStr">
        <is>
          <t>production</t>
        </is>
      </c>
    </row>
    <row r="57">
      <c r="A57" t="inlineStr">
        <is>
          <t>market for electricity, high voltage</t>
        </is>
      </c>
      <c r="B57" t="inlineStr">
        <is>
          <t>electricity, high voltage</t>
        </is>
      </c>
      <c r="C57" t="inlineStr">
        <is>
          <t>AR</t>
        </is>
      </c>
      <c r="D57" t="n">
        <v>0.001065217700202901</v>
      </c>
      <c r="E57" t="inlineStr">
        <is>
          <t>kilowatt hour</t>
        </is>
      </c>
      <c r="F57" t="inlineStr">
        <is>
          <t>ecoinvent 3.8 cutoff</t>
        </is>
      </c>
      <c r="G57" t="inlineStr">
        <is>
          <t>technosphere</t>
        </is>
      </c>
      <c r="I57" t="n">
        <v>2</v>
      </c>
      <c r="J57" t="n">
        <v>-6.844131554354946</v>
      </c>
      <c r="K57" t="n">
        <v>0.6111542917726381</v>
      </c>
    </row>
    <row r="58">
      <c r="A58" t="inlineStr">
        <is>
          <t>lithium brine production, manganese removal, from Salar de Cauchari-Olaroz</t>
        </is>
      </c>
      <c r="B58" t="inlineStr">
        <is>
          <t>lithium brine, manganese-free</t>
        </is>
      </c>
      <c r="C58" t="inlineStr">
        <is>
          <t>AR</t>
        </is>
      </c>
      <c r="D58" t="n">
        <v>0.9996658417288761</v>
      </c>
      <c r="E58" t="inlineStr">
        <is>
          <t>kilogram</t>
        </is>
      </c>
      <c r="F58" t="inlineStr">
        <is>
          <t>Cauchari_38</t>
        </is>
      </c>
      <c r="G58" t="inlineStr">
        <is>
          <t>technosphere</t>
        </is>
      </c>
      <c r="I58" t="n">
        <v>5</v>
      </c>
      <c r="J58" t="n">
        <v>0.999665841728877</v>
      </c>
      <c r="L58" t="n">
        <v>0.699766089210213</v>
      </c>
      <c r="M58" t="n">
        <v>1.299565594247534</v>
      </c>
    </row>
    <row r="59">
      <c r="A59" t="inlineStr">
        <is>
          <t>market for quicklime, milled, packed</t>
        </is>
      </c>
      <c r="B59" t="inlineStr">
        <is>
          <t>quicklime, milled, packed</t>
        </is>
      </c>
      <c r="C59" t="inlineStr">
        <is>
          <t>RoW</t>
        </is>
      </c>
      <c r="D59" t="n">
        <v>0.001383481939272662</v>
      </c>
      <c r="E59" t="inlineStr">
        <is>
          <t>kilogram</t>
        </is>
      </c>
      <c r="F59" t="inlineStr">
        <is>
          <t>ecoinvent 3.8 cutoff</t>
        </is>
      </c>
      <c r="G59" t="inlineStr">
        <is>
          <t>technosphere</t>
        </is>
      </c>
      <c r="I59" t="n">
        <v>5</v>
      </c>
      <c r="J59" t="n">
        <v>0.001383481939272662</v>
      </c>
      <c r="L59" t="n">
        <v>0.0009684373574908634</v>
      </c>
      <c r="M59" t="n">
        <v>0.001798526521054461</v>
      </c>
    </row>
    <row r="60">
      <c r="A60" t="inlineStr">
        <is>
          <t>water, pure, via reverse osmosis</t>
        </is>
      </c>
      <c r="B60" t="inlineStr">
        <is>
          <t>water, pure</t>
        </is>
      </c>
      <c r="C60" t="inlineStr">
        <is>
          <t>AR</t>
        </is>
      </c>
      <c r="D60" t="n">
        <v>0.0004444342291409797</v>
      </c>
      <c r="E60" t="inlineStr">
        <is>
          <t>kilogram</t>
        </is>
      </c>
      <c r="F60" t="inlineStr">
        <is>
          <t>Cauchari_38</t>
        </is>
      </c>
      <c r="G60" t="inlineStr">
        <is>
          <t>technosphere</t>
        </is>
      </c>
      <c r="I60" t="n">
        <v>5</v>
      </c>
      <c r="J60" t="n">
        <v>0.0004444342291409797</v>
      </c>
      <c r="L60" t="n">
        <v>0.0003111039603986858</v>
      </c>
      <c r="M60" t="n">
        <v>0.0005777644978832736</v>
      </c>
    </row>
    <row r="61"/>
    <row r="62">
      <c r="A62" s="1" t="inlineStr">
        <is>
          <t>Activity</t>
        </is>
      </c>
      <c r="B62" s="1" t="inlineStr">
        <is>
          <t>lithium brine production, sulfate removal, from Salar de Cauchari-Olaroz</t>
        </is>
      </c>
    </row>
    <row r="63">
      <c r="A63" t="inlineStr">
        <is>
          <t>reference product</t>
        </is>
      </c>
      <c r="B63" t="inlineStr">
        <is>
          <t>lithium brine, sulfate-free</t>
        </is>
      </c>
    </row>
    <row r="64">
      <c r="A64" t="inlineStr">
        <is>
          <t>location</t>
        </is>
      </c>
      <c r="B64" t="inlineStr">
        <is>
          <t>AR</t>
        </is>
      </c>
    </row>
    <row r="65">
      <c r="A65" t="inlineStr">
        <is>
          <t>amount</t>
        </is>
      </c>
      <c r="B65" t="n">
        <v>1</v>
      </c>
    </row>
    <row r="66">
      <c r="A66" t="inlineStr">
        <is>
          <t>unit</t>
        </is>
      </c>
      <c r="B66" t="inlineStr">
        <is>
          <t>kilogram</t>
        </is>
      </c>
    </row>
    <row r="67">
      <c r="A67" t="inlineStr">
        <is>
          <t>comment</t>
        </is>
      </c>
      <c r="B67" t="inlineStr">
        <is>
          <t>Source: Regionalized life cycle assessment of present and future lithium production for Li-ion batteries. Vanessa Schenker, Christopher Oberschelp, Stephan Pfister.</t>
        </is>
      </c>
    </row>
    <row r="68">
      <c r="A68" t="inlineStr">
        <is>
          <t>Exchanges</t>
        </is>
      </c>
    </row>
    <row r="69" customFormat="1" s="1">
      <c r="A69" s="1" t="inlineStr">
        <is>
          <t>name</t>
        </is>
      </c>
      <c r="B69" s="1" t="inlineStr">
        <is>
          <t>reference product</t>
        </is>
      </c>
      <c r="C69" s="1" t="inlineStr">
        <is>
          <t>location</t>
        </is>
      </c>
      <c r="D69" s="1" t="inlineStr">
        <is>
          <t>amount</t>
        </is>
      </c>
      <c r="E69" s="1" t="inlineStr">
        <is>
          <t>unit</t>
        </is>
      </c>
      <c r="F69" s="1" t="inlineStr">
        <is>
          <t>database</t>
        </is>
      </c>
      <c r="G69" s="1" t="inlineStr">
        <is>
          <t>type</t>
        </is>
      </c>
      <c r="H69" s="1" t="inlineStr">
        <is>
          <t>categories</t>
        </is>
      </c>
      <c r="I69" s="1" t="inlineStr">
        <is>
          <t>uncertainty type</t>
        </is>
      </c>
      <c r="J69" s="1" t="inlineStr">
        <is>
          <t>loc</t>
        </is>
      </c>
      <c r="K69" s="1" t="inlineStr">
        <is>
          <t>scale</t>
        </is>
      </c>
      <c r="L69" s="1" t="inlineStr">
        <is>
          <t>minimum</t>
        </is>
      </c>
      <c r="M69" s="1" t="inlineStr">
        <is>
          <t>maximum</t>
        </is>
      </c>
    </row>
    <row r="70">
      <c r="A70" t="inlineStr">
        <is>
          <t>lithium brine production, sulfate removal, from Salar de Cauchari-Olaroz</t>
        </is>
      </c>
      <c r="B70" t="inlineStr">
        <is>
          <t>lithium brine, sulfate-free</t>
        </is>
      </c>
      <c r="C70" t="inlineStr">
        <is>
          <t>AR</t>
        </is>
      </c>
      <c r="D70" t="n">
        <v>1</v>
      </c>
      <c r="E70" t="inlineStr">
        <is>
          <t>kilogram</t>
        </is>
      </c>
      <c r="F70" t="inlineStr">
        <is>
          <t>Cauchari_38</t>
        </is>
      </c>
      <c r="G70" t="inlineStr">
        <is>
          <t>production</t>
        </is>
      </c>
    </row>
    <row r="71">
      <c r="A71" t="inlineStr">
        <is>
          <t>market for electricity, high voltage</t>
        </is>
      </c>
      <c r="B71" t="inlineStr">
        <is>
          <t>electricity, high voltage</t>
        </is>
      </c>
      <c r="C71" t="inlineStr">
        <is>
          <t>AR</t>
        </is>
      </c>
      <c r="D71" t="n">
        <v>0.00106721979193447</v>
      </c>
      <c r="E71" t="inlineStr">
        <is>
          <t>kilowatt hour</t>
        </is>
      </c>
      <c r="F71" t="inlineStr">
        <is>
          <t>ecoinvent 3.8 cutoff</t>
        </is>
      </c>
      <c r="G71" t="inlineStr">
        <is>
          <t>technosphere</t>
        </is>
      </c>
      <c r="I71" t="n">
        <v>2</v>
      </c>
      <c r="J71" t="n">
        <v>-6.829594041824493</v>
      </c>
      <c r="K71" t="n">
        <v>0.6101330105919587</v>
      </c>
    </row>
    <row r="72">
      <c r="A72" t="inlineStr">
        <is>
          <t>lithium brine production, lime removal, from Salar de Cauchari-Olaroz</t>
        </is>
      </c>
      <c r="B72" t="inlineStr">
        <is>
          <t>lithium brine, lime-free</t>
        </is>
      </c>
      <c r="C72" t="inlineStr">
        <is>
          <t>AR</t>
        </is>
      </c>
      <c r="D72" t="n">
        <v>1.001544727815425</v>
      </c>
      <c r="E72" t="inlineStr">
        <is>
          <t>kilogram</t>
        </is>
      </c>
      <c r="F72" t="inlineStr">
        <is>
          <t>Cauchari_38</t>
        </is>
      </c>
      <c r="G72" t="inlineStr">
        <is>
          <t>technosphere</t>
        </is>
      </c>
      <c r="I72" t="n">
        <v>5</v>
      </c>
      <c r="J72" t="n">
        <v>1.001544727815421</v>
      </c>
      <c r="L72" t="n">
        <v>0.7010813094707979</v>
      </c>
      <c r="M72" t="n">
        <v>1.302008146160058</v>
      </c>
    </row>
    <row r="73">
      <c r="A73" t="inlineStr">
        <is>
          <t>market for calcium chloride</t>
        </is>
      </c>
      <c r="B73" t="inlineStr">
        <is>
          <t>calcium chloride</t>
        </is>
      </c>
      <c r="C73" t="inlineStr">
        <is>
          <t>RoW</t>
        </is>
      </c>
      <c r="D73" t="n">
        <v>0.001133232844537603</v>
      </c>
      <c r="E73" t="inlineStr">
        <is>
          <t>kilogram</t>
        </is>
      </c>
      <c r="F73" t="inlineStr">
        <is>
          <t>ecoinvent 3.8 cutoff</t>
        </is>
      </c>
      <c r="G73" t="inlineStr">
        <is>
          <t>technosphere</t>
        </is>
      </c>
      <c r="I73" t="n">
        <v>5</v>
      </c>
      <c r="J73" t="n">
        <v>0.001133232844537603</v>
      </c>
      <c r="L73" t="n">
        <v>0.000793262991176322</v>
      </c>
      <c r="M73" t="n">
        <v>0.001473202697898884</v>
      </c>
    </row>
    <row r="74">
      <c r="A74" t="inlineStr">
        <is>
          <t>water, pure, via reverse osmosis</t>
        </is>
      </c>
      <c r="B74" t="inlineStr">
        <is>
          <t>water, pure</t>
        </is>
      </c>
      <c r="C74" t="inlineStr">
        <is>
          <t>AR</t>
        </is>
      </c>
      <c r="D74" t="n">
        <v>0.003777442815125344</v>
      </c>
      <c r="E74" t="inlineStr">
        <is>
          <t>kilogram</t>
        </is>
      </c>
      <c r="F74" t="inlineStr">
        <is>
          <t>Cauchari_38</t>
        </is>
      </c>
      <c r="G74" t="inlineStr">
        <is>
          <t>technosphere</t>
        </is>
      </c>
      <c r="I74" t="n">
        <v>5</v>
      </c>
      <c r="J74" t="n">
        <v>0.003777442815125344</v>
      </c>
      <c r="L74" t="n">
        <v>0.002644209970587741</v>
      </c>
      <c r="M74" t="n">
        <v>0.004910675659662947</v>
      </c>
    </row>
    <row r="75"/>
    <row r="76">
      <c r="A76" s="1" t="inlineStr">
        <is>
          <t>Activity</t>
        </is>
      </c>
      <c r="B76" s="1" t="inlineStr">
        <is>
          <t>lithium carbonate precipitation 1, from Salar de Cauchari-Olaroz</t>
        </is>
      </c>
    </row>
    <row r="77">
      <c r="A77" t="inlineStr">
        <is>
          <t>reference product</t>
        </is>
      </c>
      <c r="B77" t="inlineStr">
        <is>
          <t>lithium carbonate, precipitated</t>
        </is>
      </c>
    </row>
    <row r="78">
      <c r="A78" t="inlineStr">
        <is>
          <t>location</t>
        </is>
      </c>
      <c r="B78" t="inlineStr">
        <is>
          <t>AR</t>
        </is>
      </c>
    </row>
    <row r="79">
      <c r="A79" t="inlineStr">
        <is>
          <t>amount</t>
        </is>
      </c>
      <c r="B79" t="n">
        <v>1</v>
      </c>
    </row>
    <row r="80">
      <c r="A80" t="inlineStr">
        <is>
          <t>unit</t>
        </is>
      </c>
      <c r="B80" t="inlineStr">
        <is>
          <t>kilogram</t>
        </is>
      </c>
    </row>
    <row r="81">
      <c r="A81" t="inlineStr">
        <is>
          <t>comment</t>
        </is>
      </c>
      <c r="B81" t="inlineStr">
        <is>
          <t>Source: Regionalized life cycle assessment of present and future lithium production for Li-ion batteries. Vanessa Schenker, Christopher Oberschelp, Stephan Pfister.</t>
        </is>
      </c>
    </row>
    <row r="82">
      <c r="A82" t="inlineStr">
        <is>
          <t>Exchanges</t>
        </is>
      </c>
    </row>
    <row r="83" customFormat="1" s="1">
      <c r="A83" s="1" t="inlineStr">
        <is>
          <t>name</t>
        </is>
      </c>
      <c r="B83" s="1" t="inlineStr">
        <is>
          <t>reference product</t>
        </is>
      </c>
      <c r="C83" s="1" t="inlineStr">
        <is>
          <t>location</t>
        </is>
      </c>
      <c r="D83" s="1" t="inlineStr">
        <is>
          <t>amount</t>
        </is>
      </c>
      <c r="E83" s="1" t="inlineStr">
        <is>
          <t>unit</t>
        </is>
      </c>
      <c r="F83" s="1" t="inlineStr">
        <is>
          <t>database</t>
        </is>
      </c>
      <c r="G83" s="1" t="inlineStr">
        <is>
          <t>type</t>
        </is>
      </c>
      <c r="H83" s="1" t="inlineStr">
        <is>
          <t>categories</t>
        </is>
      </c>
      <c r="I83" s="1" t="inlineStr">
        <is>
          <t>uncertainty type</t>
        </is>
      </c>
      <c r="J83" s="1" t="inlineStr">
        <is>
          <t>loc</t>
        </is>
      </c>
      <c r="K83" s="1" t="inlineStr">
        <is>
          <t>scale</t>
        </is>
      </c>
      <c r="L83" s="1" t="inlineStr">
        <is>
          <t>minimum</t>
        </is>
      </c>
      <c r="M83" s="1" t="inlineStr">
        <is>
          <t>maximum</t>
        </is>
      </c>
    </row>
    <row r="84">
      <c r="A84" t="inlineStr">
        <is>
          <t>lithium carbonate precipitation 1, from Salar de Cauchari-Olaroz</t>
        </is>
      </c>
      <c r="B84" t="inlineStr">
        <is>
          <t>lithium carbonate, precipitated</t>
        </is>
      </c>
      <c r="C84" t="inlineStr">
        <is>
          <t>AR</t>
        </is>
      </c>
      <c r="D84" t="n">
        <v>1</v>
      </c>
      <c r="E84" t="inlineStr">
        <is>
          <t>kilogram</t>
        </is>
      </c>
      <c r="F84" t="inlineStr">
        <is>
          <t>Cauchari_38</t>
        </is>
      </c>
      <c r="G84" t="inlineStr">
        <is>
          <t>production</t>
        </is>
      </c>
    </row>
    <row r="85">
      <c r="A85" t="inlineStr">
        <is>
          <t>lithium brine production, sulfate removal, from Salar de Cauchari-Olaroz</t>
        </is>
      </c>
      <c r="B85" t="inlineStr">
        <is>
          <t>lithium brine, sulfate-free</t>
        </is>
      </c>
      <c r="C85" t="inlineStr">
        <is>
          <t>AR</t>
        </is>
      </c>
      <c r="D85" t="n">
        <v>0.7808781440225389</v>
      </c>
      <c r="E85" t="inlineStr">
        <is>
          <t>kilogram</t>
        </is>
      </c>
      <c r="F85" t="inlineStr">
        <is>
          <t>Cauchari_38</t>
        </is>
      </c>
      <c r="G85" t="inlineStr">
        <is>
          <t>technosphere</t>
        </is>
      </c>
      <c r="I85" t="n">
        <v>5</v>
      </c>
      <c r="J85" t="n">
        <v>0.7808781440225389</v>
      </c>
      <c r="L85" t="n">
        <v>0.5466147008157772</v>
      </c>
      <c r="M85" t="n">
        <v>1.015141587229301</v>
      </c>
    </row>
    <row r="86">
      <c r="A86" t="inlineStr">
        <is>
          <t>market for electricity, high voltage</t>
        </is>
      </c>
      <c r="B86" t="inlineStr">
        <is>
          <t>electricity, high voltage</t>
        </is>
      </c>
      <c r="C86" t="inlineStr">
        <is>
          <t>AR</t>
        </is>
      </c>
      <c r="D86" t="n">
        <v>0.001920960234295445</v>
      </c>
      <c r="E86" t="inlineStr">
        <is>
          <t>kilowatt hour</t>
        </is>
      </c>
      <c r="F86" t="inlineStr">
        <is>
          <t>ecoinvent 3.8 cutoff</t>
        </is>
      </c>
      <c r="G86" t="inlineStr">
        <is>
          <t>technosphere</t>
        </is>
      </c>
      <c r="I86" t="n">
        <v>2</v>
      </c>
      <c r="J86" t="n">
        <v>-4.691198797348163</v>
      </c>
      <c r="K86" t="n">
        <v>0.4772370290708267</v>
      </c>
    </row>
    <row r="87">
      <c r="A87" t="inlineStr">
        <is>
          <t>market for hydrochloric acid, without water, in 30% solution state</t>
        </is>
      </c>
      <c r="B87" t="inlineStr">
        <is>
          <t>hydrochloric acid, without water, in 30% solution state</t>
        </is>
      </c>
      <c r="C87" t="inlineStr">
        <is>
          <t>RoW</t>
        </is>
      </c>
      <c r="D87" t="n">
        <v>0.0005622322636962279</v>
      </c>
      <c r="E87" t="inlineStr">
        <is>
          <t>kilogram</t>
        </is>
      </c>
      <c r="F87" t="inlineStr">
        <is>
          <t>ecoinvent 3.8 cutoff</t>
        </is>
      </c>
      <c r="G87" t="inlineStr">
        <is>
          <t>technosphere</t>
        </is>
      </c>
      <c r="I87" t="n">
        <v>2</v>
      </c>
      <c r="J87" t="n">
        <v>-5.650636767734443</v>
      </c>
      <c r="K87" t="n">
        <v>0.4772370290708267</v>
      </c>
    </row>
    <row r="88">
      <c r="A88" t="inlineStr">
        <is>
          <t>market for sodium hydroxide, without water, in 50% solution state</t>
        </is>
      </c>
      <c r="B88" t="inlineStr">
        <is>
          <t>sodium hydroxide, without water, in 50% solution state</t>
        </is>
      </c>
      <c r="C88" t="inlineStr">
        <is>
          <t>GLO</t>
        </is>
      </c>
      <c r="D88" t="n">
        <v>0.000281116131848114</v>
      </c>
      <c r="E88" t="inlineStr">
        <is>
          <t>kilogram</t>
        </is>
      </c>
      <c r="F88" t="inlineStr">
        <is>
          <t>ecoinvent 3.8 cutoff</t>
        </is>
      </c>
      <c r="G88" t="inlineStr">
        <is>
          <t>technosphere</t>
        </is>
      </c>
      <c r="I88" t="n">
        <v>2</v>
      </c>
      <c r="J88" t="n">
        <v>-6.191900251624552</v>
      </c>
      <c r="K88" t="n">
        <v>0.4772370290708267</v>
      </c>
    </row>
    <row r="89">
      <c r="A89" t="inlineStr">
        <is>
          <t>market for electricity, high voltage</t>
        </is>
      </c>
      <c r="B89" t="inlineStr">
        <is>
          <t>electricity, high voltage</t>
        </is>
      </c>
      <c r="C89" t="inlineStr">
        <is>
          <t>AR</t>
        </is>
      </c>
      <c r="D89" t="n">
        <v>0.001419778443677344</v>
      </c>
      <c r="E89" t="inlineStr">
        <is>
          <t>kilowatt hour</t>
        </is>
      </c>
      <c r="F89" t="inlineStr">
        <is>
          <t>ecoinvent 3.8 cutoff</t>
        </is>
      </c>
      <c r="G89" t="inlineStr">
        <is>
          <t>technosphere</t>
        </is>
      </c>
      <c r="I89" t="n">
        <v>2</v>
      </c>
      <c r="J89" t="n">
        <v>-4.028843481612879</v>
      </c>
      <c r="K89" t="n">
        <v>0.4804555830423756</v>
      </c>
    </row>
    <row r="90">
      <c r="A90" t="inlineStr">
        <is>
          <t>heat production, natural gas, at industrial furnace &gt;100kW</t>
        </is>
      </c>
      <c r="B90" t="inlineStr">
        <is>
          <t>heat, district or industrial, natural gas</t>
        </is>
      </c>
      <c r="C90" t="inlineStr">
        <is>
          <t>RoW</t>
        </is>
      </c>
      <c r="D90" t="n">
        <v>0.1029339371666072</v>
      </c>
      <c r="E90" t="inlineStr">
        <is>
          <t>megajoule</t>
        </is>
      </c>
      <c r="F90" t="inlineStr">
        <is>
          <t>ecoinvent 3.8 cutoff</t>
        </is>
      </c>
      <c r="G90" t="inlineStr">
        <is>
          <t>technosphere</t>
        </is>
      </c>
      <c r="I90" t="n">
        <v>2</v>
      </c>
      <c r="J90" t="n">
        <v>-1.216499317480739</v>
      </c>
      <c r="K90" t="n">
        <v>0.4804555830423756</v>
      </c>
    </row>
    <row r="91">
      <c r="A91" t="inlineStr">
        <is>
          <t>heat production, natural gas, at industrial furnace &gt;100kW</t>
        </is>
      </c>
      <c r="B91" t="inlineStr">
        <is>
          <t>heat, district or industrial, natural gas</t>
        </is>
      </c>
      <c r="C91" t="inlineStr">
        <is>
          <t>RoW</t>
        </is>
      </c>
      <c r="D91" t="n">
        <v>0.2362538403853071</v>
      </c>
      <c r="E91" t="inlineStr">
        <is>
          <t>megajoule</t>
        </is>
      </c>
      <c r="F91" t="inlineStr">
        <is>
          <t>ecoinvent 3.8 cutoff</t>
        </is>
      </c>
      <c r="G91" t="inlineStr">
        <is>
          <t>technosphere</t>
        </is>
      </c>
      <c r="I91" t="n">
        <v>5</v>
      </c>
      <c r="J91" t="n">
        <v>0.2362538403853071</v>
      </c>
      <c r="L91" t="n">
        <v>0.165377688269715</v>
      </c>
      <c r="M91" t="n">
        <v>0.3071299925008992</v>
      </c>
    </row>
    <row r="92">
      <c r="A92" t="inlineStr">
        <is>
          <t>market for soda ash, light, crystalline, heptahydrate</t>
        </is>
      </c>
      <c r="B92" t="inlineStr">
        <is>
          <t>soda ash, light, crystalline, heptahydrate</t>
        </is>
      </c>
      <c r="C92" t="inlineStr">
        <is>
          <t>GLO</t>
        </is>
      </c>
      <c r="D92" t="n">
        <v>0.05724340170251467</v>
      </c>
      <c r="E92" t="inlineStr">
        <is>
          <t>kilogram</t>
        </is>
      </c>
      <c r="F92" t="inlineStr">
        <is>
          <t>ecoinvent 3.8 cutoff</t>
        </is>
      </c>
      <c r="G92" t="inlineStr">
        <is>
          <t>technosphere</t>
        </is>
      </c>
      <c r="I92" t="n">
        <v>5</v>
      </c>
      <c r="J92" t="n">
        <v>0.05724340170251467</v>
      </c>
      <c r="L92" t="n">
        <v>0.04007038119176027</v>
      </c>
      <c r="M92" t="n">
        <v>0.07441642221326908</v>
      </c>
    </row>
    <row r="93">
      <c r="A93" t="inlineStr">
        <is>
          <t>water, pure, via reverse osmosis</t>
        </is>
      </c>
      <c r="B93" t="inlineStr">
        <is>
          <t>water, pure</t>
        </is>
      </c>
      <c r="C93" t="inlineStr">
        <is>
          <t>AR</t>
        </is>
      </c>
      <c r="D93" t="n">
        <v>0.2862170085125734</v>
      </c>
      <c r="E93" t="inlineStr">
        <is>
          <t>kilogram</t>
        </is>
      </c>
      <c r="F93" t="inlineStr">
        <is>
          <t>Cauchari_38</t>
        </is>
      </c>
      <c r="G93" t="inlineStr">
        <is>
          <t>technosphere</t>
        </is>
      </c>
      <c r="I93" t="n">
        <v>5</v>
      </c>
      <c r="J93" t="n">
        <v>0.2862170085125734</v>
      </c>
      <c r="L93" t="n">
        <v>0.2003519059588014</v>
      </c>
      <c r="M93" t="n">
        <v>0.3720821110663455</v>
      </c>
    </row>
    <row r="94">
      <c r="A94" t="inlineStr">
        <is>
          <t>Heat, waste</t>
        </is>
      </c>
      <c r="D94" t="n">
        <v>0.00379506777994954</v>
      </c>
      <c r="E94" t="inlineStr">
        <is>
          <t>megajoule</t>
        </is>
      </c>
      <c r="F94" t="inlineStr">
        <is>
          <t>biosphere3</t>
        </is>
      </c>
      <c r="G94" t="inlineStr">
        <is>
          <t>biosphere</t>
        </is>
      </c>
      <c r="H94" t="inlineStr">
        <is>
          <t>air</t>
        </is>
      </c>
      <c r="I94" t="n">
        <v>2</v>
      </c>
      <c r="J94">
        <f>LN(D94)</f>
        <v>-5.5740530079647783</v>
      </c>
      <c r="K94">
        <f>LN(SQRT(EXP(
SQRT(
+POWER(LN(1.05),2)
+POWER(LN(1.2),2)
+POWER(LN(1),2)
+POWER(LN(1.01),2)
+POWER(LN(1.2),2)
+POWER(LN(1.2),2)
+POWER(LN(1.5),2)
)
)))</f>
        <v>0.25816898211842121</v>
      </c>
    </row>
    <row r="95">
      <c r="A95" t="inlineStr">
        <is>
          <t>Chlorine</t>
        </is>
      </c>
      <c r="D95" t="n">
        <v>0.000538805919375552</v>
      </c>
      <c r="E95" t="inlineStr">
        <is>
          <t>kilogram</t>
        </is>
      </c>
      <c r="F95" t="inlineStr">
        <is>
          <t>biosphere3</t>
        </is>
      </c>
      <c r="G95" t="inlineStr">
        <is>
          <t>biosphere</t>
        </is>
      </c>
      <c r="H95" t="inlineStr">
        <is>
          <t>water</t>
        </is>
      </c>
      <c r="I95" t="n">
        <v>2</v>
      </c>
      <c r="J95">
        <f>LN(D95)</f>
        <v>-7.5261551272680123</v>
      </c>
      <c r="K95">
        <f>LN(SQRT(EXP(
SQRT(
+POWER(LN(1.05),2)
+POWER(LN(1.2),2)
+POWER(LN(1),2)
+POWER(LN(1.01),2)
+POWER(LN(1.2),2)
+POWER(LN(1.2),2)
+POWER(LN(1.5),2)
)
)))</f>
        <v>0.25816898211842121</v>
      </c>
    </row>
    <row r="96">
      <c r="A96" t="inlineStr">
        <is>
          <t>Sodium</t>
        </is>
      </c>
      <c r="D96" t="n">
        <v>0.000163984410244733</v>
      </c>
      <c r="E96" t="inlineStr">
        <is>
          <t>kilogram</t>
        </is>
      </c>
      <c r="F96" t="inlineStr">
        <is>
          <t>biosphere3</t>
        </is>
      </c>
      <c r="G96" t="inlineStr">
        <is>
          <t>biosphere</t>
        </is>
      </c>
      <c r="H96" t="inlineStr">
        <is>
          <t>water</t>
        </is>
      </c>
      <c r="I96" t="n">
        <v>2</v>
      </c>
      <c r="J96">
        <f>LN(D96)</f>
        <v>-8.7157391941418503</v>
      </c>
      <c r="K96">
        <f>LN(SQRT(EXP(
SQRT(
+POWER(LN(1.05),2)
+POWER(LN(1.2),2)
+POWER(LN(1),2)
+POWER(LN(1.01),2)
+POWER(LN(1.2),2)
+POWER(LN(1.2),2)
+POWER(LN(1.5),2)
)
)))</f>
        <v>0.25816898211842121</v>
      </c>
    </row>
    <row r="97"/>
    <row r="98">
      <c r="A98" s="1" t="inlineStr">
        <is>
          <t>Activity</t>
        </is>
      </c>
      <c r="B98" s="1" t="inlineStr">
        <is>
          <t>lithium carbonate precipitation 2, from Salar de Cauchari-Olaroz</t>
        </is>
      </c>
    </row>
    <row r="99">
      <c r="A99" t="inlineStr">
        <is>
          <t>reference product</t>
        </is>
      </c>
      <c r="B99" t="inlineStr">
        <is>
          <t>lithium carbonate, precipitated</t>
        </is>
      </c>
    </row>
    <row r="100">
      <c r="A100" t="inlineStr">
        <is>
          <t>location</t>
        </is>
      </c>
      <c r="B100" t="inlineStr">
        <is>
          <t>AR</t>
        </is>
      </c>
    </row>
    <row r="101">
      <c r="A101" t="inlineStr">
        <is>
          <t>amount</t>
        </is>
      </c>
      <c r="B101" t="n">
        <v>1</v>
      </c>
    </row>
    <row r="102">
      <c r="A102" t="inlineStr">
        <is>
          <t>unit</t>
        </is>
      </c>
      <c r="B102" t="inlineStr">
        <is>
          <t>kilogram</t>
        </is>
      </c>
    </row>
    <row r="103">
      <c r="A103" t="inlineStr">
        <is>
          <t>comment</t>
        </is>
      </c>
      <c r="B103" t="inlineStr">
        <is>
          <t>Source: Regionalized life cycle assessment of present and future lithium production for Li-ion batteries. Vanessa Schenker, Christopher Oberschelp, Stephan Pfister.</t>
        </is>
      </c>
    </row>
    <row r="104">
      <c r="A104" t="inlineStr">
        <is>
          <t>Exchanges</t>
        </is>
      </c>
    </row>
    <row r="105" customFormat="1" s="1">
      <c r="A105" s="1" t="inlineStr">
        <is>
          <t>name</t>
        </is>
      </c>
      <c r="B105" s="1" t="inlineStr">
        <is>
          <t>reference product</t>
        </is>
      </c>
      <c r="C105" s="1" t="inlineStr">
        <is>
          <t>location</t>
        </is>
      </c>
      <c r="D105" s="1" t="inlineStr">
        <is>
          <t>amount</t>
        </is>
      </c>
      <c r="E105" s="1" t="inlineStr">
        <is>
          <t>unit</t>
        </is>
      </c>
      <c r="F105" s="1" t="inlineStr">
        <is>
          <t>database</t>
        </is>
      </c>
      <c r="G105" s="1" t="inlineStr">
        <is>
          <t>type</t>
        </is>
      </c>
      <c r="H105" s="1" t="inlineStr">
        <is>
          <t>categories</t>
        </is>
      </c>
      <c r="I105" s="1" t="inlineStr">
        <is>
          <t>uncertainty type</t>
        </is>
      </c>
      <c r="J105" s="1" t="inlineStr">
        <is>
          <t>loc</t>
        </is>
      </c>
      <c r="K105" s="1" t="inlineStr">
        <is>
          <t>scale</t>
        </is>
      </c>
      <c r="L105" s="1" t="inlineStr">
        <is>
          <t>minimum</t>
        </is>
      </c>
      <c r="M105" s="1" t="inlineStr">
        <is>
          <t>maximum</t>
        </is>
      </c>
    </row>
    <row r="106">
      <c r="A106" t="inlineStr">
        <is>
          <t>lithium carbonate precipitation 2, from Salar de Cauchari-Olaroz</t>
        </is>
      </c>
      <c r="B106" t="inlineStr">
        <is>
          <t>lithium carbonate, precipitated</t>
        </is>
      </c>
      <c r="C106" t="inlineStr">
        <is>
          <t>AR</t>
        </is>
      </c>
      <c r="D106" t="n">
        <v>1</v>
      </c>
      <c r="E106" t="inlineStr">
        <is>
          <t>kilogram</t>
        </is>
      </c>
      <c r="F106" t="inlineStr">
        <is>
          <t>Cauchari_38</t>
        </is>
      </c>
      <c r="G106" t="inlineStr">
        <is>
          <t>production</t>
        </is>
      </c>
    </row>
    <row r="107">
      <c r="A107" t="inlineStr">
        <is>
          <t>lithium carbonate precipitation 1, from Salar de Cauchari-Olaroz</t>
        </is>
      </c>
      <c r="B107" t="inlineStr">
        <is>
          <t>lithium carbonate, precipitated</t>
        </is>
      </c>
      <c r="C107" t="inlineStr">
        <is>
          <t>AR</t>
        </is>
      </c>
      <c r="D107" t="n">
        <v>1.349566554870448</v>
      </c>
      <c r="E107" t="inlineStr">
        <is>
          <t>kilogram</t>
        </is>
      </c>
      <c r="F107" t="inlineStr">
        <is>
          <t>Cauchari_38</t>
        </is>
      </c>
      <c r="G107" t="inlineStr">
        <is>
          <t>technosphere</t>
        </is>
      </c>
      <c r="I107" t="n">
        <v>5</v>
      </c>
      <c r="J107" t="n">
        <v>1.349566554870448</v>
      </c>
      <c r="L107" t="n">
        <v>0.9446965884093126</v>
      </c>
      <c r="M107" t="n">
        <v>1.754436521331584</v>
      </c>
    </row>
    <row r="108">
      <c r="A108" t="inlineStr">
        <is>
          <t>market for electricity, high voltage</t>
        </is>
      </c>
      <c r="B108" t="inlineStr">
        <is>
          <t>electricity, high voltage</t>
        </is>
      </c>
      <c r="C108" t="inlineStr">
        <is>
          <t>AR</t>
        </is>
      </c>
      <c r="D108" t="n">
        <v>0.001438062722402936</v>
      </c>
      <c r="E108" t="inlineStr">
        <is>
          <t>kilowatt hour</t>
        </is>
      </c>
      <c r="F108" t="inlineStr">
        <is>
          <t>ecoinvent 3.8 cutoff</t>
        </is>
      </c>
      <c r="G108" t="inlineStr">
        <is>
          <t>technosphere</t>
        </is>
      </c>
      <c r="I108" t="n">
        <v>2</v>
      </c>
      <c r="J108" t="n">
        <v>-0.2076380259042675</v>
      </c>
      <c r="K108" t="n">
        <v>0.03456026946664508</v>
      </c>
    </row>
    <row r="109">
      <c r="A109" t="inlineStr">
        <is>
          <t>water, pure, via reverse osmosis</t>
        </is>
      </c>
      <c r="B109" t="inlineStr">
        <is>
          <t>water, pure</t>
        </is>
      </c>
      <c r="C109" t="inlineStr">
        <is>
          <t>AR</t>
        </is>
      </c>
      <c r="D109" t="n">
        <v>0.07539889666029369</v>
      </c>
      <c r="E109" t="inlineStr">
        <is>
          <t>kilogram</t>
        </is>
      </c>
      <c r="F109" t="inlineStr">
        <is>
          <t>Cauchari_38</t>
        </is>
      </c>
      <c r="G109" t="inlineStr">
        <is>
          <t>technosphere</t>
        </is>
      </c>
      <c r="I109" t="n">
        <v>5</v>
      </c>
      <c r="J109" t="n">
        <v>0.07539889666029365</v>
      </c>
      <c r="L109" t="n">
        <v>0.05277922766220559</v>
      </c>
      <c r="M109" t="n">
        <v>0.09801856565838182</v>
      </c>
    </row>
    <row r="110">
      <c r="A110" t="inlineStr">
        <is>
          <t>heat production, natural gas, at industrial furnace &gt;100kW</t>
        </is>
      </c>
      <c r="B110" t="inlineStr">
        <is>
          <t>heat, district or industrial, natural gas</t>
        </is>
      </c>
      <c r="C110" t="inlineStr">
        <is>
          <t>RoW</t>
        </is>
      </c>
      <c r="D110" t="n">
        <v>0.03118329827159565</v>
      </c>
      <c r="E110" t="inlineStr">
        <is>
          <t>megajoule</t>
        </is>
      </c>
      <c r="F110" t="inlineStr">
        <is>
          <t>ecoinvent 3.8 cutoff</t>
        </is>
      </c>
      <c r="G110" t="inlineStr">
        <is>
          <t>technosphere</t>
        </is>
      </c>
    </row>
    <row r="111">
      <c r="A111" t="inlineStr">
        <is>
          <t>heat production, natural gas, at industrial furnace &gt;100kW</t>
        </is>
      </c>
      <c r="B111" t="inlineStr">
        <is>
          <t>heat, district or industrial, natural gas</t>
        </is>
      </c>
      <c r="C111" t="inlineStr">
        <is>
          <t>RoW</t>
        </is>
      </c>
      <c r="D111" t="n">
        <v>0.4276597532241831</v>
      </c>
      <c r="E111" t="inlineStr">
        <is>
          <t>megajoule</t>
        </is>
      </c>
      <c r="F111" t="inlineStr">
        <is>
          <t>ecoinvent 3.8 cutoff</t>
        </is>
      </c>
      <c r="G111" t="inlineStr">
        <is>
          <t>technosphere</t>
        </is>
      </c>
      <c r="I111" t="n">
        <v>5</v>
      </c>
      <c r="J111" t="n">
        <v>0.4276597532241831</v>
      </c>
      <c r="L111" t="n">
        <v>0.2993618272569282</v>
      </c>
      <c r="M111" t="n">
        <v>0.555957679191438</v>
      </c>
    </row>
    <row r="112"/>
    <row r="113">
      <c r="A113" s="1" t="inlineStr">
        <is>
          <t>Activity</t>
        </is>
      </c>
      <c r="B113" s="1" t="inlineStr">
        <is>
          <t>lithium carbonate production, from Salar de Cauchari-Olaroz</t>
        </is>
      </c>
    </row>
    <row r="114">
      <c r="A114" t="inlineStr">
        <is>
          <t>reference product</t>
        </is>
      </c>
      <c r="B114" t="inlineStr">
        <is>
          <t>lithium carbonate, battery grade</t>
        </is>
      </c>
    </row>
    <row r="115">
      <c r="A115" t="inlineStr">
        <is>
          <t>location</t>
        </is>
      </c>
      <c r="B115" t="inlineStr">
        <is>
          <t>AR</t>
        </is>
      </c>
    </row>
    <row r="116">
      <c r="A116" t="inlineStr">
        <is>
          <t>amount</t>
        </is>
      </c>
      <c r="B116" t="n">
        <v>1</v>
      </c>
    </row>
    <row r="117">
      <c r="A117" t="inlineStr">
        <is>
          <t>unit</t>
        </is>
      </c>
      <c r="B117" t="inlineStr">
        <is>
          <t>kilogram</t>
        </is>
      </c>
    </row>
    <row r="118">
      <c r="A118" t="inlineStr">
        <is>
          <t>comment</t>
        </is>
      </c>
      <c r="B118" t="inlineStr">
        <is>
          <t>Source: Regionalized life cycle assessment of present and future lithium production for Li-ion batteries. Vanessa Schenker, Christopher Oberschelp, Stephan Pfister.</t>
        </is>
      </c>
    </row>
    <row r="119">
      <c r="A119" t="inlineStr">
        <is>
          <t>Exchanges</t>
        </is>
      </c>
    </row>
    <row r="120" customFormat="1" s="1">
      <c r="A120" s="1" t="inlineStr">
        <is>
          <t>name</t>
        </is>
      </c>
      <c r="B120" s="1" t="inlineStr">
        <is>
          <t>reference product</t>
        </is>
      </c>
      <c r="C120" s="1" t="inlineStr">
        <is>
          <t>location</t>
        </is>
      </c>
      <c r="D120" s="1" t="inlineStr">
        <is>
          <t>amount</t>
        </is>
      </c>
      <c r="E120" s="1" t="inlineStr">
        <is>
          <t>unit</t>
        </is>
      </c>
      <c r="F120" s="1" t="inlineStr">
        <is>
          <t>database</t>
        </is>
      </c>
      <c r="G120" s="1" t="inlineStr">
        <is>
          <t>type</t>
        </is>
      </c>
      <c r="H120" s="1" t="inlineStr">
        <is>
          <t>categories</t>
        </is>
      </c>
      <c r="I120" s="1" t="inlineStr">
        <is>
          <t>uncertainty type</t>
        </is>
      </c>
      <c r="J120" s="1" t="inlineStr">
        <is>
          <t>loc</t>
        </is>
      </c>
      <c r="K120" s="1" t="inlineStr">
        <is>
          <t>scale</t>
        </is>
      </c>
      <c r="L120" s="1" t="inlineStr">
        <is>
          <t>minimum</t>
        </is>
      </c>
      <c r="M120" s="1" t="inlineStr">
        <is>
          <t>maximum</t>
        </is>
      </c>
    </row>
    <row r="121">
      <c r="A121" t="inlineStr">
        <is>
          <t>lithium carbonate production, from Salar de Cauchari-Olaroz</t>
        </is>
      </c>
      <c r="B121" t="inlineStr">
        <is>
          <t>lithium carbonate, battery grade</t>
        </is>
      </c>
      <c r="C121" t="inlineStr">
        <is>
          <t>AR</t>
        </is>
      </c>
      <c r="D121" t="n">
        <v>1</v>
      </c>
      <c r="E121" t="inlineStr">
        <is>
          <t>kilogram</t>
        </is>
      </c>
      <c r="F121" t="inlineStr">
        <is>
          <t>Cauchari_38</t>
        </is>
      </c>
      <c r="G121" t="inlineStr">
        <is>
          <t>production</t>
        </is>
      </c>
    </row>
    <row r="122">
      <c r="A122" t="inlineStr">
        <is>
          <t>lithium carbonate precipitation 2, from Salar de Cauchari-Olaroz</t>
        </is>
      </c>
      <c r="B122" t="inlineStr">
        <is>
          <t>lithium carbonate, precipitated</t>
        </is>
      </c>
      <c r="C122" t="inlineStr">
        <is>
          <t>AR</t>
        </is>
      </c>
      <c r="D122" t="n">
        <v>26.52558709195587</v>
      </c>
      <c r="E122" t="inlineStr">
        <is>
          <t>kilogram</t>
        </is>
      </c>
      <c r="F122" t="inlineStr">
        <is>
          <t>Cauchari_38</t>
        </is>
      </c>
      <c r="G122" t="inlineStr">
        <is>
          <t>technosphere</t>
        </is>
      </c>
      <c r="I122" t="n">
        <v>5</v>
      </c>
      <c r="J122" t="n">
        <v>26.52558709195589</v>
      </c>
      <c r="L122" t="n">
        <v>18.56791096436909</v>
      </c>
      <c r="M122" t="n">
        <v>34.48326321954269</v>
      </c>
    </row>
    <row r="123">
      <c r="A123" t="inlineStr">
        <is>
          <t>market for electricity, high voltage</t>
        </is>
      </c>
      <c r="B123" t="inlineStr">
        <is>
          <t>electricity, high voltage</t>
        </is>
      </c>
      <c r="C123" t="inlineStr">
        <is>
          <t>AR</t>
        </is>
      </c>
      <c r="D123" t="n">
        <v>0.02927400468384074</v>
      </c>
      <c r="E123" t="inlineStr">
        <is>
          <t>kilowatt hour</t>
        </is>
      </c>
      <c r="F123" t="inlineStr">
        <is>
          <t>ecoinvent 3.8 cutoff</t>
        </is>
      </c>
      <c r="G123" t="inlineStr">
        <is>
          <t>technosphere</t>
        </is>
      </c>
      <c r="I123" t="n">
        <v>2</v>
      </c>
      <c r="J123" t="n">
        <v>-5.904780715542793</v>
      </c>
      <c r="K123" t="n">
        <v>0.9167314376589567</v>
      </c>
    </row>
    <row r="124">
      <c r="A124" t="inlineStr">
        <is>
          <t>water, pure, via reverse osmosis</t>
        </is>
      </c>
      <c r="B124" t="inlineStr">
        <is>
          <t>water, pure</t>
        </is>
      </c>
      <c r="C124" t="inlineStr">
        <is>
          <t>AR</t>
        </is>
      </c>
      <c r="D124" t="n">
        <v>2</v>
      </c>
      <c r="E124" t="inlineStr">
        <is>
          <t>kilogram</t>
        </is>
      </c>
      <c r="F124" t="inlineStr">
        <is>
          <t>Cauchari_38</t>
        </is>
      </c>
      <c r="G124" t="inlineStr">
        <is>
          <t>technosphere</t>
        </is>
      </c>
      <c r="I124" t="n">
        <v>5</v>
      </c>
      <c r="J124" t="n">
        <v>1.999999999999998</v>
      </c>
      <c r="L124" t="n">
        <v>1.4</v>
      </c>
      <c r="M124" t="n">
        <v>2.6</v>
      </c>
    </row>
    <row r="125">
      <c r="A125" t="inlineStr">
        <is>
          <t>heat production, natural gas, at industrial furnace &gt;100kW</t>
        </is>
      </c>
      <c r="B125" t="inlineStr">
        <is>
          <t>heat, district or industrial, natural gas</t>
        </is>
      </c>
      <c r="C125" t="inlineStr">
        <is>
          <t>RoW</t>
        </is>
      </c>
      <c r="D125" t="n">
        <v>0.8271552941176468</v>
      </c>
      <c r="E125" t="inlineStr">
        <is>
          <t>megajoule</t>
        </is>
      </c>
      <c r="F125" t="inlineStr">
        <is>
          <t>ecoinvent 3.8 cutoff</t>
        </is>
      </c>
      <c r="G125" t="inlineStr">
        <is>
          <t>technosphere</t>
        </is>
      </c>
      <c r="I125" t="n">
        <v>5</v>
      </c>
      <c r="J125" t="n">
        <v>0.8271552941176454</v>
      </c>
      <c r="L125" t="n">
        <v>0.5790087058823514</v>
      </c>
      <c r="M125" t="n">
        <v>1.075301882352939</v>
      </c>
    </row>
    <row r="126">
      <c r="A126" t="inlineStr">
        <is>
          <t>market for electricity, high voltage</t>
        </is>
      </c>
      <c r="B126" t="inlineStr">
        <is>
          <t>electricity, high voltage</t>
        </is>
      </c>
      <c r="C126" t="inlineStr">
        <is>
          <t>AR</t>
        </is>
      </c>
      <c r="D126" t="n">
        <v>0.003729508196721312</v>
      </c>
      <c r="E126" t="inlineStr">
        <is>
          <t>kilowatt hour</t>
        </is>
      </c>
      <c r="F126" t="inlineStr">
        <is>
          <t>ecoinvent 3.8 cutoff</t>
        </is>
      </c>
      <c r="G126" t="inlineStr">
        <is>
          <t>technosphere</t>
        </is>
      </c>
      <c r="I126" t="n">
        <v>2</v>
      </c>
      <c r="J126" t="n">
        <v>-8.995416019308914</v>
      </c>
      <c r="K126" t="n">
        <v>0.916731437658957</v>
      </c>
    </row>
    <row r="127">
      <c r="A127" t="inlineStr">
        <is>
          <t>heat production, natural gas, at industrial furnace &gt;100kW</t>
        </is>
      </c>
      <c r="B127" t="inlineStr">
        <is>
          <t>heat, district or industrial, natural gas</t>
        </is>
      </c>
      <c r="C127" t="inlineStr">
        <is>
          <t>RoW</t>
        </is>
      </c>
      <c r="D127" t="n">
        <v>2.470588235294118</v>
      </c>
      <c r="E127" t="inlineStr">
        <is>
          <t>megajoule</t>
        </is>
      </c>
      <c r="F127" t="inlineStr">
        <is>
          <t>ecoinvent 3.8 cutoff</t>
        </is>
      </c>
      <c r="G127" t="inlineStr">
        <is>
          <t>technosphere</t>
        </is>
      </c>
      <c r="I127" t="n">
        <v>2</v>
      </c>
      <c r="J127" t="n">
        <v>0.9044562742271525</v>
      </c>
      <c r="K127" t="n">
        <v>1.003444081984377</v>
      </c>
    </row>
    <row r="128">
      <c r="A128" t="inlineStr">
        <is>
          <t>market for electricity, high voltage</t>
        </is>
      </c>
      <c r="B128" t="inlineStr">
        <is>
          <t>electricity, high voltage</t>
        </is>
      </c>
      <c r="C128" t="inlineStr">
        <is>
          <t>AR</t>
        </is>
      </c>
      <c r="D128" t="n">
        <v>0.3</v>
      </c>
      <c r="E128" t="inlineStr">
        <is>
          <t>kilowatt hour</t>
        </is>
      </c>
      <c r="F128" t="inlineStr">
        <is>
          <t>ecoinvent 3.8 cutoff</t>
        </is>
      </c>
      <c r="G128" t="inlineStr">
        <is>
          <t>technosphere</t>
        </is>
      </c>
      <c r="I128" t="n">
        <v>2</v>
      </c>
      <c r="J128" t="n">
        <v>-1.203972804325936</v>
      </c>
      <c r="K128" t="n">
        <v>1.003444081984377</v>
      </c>
    </row>
  </sheetData>
  <autoFilter ref="A1:M128"/>
  <pageMargins left="0.7" right="0.7" top="0.75" bottom="0.75" header="0.3" footer="0.3"/>
</worksheet>
</file>

<file path=xl/worksheets/sheet6.xml><?xml version="1.0" encoding="utf-8"?>
<worksheet xmlns="http://schemas.openxmlformats.org/spreadsheetml/2006/main">
  <sheetPr>
    <tabColor rgb="FF00B050"/>
    <outlinePr summaryBelow="1" summaryRight="1"/>
    <pageSetUpPr/>
  </sheetPr>
  <dimension ref="A1:M97"/>
  <sheetViews>
    <sheetView zoomScaleNormal="50" workbookViewId="0">
      <selection activeCell="B33" sqref="B33"/>
    </sheetView>
  </sheetViews>
  <sheetFormatPr baseColWidth="10" defaultColWidth="8.83203125" defaultRowHeight="15"/>
  <cols>
    <col width="73.83203125" customWidth="1" min="1" max="1"/>
    <col width="30.83203125" customWidth="1" min="2" max="2"/>
    <col width="20.83203125" customWidth="1" min="3" max="3"/>
    <col width="11.33203125" bestFit="1" customWidth="1" min="4" max="4"/>
    <col width="22.33203125" customWidth="1" min="5" max="5"/>
    <col width="20.5" customWidth="1" min="6" max="6"/>
    <col width="16.83203125" customWidth="1" min="7" max="7"/>
  </cols>
  <sheetData>
    <row r="1">
      <c r="A1" s="1" t="inlineStr">
        <is>
          <t>Activity</t>
        </is>
      </c>
      <c r="B1" s="1" t="inlineStr">
        <is>
          <t>lithium brine production, from evaporation pond, from Salar del Hombre Muerto</t>
        </is>
      </c>
    </row>
    <row r="2">
      <c r="A2" t="inlineStr">
        <is>
          <t>reference product</t>
        </is>
      </c>
      <c r="B2" t="inlineStr">
        <is>
          <t>lithium brine, from evaporation pond</t>
        </is>
      </c>
    </row>
    <row r="3">
      <c r="A3" t="inlineStr">
        <is>
          <t>location</t>
        </is>
      </c>
      <c r="B3" t="inlineStr">
        <is>
          <t>AR</t>
        </is>
      </c>
    </row>
    <row r="4">
      <c r="A4" t="inlineStr">
        <is>
          <t>amount</t>
        </is>
      </c>
      <c r="B4" t="n">
        <v>1</v>
      </c>
    </row>
    <row r="5" ht="14" customHeight="1">
      <c r="A5" t="inlineStr">
        <is>
          <t>unit</t>
        </is>
      </c>
      <c r="B5" t="inlineStr">
        <is>
          <t>kilogram</t>
        </is>
      </c>
    </row>
    <row r="6">
      <c r="A6" t="inlineStr">
        <is>
          <t>comment</t>
        </is>
      </c>
      <c r="B6" t="inlineStr">
        <is>
          <t>Source: Regionalized life cycle assessment of present and future lithium production for Li-ion batteries. Vanessa Schenker, Christopher Oberschelp, Stephan Pfister.</t>
        </is>
      </c>
    </row>
    <row r="7">
      <c r="A7" t="inlineStr">
        <is>
          <t>Exchanges</t>
        </is>
      </c>
    </row>
    <row r="8" customFormat="1" s="1">
      <c r="A8" s="1" t="inlineStr">
        <is>
          <t>name</t>
        </is>
      </c>
      <c r="B8" s="1" t="inlineStr">
        <is>
          <t>reference product</t>
        </is>
      </c>
      <c r="C8" s="1" t="inlineStr">
        <is>
          <t>location</t>
        </is>
      </c>
      <c r="D8" s="1" t="inlineStr">
        <is>
          <t>amount</t>
        </is>
      </c>
      <c r="E8" s="1" t="inlineStr">
        <is>
          <t>unit</t>
        </is>
      </c>
      <c r="F8" s="1" t="inlineStr">
        <is>
          <t>database</t>
        </is>
      </c>
      <c r="G8" s="1" t="inlineStr">
        <is>
          <t>type</t>
        </is>
      </c>
      <c r="H8" s="1" t="inlineStr">
        <is>
          <t>categories</t>
        </is>
      </c>
      <c r="I8" s="1" t="inlineStr">
        <is>
          <t>uncertainty type</t>
        </is>
      </c>
      <c r="J8" s="1" t="inlineStr">
        <is>
          <t>loc</t>
        </is>
      </c>
      <c r="K8" s="1" t="inlineStr">
        <is>
          <t>scale</t>
        </is>
      </c>
      <c r="L8" s="1" t="inlineStr">
        <is>
          <t>minimum</t>
        </is>
      </c>
      <c r="M8" s="1" t="inlineStr">
        <is>
          <t>maximum</t>
        </is>
      </c>
    </row>
    <row r="9">
      <c r="A9" t="inlineStr">
        <is>
          <t>lithium brine production, from evaporation pond, from Salar del Hombre Muerto</t>
        </is>
      </c>
      <c r="B9" t="inlineStr">
        <is>
          <t>lithium brine, from evaporation pond</t>
        </is>
      </c>
      <c r="C9" t="inlineStr">
        <is>
          <t>AR</t>
        </is>
      </c>
      <c r="D9" t="n">
        <v>1</v>
      </c>
      <c r="E9" t="inlineStr">
        <is>
          <t>kilogram</t>
        </is>
      </c>
      <c r="F9" t="inlineStr">
        <is>
          <t>Hombre Muerto_38</t>
        </is>
      </c>
      <c r="G9" t="inlineStr">
        <is>
          <t>production</t>
        </is>
      </c>
    </row>
    <row r="10">
      <c r="A10" t="inlineStr">
        <is>
          <t>Lithium, in ground</t>
        </is>
      </c>
      <c r="D10" t="n">
        <v>0.02136918144074027</v>
      </c>
      <c r="E10" t="inlineStr">
        <is>
          <t>kilogram</t>
        </is>
      </c>
      <c r="F10" t="inlineStr">
        <is>
          <t>biosphere3</t>
        </is>
      </c>
      <c r="G10" t="inlineStr">
        <is>
          <t>biosphere</t>
        </is>
      </c>
      <c r="H10" t="inlineStr">
        <is>
          <t>natural resource::in ground</t>
        </is>
      </c>
      <c r="I10" t="n">
        <v>5</v>
      </c>
      <c r="J10" t="n">
        <v>0.02136918144074027</v>
      </c>
      <c r="L10" t="n">
        <v>0.01495842700851819</v>
      </c>
      <c r="M10" t="n">
        <v>0.02777993587296235</v>
      </c>
    </row>
    <row r="11">
      <c r="A11" t="inlineStr">
        <is>
          <t>market for electricity, high voltage</t>
        </is>
      </c>
      <c r="B11" t="inlineStr">
        <is>
          <t>electricity, high voltage</t>
        </is>
      </c>
      <c r="C11" t="inlineStr">
        <is>
          <t>AR</t>
        </is>
      </c>
      <c r="D11" t="n">
        <v>0.005275318648792672</v>
      </c>
      <c r="E11" t="inlineStr">
        <is>
          <t>kilowatt hour</t>
        </is>
      </c>
      <c r="F11" t="inlineStr">
        <is>
          <t>ecoinvent 3.8 cutoff</t>
        </is>
      </c>
      <c r="G11" t="inlineStr">
        <is>
          <t>technosphere</t>
        </is>
      </c>
      <c r="I11" t="n">
        <v>5</v>
      </c>
      <c r="J11" t="n">
        <v>0.005275318648792672</v>
      </c>
      <c r="L11" t="n">
        <v>0.004484020851473771</v>
      </c>
      <c r="M11" t="n">
        <v>0.006066616446111572</v>
      </c>
    </row>
    <row r="12">
      <c r="A12" t="inlineStr">
        <is>
          <t>machine operation, diesel, &gt;= 74.57 kW, high load factor</t>
        </is>
      </c>
      <c r="B12" t="inlineStr">
        <is>
          <t>machine operation, diesel, &gt;= 74.57 kW, high load factor</t>
        </is>
      </c>
      <c r="C12" t="inlineStr">
        <is>
          <t>GLO</t>
        </is>
      </c>
      <c r="D12" t="n">
        <v>7.254975997689348e-05</v>
      </c>
      <c r="E12" t="inlineStr">
        <is>
          <t>hour</t>
        </is>
      </c>
      <c r="F12" t="inlineStr">
        <is>
          <t>ecoinvent 3.8 cutoff</t>
        </is>
      </c>
      <c r="G12" t="inlineStr">
        <is>
          <t>technosphere</t>
        </is>
      </c>
      <c r="I12" t="n">
        <v>2</v>
      </c>
      <c r="J12" t="n">
        <v>-9.531237887021446</v>
      </c>
      <c r="K12" t="n">
        <v>0.7490959055619069</v>
      </c>
    </row>
    <row r="13">
      <c r="A13" t="inlineStr">
        <is>
          <t>market for quicklime, milled, packed</t>
        </is>
      </c>
      <c r="B13" t="inlineStr">
        <is>
          <t>quicklime, milled, packed</t>
        </is>
      </c>
      <c r="C13" t="inlineStr">
        <is>
          <t>RoW</t>
        </is>
      </c>
      <c r="D13" t="n">
        <v>0.1347141132054436</v>
      </c>
      <c r="E13" t="inlineStr">
        <is>
          <t>kilogram</t>
        </is>
      </c>
      <c r="F13" t="inlineStr">
        <is>
          <t>ecoinvent 3.8 cutoff</t>
        </is>
      </c>
      <c r="G13" t="inlineStr">
        <is>
          <t>technosphere</t>
        </is>
      </c>
      <c r="I13" t="n">
        <v>5</v>
      </c>
      <c r="J13" t="n">
        <v>0.1347141132054436</v>
      </c>
      <c r="L13" t="n">
        <v>0.1212427018848992</v>
      </c>
      <c r="M13" t="n">
        <v>0.148185524525988</v>
      </c>
    </row>
    <row r="14">
      <c r="A14" t="inlineStr">
        <is>
          <t>water, pure, via reverse osmosis</t>
        </is>
      </c>
      <c r="B14" t="inlineStr">
        <is>
          <t>water, pure</t>
        </is>
      </c>
      <c r="C14" t="inlineStr">
        <is>
          <t>AR</t>
        </is>
      </c>
      <c r="D14" t="n">
        <v>0.1287314802939144</v>
      </c>
      <c r="E14" t="inlineStr">
        <is>
          <t>kilogram</t>
        </is>
      </c>
      <c r="F14" t="inlineStr">
        <is>
          <t>Hombre Muerto_38</t>
        </is>
      </c>
      <c r="G14" t="inlineStr">
        <is>
          <t>technosphere</t>
        </is>
      </c>
      <c r="I14" t="n">
        <v>2</v>
      </c>
      <c r="J14" t="n">
        <v>-2.050026592161962</v>
      </c>
      <c r="K14" t="n">
        <v>0.5143126949204253</v>
      </c>
    </row>
    <row r="15">
      <c r="A15" t="inlineStr">
        <is>
          <t>Occupation, mineral extraction site</t>
        </is>
      </c>
      <c r="D15" t="n">
        <v>2.549758099494904e-10</v>
      </c>
      <c r="E15" t="inlineStr">
        <is>
          <t>square meter-year</t>
        </is>
      </c>
      <c r="F15" t="inlineStr">
        <is>
          <t>biosphere3</t>
        </is>
      </c>
      <c r="G15" t="inlineStr">
        <is>
          <t>biosphere</t>
        </is>
      </c>
      <c r="H15" t="inlineStr">
        <is>
          <t>natural resource::land</t>
        </is>
      </c>
      <c r="I15" t="n">
        <v>2</v>
      </c>
      <c r="J15" t="n">
        <v>-22.08985243821307</v>
      </c>
      <c r="K15" t="n">
        <v>0.1897729544463139</v>
      </c>
    </row>
    <row r="16">
      <c r="A16" t="inlineStr">
        <is>
          <t>Transformation, from unknown</t>
        </is>
      </c>
      <c r="D16" t="n">
        <v>8.499193664983014e-12</v>
      </c>
      <c r="E16" t="inlineStr">
        <is>
          <t>square meter</t>
        </is>
      </c>
      <c r="F16" t="inlineStr">
        <is>
          <t>biosphere3</t>
        </is>
      </c>
      <c r="G16" t="inlineStr">
        <is>
          <t>biosphere</t>
        </is>
      </c>
      <c r="H16" t="inlineStr">
        <is>
          <t>natural resource::land</t>
        </is>
      </c>
      <c r="I16" t="n">
        <v>2</v>
      </c>
      <c r="J16" t="n">
        <v>-25.49104981987523</v>
      </c>
      <c r="K16" t="n">
        <v>0.05265571353150134</v>
      </c>
    </row>
    <row r="17">
      <c r="A17" t="inlineStr">
        <is>
          <t>Transformation, to mineral extraction site</t>
        </is>
      </c>
      <c r="D17" t="n">
        <v>8.499193664983014e-12</v>
      </c>
      <c r="E17" t="inlineStr">
        <is>
          <t>square meter</t>
        </is>
      </c>
      <c r="F17" t="inlineStr">
        <is>
          <t>biosphere3</t>
        </is>
      </c>
      <c r="G17" t="inlineStr">
        <is>
          <t>biosphere</t>
        </is>
      </c>
      <c r="H17" t="inlineStr">
        <is>
          <t>natural resource::land</t>
        </is>
      </c>
      <c r="I17" t="n">
        <v>2</v>
      </c>
      <c r="J17" t="n">
        <v>-25.49104981987523</v>
      </c>
      <c r="K17" t="n">
        <v>0.05265571353150134</v>
      </c>
    </row>
    <row r="18"/>
    <row r="19">
      <c r="A19" s="1" t="inlineStr">
        <is>
          <t>Activity</t>
        </is>
      </c>
      <c r="B19" s="1" t="inlineStr">
        <is>
          <t>lithium brine production, boron removal, from Salar del Hombre Muerto</t>
        </is>
      </c>
    </row>
    <row r="20">
      <c r="A20" t="inlineStr">
        <is>
          <t>reference product</t>
        </is>
      </c>
      <c r="B20" t="inlineStr">
        <is>
          <t>lithium brine, boron-free</t>
        </is>
      </c>
    </row>
    <row r="21">
      <c r="A21" t="inlineStr">
        <is>
          <t>location</t>
        </is>
      </c>
      <c r="B21" t="inlineStr">
        <is>
          <t>AR</t>
        </is>
      </c>
    </row>
    <row r="22">
      <c r="A22" t="inlineStr">
        <is>
          <t>amount</t>
        </is>
      </c>
      <c r="B22" t="n">
        <v>1</v>
      </c>
    </row>
    <row r="23">
      <c r="A23" t="inlineStr">
        <is>
          <t>unit</t>
        </is>
      </c>
      <c r="B23" t="inlineStr">
        <is>
          <t>kilogram</t>
        </is>
      </c>
    </row>
    <row r="24">
      <c r="A24" t="inlineStr">
        <is>
          <t>comment</t>
        </is>
      </c>
      <c r="B24" t="inlineStr">
        <is>
          <t>Source: Regionalized life cycle assessment of present and future lithium production for Li-ion batteries. Vanessa Schenker, Christopher Oberschelp, Stephan Pfister.</t>
        </is>
      </c>
    </row>
    <row r="25">
      <c r="A25" t="inlineStr">
        <is>
          <t>Exchanges</t>
        </is>
      </c>
    </row>
    <row r="26" customFormat="1" s="1">
      <c r="A26" s="1" t="inlineStr">
        <is>
          <t>name</t>
        </is>
      </c>
      <c r="B26" s="1" t="inlineStr">
        <is>
          <t>reference product</t>
        </is>
      </c>
      <c r="C26" s="1" t="inlineStr">
        <is>
          <t>location</t>
        </is>
      </c>
      <c r="D26" s="1" t="inlineStr">
        <is>
          <t>amount</t>
        </is>
      </c>
      <c r="E26" s="1" t="inlineStr">
        <is>
          <t>unit</t>
        </is>
      </c>
      <c r="F26" s="1" t="inlineStr">
        <is>
          <t>database</t>
        </is>
      </c>
      <c r="G26" s="1" t="inlineStr">
        <is>
          <t>type</t>
        </is>
      </c>
      <c r="H26" s="1" t="inlineStr">
        <is>
          <t>categories</t>
        </is>
      </c>
      <c r="I26" s="1" t="inlineStr">
        <is>
          <t>uncertainty type</t>
        </is>
      </c>
      <c r="J26" s="1" t="inlineStr">
        <is>
          <t>loc</t>
        </is>
      </c>
      <c r="K26" s="1" t="inlineStr">
        <is>
          <t>scale</t>
        </is>
      </c>
      <c r="L26" s="1" t="inlineStr">
        <is>
          <t>minimum</t>
        </is>
      </c>
      <c r="M26" s="1" t="inlineStr">
        <is>
          <t>maximum</t>
        </is>
      </c>
    </row>
    <row r="27">
      <c r="A27" t="inlineStr">
        <is>
          <t>lithium brine production, boron removal, from Salar del Hombre Muerto</t>
        </is>
      </c>
      <c r="B27" t="inlineStr">
        <is>
          <t>lithium brine, boron-free</t>
        </is>
      </c>
      <c r="C27" t="inlineStr">
        <is>
          <t>AR</t>
        </is>
      </c>
      <c r="D27" t="n">
        <v>1</v>
      </c>
      <c r="E27" t="inlineStr">
        <is>
          <t>kilogram</t>
        </is>
      </c>
      <c r="F27" t="inlineStr">
        <is>
          <t>Hombre Muerto_38</t>
        </is>
      </c>
      <c r="G27" t="inlineStr">
        <is>
          <t>production</t>
        </is>
      </c>
    </row>
    <row r="28">
      <c r="A28" t="inlineStr">
        <is>
          <t>market for electricity, high voltage</t>
        </is>
      </c>
      <c r="B28" t="inlineStr">
        <is>
          <t>electricity, high voltage</t>
        </is>
      </c>
      <c r="C28" t="inlineStr">
        <is>
          <t>AR</t>
        </is>
      </c>
      <c r="D28" t="n">
        <v>0.001079878524046434</v>
      </c>
      <c r="E28" t="inlineStr">
        <is>
          <t>kilowatt hour</t>
        </is>
      </c>
      <c r="F28" t="inlineStr">
        <is>
          <t>ecoinvent 3.8 cutoff</t>
        </is>
      </c>
      <c r="G28" t="inlineStr">
        <is>
          <t>technosphere</t>
        </is>
      </c>
      <c r="I28" t="n">
        <v>2</v>
      </c>
      <c r="J28" t="n">
        <v>-6.844964809522151</v>
      </c>
      <c r="K28" t="n">
        <v>0.9075629270332226</v>
      </c>
    </row>
    <row r="29">
      <c r="A29" t="inlineStr">
        <is>
          <t>lithium brine production, from evaporation pond, from Salar del Hombre Muerto</t>
        </is>
      </c>
      <c r="B29" t="inlineStr">
        <is>
          <t>lithium brine, from evaporation pond</t>
        </is>
      </c>
      <c r="C29" t="inlineStr">
        <is>
          <t>AR</t>
        </is>
      </c>
      <c r="D29" t="n">
        <v>1.001795922707208</v>
      </c>
      <c r="E29" t="inlineStr">
        <is>
          <t>kilogram</t>
        </is>
      </c>
      <c r="F29" t="inlineStr">
        <is>
          <t>Hombre Muerto_38</t>
        </is>
      </c>
      <c r="G29" t="inlineStr">
        <is>
          <t>technosphere</t>
        </is>
      </c>
      <c r="I29" t="n">
        <v>5</v>
      </c>
      <c r="J29" t="n">
        <v>1.001795922707208</v>
      </c>
      <c r="L29" t="n">
        <v>0.7012571458950455</v>
      </c>
      <c r="M29" t="n">
        <v>1.30233469951937</v>
      </c>
    </row>
    <row r="30">
      <c r="A30" t="inlineStr">
        <is>
          <t>heat production, natural gas, at industrial furnace &gt;100kW</t>
        </is>
      </c>
      <c r="B30" t="inlineStr">
        <is>
          <t>heat, district or industrial, natural gas</t>
        </is>
      </c>
      <c r="C30" t="inlineStr">
        <is>
          <t>RoW</t>
        </is>
      </c>
      <c r="D30" t="n">
        <v>0</v>
      </c>
      <c r="E30" t="inlineStr">
        <is>
          <t>megajoule</t>
        </is>
      </c>
      <c r="F30" t="inlineStr">
        <is>
          <t>ecoinvent 3.8 cutoff</t>
        </is>
      </c>
      <c r="G30" t="inlineStr">
        <is>
          <t>technosphere</t>
        </is>
      </c>
    </row>
    <row r="31">
      <c r="A31" t="inlineStr">
        <is>
          <t>market for hydrochloric acid, without water, in 30% solution state</t>
        </is>
      </c>
      <c r="B31" t="inlineStr">
        <is>
          <t>hydrochloric acid, without water, in 30% solution state</t>
        </is>
      </c>
      <c r="C31" t="inlineStr">
        <is>
          <t>RoW</t>
        </is>
      </c>
      <c r="D31" t="n">
        <v>0.03760545153902256</v>
      </c>
      <c r="E31" t="inlineStr">
        <is>
          <t>kilogram</t>
        </is>
      </c>
      <c r="F31" t="inlineStr">
        <is>
          <t>ecoinvent 3.8 cutoff</t>
        </is>
      </c>
      <c r="G31" t="inlineStr">
        <is>
          <t>technosphere</t>
        </is>
      </c>
      <c r="I31" t="n">
        <v>5</v>
      </c>
      <c r="J31" t="n">
        <v>0.03760545153902256</v>
      </c>
      <c r="L31" t="n">
        <v>0.01880272576951128</v>
      </c>
      <c r="M31" t="n">
        <v>0.05640817730853384</v>
      </c>
    </row>
    <row r="32">
      <c r="A32" t="inlineStr">
        <is>
          <t>dearomatized hydrocarbon fluid production</t>
        </is>
      </c>
      <c r="B32" t="inlineStr">
        <is>
          <t>dearomatized hydrocarbon fluid</t>
        </is>
      </c>
      <c r="C32" t="inlineStr">
        <is>
          <t>GLO</t>
        </is>
      </c>
      <c r="D32" t="n">
        <v>0.02978020410834638</v>
      </c>
      <c r="E32" t="inlineStr">
        <is>
          <t>kilogram</t>
        </is>
      </c>
      <c r="F32" t="inlineStr">
        <is>
          <t>Hombre Muerto_38</t>
        </is>
      </c>
      <c r="G32" t="inlineStr">
        <is>
          <t>technosphere</t>
        </is>
      </c>
      <c r="I32" t="n">
        <v>5</v>
      </c>
      <c r="J32" t="n">
        <v>0.02978020410834638</v>
      </c>
      <c r="L32" t="n">
        <v>0.01489010205417319</v>
      </c>
      <c r="M32" t="n">
        <v>0.04467030616251957</v>
      </c>
    </row>
    <row r="33">
      <c r="A33" t="inlineStr">
        <is>
          <t>market for neutralising agent, sodium hydroxide-equivalent</t>
        </is>
      </c>
      <c r="B33" t="inlineStr">
        <is>
          <t>neutralising agent, sodium hydroxide-equivalent</t>
        </is>
      </c>
      <c r="C33" t="inlineStr">
        <is>
          <t>GLO</t>
        </is>
      </c>
      <c r="D33" t="n">
        <v>0.003322457008335008</v>
      </c>
      <c r="E33" t="inlineStr">
        <is>
          <t>kilogram</t>
        </is>
      </c>
      <c r="F33" t="inlineStr">
        <is>
          <t>ecoinvent 3.8 cutoff</t>
        </is>
      </c>
      <c r="G33" t="inlineStr">
        <is>
          <t>technosphere</t>
        </is>
      </c>
      <c r="I33" t="n">
        <v>5</v>
      </c>
      <c r="J33" t="n">
        <v>0.003322457008335008</v>
      </c>
      <c r="L33" t="n">
        <v>0.001661228504167504</v>
      </c>
      <c r="M33" t="n">
        <v>0.004983685512502513</v>
      </c>
    </row>
    <row r="34">
      <c r="A34" t="inlineStr">
        <is>
          <t>water, pure, via reverse osmosis</t>
        </is>
      </c>
      <c r="B34" t="inlineStr">
        <is>
          <t>water, pure</t>
        </is>
      </c>
      <c r="C34" t="inlineStr">
        <is>
          <t>AR</t>
        </is>
      </c>
      <c r="D34" t="n">
        <v>0.02321022919173869</v>
      </c>
      <c r="E34" t="inlineStr">
        <is>
          <t>kilogram</t>
        </is>
      </c>
      <c r="F34" t="inlineStr">
        <is>
          <t>Hombre Muerto_38</t>
        </is>
      </c>
      <c r="G34" t="inlineStr">
        <is>
          <t>technosphere</t>
        </is>
      </c>
      <c r="I34" t="n">
        <v>5</v>
      </c>
      <c r="J34" t="n">
        <v>0.02321022919173869</v>
      </c>
      <c r="L34" t="n">
        <v>0.01160511459586934</v>
      </c>
      <c r="M34" t="n">
        <v>0.03481534378760803</v>
      </c>
    </row>
    <row r="35"/>
    <row r="36">
      <c r="A36" t="inlineStr">
        <is>
          <t>Activity</t>
        </is>
      </c>
      <c r="B36" s="1" t="inlineStr">
        <is>
          <t>lithium brine production, manganese removal, from Salar del Hombre Muerto</t>
        </is>
      </c>
    </row>
    <row r="37">
      <c r="A37" t="inlineStr">
        <is>
          <t>reference product</t>
        </is>
      </c>
      <c r="B37" t="inlineStr">
        <is>
          <t>lithium brine, manganese-free</t>
        </is>
      </c>
    </row>
    <row r="38">
      <c r="A38" t="inlineStr">
        <is>
          <t>location</t>
        </is>
      </c>
      <c r="B38" t="inlineStr">
        <is>
          <t>AR</t>
        </is>
      </c>
    </row>
    <row r="39">
      <c r="A39" t="inlineStr">
        <is>
          <t>amount</t>
        </is>
      </c>
      <c r="B39" t="n">
        <v>1</v>
      </c>
    </row>
    <row r="40">
      <c r="A40" t="inlineStr">
        <is>
          <t>unit</t>
        </is>
      </c>
      <c r="B40" t="inlineStr">
        <is>
          <t>kilogram</t>
        </is>
      </c>
    </row>
    <row r="41">
      <c r="A41" t="inlineStr">
        <is>
          <t>comment</t>
        </is>
      </c>
      <c r="B41" t="inlineStr">
        <is>
          <t>Source: Regionalized life cycle assessment of present and future lithium production for Li-ion batteries. Vanessa Schenker, Christopher Oberschelp, Stephan Pfister.</t>
        </is>
      </c>
    </row>
    <row r="42">
      <c r="A42" t="inlineStr">
        <is>
          <t>Exchanges</t>
        </is>
      </c>
    </row>
    <row r="43" customFormat="1" s="1">
      <c r="A43" s="1" t="inlineStr">
        <is>
          <t>name</t>
        </is>
      </c>
      <c r="B43" s="1" t="inlineStr">
        <is>
          <t>reference product</t>
        </is>
      </c>
      <c r="C43" s="1" t="inlineStr">
        <is>
          <t>location</t>
        </is>
      </c>
      <c r="D43" s="1" t="inlineStr">
        <is>
          <t>amount</t>
        </is>
      </c>
      <c r="E43" s="1" t="inlineStr">
        <is>
          <t>unit</t>
        </is>
      </c>
      <c r="F43" s="1" t="inlineStr">
        <is>
          <t>database</t>
        </is>
      </c>
      <c r="G43" s="1" t="inlineStr">
        <is>
          <t>type</t>
        </is>
      </c>
      <c r="H43" s="1" t="inlineStr">
        <is>
          <t>categories</t>
        </is>
      </c>
      <c r="I43" s="1" t="inlineStr">
        <is>
          <t>uncertainty type</t>
        </is>
      </c>
      <c r="J43" s="1" t="inlineStr">
        <is>
          <t>loc</t>
        </is>
      </c>
      <c r="K43" s="1" t="inlineStr">
        <is>
          <t>scale</t>
        </is>
      </c>
      <c r="L43" s="1" t="inlineStr">
        <is>
          <t>minimum</t>
        </is>
      </c>
      <c r="M43" s="1" t="inlineStr">
        <is>
          <t>maximum</t>
        </is>
      </c>
    </row>
    <row r="44">
      <c r="A44" t="inlineStr">
        <is>
          <t>lithium brine production, manganese removal, from Salar del Hombre Muerto</t>
        </is>
      </c>
      <c r="B44" t="inlineStr">
        <is>
          <t>lithium brine, manganese-free</t>
        </is>
      </c>
      <c r="C44" t="inlineStr">
        <is>
          <t>AR</t>
        </is>
      </c>
      <c r="D44" t="n">
        <v>1</v>
      </c>
      <c r="E44" t="inlineStr">
        <is>
          <t>kilogram</t>
        </is>
      </c>
      <c r="F44" t="inlineStr">
        <is>
          <t>Hombre Muerto_38</t>
        </is>
      </c>
      <c r="G44" t="inlineStr">
        <is>
          <t>production</t>
        </is>
      </c>
    </row>
    <row r="45">
      <c r="A45" t="inlineStr">
        <is>
          <t>lithium brine production, boron removal, from Salar del Hombre Muerto</t>
        </is>
      </c>
      <c r="B45" t="inlineStr">
        <is>
          <t>lithium brine, boron-free</t>
        </is>
      </c>
      <c r="C45" t="inlineStr">
        <is>
          <t>AR</t>
        </is>
      </c>
      <c r="D45" t="n">
        <v>0.9932380149044013</v>
      </c>
      <c r="E45" t="inlineStr">
        <is>
          <t>kilogram</t>
        </is>
      </c>
      <c r="F45" t="inlineStr">
        <is>
          <t>Hombre Muerto_38</t>
        </is>
      </c>
      <c r="G45" t="inlineStr">
        <is>
          <t>technosphere</t>
        </is>
      </c>
      <c r="I45" t="n">
        <v>5</v>
      </c>
      <c r="J45" t="n">
        <v>0.9932380149044013</v>
      </c>
      <c r="L45" t="n">
        <v>0.6952666104330809</v>
      </c>
      <c r="M45" t="n">
        <v>1.291209419375722</v>
      </c>
    </row>
    <row r="46">
      <c r="A46" t="inlineStr">
        <is>
          <t>market for electricity, high voltage</t>
        </is>
      </c>
      <c r="B46" t="inlineStr">
        <is>
          <t>electricity, high voltage</t>
        </is>
      </c>
      <c r="C46" t="inlineStr">
        <is>
          <t>AR</t>
        </is>
      </c>
      <c r="D46" t="n">
        <v>0.001070654576596784</v>
      </c>
      <c r="E46" t="inlineStr">
        <is>
          <t>kilowatt hour</t>
        </is>
      </c>
      <c r="F46" t="inlineStr">
        <is>
          <t>ecoinvent 3.8 cutoff</t>
        </is>
      </c>
      <c r="G46" t="inlineStr">
        <is>
          <t>technosphere</t>
        </is>
      </c>
      <c r="I46" t="n">
        <v>2</v>
      </c>
      <c r="J46" t="n">
        <v>-6.786497496494058</v>
      </c>
      <c r="K46" t="n">
        <v>0.5926693755001242</v>
      </c>
    </row>
    <row r="47">
      <c r="A47" t="inlineStr">
        <is>
          <t>heat production, natural gas, at industrial furnace &gt;100kW</t>
        </is>
      </c>
      <c r="B47" t="inlineStr">
        <is>
          <t>heat, district or industrial, natural gas</t>
        </is>
      </c>
      <c r="C47" t="inlineStr">
        <is>
          <t>RoW</t>
        </is>
      </c>
      <c r="D47" t="n">
        <v>0</v>
      </c>
      <c r="E47" t="inlineStr">
        <is>
          <t>megajoule</t>
        </is>
      </c>
      <c r="F47" t="inlineStr">
        <is>
          <t>ecoinvent 3.8 cutoff</t>
        </is>
      </c>
      <c r="G47" t="inlineStr">
        <is>
          <t>technosphere</t>
        </is>
      </c>
      <c r="I47" t="n">
        <v>5</v>
      </c>
      <c r="J47" t="n">
        <v>0</v>
      </c>
      <c r="L47" t="n">
        <v>0</v>
      </c>
      <c r="M47" t="n">
        <v>0.3</v>
      </c>
    </row>
    <row r="48">
      <c r="A48" t="inlineStr">
        <is>
          <t>market for soda ash, light, crystalline, heptahydrate</t>
        </is>
      </c>
      <c r="B48" t="inlineStr">
        <is>
          <t>soda ash, light, crystalline, heptahydrate</t>
        </is>
      </c>
      <c r="C48" t="inlineStr">
        <is>
          <t>GLO</t>
        </is>
      </c>
      <c r="D48" t="n">
        <v>0.00169049627389967</v>
      </c>
      <c r="E48" t="inlineStr">
        <is>
          <t>kilogram</t>
        </is>
      </c>
      <c r="F48" t="inlineStr">
        <is>
          <t>ecoinvent 3.8 cutoff</t>
        </is>
      </c>
      <c r="G48" t="inlineStr">
        <is>
          <t>technosphere</t>
        </is>
      </c>
      <c r="I48" t="n">
        <v>5</v>
      </c>
      <c r="J48" t="n">
        <v>0.00169049627389967</v>
      </c>
      <c r="L48" t="n">
        <v>0.001521446646509703</v>
      </c>
      <c r="M48" t="n">
        <v>0.001859545901289637</v>
      </c>
    </row>
    <row r="49">
      <c r="A49" t="inlineStr">
        <is>
          <t>water, pure, via reverse osmosis</t>
        </is>
      </c>
      <c r="B49" t="inlineStr">
        <is>
          <t>water, pure</t>
        </is>
      </c>
      <c r="C49" t="inlineStr">
        <is>
          <t>AR</t>
        </is>
      </c>
      <c r="D49" t="n">
        <v>0.006761985095598678</v>
      </c>
      <c r="E49" t="inlineStr">
        <is>
          <t>kilogram</t>
        </is>
      </c>
      <c r="F49" t="inlineStr">
        <is>
          <t>Hombre Muerto_38</t>
        </is>
      </c>
      <c r="G49" t="inlineStr">
        <is>
          <t>technosphere</t>
        </is>
      </c>
      <c r="I49" t="n">
        <v>5</v>
      </c>
      <c r="J49" t="n">
        <v>0.006761985095598678</v>
      </c>
      <c r="L49" t="n">
        <v>0.006085786586038811</v>
      </c>
      <c r="M49" t="n">
        <v>0.007438183605158547</v>
      </c>
    </row>
    <row r="50"/>
    <row r="51">
      <c r="A51" t="inlineStr">
        <is>
          <t>Activity</t>
        </is>
      </c>
      <c r="B51" s="1" t="inlineStr">
        <is>
          <t>lithium carbonate precipitation 1, from Salar del Hombre Muerto</t>
        </is>
      </c>
    </row>
    <row r="52">
      <c r="A52" t="inlineStr">
        <is>
          <t>reference product</t>
        </is>
      </c>
      <c r="B52" t="inlineStr">
        <is>
          <t>lithium carbonate, precipitated</t>
        </is>
      </c>
    </row>
    <row r="53">
      <c r="A53" t="inlineStr">
        <is>
          <t>location</t>
        </is>
      </c>
      <c r="B53" t="inlineStr">
        <is>
          <t>AR</t>
        </is>
      </c>
    </row>
    <row r="54">
      <c r="A54" t="inlineStr">
        <is>
          <t>amount</t>
        </is>
      </c>
      <c r="B54" t="n">
        <v>1</v>
      </c>
    </row>
    <row r="55">
      <c r="A55" t="inlineStr">
        <is>
          <t>unit</t>
        </is>
      </c>
      <c r="B55" t="inlineStr">
        <is>
          <t>kilogram</t>
        </is>
      </c>
    </row>
    <row r="56">
      <c r="A56" t="inlineStr">
        <is>
          <t>comment</t>
        </is>
      </c>
      <c r="B56" t="inlineStr">
        <is>
          <t>Source: Regionalized life cycle assessment of present and future lithium production for Li-ion batteries. Vanessa Schenker, Christopher Oberschelp, Stephan Pfister.</t>
        </is>
      </c>
    </row>
    <row r="57">
      <c r="A57" t="inlineStr">
        <is>
          <t>Exchanges</t>
        </is>
      </c>
    </row>
    <row r="58" customFormat="1" s="1">
      <c r="A58" s="1" t="inlineStr">
        <is>
          <t>name</t>
        </is>
      </c>
      <c r="B58" s="1" t="inlineStr">
        <is>
          <t>reference product</t>
        </is>
      </c>
      <c r="C58" s="1" t="inlineStr">
        <is>
          <t>location</t>
        </is>
      </c>
      <c r="D58" s="1" t="inlineStr">
        <is>
          <t>amount</t>
        </is>
      </c>
      <c r="E58" s="1" t="inlineStr">
        <is>
          <t>unit</t>
        </is>
      </c>
      <c r="F58" s="1" t="inlineStr">
        <is>
          <t>database</t>
        </is>
      </c>
      <c r="G58" s="1" t="inlineStr">
        <is>
          <t>type</t>
        </is>
      </c>
      <c r="H58" s="1" t="inlineStr">
        <is>
          <t>categories</t>
        </is>
      </c>
      <c r="I58" s="1" t="inlineStr">
        <is>
          <t>uncertainty type</t>
        </is>
      </c>
      <c r="J58" s="1" t="inlineStr">
        <is>
          <t>loc</t>
        </is>
      </c>
      <c r="K58" s="1" t="inlineStr">
        <is>
          <t>scale</t>
        </is>
      </c>
      <c r="L58" s="1" t="inlineStr">
        <is>
          <t>minimum</t>
        </is>
      </c>
      <c r="M58" s="1" t="inlineStr">
        <is>
          <t>maximum</t>
        </is>
      </c>
    </row>
    <row r="59">
      <c r="A59" t="inlineStr">
        <is>
          <t>lithium carbonate precipitation 1, from Salar del Hombre Muerto</t>
        </is>
      </c>
      <c r="B59" t="inlineStr">
        <is>
          <t>lithium carbonate, precipitated</t>
        </is>
      </c>
      <c r="C59" t="inlineStr">
        <is>
          <t>AR</t>
        </is>
      </c>
      <c r="D59" t="n">
        <v>1</v>
      </c>
      <c r="E59" t="inlineStr">
        <is>
          <t>kilogram</t>
        </is>
      </c>
      <c r="F59" t="inlineStr">
        <is>
          <t>Hombre Muerto_38</t>
        </is>
      </c>
      <c r="G59" t="inlineStr">
        <is>
          <t>production</t>
        </is>
      </c>
    </row>
    <row r="60">
      <c r="A60" t="inlineStr">
        <is>
          <t>market for electricity, high voltage</t>
        </is>
      </c>
      <c r="B60" t="inlineStr">
        <is>
          <t>electricity, high voltage</t>
        </is>
      </c>
      <c r="C60" t="inlineStr">
        <is>
          <t>AR</t>
        </is>
      </c>
      <c r="D60" t="n">
        <v>2.125096372367834e-05</v>
      </c>
      <c r="E60" t="inlineStr">
        <is>
          <t>kilowatt hour</t>
        </is>
      </c>
      <c r="F60" t="inlineStr">
        <is>
          <t>ecoinvent 3.8 cutoff</t>
        </is>
      </c>
      <c r="G60" t="inlineStr">
        <is>
          <t>technosphere</t>
        </is>
      </c>
      <c r="I60" t="n">
        <v>2</v>
      </c>
      <c r="J60" t="n">
        <v>-7.582175786613642</v>
      </c>
      <c r="K60" t="n">
        <v>0.4333915585189857</v>
      </c>
    </row>
    <row r="61">
      <c r="A61" t="inlineStr">
        <is>
          <t>lithium brine production, manganese removal, from Salar del Hombre Muerto</t>
        </is>
      </c>
      <c r="B61" t="inlineStr">
        <is>
          <t>lithium brine, manganese-free</t>
        </is>
      </c>
      <c r="C61" t="inlineStr">
        <is>
          <t>AR</t>
        </is>
      </c>
      <c r="D61" t="n">
        <v>0.7284338767045341</v>
      </c>
      <c r="E61" t="inlineStr">
        <is>
          <t>kilogram</t>
        </is>
      </c>
      <c r="F61" t="inlineStr">
        <is>
          <t>Hombre Muerto_38</t>
        </is>
      </c>
      <c r="G61" t="inlineStr">
        <is>
          <t>technosphere</t>
        </is>
      </c>
    </row>
    <row r="62">
      <c r="A62" t="inlineStr">
        <is>
          <t>heat production, natural gas, at industrial furnace &gt;100kW</t>
        </is>
      </c>
      <c r="B62" t="inlineStr">
        <is>
          <t>heat, district or industrial, natural gas</t>
        </is>
      </c>
      <c r="C62" t="inlineStr">
        <is>
          <t>RoW</t>
        </is>
      </c>
      <c r="D62" t="n">
        <v>0.08234632607130692</v>
      </c>
      <c r="E62" t="inlineStr">
        <is>
          <t>megajoule</t>
        </is>
      </c>
      <c r="F62" t="inlineStr">
        <is>
          <t>ecoinvent 3.8 cutoff</t>
        </is>
      </c>
      <c r="G62" t="inlineStr">
        <is>
          <t>technosphere</t>
        </is>
      </c>
      <c r="I62" t="n">
        <v>5</v>
      </c>
      <c r="J62" t="n">
        <v>0.08234632607130692</v>
      </c>
      <c r="L62" t="n">
        <v>0.05764242824991483</v>
      </c>
      <c r="M62" t="n">
        <v>0.107050223892699</v>
      </c>
    </row>
    <row r="63">
      <c r="A63" t="inlineStr">
        <is>
          <t>market for soda ash, light, crystalline, heptahydrate</t>
        </is>
      </c>
      <c r="B63" t="inlineStr">
        <is>
          <t>soda ash, light, crystalline, heptahydrate</t>
        </is>
      </c>
      <c r="C63" t="inlineStr">
        <is>
          <t>GLO</t>
        </is>
      </c>
      <c r="D63" t="n">
        <v>0.04972808793303699</v>
      </c>
      <c r="E63" t="inlineStr">
        <is>
          <t>kilogram</t>
        </is>
      </c>
      <c r="F63" t="inlineStr">
        <is>
          <t>ecoinvent 3.8 cutoff</t>
        </is>
      </c>
      <c r="G63" t="inlineStr">
        <is>
          <t>technosphere</t>
        </is>
      </c>
      <c r="I63" t="n">
        <v>5</v>
      </c>
      <c r="J63" t="n">
        <v>0.04972808793303699</v>
      </c>
      <c r="L63" t="n">
        <v>0.03480966155312589</v>
      </c>
      <c r="M63" t="n">
        <v>0.06464651431294809</v>
      </c>
    </row>
    <row r="64">
      <c r="A64" t="inlineStr">
        <is>
          <t>water, pure, via reverse osmosis</t>
        </is>
      </c>
      <c r="B64" t="inlineStr">
        <is>
          <t>water, pure</t>
        </is>
      </c>
      <c r="C64" t="inlineStr">
        <is>
          <t>AR</t>
        </is>
      </c>
      <c r="D64" t="n">
        <v>0.248640439665185</v>
      </c>
      <c r="E64" t="inlineStr">
        <is>
          <t>kilogram</t>
        </is>
      </c>
      <c r="F64" t="inlineStr">
        <is>
          <t>Hombre Muerto_38</t>
        </is>
      </c>
      <c r="G64" t="inlineStr">
        <is>
          <t>technosphere</t>
        </is>
      </c>
      <c r="I64" t="n">
        <v>5</v>
      </c>
      <c r="J64" t="n">
        <v>0.248640439665185</v>
      </c>
      <c r="L64" t="n">
        <v>0.1740483077656295</v>
      </c>
      <c r="M64" t="n">
        <v>0.3232325715647405</v>
      </c>
    </row>
    <row r="65"/>
    <row r="66">
      <c r="A66" t="inlineStr">
        <is>
          <t>Activity</t>
        </is>
      </c>
      <c r="B66" s="1" t="inlineStr">
        <is>
          <t>lithium carbonate precipitation 2, from Salar del Hombre Muerto</t>
        </is>
      </c>
    </row>
    <row r="67">
      <c r="A67" t="inlineStr">
        <is>
          <t>reference product</t>
        </is>
      </c>
      <c r="B67" t="inlineStr">
        <is>
          <t>lithium carbonate, precipitated</t>
        </is>
      </c>
    </row>
    <row r="68">
      <c r="A68" t="inlineStr">
        <is>
          <t>location</t>
        </is>
      </c>
      <c r="B68" t="inlineStr">
        <is>
          <t>AR</t>
        </is>
      </c>
    </row>
    <row r="69">
      <c r="A69" t="inlineStr">
        <is>
          <t>amount</t>
        </is>
      </c>
      <c r="B69" t="n">
        <v>1</v>
      </c>
    </row>
    <row r="70">
      <c r="A70" t="inlineStr">
        <is>
          <t>unit</t>
        </is>
      </c>
      <c r="B70" t="inlineStr">
        <is>
          <t>kilogram</t>
        </is>
      </c>
    </row>
    <row r="71">
      <c r="A71" t="inlineStr">
        <is>
          <t>comment</t>
        </is>
      </c>
      <c r="B71" t="inlineStr">
        <is>
          <t>Source: Regionalized life cycle assessment of present and future lithium production for Li-ion batteries. Vanessa Schenker, Christopher Oberschelp, Stephan Pfister.</t>
        </is>
      </c>
    </row>
    <row r="72">
      <c r="A72" t="inlineStr">
        <is>
          <t>Exchanges</t>
        </is>
      </c>
    </row>
    <row r="73" customFormat="1" s="1">
      <c r="A73" s="1" t="inlineStr">
        <is>
          <t>name</t>
        </is>
      </c>
      <c r="B73" s="1" t="inlineStr">
        <is>
          <t>reference product</t>
        </is>
      </c>
      <c r="C73" s="1" t="inlineStr">
        <is>
          <t>location</t>
        </is>
      </c>
      <c r="D73" s="1" t="inlineStr">
        <is>
          <t>amount</t>
        </is>
      </c>
      <c r="E73" s="1" t="inlineStr">
        <is>
          <t>unit</t>
        </is>
      </c>
      <c r="F73" s="1" t="inlineStr">
        <is>
          <t>database</t>
        </is>
      </c>
      <c r="G73" s="1" t="inlineStr">
        <is>
          <t>type</t>
        </is>
      </c>
      <c r="H73" s="1" t="inlineStr">
        <is>
          <t>categories</t>
        </is>
      </c>
      <c r="I73" s="1" t="inlineStr">
        <is>
          <t>uncertainty type</t>
        </is>
      </c>
      <c r="J73" s="1" t="inlineStr">
        <is>
          <t>loc</t>
        </is>
      </c>
      <c r="K73" s="1" t="inlineStr">
        <is>
          <t>scale</t>
        </is>
      </c>
      <c r="L73" s="1" t="inlineStr">
        <is>
          <t>minimum</t>
        </is>
      </c>
      <c r="M73" s="1" t="inlineStr">
        <is>
          <t>maximum</t>
        </is>
      </c>
    </row>
    <row r="74">
      <c r="A74" t="inlineStr">
        <is>
          <t>lithium carbonate precipitation 2, from Salar del Hombre Muerto</t>
        </is>
      </c>
      <c r="B74" t="inlineStr">
        <is>
          <t>lithium carbonate, precipitated</t>
        </is>
      </c>
      <c r="C74" t="inlineStr">
        <is>
          <t>AR</t>
        </is>
      </c>
      <c r="D74" t="n">
        <v>1</v>
      </c>
      <c r="E74" t="inlineStr">
        <is>
          <t>kilogram</t>
        </is>
      </c>
      <c r="F74" t="inlineStr">
        <is>
          <t>Hombre Muerto_38</t>
        </is>
      </c>
      <c r="G74" t="inlineStr">
        <is>
          <t>production</t>
        </is>
      </c>
    </row>
    <row r="75">
      <c r="A75" t="inlineStr">
        <is>
          <t>lithium carbonate precipitation 1, from Salar del Hombre Muerto</t>
        </is>
      </c>
      <c r="B75" t="inlineStr">
        <is>
          <t>lithium carbonate, precipitated</t>
        </is>
      </c>
      <c r="C75" t="inlineStr">
        <is>
          <t>AR</t>
        </is>
      </c>
      <c r="D75" t="n">
        <v>1.177094713258485</v>
      </c>
      <c r="E75" t="inlineStr">
        <is>
          <t>kilogram</t>
        </is>
      </c>
      <c r="F75" t="inlineStr">
        <is>
          <t>Hombre Muerto_38</t>
        </is>
      </c>
      <c r="G75" t="inlineStr">
        <is>
          <t>technosphere</t>
        </is>
      </c>
      <c r="I75" t="n">
        <v>5</v>
      </c>
      <c r="J75" t="n">
        <v>1.177094713258482</v>
      </c>
      <c r="L75" t="n">
        <v>0.8239662992809391</v>
      </c>
      <c r="M75" t="n">
        <v>1.530223127236031</v>
      </c>
    </row>
    <row r="76">
      <c r="A76" t="inlineStr">
        <is>
          <t>market for electricity, high voltage</t>
        </is>
      </c>
      <c r="B76" t="inlineStr">
        <is>
          <t>electricity, high voltage</t>
        </is>
      </c>
      <c r="C76" t="inlineStr">
        <is>
          <t>AR</t>
        </is>
      </c>
      <c r="D76" t="n">
        <v>0.005610029033341134</v>
      </c>
      <c r="E76" t="inlineStr">
        <is>
          <t>kilowatt hour</t>
        </is>
      </c>
      <c r="F76" t="inlineStr">
        <is>
          <t>ecoinvent 3.8 cutoff</t>
        </is>
      </c>
      <c r="G76" t="inlineStr">
        <is>
          <t>technosphere</t>
        </is>
      </c>
      <c r="I76" t="n">
        <v>2</v>
      </c>
      <c r="J76" t="n">
        <v>-0.1258446833283143</v>
      </c>
      <c r="K76" t="n">
        <v>0.03287178639550461</v>
      </c>
    </row>
    <row r="77">
      <c r="A77" t="inlineStr">
        <is>
          <t>water, pure, via reverse osmosis</t>
        </is>
      </c>
      <c r="B77" t="inlineStr">
        <is>
          <t>water, pure</t>
        </is>
      </c>
      <c r="C77" t="inlineStr">
        <is>
          <t>AR</t>
        </is>
      </c>
      <c r="D77" t="n">
        <v>0.07345187545367647</v>
      </c>
      <c r="E77" t="inlineStr">
        <is>
          <t>kilogram</t>
        </is>
      </c>
      <c r="F77" t="inlineStr">
        <is>
          <t>Hombre Muerto_38</t>
        </is>
      </c>
      <c r="G77" t="inlineStr">
        <is>
          <t>technosphere</t>
        </is>
      </c>
      <c r="I77" t="n">
        <v>2</v>
      </c>
      <c r="J77" t="n">
        <v>-0.07193345102535149</v>
      </c>
      <c r="K77" t="n">
        <v>0.07423882498605001</v>
      </c>
    </row>
    <row r="78">
      <c r="A78" t="inlineStr">
        <is>
          <t>heat production, natural gas, at industrial furnace &gt;100kW</t>
        </is>
      </c>
      <c r="B78" t="inlineStr">
        <is>
          <t>heat, district or industrial, natural gas</t>
        </is>
      </c>
      <c r="C78" t="inlineStr">
        <is>
          <t>RoW</t>
        </is>
      </c>
      <c r="D78" t="n">
        <v>0.02940045256688639</v>
      </c>
      <c r="E78" t="inlineStr">
        <is>
          <t>megajoule</t>
        </is>
      </c>
      <c r="F78" t="inlineStr">
        <is>
          <t>ecoinvent 3.8 cutoff</t>
        </is>
      </c>
      <c r="G78" t="inlineStr">
        <is>
          <t>technosphere</t>
        </is>
      </c>
      <c r="I78" t="n">
        <v>5</v>
      </c>
      <c r="J78" t="n">
        <v>0.0294004525668864</v>
      </c>
      <c r="L78" t="n">
        <v>0.02058031679682047</v>
      </c>
      <c r="M78" t="n">
        <v>0.03822058833695234</v>
      </c>
    </row>
    <row r="79">
      <c r="A79" t="inlineStr">
        <is>
          <t>water, pure, via reverse osmosis</t>
        </is>
      </c>
      <c r="B79" t="inlineStr">
        <is>
          <t>water, pure</t>
        </is>
      </c>
      <c r="C79" t="inlineStr">
        <is>
          <t>AR</t>
        </is>
      </c>
      <c r="D79" t="n">
        <v>1.008954333154897</v>
      </c>
      <c r="E79" t="inlineStr">
        <is>
          <t>kilogram</t>
        </is>
      </c>
      <c r="F79" t="inlineStr">
        <is>
          <t>Hombre Muerto_38</t>
        </is>
      </c>
      <c r="G79" t="inlineStr">
        <is>
          <t>technosphere</t>
        </is>
      </c>
      <c r="I79" t="n">
        <v>5</v>
      </c>
      <c r="J79" t="n">
        <v>1.008954333154897</v>
      </c>
      <c r="L79" t="n">
        <v>0.7062680332084278</v>
      </c>
      <c r="M79" t="n">
        <v>1.311640633101363</v>
      </c>
    </row>
    <row r="80">
      <c r="A80" t="inlineStr">
        <is>
          <t>heat production, natural gas, at industrial furnace &gt;100kW</t>
        </is>
      </c>
      <c r="B80" t="inlineStr">
        <is>
          <t>heat, district or industrial, natural gas</t>
        </is>
      </c>
      <c r="C80" t="inlineStr">
        <is>
          <t>RoW</t>
        </is>
      </c>
      <c r="D80" t="n">
        <v>0.4214232973887589</v>
      </c>
      <c r="E80" t="inlineStr">
        <is>
          <t>megajoule</t>
        </is>
      </c>
      <c r="F80" t="inlineStr">
        <is>
          <t>ecoinvent 3.8 cutoff</t>
        </is>
      </c>
      <c r="G80" t="inlineStr">
        <is>
          <t>technosphere</t>
        </is>
      </c>
      <c r="I80" t="n">
        <v>5</v>
      </c>
      <c r="J80" t="n">
        <v>0.4214232973887589</v>
      </c>
      <c r="L80" t="n">
        <v>0.2949963081721312</v>
      </c>
      <c r="M80" t="n">
        <v>0.5478502866053866</v>
      </c>
    </row>
    <row r="81"/>
    <row r="82">
      <c r="A82" t="inlineStr">
        <is>
          <t>Activity</t>
        </is>
      </c>
      <c r="B82" s="1" t="inlineStr">
        <is>
          <t>lithium carbonate production, from Salar del Hombre Muerto</t>
        </is>
      </c>
    </row>
    <row r="83">
      <c r="A83" t="inlineStr">
        <is>
          <t>reference product</t>
        </is>
      </c>
      <c r="B83" t="inlineStr">
        <is>
          <t>lithium carbonate, battery grade</t>
        </is>
      </c>
    </row>
    <row r="84">
      <c r="A84" t="inlineStr">
        <is>
          <t>location</t>
        </is>
      </c>
      <c r="B84" t="inlineStr">
        <is>
          <t>AR</t>
        </is>
      </c>
    </row>
    <row r="85">
      <c r="A85" t="inlineStr">
        <is>
          <t>amount</t>
        </is>
      </c>
      <c r="B85" t="n">
        <v>1</v>
      </c>
    </row>
    <row r="86">
      <c r="A86" t="inlineStr">
        <is>
          <t>unit</t>
        </is>
      </c>
      <c r="B86" t="inlineStr">
        <is>
          <t>kilogram</t>
        </is>
      </c>
    </row>
    <row r="87">
      <c r="A87" t="inlineStr">
        <is>
          <t>comment</t>
        </is>
      </c>
      <c r="B87" t="inlineStr">
        <is>
          <t>Source: Regionalized life cycle assessment of present and future lithium production for Li-ion batteries. Vanessa Schenker, Christopher Oberschelp, Stephan Pfister.</t>
        </is>
      </c>
    </row>
    <row r="88">
      <c r="A88" t="inlineStr">
        <is>
          <t>Exchanges</t>
        </is>
      </c>
    </row>
    <row r="89" customFormat="1" s="1">
      <c r="A89" s="1" t="inlineStr">
        <is>
          <t>name</t>
        </is>
      </c>
      <c r="B89" s="1" t="inlineStr">
        <is>
          <t>reference product</t>
        </is>
      </c>
      <c r="C89" s="1" t="inlineStr">
        <is>
          <t>location</t>
        </is>
      </c>
      <c r="D89" s="1" t="inlineStr">
        <is>
          <t>amount</t>
        </is>
      </c>
      <c r="E89" s="1" t="inlineStr">
        <is>
          <t>unit</t>
        </is>
      </c>
      <c r="F89" s="1" t="inlineStr">
        <is>
          <t>database</t>
        </is>
      </c>
      <c r="G89" s="1" t="inlineStr">
        <is>
          <t>type</t>
        </is>
      </c>
      <c r="H89" s="1" t="inlineStr">
        <is>
          <t>categories</t>
        </is>
      </c>
      <c r="I89" s="1" t="inlineStr">
        <is>
          <t>uncertainty type</t>
        </is>
      </c>
      <c r="J89" s="1" t="inlineStr">
        <is>
          <t>loc</t>
        </is>
      </c>
      <c r="K89" s="1" t="inlineStr">
        <is>
          <t>scale</t>
        </is>
      </c>
      <c r="L89" s="1" t="inlineStr">
        <is>
          <t>minimum</t>
        </is>
      </c>
      <c r="M89" s="1" t="inlineStr">
        <is>
          <t>maximum</t>
        </is>
      </c>
    </row>
    <row r="90">
      <c r="A90" t="inlineStr">
        <is>
          <t>lithium carbonate production, from Salar del Hombre Muerto</t>
        </is>
      </c>
      <c r="B90" t="inlineStr">
        <is>
          <t>lithium carbonate, battery grade</t>
        </is>
      </c>
      <c r="C90" t="inlineStr">
        <is>
          <t>AR</t>
        </is>
      </c>
      <c r="D90" t="n">
        <v>1</v>
      </c>
      <c r="E90" t="inlineStr">
        <is>
          <t>kilogram</t>
        </is>
      </c>
      <c r="F90" t="inlineStr">
        <is>
          <t>Hombre Muerto_38</t>
        </is>
      </c>
      <c r="G90" t="inlineStr">
        <is>
          <t>production</t>
        </is>
      </c>
    </row>
    <row r="91">
      <c r="A91" t="inlineStr">
        <is>
          <t>lithium carbonate precipitation 2, from Salar del Hombre Muerto</t>
        </is>
      </c>
      <c r="B91" t="inlineStr">
        <is>
          <t>lithium carbonate, precipitated</t>
        </is>
      </c>
      <c r="C91" t="inlineStr">
        <is>
          <t>AR</t>
        </is>
      </c>
      <c r="D91" t="n">
        <v>27.22871250933994</v>
      </c>
      <c r="E91" t="inlineStr">
        <is>
          <t>kilogram</t>
        </is>
      </c>
      <c r="F91" t="inlineStr">
        <is>
          <t>Hombre Muerto_38</t>
        </is>
      </c>
      <c r="G91" t="inlineStr">
        <is>
          <t>technosphere</t>
        </is>
      </c>
      <c r="I91" t="n">
        <v>5</v>
      </c>
      <c r="J91" t="n">
        <v>27.22871250933989</v>
      </c>
      <c r="L91" t="n">
        <v>19.06009875653789</v>
      </c>
      <c r="M91" t="n">
        <v>35.39732626214189</v>
      </c>
    </row>
    <row r="92">
      <c r="A92" t="inlineStr">
        <is>
          <t>market for electricity, high voltage</t>
        </is>
      </c>
      <c r="B92" t="inlineStr">
        <is>
          <t>electricity, high voltage</t>
        </is>
      </c>
      <c r="C92" t="inlineStr">
        <is>
          <t>AR</t>
        </is>
      </c>
      <c r="D92" t="n">
        <v>0.015</v>
      </c>
      <c r="E92" t="inlineStr">
        <is>
          <t>kilowatt hour</t>
        </is>
      </c>
      <c r="F92" t="inlineStr">
        <is>
          <t>ecoinvent 3.8 cutoff</t>
        </is>
      </c>
      <c r="G92" t="inlineStr">
        <is>
          <t>technosphere</t>
        </is>
      </c>
      <c r="I92" t="n">
        <v>2</v>
      </c>
      <c r="J92" t="n">
        <v>-6.907755278982132</v>
      </c>
      <c r="K92" t="n">
        <v>0.8950564214316266</v>
      </c>
    </row>
    <row r="93">
      <c r="A93" t="inlineStr">
        <is>
          <t>water, pure, via reverse osmosis</t>
        </is>
      </c>
      <c r="B93" t="inlineStr">
        <is>
          <t>water, pure</t>
        </is>
      </c>
      <c r="C93" t="inlineStr">
        <is>
          <t>AR</t>
        </is>
      </c>
      <c r="D93" t="n">
        <v>2</v>
      </c>
      <c r="E93" t="inlineStr">
        <is>
          <t>kilogram</t>
        </is>
      </c>
      <c r="F93" t="inlineStr">
        <is>
          <t>Hombre Muerto_38</t>
        </is>
      </c>
      <c r="G93" t="inlineStr">
        <is>
          <t>technosphere</t>
        </is>
      </c>
      <c r="I93" t="n">
        <v>2</v>
      </c>
      <c r="J93" t="n">
        <v>-1.95865525777398</v>
      </c>
      <c r="K93" t="n">
        <v>2.021427622576359</v>
      </c>
    </row>
    <row r="94">
      <c r="A94" t="inlineStr">
        <is>
          <t>heat production, natural gas, at industrial furnace &gt;100kW</t>
        </is>
      </c>
      <c r="B94" t="inlineStr">
        <is>
          <t>heat, district or industrial, natural gas</t>
        </is>
      </c>
      <c r="C94" t="inlineStr">
        <is>
          <t>RoW</t>
        </is>
      </c>
      <c r="D94" t="n">
        <v>0.800536470588235</v>
      </c>
      <c r="E94" t="inlineStr">
        <is>
          <t>megajoule</t>
        </is>
      </c>
      <c r="F94" t="inlineStr">
        <is>
          <t>ecoinvent 3.8 cutoff</t>
        </is>
      </c>
      <c r="G94" t="inlineStr">
        <is>
          <t>technosphere</t>
        </is>
      </c>
      <c r="I94" t="n">
        <v>5</v>
      </c>
      <c r="J94" t="n">
        <v>0.8005364705882354</v>
      </c>
      <c r="L94" t="n">
        <v>0.5603755294117644</v>
      </c>
      <c r="M94" t="n">
        <v>1.040697411764706</v>
      </c>
    </row>
    <row r="95">
      <c r="A95" t="inlineStr">
        <is>
          <t>market for electricity, high voltage</t>
        </is>
      </c>
      <c r="B95" t="inlineStr">
        <is>
          <t>electricity, high voltage</t>
        </is>
      </c>
      <c r="C95" t="inlineStr">
        <is>
          <t>AR</t>
        </is>
      </c>
      <c r="D95" t="n">
        <v>0.015</v>
      </c>
      <c r="E95" t="inlineStr">
        <is>
          <t>kilowatt hour</t>
        </is>
      </c>
      <c r="F95" t="inlineStr">
        <is>
          <t>ecoinvent 3.8 cutoff</t>
        </is>
      </c>
      <c r="G95" t="inlineStr">
        <is>
          <t>technosphere</t>
        </is>
      </c>
      <c r="I95" t="n">
        <v>2</v>
      </c>
      <c r="J95" t="n">
        <v>-6.907755278982135</v>
      </c>
      <c r="K95" t="n">
        <v>0.895056421431627</v>
      </c>
    </row>
    <row r="96">
      <c r="A96" t="inlineStr">
        <is>
          <t>heat production, natural gas, at industrial furnace &gt;100kW</t>
        </is>
      </c>
      <c r="B96" t="inlineStr">
        <is>
          <t>heat, district or industrial, natural gas</t>
        </is>
      </c>
      <c r="C96" t="inlineStr">
        <is>
          <t>RoW</t>
        </is>
      </c>
      <c r="D96" t="n">
        <v>2.470588235294118</v>
      </c>
      <c r="E96" t="inlineStr">
        <is>
          <t>megajoule</t>
        </is>
      </c>
      <c r="F96" t="inlineStr">
        <is>
          <t>ecoinvent 3.8 cutoff</t>
        </is>
      </c>
      <c r="G96" t="inlineStr">
        <is>
          <t>technosphere</t>
        </is>
      </c>
      <c r="I96" t="n">
        <v>2</v>
      </c>
      <c r="J96" t="n">
        <v>0.9044562742271525</v>
      </c>
      <c r="K96" t="n">
        <v>0.9066475442341566</v>
      </c>
    </row>
    <row r="97">
      <c r="A97" t="inlineStr">
        <is>
          <t>market for electricity, high voltage</t>
        </is>
      </c>
      <c r="B97" t="inlineStr">
        <is>
          <t>electricity, high voltage</t>
        </is>
      </c>
      <c r="C97" t="inlineStr">
        <is>
          <t>AR</t>
        </is>
      </c>
      <c r="D97" t="n">
        <v>0.3</v>
      </c>
      <c r="E97" t="inlineStr">
        <is>
          <t>kilowatt hour</t>
        </is>
      </c>
      <c r="F97" t="inlineStr">
        <is>
          <t>ecoinvent 3.8 cutoff</t>
        </is>
      </c>
      <c r="G97" t="inlineStr">
        <is>
          <t>technosphere</t>
        </is>
      </c>
      <c r="I97" t="n">
        <v>2</v>
      </c>
      <c r="J97" t="n">
        <v>-1.203972804325936</v>
      </c>
      <c r="K97" t="n">
        <v>0.9066475442341566</v>
      </c>
    </row>
  </sheetData>
  <pageMargins left="0.7" right="0.7" top="0.75" bottom="0.75" header="0.3" footer="0.3"/>
  <pageSetup orientation="portrait" paperSize="9"/>
</worksheet>
</file>

<file path=xl/worksheets/sheet7.xml><?xml version="1.0" encoding="utf-8"?>
<worksheet xmlns="http://schemas.openxmlformats.org/spreadsheetml/2006/main">
  <sheetPr>
    <tabColor rgb="FF00B0F0"/>
    <outlinePr summaryBelow="1" summaryRight="1"/>
    <pageSetUpPr/>
  </sheetPr>
  <dimension ref="A1:M105"/>
  <sheetViews>
    <sheetView tabSelected="1" topLeftCell="A73" zoomScale="125" zoomScaleNormal="55" workbookViewId="0">
      <selection activeCell="B84" sqref="B84"/>
    </sheetView>
  </sheetViews>
  <sheetFormatPr baseColWidth="10" defaultColWidth="8.83203125" defaultRowHeight="15"/>
  <cols>
    <col width="49.5" customWidth="1" min="1" max="1"/>
    <col width="30.83203125" customWidth="1" min="2" max="2"/>
    <col width="20.83203125" customWidth="1" min="3" max="3"/>
    <col width="11.33203125" bestFit="1" customWidth="1" min="4" max="4"/>
    <col width="22.33203125" customWidth="1" min="5" max="5"/>
    <col width="26.33203125" customWidth="1" min="6" max="6"/>
    <col width="16.83203125" customWidth="1" min="7" max="7"/>
    <col width="9" customWidth="1" min="14" max="15"/>
  </cols>
  <sheetData>
    <row r="1" customFormat="1" s="1">
      <c r="A1" s="1" t="inlineStr">
        <is>
          <t>Activity</t>
        </is>
      </c>
      <c r="B1" s="1" t="inlineStr">
        <is>
          <t>water, pure, via reverse osmosis</t>
        </is>
      </c>
    </row>
    <row r="2">
      <c r="A2" t="inlineStr">
        <is>
          <t>reference product</t>
        </is>
      </c>
      <c r="B2" t="inlineStr">
        <is>
          <t>water, pure</t>
        </is>
      </c>
    </row>
    <row r="3">
      <c r="A3" t="inlineStr">
        <is>
          <t>location</t>
        </is>
      </c>
      <c r="B3" t="inlineStr">
        <is>
          <t>CN</t>
        </is>
      </c>
    </row>
    <row r="4">
      <c r="A4" t="inlineStr">
        <is>
          <t>amount</t>
        </is>
      </c>
      <c r="B4" t="n">
        <v>1</v>
      </c>
    </row>
    <row r="5" ht="14" customHeight="1">
      <c r="A5" t="inlineStr">
        <is>
          <t>unit</t>
        </is>
      </c>
      <c r="B5" t="inlineStr">
        <is>
          <t>kilogram</t>
        </is>
      </c>
    </row>
    <row r="6">
      <c r="A6" t="inlineStr">
        <is>
          <t>comment</t>
        </is>
      </c>
      <c r="B6" t="inlineStr">
        <is>
          <t>Source: Regionalized life cycle assessment of present and future lithium production for Li-ion batteries. Vanessa Schenker, Christopher Oberschelp, Stephan Pfister.</t>
        </is>
      </c>
    </row>
    <row r="7">
      <c r="A7" t="inlineStr">
        <is>
          <t>Exchanges</t>
        </is>
      </c>
    </row>
    <row r="8">
      <c r="A8" t="inlineStr">
        <is>
          <t>name</t>
        </is>
      </c>
      <c r="B8" t="inlineStr">
        <is>
          <t>reference product</t>
        </is>
      </c>
      <c r="C8" t="inlineStr">
        <is>
          <t>location</t>
        </is>
      </c>
      <c r="D8" t="inlineStr">
        <is>
          <t>amount</t>
        </is>
      </c>
      <c r="E8" t="inlineStr">
        <is>
          <t>unit</t>
        </is>
      </c>
      <c r="F8" t="inlineStr">
        <is>
          <t>database</t>
        </is>
      </c>
      <c r="G8" t="inlineStr">
        <is>
          <t>type</t>
        </is>
      </c>
      <c r="H8" t="inlineStr">
        <is>
          <t>categories</t>
        </is>
      </c>
      <c r="I8" t="inlineStr">
        <is>
          <t>uncertainty type</t>
        </is>
      </c>
      <c r="J8" t="inlineStr">
        <is>
          <t>loc</t>
        </is>
      </c>
      <c r="K8" t="inlineStr">
        <is>
          <t>scale</t>
        </is>
      </c>
      <c r="L8" t="inlineStr">
        <is>
          <t>minimum</t>
        </is>
      </c>
      <c r="M8" t="inlineStr">
        <is>
          <t>maximum</t>
        </is>
      </c>
    </row>
    <row r="9">
      <c r="A9" t="inlineStr">
        <is>
          <t>water, pure, via reverse osmosis</t>
        </is>
      </c>
      <c r="B9" t="inlineStr">
        <is>
          <t>water, pure</t>
        </is>
      </c>
      <c r="C9" t="inlineStr">
        <is>
          <t>CN</t>
        </is>
      </c>
      <c r="D9" t="n">
        <v>1</v>
      </c>
      <c r="E9" t="inlineStr">
        <is>
          <t>kilogram</t>
        </is>
      </c>
      <c r="F9" t="inlineStr">
        <is>
          <t>Atacama_38</t>
        </is>
      </c>
      <c r="G9" t="inlineStr">
        <is>
          <t>production</t>
        </is>
      </c>
    </row>
    <row r="10">
      <c r="A10" t="inlineStr">
        <is>
          <t>market group for electricity, high voltage</t>
        </is>
      </c>
      <c r="B10" t="inlineStr">
        <is>
          <t>electricity, high voltage</t>
        </is>
      </c>
      <c r="C10" t="inlineStr">
        <is>
          <t>CN</t>
        </is>
      </c>
      <c r="D10" t="n">
        <v>0.003603</v>
      </c>
      <c r="E10" t="inlineStr">
        <is>
          <t>kilowatt hour</t>
        </is>
      </c>
      <c r="F10" t="inlineStr">
        <is>
          <t>ecoinvent 3.8 cutoff</t>
        </is>
      </c>
      <c r="G10" t="inlineStr">
        <is>
          <t>technosphere</t>
        </is>
      </c>
      <c r="I10" t="n">
        <v>2</v>
      </c>
      <c r="J10" t="n">
        <v>-5.625988447216181</v>
      </c>
      <c r="K10" t="n">
        <v>0.5226943987482665</v>
      </c>
    </row>
    <row r="11">
      <c r="A11" t="inlineStr">
        <is>
          <t>Water, unspecified natural origin</t>
        </is>
      </c>
      <c r="D11" t="n">
        <v>0.001</v>
      </c>
      <c r="E11" t="inlineStr">
        <is>
          <t>cubic meter</t>
        </is>
      </c>
      <c r="F11" t="inlineStr">
        <is>
          <t>biosphere3</t>
        </is>
      </c>
      <c r="G11" t="inlineStr">
        <is>
          <t>biosphere</t>
        </is>
      </c>
      <c r="H11" t="inlineStr">
        <is>
          <t>natural resource::in ground</t>
        </is>
      </c>
      <c r="I11" t="n">
        <v>2</v>
      </c>
      <c r="J11" t="n">
        <v>-6.907755278982137</v>
      </c>
      <c r="K11" t="n">
        <v>0.5226943987482665</v>
      </c>
    </row>
    <row r="12"/>
    <row r="13">
      <c r="A13" t="inlineStr">
        <is>
          <t>Activity</t>
        </is>
      </c>
      <c r="B13" s="1" t="inlineStr">
        <is>
          <t>lithium brine production, from Li-ion selective adsorption</t>
        </is>
      </c>
    </row>
    <row r="14">
      <c r="A14" t="inlineStr">
        <is>
          <t>reference product</t>
        </is>
      </c>
      <c r="B14" t="inlineStr">
        <is>
          <t>lithium brine, from Li-ion selective adsorption</t>
        </is>
      </c>
    </row>
    <row r="15">
      <c r="A15" t="inlineStr">
        <is>
          <t>location</t>
        </is>
      </c>
      <c r="B15" t="inlineStr">
        <is>
          <t>CN</t>
        </is>
      </c>
    </row>
    <row r="16">
      <c r="A16" t="inlineStr">
        <is>
          <t>amount</t>
        </is>
      </c>
      <c r="B16" t="n">
        <v>1</v>
      </c>
    </row>
    <row r="17" ht="14" customHeight="1">
      <c r="A17" t="inlineStr">
        <is>
          <t>unit</t>
        </is>
      </c>
      <c r="B17" t="inlineStr">
        <is>
          <t>kilogram</t>
        </is>
      </c>
    </row>
    <row r="18">
      <c r="A18" t="inlineStr">
        <is>
          <t>comment</t>
        </is>
      </c>
      <c r="B18" t="inlineStr">
        <is>
          <t>Source: Regionalized life cycle assessment of present and future lithium production for Li-ion batteries. Vanessa Schenker, Christopher Oberschelp, Stephan Pfister.</t>
        </is>
      </c>
    </row>
    <row r="19">
      <c r="A19" t="inlineStr">
        <is>
          <t>Exchanges</t>
        </is>
      </c>
    </row>
    <row r="20" customFormat="1" s="1">
      <c r="A20" s="1" t="inlineStr">
        <is>
          <t>name</t>
        </is>
      </c>
      <c r="B20" s="1" t="inlineStr">
        <is>
          <t>reference product</t>
        </is>
      </c>
      <c r="C20" s="1" t="inlineStr">
        <is>
          <t>location</t>
        </is>
      </c>
      <c r="D20" s="1" t="inlineStr">
        <is>
          <t>amount</t>
        </is>
      </c>
      <c r="E20" s="1" t="inlineStr">
        <is>
          <t>unit</t>
        </is>
      </c>
      <c r="F20" s="1" t="inlineStr">
        <is>
          <t>database</t>
        </is>
      </c>
      <c r="G20" s="1" t="inlineStr">
        <is>
          <t>type</t>
        </is>
      </c>
      <c r="H20" s="1" t="inlineStr">
        <is>
          <t>categories</t>
        </is>
      </c>
      <c r="I20" s="1" t="inlineStr">
        <is>
          <t>uncertainty type</t>
        </is>
      </c>
      <c r="J20" s="1" t="inlineStr">
        <is>
          <t>loc</t>
        </is>
      </c>
      <c r="K20" s="1" t="inlineStr">
        <is>
          <t>scale</t>
        </is>
      </c>
      <c r="L20" s="1" t="inlineStr">
        <is>
          <t>minimum</t>
        </is>
      </c>
      <c r="M20" s="1" t="inlineStr">
        <is>
          <t>maximum</t>
        </is>
      </c>
    </row>
    <row r="21">
      <c r="A21" t="inlineStr">
        <is>
          <t>lithium brine production, from Li-ion selective adsorption</t>
        </is>
      </c>
      <c r="B21" t="inlineStr">
        <is>
          <t>lithium brine, from Li-ion selective adsorption</t>
        </is>
      </c>
      <c r="C21" t="inlineStr">
        <is>
          <t>CN</t>
        </is>
      </c>
      <c r="D21" t="n">
        <v>1</v>
      </c>
      <c r="E21" t="inlineStr">
        <is>
          <t>kilogram</t>
        </is>
      </c>
      <c r="F21" t="inlineStr">
        <is>
          <t>Chaerhan_38</t>
        </is>
      </c>
      <c r="G21" t="inlineStr">
        <is>
          <t>production</t>
        </is>
      </c>
    </row>
    <row r="22">
      <c r="A22" t="inlineStr">
        <is>
          <t>Lithium, in ground</t>
        </is>
      </c>
      <c r="D22" t="n">
        <v>0.0006893106004447739</v>
      </c>
      <c r="E22" t="inlineStr">
        <is>
          <t>kilogram</t>
        </is>
      </c>
      <c r="F22" t="inlineStr">
        <is>
          <t>biosphere3</t>
        </is>
      </c>
      <c r="G22" t="inlineStr">
        <is>
          <t>biosphere</t>
        </is>
      </c>
      <c r="H22" t="inlineStr">
        <is>
          <t>natural resource::in ground</t>
        </is>
      </c>
      <c r="I22" t="n">
        <v>2</v>
      </c>
      <c r="J22" t="n">
        <v>-7.279818589626034</v>
      </c>
      <c r="K22" t="n">
        <v>0.2798909692815877</v>
      </c>
    </row>
    <row r="23">
      <c r="A23" t="inlineStr">
        <is>
          <t>market group for electricity, high voltage</t>
        </is>
      </c>
      <c r="B23" t="inlineStr">
        <is>
          <t>electricity, high voltage</t>
        </is>
      </c>
      <c r="C23" t="inlineStr">
        <is>
          <t>CN</t>
        </is>
      </c>
      <c r="D23" t="n">
        <v>0.005245035469000001</v>
      </c>
      <c r="E23" t="inlineStr">
        <is>
          <t>kilowatt hour</t>
        </is>
      </c>
      <c r="F23" t="inlineStr">
        <is>
          <t>ecoinvent 3.8 cutoff</t>
        </is>
      </c>
      <c r="G23" t="inlineStr">
        <is>
          <t>technosphere</t>
        </is>
      </c>
      <c r="I23" t="n">
        <v>2</v>
      </c>
      <c r="J23" t="n">
        <v>-5.250473274716322</v>
      </c>
      <c r="K23" t="n">
        <v>1.003444081984377</v>
      </c>
    </row>
    <row r="24">
      <c r="A24" t="inlineStr">
        <is>
          <t>heat production, natural gas, at industrial furnace &gt;100kW</t>
        </is>
      </c>
      <c r="B24" t="inlineStr">
        <is>
          <t>heat, district or industrial, natural gas</t>
        </is>
      </c>
      <c r="C24" t="inlineStr">
        <is>
          <t>RoW</t>
        </is>
      </c>
      <c r="D24" t="n">
        <v>0.09632757658815086</v>
      </c>
      <c r="E24" t="inlineStr">
        <is>
          <t>megajoule</t>
        </is>
      </c>
      <c r="F24" t="inlineStr">
        <is>
          <t>ecoinvent 3.8 cutoff</t>
        </is>
      </c>
      <c r="G24" t="inlineStr">
        <is>
          <t>technosphere</t>
        </is>
      </c>
      <c r="I24" t="n">
        <v>2</v>
      </c>
      <c r="J24" t="n">
        <v>-2.340000639923941</v>
      </c>
      <c r="K24" t="n">
        <v>1.003444081984377</v>
      </c>
    </row>
    <row r="25">
      <c r="A25" t="inlineStr">
        <is>
          <t>water, pure, via reverse osmosis</t>
        </is>
      </c>
      <c r="B25" t="inlineStr">
        <is>
          <t>water, pure</t>
        </is>
      </c>
      <c r="C25" t="inlineStr">
        <is>
          <t>CN</t>
        </is>
      </c>
      <c r="D25" t="n">
        <v>0.4236575819527788</v>
      </c>
      <c r="E25" t="inlineStr">
        <is>
          <t>kilogram</t>
        </is>
      </c>
      <c r="F25" t="inlineStr">
        <is>
          <t>Chaerhan_38</t>
        </is>
      </c>
      <c r="G25" t="inlineStr">
        <is>
          <t>technosphere</t>
        </is>
      </c>
      <c r="I25" t="n">
        <v>2</v>
      </c>
      <c r="J25" t="n">
        <v>-0.8588297397604575</v>
      </c>
      <c r="K25" t="n">
        <v>0.2798909692815877</v>
      </c>
    </row>
    <row r="26">
      <c r="A26" t="inlineStr">
        <is>
          <t>market for ammonium chloride</t>
        </is>
      </c>
      <c r="B26" t="inlineStr">
        <is>
          <t>ammonium chloride</t>
        </is>
      </c>
      <c r="C26" t="inlineStr">
        <is>
          <t>GLO</t>
        </is>
      </c>
      <c r="D26" t="n">
        <v>0.0005999999999999999</v>
      </c>
      <c r="E26" t="inlineStr">
        <is>
          <t>kilogram</t>
        </is>
      </c>
      <c r="F26" t="inlineStr">
        <is>
          <t>ecoinvent 3.8 cutoff</t>
        </is>
      </c>
      <c r="G26" t="inlineStr">
        <is>
          <t>technosphere</t>
        </is>
      </c>
      <c r="I26" t="n">
        <v>2</v>
      </c>
      <c r="J26" t="n">
        <v>-7.418580902748128</v>
      </c>
      <c r="K26" t="n">
        <v>0.2798909692815877</v>
      </c>
    </row>
    <row r="27"/>
    <row r="28">
      <c r="A28" t="inlineStr">
        <is>
          <t>Activity</t>
        </is>
      </c>
      <c r="B28" s="1" t="inlineStr">
        <is>
          <t>lithium brine filtering, via ion exchanger</t>
        </is>
      </c>
    </row>
    <row r="29">
      <c r="A29" t="inlineStr">
        <is>
          <t>reference product</t>
        </is>
      </c>
      <c r="B29" t="inlineStr">
        <is>
          <t>lithium brine, filtered</t>
        </is>
      </c>
    </row>
    <row r="30">
      <c r="A30" t="inlineStr">
        <is>
          <t>location</t>
        </is>
      </c>
      <c r="B30" t="inlineStr">
        <is>
          <t>CN</t>
        </is>
      </c>
    </row>
    <row r="31">
      <c r="A31" t="inlineStr">
        <is>
          <t>amount</t>
        </is>
      </c>
      <c r="B31" t="n">
        <v>1</v>
      </c>
    </row>
    <row r="32">
      <c r="A32" t="inlineStr">
        <is>
          <t>unit</t>
        </is>
      </c>
      <c r="B32" t="inlineStr">
        <is>
          <t>kilogram</t>
        </is>
      </c>
    </row>
    <row r="33">
      <c r="A33" t="inlineStr">
        <is>
          <t>comment</t>
        </is>
      </c>
      <c r="B33" t="inlineStr">
        <is>
          <t>Source: Regionalized life cycle assessment of present and future lithium production for Li-ion batteries. Vanessa Schenker, Christopher Oberschelp, Stephan Pfister.</t>
        </is>
      </c>
    </row>
    <row r="34">
      <c r="A34" t="inlineStr">
        <is>
          <t>Exchanges</t>
        </is>
      </c>
    </row>
    <row r="35" customFormat="1" s="1">
      <c r="A35" s="1" t="inlineStr">
        <is>
          <t>name</t>
        </is>
      </c>
      <c r="B35" s="1" t="inlineStr">
        <is>
          <t>reference product</t>
        </is>
      </c>
      <c r="C35" s="1" t="inlineStr">
        <is>
          <t>location</t>
        </is>
      </c>
      <c r="D35" s="1" t="inlineStr">
        <is>
          <t>amount</t>
        </is>
      </c>
      <c r="E35" s="1" t="inlineStr">
        <is>
          <t>unit</t>
        </is>
      </c>
      <c r="F35" s="1" t="inlineStr">
        <is>
          <t>database</t>
        </is>
      </c>
      <c r="G35" s="1" t="inlineStr">
        <is>
          <t>type</t>
        </is>
      </c>
      <c r="H35" s="1" t="inlineStr">
        <is>
          <t>categories</t>
        </is>
      </c>
      <c r="I35" s="1" t="inlineStr">
        <is>
          <t>uncertainty type</t>
        </is>
      </c>
      <c r="J35" s="1" t="inlineStr">
        <is>
          <t>loc</t>
        </is>
      </c>
      <c r="K35" s="1" t="inlineStr">
        <is>
          <t>scale</t>
        </is>
      </c>
      <c r="L35" s="1" t="inlineStr">
        <is>
          <t>minimum</t>
        </is>
      </c>
      <c r="M35" s="1" t="inlineStr">
        <is>
          <t>maximum</t>
        </is>
      </c>
    </row>
    <row r="36">
      <c r="A36" t="inlineStr">
        <is>
          <t>lithium brine filtering, via ion exchanger</t>
        </is>
      </c>
      <c r="B36" t="inlineStr">
        <is>
          <t>lithium brine, filtered</t>
        </is>
      </c>
      <c r="C36" t="inlineStr">
        <is>
          <t>CN</t>
        </is>
      </c>
      <c r="D36" t="n">
        <v>1</v>
      </c>
      <c r="E36" t="inlineStr">
        <is>
          <t>kilogram</t>
        </is>
      </c>
      <c r="F36" t="inlineStr">
        <is>
          <t>Chaerhan_38</t>
        </is>
      </c>
      <c r="G36" t="inlineStr">
        <is>
          <t>production</t>
        </is>
      </c>
    </row>
    <row r="37">
      <c r="A37" t="inlineStr">
        <is>
          <t>lithium brine production, from Li-ion selective adsorption</t>
        </is>
      </c>
      <c r="B37" t="inlineStr">
        <is>
          <t>lithium brine, from Li-ion selective adsorption</t>
        </is>
      </c>
      <c r="C37" t="inlineStr">
        <is>
          <t>CN</t>
        </is>
      </c>
      <c r="D37" t="n">
        <v>1.455251909267939</v>
      </c>
      <c r="E37" t="inlineStr">
        <is>
          <t>kilogram</t>
        </is>
      </c>
      <c r="F37" t="inlineStr">
        <is>
          <t>Chaerhan_38</t>
        </is>
      </c>
      <c r="G37" t="inlineStr">
        <is>
          <t>technosphere</t>
        </is>
      </c>
      <c r="I37" t="n">
        <v>2</v>
      </c>
      <c r="J37" t="n">
        <v>0.3751790191550619</v>
      </c>
      <c r="K37" t="n">
        <v>0.2798909692815877</v>
      </c>
    </row>
    <row r="38">
      <c r="A38" t="inlineStr">
        <is>
          <t>heat production, natural gas, at industrial furnace &gt;100kW</t>
        </is>
      </c>
      <c r="B38" t="inlineStr">
        <is>
          <t>heat, district or industrial, natural gas</t>
        </is>
      </c>
      <c r="C38" t="inlineStr">
        <is>
          <t>RoW</t>
        </is>
      </c>
      <c r="D38" t="n">
        <v>0.2510737558754626</v>
      </c>
      <c r="E38" t="inlineStr">
        <is>
          <t>megajoule</t>
        </is>
      </c>
      <c r="F38" t="inlineStr">
        <is>
          <t>ecoinvent 3.8 cutoff</t>
        </is>
      </c>
      <c r="G38" t="inlineStr">
        <is>
          <t>technosphere</t>
        </is>
      </c>
      <c r="I38" t="n">
        <v>2</v>
      </c>
      <c r="J38" t="n">
        <v>-1.38200853490584</v>
      </c>
      <c r="K38" t="n">
        <v>1.003444081984377</v>
      </c>
    </row>
    <row r="39">
      <c r="A39" s="6" t="inlineStr">
        <is>
          <t>market group for electricity, high voltage</t>
        </is>
      </c>
      <c r="B39" t="inlineStr">
        <is>
          <t>electricity, high voltage</t>
        </is>
      </c>
      <c r="C39" t="inlineStr">
        <is>
          <t>CN</t>
        </is>
      </c>
      <c r="D39" t="n">
        <v>0.008088826604670576</v>
      </c>
      <c r="E39" t="inlineStr">
        <is>
          <t>kilowatt hour</t>
        </is>
      </c>
      <c r="F39" t="inlineStr">
        <is>
          <t>ecoinvent 3.8 cutoff</t>
        </is>
      </c>
      <c r="G39" t="inlineStr">
        <is>
          <t>technosphere</t>
        </is>
      </c>
      <c r="I39" t="n">
        <v>2</v>
      </c>
      <c r="J39" t="n">
        <v>-4.817271601117405</v>
      </c>
      <c r="K39" t="n">
        <v>1.003444081984377</v>
      </c>
    </row>
    <row r="40">
      <c r="A40" t="inlineStr">
        <is>
          <t>water, pure, via reverse osmosis</t>
        </is>
      </c>
      <c r="B40" t="inlineStr">
        <is>
          <t>water, pure</t>
        </is>
      </c>
      <c r="C40" t="inlineStr">
        <is>
          <t>CN</t>
        </is>
      </c>
      <c r="D40" t="n">
        <v>0</v>
      </c>
      <c r="E40" t="inlineStr">
        <is>
          <t>kilogram</t>
        </is>
      </c>
      <c r="F40" t="inlineStr">
        <is>
          <t>Chaerhan_38</t>
        </is>
      </c>
      <c r="G40" t="inlineStr">
        <is>
          <t>technosphere</t>
        </is>
      </c>
      <c r="I40" t="n">
        <v>0</v>
      </c>
    </row>
    <row r="41">
      <c r="A41" t="inlineStr">
        <is>
          <t>market for hydrochloric acid, without water, in 30% solution state</t>
        </is>
      </c>
      <c r="B41" t="inlineStr">
        <is>
          <t>hydrochloric acid, without water, in 30% solution state</t>
        </is>
      </c>
      <c r="C41" t="inlineStr">
        <is>
          <t>RoW</t>
        </is>
      </c>
      <c r="D41" t="n">
        <v>0.0006985209164486107</v>
      </c>
      <c r="E41" t="inlineStr">
        <is>
          <t>kilogram</t>
        </is>
      </c>
      <c r="F41" t="inlineStr">
        <is>
          <t>ecoinvent 3.8 cutoff</t>
        </is>
      </c>
      <c r="G41" t="inlineStr">
        <is>
          <t>technosphere</t>
        </is>
      </c>
      <c r="I41" t="n">
        <v>2</v>
      </c>
      <c r="J41" t="n">
        <v>-7.266545434907275</v>
      </c>
      <c r="K41" t="n">
        <v>1.003444081984377</v>
      </c>
    </row>
    <row r="42">
      <c r="A42" t="inlineStr">
        <is>
          <t>market for sodium hydroxide, without water, in 50% solution state</t>
        </is>
      </c>
      <c r="B42" t="inlineStr">
        <is>
          <t>sodium hydroxide, without water, in 50% solution state</t>
        </is>
      </c>
      <c r="C42" t="inlineStr">
        <is>
          <t>GLO</t>
        </is>
      </c>
      <c r="D42" t="n">
        <v>0.0003492604582243053</v>
      </c>
      <c r="E42" t="inlineStr">
        <is>
          <t>kilogram</t>
        </is>
      </c>
      <c r="F42" t="inlineStr">
        <is>
          <t>ecoinvent 3.8 cutoff</t>
        </is>
      </c>
      <c r="G42" t="inlineStr">
        <is>
          <t>technosphere</t>
        </is>
      </c>
      <c r="I42" t="n">
        <v>2</v>
      </c>
      <c r="J42" t="n">
        <v>-7.959692615467221</v>
      </c>
      <c r="K42" t="n">
        <v>1.003444081984377</v>
      </c>
    </row>
    <row r="43">
      <c r="A43" t="inlineStr">
        <is>
          <t>Heat, waste</t>
        </is>
      </c>
      <c r="D43" t="n">
        <v>0.00471501618602812</v>
      </c>
      <c r="E43" t="inlineStr">
        <is>
          <t>megajoule</t>
        </is>
      </c>
      <c r="F43" t="inlineStr">
        <is>
          <t>biosphere3</t>
        </is>
      </c>
      <c r="G43" t="inlineStr">
        <is>
          <t>biosphere</t>
        </is>
      </c>
      <c r="H43" t="inlineStr">
        <is>
          <t>air</t>
        </is>
      </c>
      <c r="I43" t="n">
        <v>2</v>
      </c>
      <c r="J43">
        <f>LN(D43)</f>
        <v>-5.3570029300228379</v>
      </c>
      <c r="K43">
        <f>LN(SQRT(EXP(
SQRT(
+POWER(LN(1.05),2)
+POWER(LN(1.2),2)
+POWER(LN(1),2)
+POWER(LN(1.01),2)
+POWER(LN(1.2),2)
+POWER(LN(1.2),2)
+POWER(LN(1.5),2)
)
)))</f>
        <v>0.25816898211842121</v>
      </c>
    </row>
    <row r="44">
      <c r="A44" t="inlineStr">
        <is>
          <t>Chlorine</t>
        </is>
      </c>
      <c r="D44" t="n">
        <v>0.000669415878263252</v>
      </c>
      <c r="E44" t="inlineStr">
        <is>
          <t>kilogram</t>
        </is>
      </c>
      <c r="F44" t="inlineStr">
        <is>
          <t>biosphere3</t>
        </is>
      </c>
      <c r="G44" t="inlineStr">
        <is>
          <t>biosphere</t>
        </is>
      </c>
      <c r="H44" t="inlineStr">
        <is>
          <t>water</t>
        </is>
      </c>
      <c r="I44" t="n">
        <v>2</v>
      </c>
      <c r="J44">
        <f>LN(D44)</f>
        <v>-7.3091050493260719</v>
      </c>
      <c r="K44">
        <f>LN(SQRT(EXP(
SQRT(
+POWER(LN(1.05),2)
+POWER(LN(1.2),2)
+POWER(LN(1),2)
+POWER(LN(1.01),2)
+POWER(LN(1.2),2)
+POWER(LN(1.2),2)
+POWER(LN(1.5),2)
)
)))</f>
        <v>0.25816898211842121</v>
      </c>
    </row>
    <row r="45">
      <c r="A45" t="inlineStr">
        <is>
          <t>Sodium</t>
        </is>
      </c>
      <c r="D45" t="n">
        <v>0.000203735267297511</v>
      </c>
      <c r="E45" t="inlineStr">
        <is>
          <t>kilogram</t>
        </is>
      </c>
      <c r="F45" t="inlineStr">
        <is>
          <t>biosphere3</t>
        </is>
      </c>
      <c r="G45" t="inlineStr">
        <is>
          <t>biosphere</t>
        </is>
      </c>
      <c r="H45" t="inlineStr">
        <is>
          <t>water</t>
        </is>
      </c>
      <c r="I45" t="n">
        <v>2</v>
      </c>
      <c r="J45">
        <f>LN(D45)</f>
        <v>-8.4986891161999107</v>
      </c>
      <c r="K45">
        <f>LN(SQRT(EXP(
SQRT(
+POWER(LN(1.05),2)
+POWER(LN(1.2),2)
+POWER(LN(1),2)
+POWER(LN(1.01),2)
+POWER(LN(1.2),2)
+POWER(LN(1.2),2)
+POWER(LN(1.5),2)
)
)))</f>
        <v>0.25816898211842121</v>
      </c>
    </row>
    <row r="46"/>
    <row r="47">
      <c r="A47" t="inlineStr">
        <is>
          <t>Activity</t>
        </is>
      </c>
      <c r="B47" s="1" t="inlineStr">
        <is>
          <t>lithium brine purifying, via membrane separation</t>
        </is>
      </c>
    </row>
    <row r="48">
      <c r="A48" t="inlineStr">
        <is>
          <t>reference product</t>
        </is>
      </c>
      <c r="B48" t="inlineStr">
        <is>
          <t>lithium brine, purified</t>
        </is>
      </c>
    </row>
    <row r="49">
      <c r="A49" t="inlineStr">
        <is>
          <t>location</t>
        </is>
      </c>
      <c r="B49" t="inlineStr">
        <is>
          <t>CN</t>
        </is>
      </c>
    </row>
    <row r="50">
      <c r="A50" t="inlineStr">
        <is>
          <t>amount</t>
        </is>
      </c>
      <c r="B50" t="n">
        <v>1</v>
      </c>
    </row>
    <row r="51">
      <c r="A51" t="inlineStr">
        <is>
          <t>unit</t>
        </is>
      </c>
      <c r="B51" t="inlineStr">
        <is>
          <t>kilogram</t>
        </is>
      </c>
    </row>
    <row r="52">
      <c r="A52" t="inlineStr">
        <is>
          <t>comment</t>
        </is>
      </c>
      <c r="B52" t="inlineStr">
        <is>
          <t>Source: Regionalized life cycle assessment of present and future lithium production for Li-ion batteries. Vanessa Schenker, Christopher Oberschelp, Stephan Pfister.</t>
        </is>
      </c>
    </row>
    <row r="53">
      <c r="A53" t="inlineStr">
        <is>
          <t>Exchanges</t>
        </is>
      </c>
    </row>
    <row r="54" customFormat="1" s="1">
      <c r="A54" s="1" t="inlineStr">
        <is>
          <t>name</t>
        </is>
      </c>
      <c r="B54" s="1" t="inlineStr">
        <is>
          <t>reference product</t>
        </is>
      </c>
      <c r="C54" s="1" t="inlineStr">
        <is>
          <t>location</t>
        </is>
      </c>
      <c r="D54" s="1" t="inlineStr">
        <is>
          <t>amount</t>
        </is>
      </c>
      <c r="E54" s="1" t="inlineStr">
        <is>
          <t>unit</t>
        </is>
      </c>
      <c r="F54" s="1" t="inlineStr">
        <is>
          <t>database</t>
        </is>
      </c>
      <c r="G54" s="1" t="inlineStr">
        <is>
          <t>type</t>
        </is>
      </c>
      <c r="H54" s="1" t="inlineStr">
        <is>
          <t>categories</t>
        </is>
      </c>
      <c r="I54" s="1" t="inlineStr">
        <is>
          <t>uncertainty type</t>
        </is>
      </c>
      <c r="J54" s="1" t="inlineStr">
        <is>
          <t>loc</t>
        </is>
      </c>
      <c r="K54" s="1" t="inlineStr">
        <is>
          <t>scale</t>
        </is>
      </c>
      <c r="L54" s="1" t="inlineStr">
        <is>
          <t>minimum</t>
        </is>
      </c>
      <c r="M54" s="1" t="inlineStr">
        <is>
          <t>maximum</t>
        </is>
      </c>
    </row>
    <row r="55">
      <c r="A55" t="inlineStr">
        <is>
          <t>lithium brine purifying, via membrane separation</t>
        </is>
      </c>
      <c r="B55" t="inlineStr">
        <is>
          <t>lithium brine, purified</t>
        </is>
      </c>
      <c r="C55" t="inlineStr">
        <is>
          <t>CN</t>
        </is>
      </c>
      <c r="D55" t="n">
        <v>1</v>
      </c>
      <c r="E55" t="inlineStr">
        <is>
          <t>kilogram</t>
        </is>
      </c>
      <c r="F55" t="inlineStr">
        <is>
          <t>Chaerhan_38</t>
        </is>
      </c>
      <c r="G55" t="inlineStr">
        <is>
          <t>production</t>
        </is>
      </c>
    </row>
    <row r="56">
      <c r="A56" t="inlineStr">
        <is>
          <t>lithium brine filtering, via ion exchanger</t>
        </is>
      </c>
      <c r="B56" t="inlineStr">
        <is>
          <t>lithium brine, filtered</t>
        </is>
      </c>
      <c r="C56" t="inlineStr">
        <is>
          <t>CN</t>
        </is>
      </c>
      <c r="D56" t="n">
        <v>43.43807763401109</v>
      </c>
      <c r="E56" t="inlineStr">
        <is>
          <t>kilogram</t>
        </is>
      </c>
      <c r="F56" t="inlineStr">
        <is>
          <t>Chaerhan_38</t>
        </is>
      </c>
      <c r="G56" t="inlineStr">
        <is>
          <t>technosphere</t>
        </is>
      </c>
      <c r="I56" t="n">
        <v>2</v>
      </c>
      <c r="J56" t="n">
        <v>3.771336421285769</v>
      </c>
      <c r="K56" t="n">
        <v>0.2798909692815877</v>
      </c>
    </row>
    <row r="57">
      <c r="A57" s="6" t="inlineStr">
        <is>
          <t>market group for electricity, high voltage</t>
        </is>
      </c>
      <c r="B57" t="inlineStr">
        <is>
          <t>electricity, high voltage</t>
        </is>
      </c>
      <c r="C57" t="inlineStr">
        <is>
          <t>CN</t>
        </is>
      </c>
      <c r="D57" t="n">
        <v>0.5414416056265852</v>
      </c>
      <c r="E57" t="inlineStr">
        <is>
          <t>kilowatt hour</t>
        </is>
      </c>
      <c r="F57" t="inlineStr">
        <is>
          <t>ecoinvent 3.8 cutoff</t>
        </is>
      </c>
      <c r="G57" t="inlineStr">
        <is>
          <t>technosphere</t>
        </is>
      </c>
      <c r="I57" t="n">
        <v>2</v>
      </c>
      <c r="J57" t="n">
        <v>-0.6135200565340976</v>
      </c>
      <c r="K57" t="n">
        <v>0.2114371314735992</v>
      </c>
    </row>
    <row r="58">
      <c r="A58" s="6" t="inlineStr">
        <is>
          <t>market group for electricity, high voltage</t>
        </is>
      </c>
      <c r="B58" t="inlineStr">
        <is>
          <t>electricity, high voltage</t>
        </is>
      </c>
      <c r="C58" t="inlineStr">
        <is>
          <t>CN</t>
        </is>
      </c>
      <c r="D58" t="n">
        <v>0.358536513804536</v>
      </c>
      <c r="E58" t="inlineStr">
        <is>
          <t>kilowatt hour</t>
        </is>
      </c>
      <c r="F58" t="inlineStr">
        <is>
          <t>ecoinvent 3.8 cutoff</t>
        </is>
      </c>
      <c r="G58" t="inlineStr">
        <is>
          <t>technosphere</t>
        </is>
      </c>
      <c r="I58" t="n">
        <v>2</v>
      </c>
      <c r="J58" t="n">
        <v>-1.025724772512428</v>
      </c>
      <c r="K58" t="n">
        <v>0.2114371314735992</v>
      </c>
    </row>
    <row r="59"/>
    <row r="60">
      <c r="A60" t="inlineStr">
        <is>
          <t>Activity</t>
        </is>
      </c>
      <c r="B60" s="1" t="inlineStr">
        <is>
          <t>lithium carbonate precipitation 1</t>
        </is>
      </c>
    </row>
    <row r="61">
      <c r="A61" t="inlineStr">
        <is>
          <t>reference product</t>
        </is>
      </c>
      <c r="B61" t="inlineStr">
        <is>
          <t>lithium carbonate, precipitated</t>
        </is>
      </c>
    </row>
    <row r="62">
      <c r="A62" t="inlineStr">
        <is>
          <t>location</t>
        </is>
      </c>
      <c r="B62" t="inlineStr">
        <is>
          <t>CN</t>
        </is>
      </c>
    </row>
    <row r="63">
      <c r="A63" t="inlineStr">
        <is>
          <t>amount</t>
        </is>
      </c>
      <c r="B63" t="n">
        <v>1</v>
      </c>
    </row>
    <row r="64">
      <c r="A64" t="inlineStr">
        <is>
          <t>unit</t>
        </is>
      </c>
      <c r="B64" t="inlineStr">
        <is>
          <t>kilogram</t>
        </is>
      </c>
    </row>
    <row r="65">
      <c r="A65" t="inlineStr">
        <is>
          <t>comment</t>
        </is>
      </c>
      <c r="B65" t="inlineStr">
        <is>
          <t>Source: Regionalized life cycle assessment of present and future lithium production for Li-ion batteries. Vanessa Schenker, Christopher Oberschelp, Stephan Pfister.</t>
        </is>
      </c>
    </row>
    <row r="66">
      <c r="A66" t="inlineStr">
        <is>
          <t>Exchanges</t>
        </is>
      </c>
    </row>
    <row r="67" customFormat="1" s="1">
      <c r="A67" s="1" t="inlineStr">
        <is>
          <t>name</t>
        </is>
      </c>
      <c r="B67" s="1" t="inlineStr">
        <is>
          <t>reference product</t>
        </is>
      </c>
      <c r="C67" s="1" t="inlineStr">
        <is>
          <t>location</t>
        </is>
      </c>
      <c r="D67" s="1" t="inlineStr">
        <is>
          <t>amount</t>
        </is>
      </c>
      <c r="E67" s="1" t="inlineStr">
        <is>
          <t>unit</t>
        </is>
      </c>
      <c r="F67" s="1" t="inlineStr">
        <is>
          <t>database</t>
        </is>
      </c>
      <c r="G67" s="1" t="inlineStr">
        <is>
          <t>type</t>
        </is>
      </c>
      <c r="H67" s="1" t="inlineStr">
        <is>
          <t>categories</t>
        </is>
      </c>
      <c r="I67" s="1" t="inlineStr">
        <is>
          <t>uncertainty type</t>
        </is>
      </c>
      <c r="J67" s="1" t="inlineStr">
        <is>
          <t>loc</t>
        </is>
      </c>
      <c r="K67" s="1" t="inlineStr">
        <is>
          <t>scale</t>
        </is>
      </c>
      <c r="L67" s="1" t="inlineStr">
        <is>
          <t>minimum</t>
        </is>
      </c>
      <c r="M67" s="1" t="inlineStr">
        <is>
          <t>maximum</t>
        </is>
      </c>
    </row>
    <row r="68">
      <c r="A68" t="inlineStr">
        <is>
          <t>lithium carbonate precipitation 1</t>
        </is>
      </c>
      <c r="B68" t="inlineStr">
        <is>
          <t>lithium carbonate, precipitated</t>
        </is>
      </c>
      <c r="C68" t="inlineStr">
        <is>
          <t>CN</t>
        </is>
      </c>
      <c r="D68" t="n">
        <v>1</v>
      </c>
      <c r="E68" t="inlineStr">
        <is>
          <t>kilogram</t>
        </is>
      </c>
      <c r="F68" t="inlineStr">
        <is>
          <t>Chaerhan_38</t>
        </is>
      </c>
      <c r="G68" t="inlineStr">
        <is>
          <t>production</t>
        </is>
      </c>
    </row>
    <row r="69">
      <c r="A69" t="inlineStr">
        <is>
          <t>lithium brine purifying, via membrane separation</t>
        </is>
      </c>
      <c r="B69" t="inlineStr">
        <is>
          <t>lithium brine, purified</t>
        </is>
      </c>
      <c r="C69" t="inlineStr">
        <is>
          <t>CN</t>
        </is>
      </c>
      <c r="D69" t="n">
        <v>0.6292419038672405</v>
      </c>
      <c r="E69" t="inlineStr">
        <is>
          <t>kilogram</t>
        </is>
      </c>
      <c r="F69" t="inlineStr">
        <is>
          <t>Chaerhan_38</t>
        </is>
      </c>
      <c r="G69" t="inlineStr">
        <is>
          <t>technosphere</t>
        </is>
      </c>
      <c r="I69" t="n">
        <v>2</v>
      </c>
      <c r="J69" t="n">
        <v>-0.463239511370913</v>
      </c>
      <c r="K69" t="n">
        <v>0.2798909692815877</v>
      </c>
    </row>
    <row r="70">
      <c r="A70" t="inlineStr">
        <is>
          <t>heat production, natural gas, at industrial furnace &gt;100kW</t>
        </is>
      </c>
      <c r="B70" t="inlineStr">
        <is>
          <t>heat, district or industrial, natural gas</t>
        </is>
      </c>
      <c r="C70" t="inlineStr">
        <is>
          <t>RoW</t>
        </is>
      </c>
      <c r="D70" t="n">
        <v>0.2410092728808593</v>
      </c>
      <c r="E70" t="inlineStr">
        <is>
          <t>megajoule</t>
        </is>
      </c>
      <c r="F70" t="inlineStr">
        <is>
          <t>ecoinvent 3.8 cutoff</t>
        </is>
      </c>
      <c r="G70" t="inlineStr">
        <is>
          <t>technosphere</t>
        </is>
      </c>
      <c r="I70" t="n">
        <v>5</v>
      </c>
      <c r="J70" t="n">
        <v>0.2410092728808593</v>
      </c>
      <c r="L70" t="n">
        <v>0.1687064910166015</v>
      </c>
      <c r="M70" t="n">
        <v>0.3133120547451171</v>
      </c>
    </row>
    <row r="71">
      <c r="A71" t="inlineStr">
        <is>
          <t>market for soda ash, light, crystalline, heptahydrate</t>
        </is>
      </c>
      <c r="B71" t="inlineStr">
        <is>
          <t>soda ash, light, crystalline, heptahydrate</t>
        </is>
      </c>
      <c r="C71" t="inlineStr">
        <is>
          <t>GLO</t>
        </is>
      </c>
      <c r="D71" t="n">
        <v>0.06179301602212658</v>
      </c>
      <c r="E71" t="inlineStr">
        <is>
          <t>kilogram</t>
        </is>
      </c>
      <c r="F71" t="inlineStr">
        <is>
          <t>ecoinvent 3.8 cutoff</t>
        </is>
      </c>
      <c r="G71" t="inlineStr">
        <is>
          <t>technosphere</t>
        </is>
      </c>
      <c r="I71" t="n">
        <v>5</v>
      </c>
      <c r="J71" t="n">
        <v>0.06179301602212658</v>
      </c>
      <c r="L71" t="n">
        <v>0.0432551112154886</v>
      </c>
      <c r="M71" t="n">
        <v>0.08033092082876456</v>
      </c>
    </row>
    <row r="72">
      <c r="A72" t="inlineStr">
        <is>
          <t>water, pure, via reverse osmosis</t>
        </is>
      </c>
      <c r="B72" t="inlineStr">
        <is>
          <t>water, pure</t>
        </is>
      </c>
      <c r="C72" t="inlineStr">
        <is>
          <t>CN</t>
        </is>
      </c>
      <c r="D72" t="n">
        <v>0.3089650801106328</v>
      </c>
      <c r="E72" t="inlineStr">
        <is>
          <t>kilogram</t>
        </is>
      </c>
      <c r="F72" t="inlineStr">
        <is>
          <t>Chaerhan_38</t>
        </is>
      </c>
      <c r="G72" t="inlineStr">
        <is>
          <t>technosphere</t>
        </is>
      </c>
      <c r="I72" t="n">
        <v>5</v>
      </c>
      <c r="J72" t="n">
        <v>0.3089650801106328</v>
      </c>
      <c r="L72" t="n">
        <v>0.2162755560774429</v>
      </c>
      <c r="M72" t="n">
        <v>0.4016546041438226</v>
      </c>
    </row>
    <row r="73"/>
    <row r="74">
      <c r="A74" t="inlineStr">
        <is>
          <t>Activity</t>
        </is>
      </c>
      <c r="B74" s="1" t="inlineStr">
        <is>
          <t>lithium carbonate precipitation 2</t>
        </is>
      </c>
    </row>
    <row r="75">
      <c r="A75" t="inlineStr">
        <is>
          <t>reference product</t>
        </is>
      </c>
      <c r="B75" t="inlineStr">
        <is>
          <t>lithium carbonate, precipitated</t>
        </is>
      </c>
    </row>
    <row r="76">
      <c r="A76" t="inlineStr">
        <is>
          <t>location</t>
        </is>
      </c>
      <c r="B76" t="inlineStr">
        <is>
          <t>CN</t>
        </is>
      </c>
    </row>
    <row r="77">
      <c r="A77" t="inlineStr">
        <is>
          <t>amount</t>
        </is>
      </c>
      <c r="B77" t="n">
        <v>1</v>
      </c>
    </row>
    <row r="78">
      <c r="A78" t="inlineStr">
        <is>
          <t>unit</t>
        </is>
      </c>
      <c r="B78" t="inlineStr">
        <is>
          <t>kilogram</t>
        </is>
      </c>
    </row>
    <row r="79">
      <c r="A79" t="inlineStr">
        <is>
          <t>comment</t>
        </is>
      </c>
      <c r="B79" t="inlineStr">
        <is>
          <t>Source: Regionalized life cycle assessment of present and future lithium production for Li-ion batteries. Vanessa Schenker, Christopher Oberschelp, Stephan Pfister.</t>
        </is>
      </c>
    </row>
    <row r="80">
      <c r="A80" t="inlineStr">
        <is>
          <t>Exchanges</t>
        </is>
      </c>
    </row>
    <row r="81" customFormat="1" s="1">
      <c r="A81" s="1" t="inlineStr">
        <is>
          <t>name</t>
        </is>
      </c>
      <c r="B81" s="1" t="inlineStr">
        <is>
          <t>reference product</t>
        </is>
      </c>
      <c r="C81" s="1" t="inlineStr">
        <is>
          <t>location</t>
        </is>
      </c>
      <c r="D81" s="1" t="inlineStr">
        <is>
          <t>amount</t>
        </is>
      </c>
      <c r="E81" s="1" t="inlineStr">
        <is>
          <t>unit</t>
        </is>
      </c>
      <c r="F81" s="1" t="inlineStr">
        <is>
          <t>database</t>
        </is>
      </c>
      <c r="G81" s="1" t="inlineStr">
        <is>
          <t>type</t>
        </is>
      </c>
      <c r="H81" s="1" t="inlineStr">
        <is>
          <t>categories</t>
        </is>
      </c>
      <c r="I81" s="1" t="inlineStr">
        <is>
          <t>uncertainty type</t>
        </is>
      </c>
      <c r="J81" s="1" t="inlineStr">
        <is>
          <t>loc</t>
        </is>
      </c>
      <c r="K81" s="1" t="inlineStr">
        <is>
          <t>scale</t>
        </is>
      </c>
      <c r="L81" s="1" t="inlineStr">
        <is>
          <t>minimum</t>
        </is>
      </c>
      <c r="M81" s="1" t="inlineStr">
        <is>
          <t>maximum</t>
        </is>
      </c>
    </row>
    <row r="82">
      <c r="A82" t="inlineStr">
        <is>
          <t>lithium carbonate precipitation 2</t>
        </is>
      </c>
      <c r="B82" t="inlineStr">
        <is>
          <t>lithium carbonate, precipitated</t>
        </is>
      </c>
      <c r="C82" t="inlineStr">
        <is>
          <t>CN</t>
        </is>
      </c>
      <c r="D82" t="n">
        <v>1</v>
      </c>
      <c r="E82" t="inlineStr">
        <is>
          <t>kilogram</t>
        </is>
      </c>
      <c r="F82" t="inlineStr">
        <is>
          <t>Chaerhan_38</t>
        </is>
      </c>
      <c r="G82" t="inlineStr">
        <is>
          <t>production</t>
        </is>
      </c>
    </row>
    <row r="83">
      <c r="A83" t="inlineStr">
        <is>
          <t>lithium carbonate precipitation 1</t>
        </is>
      </c>
      <c r="B83" t="inlineStr">
        <is>
          <t>lithium carbonate, precipitated</t>
        </is>
      </c>
      <c r="C83" t="inlineStr">
        <is>
          <t>CN</t>
        </is>
      </c>
      <c r="D83" t="n">
        <v>0.9472699857451697</v>
      </c>
      <c r="E83" t="inlineStr">
        <is>
          <t>kilogram</t>
        </is>
      </c>
      <c r="F83" t="inlineStr">
        <is>
          <t>Chaerhan_38</t>
        </is>
      </c>
      <c r="G83" t="inlineStr">
        <is>
          <t>technosphere</t>
        </is>
      </c>
      <c r="I83" t="n">
        <v>5</v>
      </c>
      <c r="J83" t="n">
        <v>0.9472699857451724</v>
      </c>
      <c r="L83" t="n">
        <v>0.663088990021619</v>
      </c>
      <c r="M83" t="n">
        <v>1.23145098146872</v>
      </c>
    </row>
    <row r="84">
      <c r="A84" s="6" t="inlineStr">
        <is>
          <t>market group for electricity, high voltage</t>
        </is>
      </c>
      <c r="B84" t="inlineStr">
        <is>
          <t>electricity, high voltage</t>
        </is>
      </c>
      <c r="C84" t="inlineStr">
        <is>
          <t>CN</t>
        </is>
      </c>
      <c r="D84" t="n">
        <v>0.0009472699857451698</v>
      </c>
      <c r="E84" t="inlineStr">
        <is>
          <t>kilowatt hour</t>
        </is>
      </c>
      <c r="F84" t="inlineStr">
        <is>
          <t>ecoinvent 3.8 cutoff</t>
        </is>
      </c>
      <c r="G84" t="inlineStr">
        <is>
          <t>technosphere</t>
        </is>
      </c>
      <c r="I84" t="n">
        <v>2</v>
      </c>
      <c r="J84" t="n">
        <v>-0.2238328102806458</v>
      </c>
      <c r="K84" t="n">
        <v>0.03366782169169774</v>
      </c>
    </row>
    <row r="85">
      <c r="A85" t="inlineStr">
        <is>
          <t>water, pure, via reverse osmosis</t>
        </is>
      </c>
      <c r="B85" t="inlineStr">
        <is>
          <t>water, pure</t>
        </is>
      </c>
      <c r="C85" t="inlineStr">
        <is>
          <t>CN</t>
        </is>
      </c>
      <c r="D85" t="n">
        <v>0.07345187545367647</v>
      </c>
      <c r="E85" t="inlineStr">
        <is>
          <t>kilogram</t>
        </is>
      </c>
      <c r="F85" t="inlineStr">
        <is>
          <t>Chaerhan_38</t>
        </is>
      </c>
      <c r="G85" t="inlineStr">
        <is>
          <t>technosphere</t>
        </is>
      </c>
      <c r="I85" t="n">
        <v>2</v>
      </c>
      <c r="J85" t="n">
        <v>-0.07193345102535149</v>
      </c>
      <c r="K85" t="n">
        <v>0.07423882498605001</v>
      </c>
    </row>
    <row r="86">
      <c r="A86" t="inlineStr">
        <is>
          <t>heat production, natural gas, at industrial furnace &gt;100kW</t>
        </is>
      </c>
      <c r="B86" t="inlineStr">
        <is>
          <t>heat, district or industrial, natural gas</t>
        </is>
      </c>
      <c r="C86" t="inlineStr">
        <is>
          <t>RoW</t>
        </is>
      </c>
      <c r="D86" t="n">
        <v>0.03095737308459098</v>
      </c>
      <c r="E86" t="inlineStr">
        <is>
          <t>megajoule</t>
        </is>
      </c>
      <c r="F86" t="inlineStr">
        <is>
          <t>ecoinvent 3.8 cutoff</t>
        </is>
      </c>
      <c r="G86" t="inlineStr">
        <is>
          <t>technosphere</t>
        </is>
      </c>
      <c r="I86" t="n">
        <v>5</v>
      </c>
      <c r="J86" t="n">
        <v>0.03095737308459098</v>
      </c>
      <c r="L86" t="n">
        <v>0.02167016115921366</v>
      </c>
      <c r="M86" t="n">
        <v>0.0402445850099683</v>
      </c>
    </row>
    <row r="87">
      <c r="A87" t="inlineStr">
        <is>
          <t>water, pure, via reverse osmosis</t>
        </is>
      </c>
      <c r="B87" t="inlineStr">
        <is>
          <t>water, pure</t>
        </is>
      </c>
      <c r="C87" t="inlineStr">
        <is>
          <t>CN</t>
        </is>
      </c>
      <c r="D87" t="n">
        <v>1.008954333154897</v>
      </c>
      <c r="E87" t="inlineStr">
        <is>
          <t>kilogram</t>
        </is>
      </c>
      <c r="F87" t="inlineStr">
        <is>
          <t>Chaerhan_38</t>
        </is>
      </c>
      <c r="G87" t="inlineStr">
        <is>
          <t>technosphere</t>
        </is>
      </c>
      <c r="I87" t="n">
        <v>5</v>
      </c>
      <c r="J87" t="n">
        <v>1.008954333154897</v>
      </c>
      <c r="L87" t="n">
        <v>0.7062680332084278</v>
      </c>
      <c r="M87" t="n">
        <v>1.311640633101363</v>
      </c>
    </row>
    <row r="88">
      <c r="A88" t="inlineStr">
        <is>
          <t>heat production, natural gas, at industrial furnace &gt;100kW</t>
        </is>
      </c>
      <c r="B88" t="inlineStr">
        <is>
          <t>heat, district or industrial, natural gas</t>
        </is>
      </c>
      <c r="C88" t="inlineStr">
        <is>
          <t>RoW</t>
        </is>
      </c>
      <c r="D88" t="n">
        <v>0.4401032940984935</v>
      </c>
      <c r="E88" t="inlineStr">
        <is>
          <t>megajoule</t>
        </is>
      </c>
      <c r="F88" t="inlineStr">
        <is>
          <t>ecoinvent 3.8 cutoff</t>
        </is>
      </c>
      <c r="G88" t="inlineStr">
        <is>
          <t>technosphere</t>
        </is>
      </c>
      <c r="I88" t="n">
        <v>5</v>
      </c>
      <c r="J88" t="n">
        <v>0.4401032940984935</v>
      </c>
      <c r="L88" t="n">
        <v>0.3080723058689455</v>
      </c>
      <c r="M88" t="n">
        <v>0.5721342823280416</v>
      </c>
    </row>
    <row r="89"/>
    <row r="90">
      <c r="A90" t="inlineStr">
        <is>
          <t>Activity</t>
        </is>
      </c>
      <c r="B90" s="1" t="inlineStr">
        <is>
          <t>lithium carbonate production, from Chaerhan salt lake</t>
        </is>
      </c>
    </row>
    <row r="91">
      <c r="A91" t="inlineStr">
        <is>
          <t>reference product</t>
        </is>
      </c>
      <c r="B91" t="inlineStr">
        <is>
          <t>lithium carbonate, battery grade</t>
        </is>
      </c>
    </row>
    <row r="92">
      <c r="A92" t="inlineStr">
        <is>
          <t>location</t>
        </is>
      </c>
      <c r="B92" t="inlineStr">
        <is>
          <t>CN</t>
        </is>
      </c>
    </row>
    <row r="93">
      <c r="A93" t="inlineStr">
        <is>
          <t>amount</t>
        </is>
      </c>
      <c r="B93" t="n">
        <v>1</v>
      </c>
    </row>
    <row r="94">
      <c r="A94" t="inlineStr">
        <is>
          <t>unit</t>
        </is>
      </c>
      <c r="B94" t="inlineStr">
        <is>
          <t>kilogram</t>
        </is>
      </c>
    </row>
    <row r="95">
      <c r="A95" t="inlineStr">
        <is>
          <t>comment</t>
        </is>
      </c>
      <c r="B95" t="inlineStr">
        <is>
          <t>Source: Regionalized life cycle assessment of present and future lithium production for Li-ion batteries. Vanessa Schenker, Christopher Oberschelp, Stephan Pfister.</t>
        </is>
      </c>
    </row>
    <row r="96">
      <c r="A96" t="inlineStr">
        <is>
          <t>Exchanges</t>
        </is>
      </c>
    </row>
    <row r="97" customFormat="1" s="1">
      <c r="A97" s="1" t="inlineStr">
        <is>
          <t>name</t>
        </is>
      </c>
      <c r="B97" s="1" t="inlineStr">
        <is>
          <t>reference product</t>
        </is>
      </c>
      <c r="C97" s="1" t="inlineStr">
        <is>
          <t>location</t>
        </is>
      </c>
      <c r="D97" s="1" t="inlineStr">
        <is>
          <t>amount</t>
        </is>
      </c>
      <c r="E97" s="1" t="inlineStr">
        <is>
          <t>unit</t>
        </is>
      </c>
      <c r="F97" s="1" t="inlineStr">
        <is>
          <t>database</t>
        </is>
      </c>
      <c r="G97" s="1" t="inlineStr">
        <is>
          <t>type</t>
        </is>
      </c>
      <c r="H97" s="1" t="inlineStr">
        <is>
          <t>categories</t>
        </is>
      </c>
      <c r="I97" s="1" t="inlineStr">
        <is>
          <t>uncertainty type</t>
        </is>
      </c>
      <c r="J97" s="1" t="inlineStr">
        <is>
          <t>loc</t>
        </is>
      </c>
      <c r="K97" s="1" t="inlineStr">
        <is>
          <t>scale</t>
        </is>
      </c>
      <c r="L97" s="1" t="inlineStr">
        <is>
          <t>minimum</t>
        </is>
      </c>
      <c r="M97" s="1" t="inlineStr">
        <is>
          <t>maximum</t>
        </is>
      </c>
    </row>
    <row r="98">
      <c r="A98" t="inlineStr">
        <is>
          <t>lithium carbonate production, from Chaerhan salt lake</t>
        </is>
      </c>
      <c r="B98" t="inlineStr">
        <is>
          <t>lithium carbonate, battery grade</t>
        </is>
      </c>
      <c r="C98" t="inlineStr">
        <is>
          <t>CN</t>
        </is>
      </c>
      <c r="D98" t="n">
        <v>1</v>
      </c>
      <c r="E98" t="inlineStr">
        <is>
          <t>kilogram</t>
        </is>
      </c>
      <c r="F98" t="inlineStr">
        <is>
          <t>Chaerhan_38</t>
        </is>
      </c>
      <c r="G98" t="inlineStr">
        <is>
          <t>production</t>
        </is>
      </c>
    </row>
    <row r="99">
      <c r="A99" t="inlineStr">
        <is>
          <t>lithium carbonate precipitation 2</t>
        </is>
      </c>
      <c r="B99" t="inlineStr">
        <is>
          <t>lithium carbonate, precipitated</t>
        </is>
      </c>
      <c r="C99" t="inlineStr">
        <is>
          <t>CN</t>
        </is>
      </c>
      <c r="D99" t="n">
        <v>27.22871250933994</v>
      </c>
      <c r="E99" t="inlineStr">
        <is>
          <t>kilogram</t>
        </is>
      </c>
      <c r="F99" t="inlineStr">
        <is>
          <t>Chaerhan_38</t>
        </is>
      </c>
      <c r="G99" t="inlineStr">
        <is>
          <t>technosphere</t>
        </is>
      </c>
      <c r="I99" t="n">
        <v>5</v>
      </c>
      <c r="J99" t="n">
        <v>27.22871250933988</v>
      </c>
      <c r="L99" t="n">
        <v>19.06009875653789</v>
      </c>
      <c r="M99" t="n">
        <v>35.39732626214188</v>
      </c>
    </row>
    <row r="100">
      <c r="A100" s="6" t="inlineStr">
        <is>
          <t>market group for electricity, high voltage</t>
        </is>
      </c>
      <c r="B100" t="inlineStr">
        <is>
          <t>electricity, high voltage</t>
        </is>
      </c>
      <c r="C100" t="inlineStr">
        <is>
          <t>CN</t>
        </is>
      </c>
      <c r="D100" t="n">
        <v>0.02722871250933993</v>
      </c>
      <c r="E100" t="inlineStr">
        <is>
          <t>kilowatt hour</t>
        </is>
      </c>
      <c r="F100" t="inlineStr">
        <is>
          <t>ecoinvent 3.8 cutoff</t>
        </is>
      </c>
      <c r="G100" t="inlineStr">
        <is>
          <t>technosphere</t>
        </is>
      </c>
      <c r="I100" t="n">
        <v>2</v>
      </c>
      <c r="J100" t="n">
        <v>-6.013422545382852</v>
      </c>
      <c r="K100" t="n">
        <v>0.9167314376589565</v>
      </c>
    </row>
    <row r="101">
      <c r="A101" t="inlineStr">
        <is>
          <t>water, pure, via reverse osmosis</t>
        </is>
      </c>
      <c r="B101" t="inlineStr">
        <is>
          <t>water, pure</t>
        </is>
      </c>
      <c r="C101" t="inlineStr">
        <is>
          <t>CN</t>
        </is>
      </c>
      <c r="D101" t="n">
        <v>1.999999999999999</v>
      </c>
      <c r="E101" t="inlineStr">
        <is>
          <t>kilogram</t>
        </is>
      </c>
      <c r="F101" t="inlineStr">
        <is>
          <t>Chaerhan_38</t>
        </is>
      </c>
      <c r="G101" t="inlineStr">
        <is>
          <t>technosphere</t>
        </is>
      </c>
      <c r="I101" t="n">
        <v>2</v>
      </c>
      <c r="J101" t="n">
        <v>-1.95865525777398</v>
      </c>
      <c r="K101" t="n">
        <v>2.133338954651432</v>
      </c>
    </row>
    <row r="102">
      <c r="A102" t="inlineStr">
        <is>
          <t>heat production, natural gas, at industrial furnace &gt;100kW</t>
        </is>
      </c>
      <c r="B102" t="inlineStr">
        <is>
          <t>heat, district or industrial, natural gas</t>
        </is>
      </c>
      <c r="C102" t="inlineStr">
        <is>
          <t>RoW</t>
        </is>
      </c>
      <c r="D102" t="n">
        <v>0.8429294117647057</v>
      </c>
      <c r="E102" t="inlineStr">
        <is>
          <t>megajoule</t>
        </is>
      </c>
      <c r="F102" t="inlineStr">
        <is>
          <t>ecoinvent 3.8 cutoff</t>
        </is>
      </c>
      <c r="G102" t="inlineStr">
        <is>
          <t>technosphere</t>
        </is>
      </c>
      <c r="I102" t="n">
        <v>5</v>
      </c>
      <c r="J102" t="n">
        <v>0.8429294117647057</v>
      </c>
      <c r="L102" t="n">
        <v>0.5900505882352933</v>
      </c>
      <c r="M102" t="n">
        <v>1.095808235294118</v>
      </c>
    </row>
    <row r="103">
      <c r="A103" s="6" t="inlineStr">
        <is>
          <t>market group for electricity, high voltage</t>
        </is>
      </c>
      <c r="B103" t="inlineStr">
        <is>
          <t>electricity, high voltage</t>
        </is>
      </c>
      <c r="C103" t="inlineStr">
        <is>
          <t>CN</t>
        </is>
      </c>
      <c r="D103" t="n">
        <v>0.0035</v>
      </c>
      <c r="E103" t="inlineStr">
        <is>
          <t>kilowatt hour</t>
        </is>
      </c>
      <c r="F103" t="inlineStr">
        <is>
          <t>ecoinvent 3.8 cutoff</t>
        </is>
      </c>
      <c r="G103" t="inlineStr">
        <is>
          <t>technosphere</t>
        </is>
      </c>
      <c r="I103" t="n">
        <v>2</v>
      </c>
      <c r="J103" t="n">
        <v>-10.5155549546332</v>
      </c>
      <c r="K103" t="n">
        <v>1.014397277622511</v>
      </c>
    </row>
    <row r="104">
      <c r="A104" t="inlineStr">
        <is>
          <t>heat production, natural gas, at industrial furnace &gt;100kW</t>
        </is>
      </c>
      <c r="B104" t="inlineStr">
        <is>
          <t>heat, district or industrial, natural gas</t>
        </is>
      </c>
      <c r="C104" t="inlineStr">
        <is>
          <t>RoW</t>
        </is>
      </c>
      <c r="D104" t="n">
        <v>2.470588235294118</v>
      </c>
      <c r="E104" t="inlineStr">
        <is>
          <t>megajoule</t>
        </is>
      </c>
      <c r="F104" t="inlineStr">
        <is>
          <t>ecoinvent 3.8 cutoff</t>
        </is>
      </c>
      <c r="G104" t="inlineStr">
        <is>
          <t>technosphere</t>
        </is>
      </c>
      <c r="I104" t="n">
        <v>2</v>
      </c>
      <c r="J104" t="n">
        <v>0.9044562742271525</v>
      </c>
      <c r="K104" t="n">
        <v>0.9066475442341566</v>
      </c>
    </row>
    <row r="105">
      <c r="A105" s="6" t="inlineStr">
        <is>
          <t>market group for electricity, high voltage</t>
        </is>
      </c>
      <c r="B105" t="inlineStr">
        <is>
          <t>electricity, high voltage</t>
        </is>
      </c>
      <c r="C105" t="inlineStr">
        <is>
          <t>CN</t>
        </is>
      </c>
      <c r="D105" t="n">
        <v>0.3</v>
      </c>
      <c r="E105" t="inlineStr">
        <is>
          <t>kilowatt hour</t>
        </is>
      </c>
      <c r="F105" t="inlineStr">
        <is>
          <t>ecoinvent 3.8 cutoff</t>
        </is>
      </c>
      <c r="G105" t="inlineStr">
        <is>
          <t>technosphere</t>
        </is>
      </c>
      <c r="I105" t="n">
        <v>2</v>
      </c>
      <c r="J105" t="n">
        <v>-1.203972804325936</v>
      </c>
      <c r="K105" t="n">
        <v>0.9066475442341566</v>
      </c>
    </row>
  </sheetData>
  <autoFilter ref="A1:M105"/>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M21"/>
  <sheetViews>
    <sheetView workbookViewId="0">
      <selection activeCell="A14" sqref="A14"/>
    </sheetView>
  </sheetViews>
  <sheetFormatPr baseColWidth="10" defaultRowHeight="15"/>
  <cols>
    <col width="48.6640625" bestFit="1" customWidth="1" min="1" max="1"/>
    <col width="38.1640625" customWidth="1" min="2" max="2"/>
  </cols>
  <sheetData>
    <row r="1">
      <c r="A1" t="inlineStr">
        <is>
          <t>Activity</t>
        </is>
      </c>
      <c r="B1" s="1" t="inlineStr">
        <is>
          <t>lithium hydroxide production, battery grade</t>
        </is>
      </c>
    </row>
    <row r="2">
      <c r="A2" t="inlineStr">
        <is>
          <t>reference product</t>
        </is>
      </c>
      <c r="B2" t="inlineStr">
        <is>
          <t>lithium hydroxide, battery grade</t>
        </is>
      </c>
    </row>
    <row r="3">
      <c r="A3" t="inlineStr">
        <is>
          <t>location</t>
        </is>
      </c>
      <c r="B3" t="inlineStr">
        <is>
          <t>GLO</t>
        </is>
      </c>
    </row>
    <row r="4">
      <c r="A4" t="inlineStr">
        <is>
          <t>amount</t>
        </is>
      </c>
      <c r="B4" t="n">
        <v>1</v>
      </c>
    </row>
    <row r="5">
      <c r="A5" t="inlineStr">
        <is>
          <t>unit</t>
        </is>
      </c>
      <c r="B5" t="inlineStr">
        <is>
          <t>kilogram</t>
        </is>
      </c>
    </row>
    <row r="6">
      <c r="A6" t="inlineStr">
        <is>
          <t>comment</t>
        </is>
      </c>
      <c r="B6" t="inlineStr">
        <is>
          <t>Source: Jarod C. Kelly, Michael Wang, Qiang Dai, Olumide Winjobi, Energy, greenhouse gas, and water life cycle analysis of lithium carbonate and lithium hydroxide monohydrate from brine and ore resources and their use in lithium ion battery cathodes and lithium ion batteries, Resources, Conservation and Recycling, Volume 174, 2021, 105762, ISSN 0921-3449, https://doi.org/10.1016/j.resconrec.2021.105762.</t>
        </is>
      </c>
    </row>
    <row r="7">
      <c r="A7" t="inlineStr">
        <is>
          <t>Exchanges</t>
        </is>
      </c>
    </row>
    <row r="8" customFormat="1" s="1">
      <c r="A8" s="1" t="inlineStr">
        <is>
          <t>name</t>
        </is>
      </c>
      <c r="B8" s="1" t="inlineStr">
        <is>
          <t>reference product</t>
        </is>
      </c>
      <c r="C8" s="1" t="inlineStr">
        <is>
          <t>location</t>
        </is>
      </c>
      <c r="D8" s="1" t="inlineStr">
        <is>
          <t>amount</t>
        </is>
      </c>
      <c r="E8" s="1" t="inlineStr">
        <is>
          <t>unit</t>
        </is>
      </c>
      <c r="F8" s="1" t="inlineStr">
        <is>
          <t>database</t>
        </is>
      </c>
      <c r="G8" s="1" t="inlineStr">
        <is>
          <t>type</t>
        </is>
      </c>
      <c r="H8" s="1" t="inlineStr">
        <is>
          <t>categories</t>
        </is>
      </c>
      <c r="I8" s="1" t="inlineStr">
        <is>
          <t>uncertainty type</t>
        </is>
      </c>
      <c r="J8" s="1" t="inlineStr">
        <is>
          <t>loc</t>
        </is>
      </c>
      <c r="K8" s="1" t="inlineStr">
        <is>
          <t>scale</t>
        </is>
      </c>
      <c r="L8" s="1" t="inlineStr">
        <is>
          <t>minimum</t>
        </is>
      </c>
      <c r="M8" s="1" t="inlineStr">
        <is>
          <t>maximum</t>
        </is>
      </c>
    </row>
    <row r="9">
      <c r="A9" t="inlineStr">
        <is>
          <t>lithium hydroxide production, battery grade</t>
        </is>
      </c>
      <c r="B9" t="inlineStr">
        <is>
          <t>lithium hydroxide, battery grade</t>
        </is>
      </c>
      <c r="C9" t="inlineStr">
        <is>
          <t>GLO</t>
        </is>
      </c>
      <c r="D9" t="n">
        <v>1</v>
      </c>
      <c r="E9" t="inlineStr">
        <is>
          <t>kilogram</t>
        </is>
      </c>
      <c r="F9" t="inlineStr">
        <is>
          <t>Chaerhan_38</t>
        </is>
      </c>
      <c r="G9" t="inlineStr">
        <is>
          <t>production</t>
        </is>
      </c>
    </row>
    <row r="10">
      <c r="A10" t="inlineStr">
        <is>
          <t>lithium carbonate production, from Salar de Atacama</t>
        </is>
      </c>
      <c r="B10" t="inlineStr">
        <is>
          <t>lithium carbonate, battery grade</t>
        </is>
      </c>
      <c r="C10" t="inlineStr">
        <is>
          <t>CL</t>
        </is>
      </c>
      <c r="D10" s="5">
        <f>0.575440888308295*1.05</f>
        <v>0.60421293272370979</v>
      </c>
      <c r="E10" t="inlineStr">
        <is>
          <t>kilogram</t>
        </is>
      </c>
      <c r="F10" t="inlineStr">
        <is>
          <t>Atacama_38</t>
        </is>
      </c>
      <c r="G10" t="inlineStr">
        <is>
          <t>technosphere</t>
        </is>
      </c>
    </row>
    <row r="11">
      <c r="A11" t="inlineStr">
        <is>
          <t>lithium carbonate production, from Salar de Olaroz</t>
        </is>
      </c>
      <c r="B11" t="inlineStr">
        <is>
          <t>lithium carbonate, battery grade</t>
        </is>
      </c>
      <c r="C11" t="inlineStr">
        <is>
          <t>AR</t>
        </is>
      </c>
      <c r="D11" s="5">
        <f>0.0783801436969301*1.05</f>
        <v>8.2299150881776612E-2</v>
      </c>
      <c r="E11" t="inlineStr">
        <is>
          <t>kilogram</t>
        </is>
      </c>
      <c r="F11" t="inlineStr">
        <is>
          <t>Atacama_38</t>
        </is>
      </c>
      <c r="G11" t="inlineStr">
        <is>
          <t>technosphere</t>
        </is>
      </c>
    </row>
    <row r="12">
      <c r="A12" t="inlineStr">
        <is>
          <t>lithium carbonate production, from Salar de Cauchari-Olaroz</t>
        </is>
      </c>
      <c r="B12" t="inlineStr">
        <is>
          <t>lithium carbonate, battery grade</t>
        </is>
      </c>
      <c r="C12" t="inlineStr">
        <is>
          <t>AR</t>
        </is>
      </c>
      <c r="D12" s="5">
        <f>0.261267145656434*1.05</f>
        <v>0.2743305029392557</v>
      </c>
      <c r="E12" t="inlineStr">
        <is>
          <t>kilogram</t>
        </is>
      </c>
      <c r="F12" t="inlineStr">
        <is>
          <t>Atacama_38</t>
        </is>
      </c>
      <c r="G12" t="inlineStr">
        <is>
          <t>technosphere</t>
        </is>
      </c>
    </row>
    <row r="13">
      <c r="A13" t="inlineStr">
        <is>
          <t>lithium carbonate production, from Salar del Hombre Muerto</t>
        </is>
      </c>
      <c r="B13" t="inlineStr">
        <is>
          <t>lithium carbonate, battery grade</t>
        </is>
      </c>
      <c r="C13" t="inlineStr">
        <is>
          <t>AR</t>
        </is>
      </c>
      <c r="D13" s="5">
        <f>0.0326583932070542*1.05</f>
        <v>3.4291312867406915E-2</v>
      </c>
      <c r="E13" t="inlineStr">
        <is>
          <t>kilogram</t>
        </is>
      </c>
      <c r="F13" t="inlineStr">
        <is>
          <t>Atacama_38</t>
        </is>
      </c>
      <c r="G13" t="inlineStr">
        <is>
          <t>technosphere</t>
        </is>
      </c>
    </row>
    <row r="14">
      <c r="A14" t="inlineStr">
        <is>
          <t>lithium carbonate production, from Chaerhan salt lake</t>
        </is>
      </c>
      <c r="B14" t="inlineStr">
        <is>
          <t>lithium carbonate, battery grade</t>
        </is>
      </c>
      <c r="C14" t="inlineStr">
        <is>
          <t>CN</t>
        </is>
      </c>
      <c r="D14" s="5">
        <f>0.0522534291312867*1.05</f>
        <v>5.486610058785104E-2</v>
      </c>
      <c r="E14" t="inlineStr">
        <is>
          <t>kilogram</t>
        </is>
      </c>
      <c r="F14" t="inlineStr">
        <is>
          <t>Atacama_38</t>
        </is>
      </c>
      <c r="G14" t="inlineStr">
        <is>
          <t>technosphere</t>
        </is>
      </c>
    </row>
    <row r="15">
      <c r="A15" t="inlineStr">
        <is>
          <t>market for calcium carbonate, precipitated</t>
        </is>
      </c>
      <c r="B15" t="inlineStr">
        <is>
          <t>calcium carbonate, precipitated</t>
        </is>
      </c>
      <c r="C15" t="inlineStr">
        <is>
          <t>RoW</t>
        </is>
      </c>
      <c r="D15" t="n">
        <v>1.15</v>
      </c>
      <c r="E15" t="inlineStr">
        <is>
          <t>kilogram</t>
        </is>
      </c>
      <c r="F15" t="inlineStr">
        <is>
          <t>ecoinvent</t>
        </is>
      </c>
      <c r="G15" t="inlineStr">
        <is>
          <t>technosphere</t>
        </is>
      </c>
    </row>
    <row r="16">
      <c r="A16" t="inlineStr">
        <is>
          <t>Water, unspecified natural origin</t>
        </is>
      </c>
      <c r="D16">
        <f>0.5/1000</f>
        <v>5.0000000000000001E-4</v>
      </c>
      <c r="E16" t="inlineStr">
        <is>
          <t>cubic meter</t>
        </is>
      </c>
      <c r="F16" t="inlineStr">
        <is>
          <t>biosphere3</t>
        </is>
      </c>
      <c r="G16" t="inlineStr">
        <is>
          <t>biosphere</t>
        </is>
      </c>
      <c r="H16" t="inlineStr">
        <is>
          <t>natural resource::in ground</t>
        </is>
      </c>
      <c r="I16" t="n">
        <v>2</v>
      </c>
      <c r="J16" t="n">
        <v>-6.907755278982137</v>
      </c>
      <c r="K16" t="n">
        <v>0.5226943987482665</v>
      </c>
    </row>
    <row r="17">
      <c r="A17" t="inlineStr">
        <is>
          <t>market group for electricity, medium voltage</t>
        </is>
      </c>
      <c r="B17" t="inlineStr">
        <is>
          <t>electricity, medium voltage</t>
        </is>
      </c>
      <c r="C17" t="inlineStr">
        <is>
          <t>GLO</t>
        </is>
      </c>
      <c r="D17">
        <f>5000/3.6/1000</f>
        <v>1.3888888888888888</v>
      </c>
      <c r="E17" t="inlineStr">
        <is>
          <t>kilowatt hour</t>
        </is>
      </c>
      <c r="F17" t="inlineStr">
        <is>
          <t>ecoinvent</t>
        </is>
      </c>
      <c r="G17" t="inlineStr">
        <is>
          <t>technosphere</t>
        </is>
      </c>
    </row>
    <row r="18">
      <c r="A18" t="inlineStr">
        <is>
          <t>market for diesel, burned in diesel-electric generating set, 18.5kW</t>
        </is>
      </c>
      <c r="B18" t="inlineStr">
        <is>
          <t>diesel, burned in diesel-electric generating set, 18.5kW</t>
        </is>
      </c>
      <c r="C18" t="inlineStr">
        <is>
          <t>GLO</t>
        </is>
      </c>
      <c r="D18">
        <f>3000/1000</f>
        <v>3</v>
      </c>
      <c r="E18" t="inlineStr">
        <is>
          <t>megajoule</t>
        </is>
      </c>
      <c r="F18" t="inlineStr">
        <is>
          <t>ecoinvent</t>
        </is>
      </c>
      <c r="G18" t="inlineStr">
        <is>
          <t>technosphere</t>
        </is>
      </c>
    </row>
    <row r="19">
      <c r="A19" t="inlineStr">
        <is>
          <t>heat production, natural gas, at industrial furnace &gt;100kW</t>
        </is>
      </c>
      <c r="B19" t="inlineStr">
        <is>
          <t>heat, district or industrial, natural gas</t>
        </is>
      </c>
      <c r="C19" t="inlineStr">
        <is>
          <t>RoW</t>
        </is>
      </c>
      <c r="D19" t="n">
        <v>21</v>
      </c>
      <c r="E19" t="inlineStr">
        <is>
          <t>megajoule</t>
        </is>
      </c>
      <c r="F19" t="inlineStr">
        <is>
          <t>ecoinvent</t>
        </is>
      </c>
      <c r="G19" t="inlineStr">
        <is>
          <t>technosphere</t>
        </is>
      </c>
    </row>
    <row r="20">
      <c r="A20" t="inlineStr">
        <is>
          <t>Particulates, &gt; 2.5 um, and &lt; 10um</t>
        </is>
      </c>
      <c r="D20">
        <f>0.1/1000</f>
        <v>1E-4</v>
      </c>
      <c r="E20" t="inlineStr">
        <is>
          <t>kilogram</t>
        </is>
      </c>
      <c r="F20" t="inlineStr">
        <is>
          <t>biosphere3</t>
        </is>
      </c>
      <c r="G20" t="inlineStr">
        <is>
          <t>biosphere</t>
        </is>
      </c>
      <c r="H20" t="inlineStr">
        <is>
          <t>air</t>
        </is>
      </c>
    </row>
    <row r="21">
      <c r="A21" t="inlineStr">
        <is>
          <t>Particulates, &lt; 2.5 um</t>
        </is>
      </c>
      <c r="D21">
        <f>0.05/1000</f>
        <v>5.0000000000000002E-5</v>
      </c>
      <c r="E21" t="inlineStr">
        <is>
          <t>kilogram</t>
        </is>
      </c>
      <c r="F21" t="inlineStr">
        <is>
          <t>biosphere3</t>
        </is>
      </c>
      <c r="G21" t="inlineStr">
        <is>
          <t>biosphere</t>
        </is>
      </c>
      <c r="H21" t="inlineStr">
        <is>
          <t>air</t>
        </is>
      </c>
    </row>
  </sheetData>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Vanessa Schenker</dc:creator>
  <dcterms:created xmlns:dcterms="http://purl.org/dc/terms/" xmlns:xsi="http://www.w3.org/2001/XMLSchema-instance" xsi:type="dcterms:W3CDTF">2022-03-31T12:33:49Z</dcterms:created>
  <dcterms:modified xmlns:dcterms="http://purl.org/dc/terms/" xmlns:xsi="http://www.w3.org/2001/XMLSchema-instance" xsi:type="dcterms:W3CDTF">2026-07-07T14:16:30Z</dcterms:modified>
  <cp:lastModifiedBy>Romain Sacchi</cp:lastModifiedBy>
</cp:coreProperties>
</file>