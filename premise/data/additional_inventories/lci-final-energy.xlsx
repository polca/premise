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<sst xmlns="http://schemas.openxmlformats.org/spreadsheetml/2006/main" count="14523" uniqueCount="505">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</sst>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702"/>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 carculator regional truck 2020</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 carculator regional truck 2020</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 carculator regional truck 2020</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 carculator regional truck 2020</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 carculator regional truck 2020</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 carculator regional truck 2020</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 carculator regional truck 2020</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 carculator regional truck 2020</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 carculator regional truck 2020</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 carculator regional truck 2020</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 carculator regional truck 2020</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 carculator regional truck 2020</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 carculator regional truck 2020</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 carculator regional truck 2020</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 carculator regional truck 2020</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 carculator regional truck 2020</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 carculator regional truck 2020</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 carculator regional truck 2020</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 carculator regional truck 2020</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 carculator regional truck 2020</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 carculator regional truck 2020</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 carculator regional truck 2020</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 carculator regional truck 2020</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 carculator regional truck 2020</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 carculator regional truck 2020</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 carculator regional truck 2020</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 carculator regional truck 2020</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 carculator regional truck 2020</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 carculator regional truck 2020</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 carculator regional truck 2020</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 carculator regional truck 2020</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 carculator regional truck 2020</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 carculator regional truck 2020</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 carculator regional truck 2020</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 carculator regional truck 2020</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 carculator regional truck 2020</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 carculator regional truck 2020</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 carculator regional truck 2020</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 carculator regional truck 2020</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 carculator regional truck 2020</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["other components, for hybrid electric lorry", "other components, for hybrid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 "vehicle per source service": 1.428571428571429e-07, "replacement correction factor": 1.0, "amount per MJ": 6.771674532407343e-06}, {"supplier": ["power electronics, for lorry", "power electronics, for lorry", "RER", "kilogram"], "amount per vehicle": 183,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spans="1:13" ns3:dyDescent="0.2">
      <c r="A1783" s="17" t="s">
        <v>2</v>
      </c>
      <c r="B1783" s="17" t="s">
        <v>210</v>
      </c>
    </row>
    <row r="1784" spans="1:13" customFormat="1" ht="16" ns3:dyDescent="0.2">
      <c r="A1784" t="s">
        <v>151</v>
      </c>
      <c r="B1784" t="s">
        <v>211</v>
      </c>
    </row>
    <row r="1785" spans="1:13" customFormat="1" ht="16" ns3:dyDescent="0.2">
      <c r="A1785" t="s">
        <v>198</v>
      </c>
      <c r="B1785" t="s">
        <v>212</v>
      </c>
    </row>
    <row r="1786" spans="1:13" customFormat="1" ht="16" ns3:dyDescent="0.2">
      <c r="A1786" t="s">
        <v>3</v>
      </c>
      <c r="B1786" t="s">
        <v>18</v>
      </c>
    </row>
    <row r="1787" spans="1:13" customFormat="1" ht="16" ns3:dyDescent="0.2">
      <c r="A1787" t="s">
        <v>4</v>
      </c>
      <c r="B1787">
        <v>1</v>
      </c>
    </row>
    <row r="1788" spans="1:13" customFormat="1" ht="16" ns3:dyDescent="0.2">
      <c r="A1788" t="s">
        <v>5</v>
      </c>
      <c r="B1788" t="s">
        <v>210</v>
      </c>
    </row>
    <row r="1789" spans="1:13" customFormat="1" ht="16" ns3:dyDescent="0.2">
      <c r="A1789" t="s">
        <v>204</v>
      </c>
      <c r="B1789" t="s">
        <v>213</v>
      </c>
    </row>
    <row r="1790" spans="1:13" customFormat="1" ht="16" ns3:dyDescent="0.2">
      <c r="A1790" t="s">
        <v>214</v>
      </c>
      <c r="B1790" t="s">
        <v>211</v>
      </c>
    </row>
    <row r="1791" spans="1:13" customFormat="1" ht="16" ns3:dyDescent="0.2">
      <c r="A1791" t="s">
        <v>6</v>
      </c>
      <c r="B1791" t="s">
        <v>7</v>
      </c>
    </row>
    <row r="1792" spans="1:13" customFormat="1" ht="16" ns3:dyDescent="0.2">
      <c r="A1792" t="s">
        <v>8</v>
      </c>
      <c r="B1792" t="s">
        <v>8</v>
      </c>
    </row>
    <row r="1793" spans="1:7" customFormat="1" ht="16" ns3:dyDescent="0.2">
      <c r="A1793" s="1" t="s">
        <v>10</v>
      </c>
    </row>
    <row r="1794" spans="1:7" ns3:dyDescent="0.2">
      <c r="A1794" s="17" t="s">
        <v>11</v>
      </c>
      <c r="B1794" s="17" t="s">
        <v>12</v>
      </c>
      <c r="C1794" s="17" t="s">
        <v>3</v>
      </c>
      <c r="D1794" s="17" t="s">
        <v>13</v>
      </c>
      <c r="E1794" s="17" t="s">
        <v>8</v>
      </c>
      <c r="F1794" s="17" t="s">
        <v>6</v>
      </c>
      <c r="G1794" s="17" t="s">
        <v>5</v>
      </c>
    </row>
    <row r="1795" spans="1:7" customFormat="1" ht="16" ns3:dyDescent="0.2">
      <c r="A1795" t="s">
        <v>210</v>
      </c>
      <c r="B1795">
        <v>1</v>
      </c>
      <c r="C1795" t="s">
        <v>18</v>
      </c>
      <c r="D1795" s="2"/>
      <c r="E1795" t="s">
        <v>8</v>
      </c>
      <c r="F1795" t="s">
        <v>19</v>
      </c>
      <c r="G1795" t="s">
        <v>210</v>
      </c>
    </row>
    <row r="1796" spans="1:7" customFormat="1" ht="16" ns3:dyDescent="0.2">
      <c r="A1796" t="s">
        <v>215</v>
      </c>
      <c r="B1796">
        <v>4.3</v>
      </c>
      <c r="C1796" t="s">
        <v>18</v>
      </c>
      <c r="D1796" s="2"/>
      <c r="E1796" t="s">
        <v>8</v>
      </c>
      <c r="F1796" t="s">
        <v>23</v>
      </c>
      <c r="G1796" t="s">
        <v>215</v>
      </c>
    </row>
    <row r="1797" spans="1:7" customFormat="1" ht="16" ns3:dyDescent="0.2">
      <c r="A1797" t="s">
        <v>216</v>
      </c>
      <c r="B1797">
        <v>1</v>
      </c>
      <c r="C1797" t="s">
        <v>18</v>
      </c>
      <c r="D1797" s="2"/>
      <c r="E1797" t="s">
        <v>8</v>
      </c>
      <c r="F1797" t="s">
        <v>23</v>
      </c>
      <c r="G1797" t="s">
        <v>216</v>
      </c>
    </row>
    <row r="1798" spans="1:7" customFormat="1" ht="16" ns3:dyDescent="0.2">
      <c r="A1798" t="s">
        <v>217</v>
      </c>
      <c r="B1798">
        <v>1</v>
      </c>
      <c r="C1798" t="s">
        <v>18</v>
      </c>
      <c r="D1798" s="2"/>
      <c r="E1798" t="s">
        <v>8</v>
      </c>
      <c r="F1798" t="s">
        <v>23</v>
      </c>
      <c r="G1798" t="s">
        <v>217</v>
      </c>
    </row>
    <row r="1799" spans="1:7" customFormat="1" ht="16" ns3:dyDescent="0.2"/>
    <row r="1800">
      <c r="A1800" t="inlineStr">
        <is>
          <t>Activity</t>
        </is>
      </c>
      <c r="B1800" t="inlineStr">
        <is>
          <t>hydrogen, used in a fuel cell in a single deck coach or urban bus</t>
        </is>
      </c>
    </row>
    <row r="1801">
      <c r="A1801" t="inlineStr">
        <is>
          <t>comment</t>
        </is>
      </c>
      <c r="B1801"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802">
      <c r="A1802" t="inlineStr">
        <is>
          <t>description</t>
        </is>
      </c>
      <c r="B180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03">
      <c r="A1803" t="inlineStr">
        <is>
          <t>location</t>
        </is>
      </c>
      <c r="B1803" t="inlineStr">
        <is>
          <t>RER</t>
        </is>
      </c>
    </row>
    <row r="1804">
      <c r="A1804" t="inlineStr">
        <is>
          <t>production amount</t>
        </is>
      </c>
      <c r="B1804">
        <v>1</v>
      </c>
    </row>
    <row r="1805">
      <c r="A1805" t="inlineStr">
        <is>
          <t>reference product</t>
        </is>
      </c>
      <c r="B1805" t="inlineStr">
        <is>
          <t>heat</t>
        </is>
      </c>
    </row>
    <row r="1806">
      <c r="A1806" t="inlineStr">
        <is>
          <t>source</t>
        </is>
      </c>
      <c r="B1806" t="inlineStr">
        <is>
          <t>Sacchi, R., Bauer, C., and Cox, B. Does size matter? The influence of size, load factor, range autonomy and application type on the Life Cycle Assessment of current and future trucks. 2021. Environmental Science and Technology.</t>
        </is>
      </c>
    </row>
    <row r="1807">
      <c r="A1807" t="inlineStr">
        <is>
          <t>type</t>
        </is>
      </c>
      <c r="B1807" t="inlineStr">
        <is>
          <t>process</t>
        </is>
      </c>
    </row>
    <row r="1808">
      <c r="A1808" t="inlineStr">
        <is>
          <t>unit</t>
        </is>
      </c>
      <c r="B1808" t="inlineStr">
        <is>
          <t>megajoule</t>
        </is>
      </c>
    </row>
    <row r="1809">
      <c r="A1809" t="inlineStr">
        <is>
          <t>Power, mean</t>
        </is>
      </c>
      <c r="B1809">
        <v>185</v>
      </c>
    </row>
    <row r="1810">
      <c r="A1810" t="inlineStr">
        <is>
          <t>Power, min</t>
        </is>
      </c>
      <c r="B1810">
        <v>117</v>
      </c>
    </row>
    <row r="1811">
      <c r="A1811" t="inlineStr">
        <is>
          <t>Power, max</t>
        </is>
      </c>
      <c r="B1811">
        <v>228</v>
      </c>
    </row>
    <row r="1812">
      <c r="A1812" t="inlineStr">
        <is>
          <t>Lifetime, mean</t>
        </is>
      </c>
      <c r="B1812">
        <v>700000</v>
      </c>
    </row>
    <row r="1813">
      <c r="A1813" t="inlineStr">
        <is>
          <t>Lifetime, min</t>
        </is>
      </c>
      <c r="B1813">
        <v>500000</v>
      </c>
    </row>
    <row r="1814">
      <c r="A1814" t="inlineStr">
        <is>
          <t>Lifetime, max</t>
        </is>
      </c>
      <c r="B1814">
        <v>1000000</v>
      </c>
    </row>
    <row r="1815">
      <c r="A1815" t="inlineStr">
        <is>
          <t>Energy use, mean</t>
        </is>
      </c>
      <c r="B1815">
        <v>4580</v>
      </c>
    </row>
    <row r="1816">
      <c r="A1816" t="inlineStr">
        <is>
          <t>Energy use, min</t>
        </is>
      </c>
      <c r="B1816">
        <v>2930</v>
      </c>
    </row>
    <row r="1817">
      <c r="A1817" t="inlineStr">
        <is>
          <t>Energy use, max</t>
        </is>
      </c>
      <c r="B1817">
        <v>5170</v>
      </c>
    </row>
    <row r="1818">
      <c r="A1818" t="inlineStr">
        <is>
          <t>Electric motor, mean</t>
        </is>
      </c>
      <c r="B1818">
        <v>107</v>
      </c>
    </row>
    <row r="1819">
      <c r="A1819" t="inlineStr">
        <is>
          <t>Electric motor, min</t>
        </is>
      </c>
      <c r="B1819">
        <v>61</v>
      </c>
    </row>
    <row r="1820">
      <c r="A1820" t="inlineStr">
        <is>
          <t>Electric motor, max</t>
        </is>
      </c>
      <c r="B1820">
        <v>146</v>
      </c>
    </row>
    <row r="1821">
      <c r="A1821" t="inlineStr">
        <is>
          <t>Combustion engine, mean</t>
        </is>
      </c>
      <c r="B1821">
        <v>0</v>
      </c>
    </row>
    <row r="1822">
      <c r="A1822" t="inlineStr">
        <is>
          <t>Combustion engine, min</t>
        </is>
      </c>
      <c r="B1822">
        <v>0</v>
      </c>
    </row>
    <row r="1823">
      <c r="A1823" t="inlineStr">
        <is>
          <t>Combustion engine, max</t>
        </is>
      </c>
      <c r="B1823">
        <v>0</v>
      </c>
    </row>
    <row r="1824">
      <c r="A1824" t="inlineStr">
        <is>
          <t>Fuel tank, mean</t>
        </is>
      </c>
      <c r="B1824">
        <v>242</v>
      </c>
    </row>
    <row r="1825">
      <c r="A1825" t="inlineStr">
        <is>
          <t>Fuel tank, min</t>
        </is>
      </c>
      <c r="B1825">
        <v>181</v>
      </c>
    </row>
    <row r="1826">
      <c r="A1826" t="inlineStr">
        <is>
          <t>Fuel tank, max</t>
        </is>
      </c>
      <c r="B1826">
        <v>362</v>
      </c>
    </row>
    <row r="1827">
      <c r="A1827" t="inlineStr">
        <is>
          <t>Battery capacity, mean</t>
        </is>
      </c>
      <c r="B1827">
        <v>49</v>
      </c>
    </row>
    <row r="1828">
      <c r="A1828" t="inlineStr">
        <is>
          <t>Battery capacity, min</t>
        </is>
      </c>
      <c r="B1828">
        <v>35</v>
      </c>
    </row>
    <row r="1829">
      <c r="A1829" t="inlineStr">
        <is>
          <t>Battery capacity, max</t>
        </is>
      </c>
      <c r="B1829">
        <v>65</v>
      </c>
    </row>
    <row r="1830">
      <c r="A1830" t="inlineStr">
        <is>
          <t>Battery replacement, mean</t>
        </is>
      </c>
      <c r="B1830">
        <v>0</v>
      </c>
    </row>
    <row r="1831">
      <c r="A1831" t="inlineStr">
        <is>
          <t>Battery replacement, min</t>
        </is>
      </c>
      <c r="B1831">
        <v>0</v>
      </c>
    </row>
    <row r="1832">
      <c r="A1832" t="inlineStr">
        <is>
          <t>Battery replacement, max</t>
        </is>
      </c>
      <c r="B1832">
        <v>0</v>
      </c>
    </row>
    <row r="1833">
      <c r="A1833" t="inlineStr">
        <is>
          <t>Fuel cell system, mean</t>
        </is>
      </c>
      <c r="B1833">
        <v>53</v>
      </c>
    </row>
    <row r="1834">
      <c r="A1834" t="inlineStr">
        <is>
          <t>Fuel cell system, min</t>
        </is>
      </c>
      <c r="B1834">
        <v>33</v>
      </c>
    </row>
    <row r="1835">
      <c r="A1835" t="inlineStr">
        <is>
          <t>Fuel cell system, max</t>
        </is>
      </c>
      <c r="B1835">
        <v>66</v>
      </c>
    </row>
    <row r="1836">
      <c r="A1836" t="inlineStr">
        <is>
          <t>Fuel cell stack replacement, mean</t>
        </is>
      </c>
      <c r="B1836">
        <v>1</v>
      </c>
    </row>
    <row r="1837">
      <c r="A1837" t="inlineStr">
        <is>
          <t>Fuel cell replacement, min</t>
        </is>
      </c>
      <c r="B1837">
        <v>0</v>
      </c>
    </row>
    <row r="1838">
      <c r="A1838" t="inlineStr">
        <is>
          <t>Fuel cell replacement, max</t>
        </is>
      </c>
      <c r="B1838">
        <v>1</v>
      </c>
    </row>
    <row r="1839">
      <c r="A1839" t="inlineStr">
        <is>
          <t>Onboard charger mass</t>
        </is>
      </c>
      <c r="B1839">
        <v>0</v>
      </c>
    </row>
    <row r="1840">
      <c r="A1840" t="inlineStr">
        <is>
          <t>Controller mass</t>
        </is>
      </c>
      <c r="B1840">
        <v>36</v>
      </c>
    </row>
    <row r="1841">
      <c r="A1841" t="inlineStr">
        <is>
          <t>Converter mass</t>
        </is>
      </c>
      <c r="B1841">
        <v>25</v>
      </c>
    </row>
    <row r="1842">
      <c r="A1842" t="inlineStr">
        <is>
          <t>Electrical powertrain mass</t>
        </is>
      </c>
      <c r="B1842">
        <v>216</v>
      </c>
    </row>
    <row r="1843">
      <c r="A1843" t="inlineStr">
        <is>
          <t>Inverter mass</t>
        </is>
      </c>
      <c r="B1843">
        <v>14</v>
      </c>
    </row>
    <row r="1844">
      <c r="A1844" t="inlineStr">
        <is>
          <t>NOx</t>
        </is>
      </c>
      <c r="B1844">
        <v>0</v>
      </c>
    </row>
    <row r="1845">
      <c r="A1845" t="inlineStr">
        <is>
          <t>PM 2.5</t>
        </is>
      </c>
      <c r="B1845">
        <v>0</v>
      </c>
    </row>
    <row r="1846">
      <c r="A1846" t="inlineStr">
        <is>
          <t>energy use source</t>
        </is>
      </c>
      <c r="B1846"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assembly, compressed hydrogen gas, 700bar", "fuel tank, compressed hydrogen gas, 700bar",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 "vehicle per source service": 1.428571428571429e-07, "replacement correction factor": 1.0, "amount per MJ": 4.910612724760918e-06}, {"supplier": ["power electronics, for lorry", "power electronics, for lorry", "RER", "kilogram"], "amount per vehicle": 183,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 "vehicle per source service": 1.428571428571429e-07}, {"supplier": ["frame, blanks and saddle, for lorry", "frame, blanks and saddle, for lorry", "RER", "kilogram"], "amount per vehicle": 7300, "vehicle per source service": 1.428571428571429e-07}, {"supplier": ["maintenance, bus", "maintenance, bus", "CH", "unit"], "amount per vehicle": 1,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 "vehicle per source service": 1.428571428571429e-07}, {"supplier": ["suspension, for lorry", "suspension, for lorry", "RER", "kilogram"], "amount per vehicle": 1762, "vehicle per source service": 1.428571428571429e-07}, {"supplier": ["tires and wheels, for lorry", "tires and wheels, for lorry", "RER", "kilogram"], "amount per vehicle": 576, "vehicle per source service": 1.428571428571429e-07}, {"supplier": ["treatment of used bus", "used bus", "CH", "unit"], "amount per vehicle": -1, "vehicle per source service": 1.428571428571429e-07}, {"supplier": "market for road", "amount per source service": 0.0007193174067631049}, {"supplier": "market for road maintenance", "amount per source service": 0.000129}], "alternative fuel recipe retained": false}</t>
        </is>
      </c>
    </row>
    <row r="1847">
      <c r="A1847" t="inlineStr">
        <is>
          <t>Exchanges</t>
        </is>
      </c>
    </row>
    <row r="1848">
      <c r="A1848" t="inlineStr">
        <is>
          <t>name</t>
        </is>
      </c>
      <c r="B1848" t="inlineStr">
        <is>
          <t>amount</t>
        </is>
      </c>
      <c r="C1848" t="inlineStr">
        <is>
          <t>location</t>
        </is>
      </c>
      <c r="D1848" t="inlineStr">
        <is>
          <t>unit</t>
        </is>
      </c>
      <c r="E1848" t="inlineStr">
        <is>
          <t>categories</t>
        </is>
      </c>
      <c r="F1848" t="inlineStr">
        <is>
          <t>type</t>
        </is>
      </c>
      <c r="G1848" t="inlineStr">
        <is>
          <t>reference product</t>
        </is>
      </c>
      <c r="H1848" t="inlineStr">
        <is>
          <t>comment</t>
        </is>
      </c>
      <c r="I1848" t="inlineStr">
        <is>
          <t>uncertainty type</t>
        </is>
      </c>
    </row>
    <row r="1849">
      <c r="A1849" t="inlineStr">
        <is>
          <t>hydrogen, used in a fuel cell in a single deck coach or urban bus</t>
        </is>
      </c>
      <c r="B1849">
        <v>1.0</v>
      </c>
      <c r="C1849" t="inlineStr">
        <is>
          <t>RER</t>
        </is>
      </c>
      <c r="D1849" t="inlineStr">
        <is>
          <t>megajoule</t>
        </is>
      </c>
      <c r="F1849" t="inlineStr">
        <is>
          <t>production</t>
        </is>
      </c>
      <c r="G1849" t="inlineStr">
        <is>
          <t>heat</t>
        </is>
      </c>
      <c r="I1849">
        <v>0</v>
      </c>
    </row>
    <row r="1850">
      <c r="A1850" t="inlineStr">
        <is>
          <t>market for hydrogen, gaseous, low pressure</t>
        </is>
      </c>
      <c r="B1850">
        <v>0.0012945987175919265</v>
      </c>
      <c r="C1850" t="inlineStr">
        <is>
          <t>CN</t>
        </is>
      </c>
      <c r="D1850" t="inlineStr">
        <is>
          <t>kilogram</t>
        </is>
      </c>
      <c r="F1850" t="inlineStr">
        <is>
          <t>technosphere</t>
        </is>
      </c>
      <c r="G1850" t="inlineStr">
        <is>
          <t>hydrogen, gaseous, low pressure</t>
        </is>
      </c>
      <c r="I1850">
        <v>0</v>
      </c>
    </row>
    <row r="1851">
      <c r="A1851" t="inlineStr">
        <is>
          <t>market for hydrogen, gaseous, low pressure</t>
        </is>
      </c>
      <c r="B1851">
        <v>0.005469534948887208</v>
      </c>
      <c r="C1851" t="inlineStr">
        <is>
          <t>RoW</t>
        </is>
      </c>
      <c r="D1851" t="inlineStr">
        <is>
          <t>kilogram</t>
        </is>
      </c>
      <c r="F1851" t="inlineStr">
        <is>
          <t>technosphere</t>
        </is>
      </c>
      <c r="G1851" t="inlineStr">
        <is>
          <t>hydrogen, gaseous, low pressure</t>
        </is>
      </c>
      <c r="I1851">
        <v>0</v>
      </c>
    </row>
    <row r="1852">
      <c r="A1852" t="inlineStr">
        <is>
          <t>market for hydrogen, gaseous, low pressure</t>
        </is>
      </c>
      <c r="B1852">
        <v>0.0007686670431839546</v>
      </c>
      <c r="C1852" t="inlineStr">
        <is>
          <t>RER</t>
        </is>
      </c>
      <c r="D1852" t="inlineStr">
        <is>
          <t>kilogram</t>
        </is>
      </c>
      <c r="F1852" t="inlineStr">
        <is>
          <t>technosphere</t>
        </is>
      </c>
      <c r="G1852" t="inlineStr">
        <is>
          <t>hydrogen, gaseous, low pressure</t>
        </is>
      </c>
      <c r="I1852">
        <v>0</v>
      </c>
    </row>
    <row r="1853">
      <c r="A1853" t="inlineStr">
        <is>
          <t>market for hydrogen, gaseous, low pressure</t>
        </is>
      </c>
      <c r="B1853">
        <v>0.000800532623670244</v>
      </c>
      <c r="C1853" t="inlineStr">
        <is>
          <t>US</t>
        </is>
      </c>
      <c r="D1853" t="inlineStr">
        <is>
          <t>kilogram</t>
        </is>
      </c>
      <c r="F1853" t="inlineStr">
        <is>
          <t>technosphere</t>
        </is>
      </c>
      <c r="G1853" t="inlineStr">
        <is>
          <t>hydrogen, gaseous, low pressure</t>
        </is>
      </c>
      <c r="I1853">
        <v>0</v>
      </c>
    </row>
    <row r="1854">
      <c r="A1854" t="inlineStr">
        <is>
          <t>1,1,1,2-Tetrafluoroethane</t>
        </is>
      </c>
      <c r="B1854">
        <v>2.1824945443381847e-06</v>
      </c>
      <c r="D1854" t="inlineStr">
        <is>
          <t>kilogram</t>
        </is>
      </c>
      <c r="E1854" t="inlineStr">
        <is>
          <t>air::unspecified</t>
        </is>
      </c>
      <c r="F1854" t="inlineStr">
        <is>
          <t>biosphere</t>
        </is>
      </c>
      <c r="I1854">
        <v>0</v>
      </c>
    </row>
    <row r="1855">
      <c r="A1855" t="inlineStr">
        <is>
          <t>market for battery capacity (MIX scenario)</t>
        </is>
      </c>
      <c r="B1855">
        <v>1.1048878630712064e-05</v>
      </c>
      <c r="C1855" t="inlineStr">
        <is>
          <t>GLO</t>
        </is>
      </c>
      <c r="D1855" t="inlineStr">
        <is>
          <t>kilowatt hour</t>
        </is>
      </c>
      <c r="F1855" t="inlineStr">
        <is>
          <t>technosphere</t>
        </is>
      </c>
      <c r="G1855" t="inlineStr">
        <is>
          <t>electricity storage capacity</t>
        </is>
      </c>
      <c r="H1855" t="inlineStr">
        <is>
          <t> Energy-use allocation: 81 * 1.428571428571429e-07 / 1.0472943868949744 MJ per person kilometer.</t>
        </is>
      </c>
      <c r="I1855">
        <v>0</v>
      </c>
    </row>
    <row r="1856">
      <c r="A1856" t="inlineStr">
        <is>
          <t>fuel tank assembly, compressed hydrogen gas, 700bar</t>
        </is>
      </c>
      <c r="B1856">
        <v>3.630382158110171e-05</v>
      </c>
      <c r="C1856" t="inlineStr">
        <is>
          <t>RER</t>
        </is>
      </c>
      <c r="D1856" t="inlineStr">
        <is>
          <t>kilogram</t>
        </is>
      </c>
      <c r="F1856" t="inlineStr">
        <is>
          <t>technosphere</t>
        </is>
      </c>
      <c r="G1856" t="inlineStr">
        <is>
          <t>fuel tank, compressed hydrogen gas, 700bar</t>
        </is>
      </c>
      <c r="H1856" t="inlineStr">
        <is>
          <t> Energy-use allocation: 266.1455199530711 * 1.428571428571429e-07 / 1.0472943868949744 MJ per person kilometer.</t>
        </is>
      </c>
      <c r="I1856">
        <v>0</v>
      </c>
    </row>
    <row r="1857">
      <c r="A1857" t="inlineStr">
        <is>
          <t>fuel cell system assembly, 1 kWe, proton exchange membrane (PEM)</t>
        </is>
      </c>
      <c r="B1857">
        <v>2.522265960221538e-05</v>
      </c>
      <c r="C1857" t="inlineStr">
        <is>
          <t>GLO</t>
        </is>
      </c>
      <c r="D1857" t="inlineStr">
        <is>
          <t>unit</t>
        </is>
      </c>
      <c r="F1857" t="inlineStr">
        <is>
          <t>technosphere</t>
        </is>
      </c>
      <c r="G1857" t="inlineStr">
        <is>
          <t>fuel cell system, 1 kWe, proton exchange membrane (PEM)</t>
        </is>
      </c>
      <c r="H1857" t="inlineStr">
        <is>
          <t> Energy-use allocation: 184.9088487677395 * 1.428571428571429e-07 / 1.0472943868949744 MJ per person kilometer.</t>
        </is>
      </c>
      <c r="I1857">
        <v>0</v>
      </c>
    </row>
    <row r="1858">
      <c r="A1858" t="inlineStr">
        <is>
          <t>gearbox, for lorry</t>
        </is>
      </c>
      <c r="B1858">
        <v>2.1498662331044536e-05</v>
      </c>
      <c r="C1858" t="inlineStr">
        <is>
          <t>RER</t>
        </is>
      </c>
      <c r="D1858" t="inlineStr">
        <is>
          <t>kilogram</t>
        </is>
      </c>
      <c r="F1858" t="inlineStr">
        <is>
          <t>technosphere</t>
        </is>
      </c>
      <c r="G1858" t="inlineStr">
        <is>
          <t>gearbox, for lorry</t>
        </is>
      </c>
      <c r="H1858" t="inlineStr">
        <is>
          <t> Energy-use allocation: 157.6079986953735 * 1.428571428571429e-07 / 1.0472943868949744 MJ per person kilometer.</t>
        </is>
      </c>
      <c r="I1858">
        <v>0</v>
      </c>
    </row>
    <row r="1859">
      <c r="A1859" t="inlineStr">
        <is>
          <t>market for converter, for electric passenger car</t>
        </is>
      </c>
      <c r="B1859">
        <v>3.4101477255284147e-06</v>
      </c>
      <c r="C1859" t="inlineStr">
        <is>
          <t>GLO</t>
        </is>
      </c>
      <c r="D1859" t="inlineStr">
        <is>
          <t>kilogram</t>
        </is>
      </c>
      <c r="F1859" t="inlineStr">
        <is>
          <t>technosphere</t>
        </is>
      </c>
      <c r="G1859" t="inlineStr">
        <is>
          <t>converter, for electric passenger car</t>
        </is>
      </c>
      <c r="H1859" t="inlineStr">
        <is>
          <t> Energy-use allocation: 25 * 1.428571428571429e-07 / 1.0472943868949744 MJ per person kilometer.</t>
        </is>
      </c>
      <c r="I1859">
        <v>0</v>
      </c>
    </row>
    <row r="1860">
      <c r="A1860" t="inlineStr">
        <is>
          <t>market for electric motor, electric passenger car</t>
        </is>
      </c>
      <c r="B1860">
        <v>1.373481472971073e-05</v>
      </c>
      <c r="C1860" t="inlineStr">
        <is>
          <t>GLO</t>
        </is>
      </c>
      <c r="D1860" t="inlineStr">
        <is>
          <t>kilogram</t>
        </is>
      </c>
      <c r="F1860" t="inlineStr">
        <is>
          <t>technosphere</t>
        </is>
      </c>
      <c r="G1860" t="inlineStr">
        <is>
          <t>electric motor, electric passenger car</t>
        </is>
      </c>
      <c r="H1860" t="inlineStr">
        <is>
          <t> Energy-use allocation: 100.6907606002792 * 1.428571428571429e-07 / 1.0472943868949744 MJ per person kilometer.</t>
        </is>
      </c>
      <c r="I1860">
        <v>0</v>
      </c>
    </row>
    <row r="1861">
      <c r="A1861" t="inlineStr">
        <is>
          <t>market for inverter, for electric passenger car</t>
        </is>
      </c>
      <c r="B1861">
        <v>1.867004294153873e-06</v>
      </c>
      <c r="C1861" t="inlineStr">
        <is>
          <t>GLO</t>
        </is>
      </c>
      <c r="D1861" t="inlineStr">
        <is>
          <t>kilogram</t>
        </is>
      </c>
      <c r="F1861" t="inlineStr">
        <is>
          <t>technosphere</t>
        </is>
      </c>
      <c r="G1861" t="inlineStr">
        <is>
          <t>inverter, for electric passenger car</t>
        </is>
      </c>
      <c r="H1861" t="inlineStr">
        <is>
          <t> Energy-use allocation: 13.68712182303315 * 1.428571428571429e-07 / 1.0472943868949744 MJ per person kilometer.</t>
        </is>
      </c>
      <c r="I1861">
        <v>0</v>
      </c>
    </row>
    <row r="1862">
      <c r="A1862" t="inlineStr">
        <is>
          <t>market for power distribution unit, for electric passenger car</t>
        </is>
      </c>
      <c r="B1862">
        <v>4.910612724760918e-06</v>
      </c>
      <c r="C1862" t="inlineStr">
        <is>
          <t>GLO</t>
        </is>
      </c>
      <c r="D1862" t="inlineStr">
        <is>
          <t>kilogram</t>
        </is>
      </c>
      <c r="F1862" t="inlineStr">
        <is>
          <t>technosphere</t>
        </is>
      </c>
      <c r="G1862" t="inlineStr">
        <is>
          <t>power distribution unit, for electric passenger car</t>
        </is>
      </c>
      <c r="H1862" t="inlineStr">
        <is>
          <t> Energy-use allocation: 36 * 1.428571428571429e-07 / 1.0472943868949744 MJ per person kilometer.</t>
        </is>
      </c>
      <c r="I1862">
        <v>0</v>
      </c>
    </row>
    <row r="1863">
      <c r="A1863" t="inlineStr">
        <is>
          <t>power electronics, for lorry</t>
        </is>
      </c>
      <c r="B1863">
        <v>2.4962281350867997e-05</v>
      </c>
      <c r="C1863" t="inlineStr">
        <is>
          <t>RER</t>
        </is>
      </c>
      <c r="D1863" t="inlineStr">
        <is>
          <t>kilogram</t>
        </is>
      </c>
      <c r="F1863" t="inlineStr">
        <is>
          <t>technosphere</t>
        </is>
      </c>
      <c r="G1863" t="inlineStr">
        <is>
          <t>power electronics, for lorry</t>
        </is>
      </c>
      <c r="H1863" t="inlineStr">
        <is>
          <t> Energy-use allocation: 183 * 1.428571428571429e-07 / 1.0472943868949744 MJ per person kilometer.</t>
        </is>
      </c>
      <c r="I1863">
        <v>0</v>
      </c>
    </row>
    <row r="1864">
      <c r="A1864" t="inlineStr">
        <is>
          <t>retarder, for lorry</t>
        </is>
      </c>
      <c r="B1864">
        <v>7.166220777014846e-06</v>
      </c>
      <c r="C1864" t="inlineStr">
        <is>
          <t>RER</t>
        </is>
      </c>
      <c r="D1864" t="inlineStr">
        <is>
          <t>kilogram</t>
        </is>
      </c>
      <c r="F1864" t="inlineStr">
        <is>
          <t>technosphere</t>
        </is>
      </c>
      <c r="G1864" t="inlineStr">
        <is>
          <t>retarder, for lorry</t>
        </is>
      </c>
      <c r="H1864" t="inlineStr">
        <is>
          <t> Energy-use allocation: 52.53599956512451 * 1.428571428571429e-07 / 1.0472943868949744 MJ per person kilometer.</t>
        </is>
      </c>
      <c r="I1864">
        <v>0</v>
      </c>
    </row>
    <row r="1865">
      <c r="A1865" t="inlineStr">
        <is>
          <t>transmission, for lorry</t>
        </is>
      </c>
      <c r="B1865">
        <v>3.105362336706432e-05</v>
      </c>
      <c r="C1865" t="inlineStr">
        <is>
          <t>RER</t>
        </is>
      </c>
      <c r="D1865" t="inlineStr">
        <is>
          <t>kilogram</t>
        </is>
      </c>
      <c r="F1865" t="inlineStr">
        <is>
          <t>technosphere</t>
        </is>
      </c>
      <c r="G1865" t="inlineStr">
        <is>
          <t>transmission, for lorry</t>
        </is>
      </c>
      <c r="H1865" t="inlineStr">
        <is>
          <t> Energy-use allocation: 227.6559981155395 * 1.428571428571429e-07 / 1.0472943868949744 MJ per person kilometer.</t>
        </is>
      </c>
      <c r="I1865">
        <v>0</v>
      </c>
    </row>
    <row r="1866">
      <c r="A1866" t="inlineStr">
        <is>
          <t>market for refrigerant R134a</t>
        </is>
      </c>
      <c r="B1866">
        <v>3.2055388619967086e-06</v>
      </c>
      <c r="C1866" t="inlineStr">
        <is>
          <t>GLO</t>
        </is>
      </c>
      <c r="D1866" t="inlineStr">
        <is>
          <t>kilogram</t>
        </is>
      </c>
      <c r="F1866" t="inlineStr">
        <is>
          <t>technosphere</t>
        </is>
      </c>
      <c r="G1866" t="inlineStr">
        <is>
          <t>refrigerant R134a</t>
        </is>
      </c>
      <c r="I1866">
        <v>0</v>
      </c>
    </row>
    <row r="1867">
      <c r="A1867" t="inlineStr">
        <is>
          <t>treatment of brake wear emissions, lorry</t>
        </is>
      </c>
      <c r="B1867">
        <v>-4.30601059459193e-06</v>
      </c>
      <c r="C1867" t="inlineStr">
        <is>
          <t>RER</t>
        </is>
      </c>
      <c r="D1867" t="inlineStr">
        <is>
          <t>kilogram</t>
        </is>
      </c>
      <c r="F1867" t="inlineStr">
        <is>
          <t>technosphere</t>
        </is>
      </c>
      <c r="G1867" t="inlineStr">
        <is>
          <t>brake wear emissions, lorry</t>
        </is>
      </c>
      <c r="I1867">
        <v>0</v>
      </c>
    </row>
    <row r="1868">
      <c r="A1868" t="inlineStr">
        <is>
          <t>treatment of road wear emissions, lorry</t>
        </is>
      </c>
      <c r="B1868">
        <v>-7.685978760462684e-06</v>
      </c>
      <c r="C1868" t="inlineStr">
        <is>
          <t>RER</t>
        </is>
      </c>
      <c r="D1868" t="inlineStr">
        <is>
          <t>kilogram</t>
        </is>
      </c>
      <c r="F1868" t="inlineStr">
        <is>
          <t>technosphere</t>
        </is>
      </c>
      <c r="G1868" t="inlineStr">
        <is>
          <t>road wear emissions, lorry</t>
        </is>
      </c>
      <c r="I1868">
        <v>0</v>
      </c>
    </row>
    <row r="1869">
      <c r="A1869" t="inlineStr">
        <is>
          <t>treatment of tyre wear emissions, lorry</t>
        </is>
      </c>
      <c r="B1869">
        <v>-7.562223665570384e-06</v>
      </c>
      <c r="C1869" t="inlineStr">
        <is>
          <t>RER</t>
        </is>
      </c>
      <c r="D1869" t="inlineStr">
        <is>
          <t>kilogram</t>
        </is>
      </c>
      <c r="F1869" t="inlineStr">
        <is>
          <t>technosphere</t>
        </is>
      </c>
      <c r="G1869" t="inlineStr">
        <is>
          <t>tyre wear emissions, lorry</t>
        </is>
      </c>
      <c r="I1869">
        <v>0</v>
      </c>
    </row>
    <row r="1870"/>
    <row r="1871">
      <c r="A1871" t="inlineStr">
        <is>
          <t>Activity</t>
        </is>
      </c>
      <c r="B1871" t="inlineStr">
        <is>
          <t>electricity, used in single deck trolleybus</t>
        </is>
      </c>
    </row>
    <row r="1872">
      <c r="A1872" t="inlineStr">
        <is>
          <t>comment</t>
        </is>
      </c>
      <c r="B1872"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73">
      <c r="A1873" t="inlineStr">
        <is>
          <t>description</t>
        </is>
      </c>
      <c r="B187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74">
      <c r="A1874" t="inlineStr">
        <is>
          <t>location</t>
        </is>
      </c>
      <c r="B1874" t="inlineStr">
        <is>
          <t>RER</t>
        </is>
      </c>
    </row>
    <row r="1875">
      <c r="A1875" t="inlineStr">
        <is>
          <t>production amount</t>
        </is>
      </c>
      <c r="B1875">
        <v>1</v>
      </c>
    </row>
    <row r="1876">
      <c r="A1876" t="inlineStr">
        <is>
          <t>reference product</t>
        </is>
      </c>
      <c r="B1876" t="inlineStr">
        <is>
          <t>electricity, low voltage</t>
        </is>
      </c>
    </row>
    <row r="1877">
      <c r="A1877" t="inlineStr">
        <is>
          <t>source</t>
        </is>
      </c>
      <c r="B1877" t="inlineStr">
        <is>
          <t>Sacchi, R., Bauer, C., and Cox, B. Does size matter? The influence of size, load factor, range autonomy and application type on the Life Cycle Assessment of current and future trucks. 2021. Environmental Science and Technology.</t>
        </is>
      </c>
    </row>
    <row r="1878">
      <c r="A1878" t="inlineStr">
        <is>
          <t>type</t>
        </is>
      </c>
      <c r="B1878" t="inlineStr">
        <is>
          <t>process</t>
        </is>
      </c>
    </row>
    <row r="1879">
      <c r="A1879" t="inlineStr">
        <is>
          <t>unit</t>
        </is>
      </c>
      <c r="B1879" t="inlineStr">
        <is>
          <t>megajoule</t>
        </is>
      </c>
    </row>
    <row r="1880">
      <c r="A1880" t="inlineStr">
        <is>
          <t>Power, mean</t>
        </is>
      </c>
      <c r="B1880">
        <v>261</v>
      </c>
    </row>
    <row r="1881">
      <c r="A1881" t="inlineStr">
        <is>
          <t>Power, min</t>
        </is>
      </c>
      <c r="B1881">
        <v>114</v>
      </c>
    </row>
    <row r="1882">
      <c r="A1882" t="inlineStr">
        <is>
          <t>Power, max</t>
        </is>
      </c>
      <c r="B1882">
        <v>513</v>
      </c>
    </row>
    <row r="1883">
      <c r="A1883" t="inlineStr">
        <is>
          <t>Lifetime, mean</t>
        </is>
      </c>
      <c r="B1883">
        <v>700000</v>
      </c>
    </row>
    <row r="1884">
      <c r="A1884" t="inlineStr">
        <is>
          <t>Lifetime, min</t>
        </is>
      </c>
      <c r="B1884">
        <v>500000</v>
      </c>
    </row>
    <row r="1885">
      <c r="A1885" t="inlineStr">
        <is>
          <t>Lifetime, max</t>
        </is>
      </c>
      <c r="B1885">
        <v>1000000</v>
      </c>
    </row>
    <row r="1886">
      <c r="A1886" t="inlineStr">
        <is>
          <t>Energy use, mean</t>
        </is>
      </c>
      <c r="B1886">
        <v>1715</v>
      </c>
    </row>
    <row r="1887">
      <c r="A1887" t="inlineStr">
        <is>
          <t>Energy use, min</t>
        </is>
      </c>
      <c r="B1887">
        <v>1500</v>
      </c>
    </row>
    <row r="1888">
      <c r="A1888" t="inlineStr">
        <is>
          <t>Energy use, max</t>
        </is>
      </c>
      <c r="B1888">
        <v>4450</v>
      </c>
    </row>
    <row r="1889">
      <c r="A1889" t="inlineStr">
        <is>
          <t>Electric motor, mean</t>
        </is>
      </c>
      <c r="B1889">
        <v>247</v>
      </c>
    </row>
    <row r="1890">
      <c r="A1890" t="inlineStr">
        <is>
          <t>Electric motor, min</t>
        </is>
      </c>
      <c r="B1890">
        <v>60</v>
      </c>
    </row>
    <row r="1891">
      <c r="A1891" t="inlineStr">
        <is>
          <t>Electric motor, max</t>
        </is>
      </c>
      <c r="B1891">
        <v>600</v>
      </c>
    </row>
    <row r="1892">
      <c r="A1892" t="inlineStr">
        <is>
          <t>Combustion engine, mean</t>
        </is>
      </c>
      <c r="B1892">
        <v>0</v>
      </c>
    </row>
    <row r="1893">
      <c r="A1893" t="inlineStr">
        <is>
          <t>Combustion engine, min</t>
        </is>
      </c>
      <c r="B1893">
        <v>0</v>
      </c>
    </row>
    <row r="1894">
      <c r="A1894" t="inlineStr">
        <is>
          <t>Combustion engine, max</t>
        </is>
      </c>
      <c r="B1894">
        <v>0</v>
      </c>
    </row>
    <row r="1895">
      <c r="A1895" t="inlineStr">
        <is>
          <t>Fuel tank, mean</t>
        </is>
      </c>
      <c r="B1895">
        <v>0</v>
      </c>
    </row>
    <row r="1896">
      <c r="A1896" t="inlineStr">
        <is>
          <t>Fuel tank, min</t>
        </is>
      </c>
      <c r="B1896">
        <v>0</v>
      </c>
    </row>
    <row r="1897">
      <c r="A1897" t="inlineStr">
        <is>
          <t>Fuel tank, max</t>
        </is>
      </c>
      <c r="B1897">
        <v>0</v>
      </c>
    </row>
    <row r="1898">
      <c r="A1898" t="inlineStr">
        <is>
          <t>Battery capacity, mean</t>
        </is>
      </c>
      <c r="B1898">
        <v>15</v>
      </c>
    </row>
    <row r="1899">
      <c r="A1899" t="inlineStr">
        <is>
          <t>Battery capacity, min</t>
        </is>
      </c>
      <c r="B1899">
        <v>10</v>
      </c>
    </row>
    <row r="1900">
      <c r="A1900" t="inlineStr">
        <is>
          <t>Battery capacity, max</t>
        </is>
      </c>
      <c r="B1900">
        <v>30</v>
      </c>
    </row>
    <row r="1901">
      <c r="A1901" t="inlineStr">
        <is>
          <t>Battery replacement, mean</t>
        </is>
      </c>
      <c r="B1901">
        <v>1</v>
      </c>
    </row>
    <row r="1902">
      <c r="A1902" t="inlineStr">
        <is>
          <t>Battery replacement, min</t>
        </is>
      </c>
      <c r="B1902">
        <v>0</v>
      </c>
    </row>
    <row r="1903">
      <c r="A1903" t="inlineStr">
        <is>
          <t>Battery replacement, max</t>
        </is>
      </c>
      <c r="B1903">
        <v>2</v>
      </c>
    </row>
    <row r="1904">
      <c r="A1904" t="inlineStr">
        <is>
          <t>Fuel cell system, mean</t>
        </is>
      </c>
      <c r="B1904">
        <v>0</v>
      </c>
    </row>
    <row r="1905">
      <c r="A1905" t="inlineStr">
        <is>
          <t>Fuel cell system, min</t>
        </is>
      </c>
      <c r="B1905">
        <v>0</v>
      </c>
    </row>
    <row r="1906">
      <c r="A1906" t="inlineStr">
        <is>
          <t>Fuel cell system, max</t>
        </is>
      </c>
      <c r="B1906">
        <v>0</v>
      </c>
    </row>
    <row r="1907">
      <c r="A1907" t="inlineStr">
        <is>
          <t>Fuel cell stack replacement, mean</t>
        </is>
      </c>
      <c r="B1907">
        <v>0</v>
      </c>
    </row>
    <row r="1908">
      <c r="A1908" t="inlineStr">
        <is>
          <t>Fuel cell replacement, min</t>
        </is>
      </c>
      <c r="B1908">
        <v>0</v>
      </c>
    </row>
    <row r="1909">
      <c r="A1909" t="inlineStr">
        <is>
          <t>Fuel cell replacement, max</t>
        </is>
      </c>
      <c r="B1909">
        <v>0</v>
      </c>
    </row>
    <row r="1910">
      <c r="A1910" t="inlineStr">
        <is>
          <t>Onboard charger mass</t>
        </is>
      </c>
      <c r="B1910">
        <v>36</v>
      </c>
    </row>
    <row r="1911">
      <c r="A1911" t="inlineStr">
        <is>
          <t>Controller mass</t>
        </is>
      </c>
      <c r="B1911">
        <v>36</v>
      </c>
    </row>
    <row r="1912">
      <c r="A1912" t="inlineStr">
        <is>
          <t>Converter mass</t>
        </is>
      </c>
      <c r="B1912">
        <v>25</v>
      </c>
    </row>
    <row r="1913">
      <c r="A1913" t="inlineStr">
        <is>
          <t>Electrical powertrain mass</t>
        </is>
      </c>
      <c r="B1913">
        <v>216</v>
      </c>
    </row>
    <row r="1914">
      <c r="A1914" t="inlineStr">
        <is>
          <t>Inverter mass</t>
        </is>
      </c>
      <c r="B1914">
        <v>18</v>
      </c>
    </row>
    <row r="1915">
      <c r="A1915" t="inlineStr">
        <is>
          <t>NOx</t>
        </is>
      </c>
      <c r="B1915">
        <v>0</v>
      </c>
    </row>
    <row r="1916">
      <c r="A1916" t="inlineStr">
        <is>
          <t>PM 2.5</t>
        </is>
      </c>
      <c r="B1916">
        <v>0</v>
      </c>
    </row>
    <row r="1917">
      <c r="A1917" t="inlineStr">
        <is>
          <t>energy use source</t>
        </is>
      </c>
      <c r="B1917"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 "vehicle per source service": 1e-07, "replacement correction factor": 1.0, "amount per MJ": 6.2388101824555015e-06}, {"supplier": ["power electronics, for lorry", "power electronics, for lorry", "RER", "kilogram"], "amount per vehicle": 183,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 "vehicle per source service": 1e-07}, {"supplier": ["frame, blanks and saddle, for lorry", "frame, blanks and saddle, for lorry", "RER", "kilogram"], "amount per vehicle": 7300, "vehicle per source service": 1e-07}, {"supplier": ["maintenance, bus", "maintenance, bus", "CH", "unit"], "amount per vehicle": 1,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 "vehicle per source service": 1e-07}, {"supplier": ["suspension, for lorry", "suspension, for lorry", "RER", "kilogram"], "amount per vehicle": 1762, "vehicle per source service": 1e-07}, {"supplier": ["tires and wheels, for lorry", "tires and wheels, for lorry", "RER", "kilogram"], "amount per vehicle": 576, "vehicle per source service": 1e-07}, {"supplier": ["treatment of used bus", "used bus", "CH", "unit"], "amount per vehicle": -1,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18">
      <c r="A1918" t="inlineStr">
        <is>
          <t>Exchanges</t>
        </is>
      </c>
    </row>
    <row r="1919">
      <c r="A1919" t="inlineStr">
        <is>
          <t>name</t>
        </is>
      </c>
      <c r="B1919" t="inlineStr">
        <is>
          <t>amount</t>
        </is>
      </c>
      <c r="C1919" t="inlineStr">
        <is>
          <t>location</t>
        </is>
      </c>
      <c r="D1919" t="inlineStr">
        <is>
          <t>unit</t>
        </is>
      </c>
      <c r="E1919" t="inlineStr">
        <is>
          <t>categories</t>
        </is>
      </c>
      <c r="F1919" t="inlineStr">
        <is>
          <t>type</t>
        </is>
      </c>
      <c r="G1919" t="inlineStr">
        <is>
          <t>reference product</t>
        </is>
      </c>
      <c r="H1919" t="inlineStr">
        <is>
          <t>comment</t>
        </is>
      </c>
      <c r="I1919" t="inlineStr">
        <is>
          <t>uncertainty type</t>
        </is>
      </c>
    </row>
    <row r="1920">
      <c r="A1920" t="inlineStr">
        <is>
          <t>electricity, used in single deck trolleybus</t>
        </is>
      </c>
      <c r="B1920">
        <v>1.0</v>
      </c>
      <c r="C1920" t="inlineStr">
        <is>
          <t>RER</t>
        </is>
      </c>
      <c r="D1920" t="inlineStr">
        <is>
          <t>megajoule</t>
        </is>
      </c>
      <c r="F1920" t="inlineStr">
        <is>
          <t>production</t>
        </is>
      </c>
      <c r="G1920" t="inlineStr">
        <is>
          <t>electricity, low voltage</t>
        </is>
      </c>
      <c r="I1920">
        <v>0</v>
      </c>
    </row>
    <row r="1921">
      <c r="A1921" t="inlineStr">
        <is>
          <t>market group for electricity, low voltage</t>
        </is>
      </c>
      <c r="B1921">
        <v>0.2777777777777778</v>
      </c>
      <c r="C1921" t="inlineStr">
        <is>
          <t>RER</t>
        </is>
      </c>
      <c r="D1921" t="inlineStr">
        <is>
          <t>kilowatt hour</t>
        </is>
      </c>
      <c r="F1921" t="inlineStr">
        <is>
          <t>technosphere</t>
        </is>
      </c>
      <c r="G1921" t="inlineStr">
        <is>
          <t>electricity, low voltage</t>
        </is>
      </c>
      <c r="I1921">
        <v>0</v>
      </c>
    </row>
    <row r="1922">
      <c r="A1922" t="inlineStr">
        <is>
          <t>1,1,1,2-Tetrafluoroethane</t>
        </is>
      </c>
      <c r="B1922">
        <v>2.7728045255357786e-06</v>
      </c>
      <c r="D1922" t="inlineStr">
        <is>
          <t>kilogram</t>
        </is>
      </c>
      <c r="E1922" t="inlineStr">
        <is>
          <t>air::unspecified</t>
        </is>
      </c>
      <c r="F1922" t="inlineStr">
        <is>
          <t>biosphere</t>
        </is>
      </c>
      <c r="I1922">
        <v>0</v>
      </c>
    </row>
    <row r="1923">
      <c r="A1923" t="inlineStr">
        <is>
          <t>Catenary system</t>
        </is>
      </c>
      <c r="B1923">
        <v>1.443591356107065e-08</v>
      </c>
      <c r="C1923" t="inlineStr">
        <is>
          <t>RER</t>
        </is>
      </c>
      <c r="D1923" t="inlineStr">
        <is>
          <t>kilometer</t>
        </is>
      </c>
      <c r="F1923" t="inlineStr">
        <is>
          <t>technosphere</t>
        </is>
      </c>
      <c r="G1923" t="inlineStr">
        <is>
          <t>Catenary system</t>
        </is>
      </c>
      <c r="I1923">
        <v>0</v>
      </c>
    </row>
    <row r="1924">
      <c r="A1924" t="inlineStr">
        <is>
          <t>market for battery capacity, Li-ion, LTO</t>
        </is>
      </c>
      <c r="B1924">
        <v>2.25290367699782e-06</v>
      </c>
      <c r="C1924" t="inlineStr">
        <is>
          <t>GLO</t>
        </is>
      </c>
      <c r="D1924" t="inlineStr">
        <is>
          <t>kilowatt hour</t>
        </is>
      </c>
      <c r="F1924" t="inlineStr">
        <is>
          <t>technosphere</t>
        </is>
      </c>
      <c r="G1924" t="inlineStr">
        <is>
          <t>electricity storage capacity</t>
        </is>
      </c>
      <c r="H1924" t="inlineStr">
        <is>
          <t> Energy-use allocation: 13 * 1e-07 / 0.5770331032227517 MJ per person kilometer.</t>
        </is>
      </c>
      <c r="I1924">
        <v>0</v>
      </c>
    </row>
    <row r="1925">
      <c r="A1925" t="inlineStr">
        <is>
          <t>gearbox, for lorry</t>
        </is>
      </c>
      <c r="B1925">
        <v>2.7313510752698047e-05</v>
      </c>
      <c r="C1925" t="inlineStr">
        <is>
          <t>RER</t>
        </is>
      </c>
      <c r="D1925" t="inlineStr">
        <is>
          <t>kilogram</t>
        </is>
      </c>
      <c r="F1925" t="inlineStr">
        <is>
          <t>technosphere</t>
        </is>
      </c>
      <c r="G1925" t="inlineStr">
        <is>
          <t>gearbox, for lorry</t>
        </is>
      </c>
      <c r="H1925" t="inlineStr">
        <is>
          <t> Energy-use allocation: 157.6079986953735 * 1e-07 / 0.5770331032227517 MJ per person kilometer.</t>
        </is>
      </c>
      <c r="I1925">
        <v>0</v>
      </c>
    </row>
    <row r="1926">
      <c r="A1926" t="inlineStr">
        <is>
          <t>market for converter, for electric passenger car</t>
        </is>
      </c>
      <c r="B1926">
        <v>4.332507071149654e-06</v>
      </c>
      <c r="C1926" t="inlineStr">
        <is>
          <t>GLO</t>
        </is>
      </c>
      <c r="D1926" t="inlineStr">
        <is>
          <t>kilogram</t>
        </is>
      </c>
      <c r="F1926" t="inlineStr">
        <is>
          <t>technosphere</t>
        </is>
      </c>
      <c r="G1926" t="inlineStr">
        <is>
          <t>converter, for electric passenger car</t>
        </is>
      </c>
      <c r="H1926" t="inlineStr">
        <is>
          <t> Energy-use allocation: 25 * 1e-07 / 0.5770331032227517 MJ per person kilometer.</t>
        </is>
      </c>
      <c r="I1926">
        <v>0</v>
      </c>
    </row>
    <row r="1927">
      <c r="A1927" t="inlineStr">
        <is>
          <t>market for electric motor, electric passenger car</t>
        </is>
      </c>
      <c r="B1927">
        <v>1.5106321069400454e-05</v>
      </c>
      <c r="C1927" t="inlineStr">
        <is>
          <t>GLO</t>
        </is>
      </c>
      <c r="D1927" t="inlineStr">
        <is>
          <t>kilogram</t>
        </is>
      </c>
      <c r="F1927" t="inlineStr">
        <is>
          <t>technosphere</t>
        </is>
      </c>
      <c r="G1927" t="inlineStr">
        <is>
          <t>electric motor, electric passenger car</t>
        </is>
      </c>
      <c r="H1927" t="inlineStr">
        <is>
          <t> Energy-use allocation: 87.16847324955381 * 1e-07 / 0.5770331032227517 MJ per person kilometer.</t>
        </is>
      </c>
      <c r="I1927">
        <v>0</v>
      </c>
    </row>
    <row r="1928">
      <c r="A1928" t="inlineStr">
        <is>
          <t>market for inverter, for electric passenger car</t>
        </is>
      </c>
      <c r="B1928">
        <v>2.202165579201585e-06</v>
      </c>
      <c r="C1928" t="inlineStr">
        <is>
          <t>GLO</t>
        </is>
      </c>
      <c r="D1928" t="inlineStr">
        <is>
          <t>kilogram</t>
        </is>
      </c>
      <c r="F1928" t="inlineStr">
        <is>
          <t>technosphere</t>
        </is>
      </c>
      <c r="G1928" t="inlineStr">
        <is>
          <t>inverter, for electric passenger car</t>
        </is>
      </c>
      <c r="H1928" t="inlineStr">
        <is>
          <t> Energy-use allocation: 12.70722437977019 * 1e-07 / 0.5770331032227517 MJ per person kilometer.</t>
        </is>
      </c>
      <c r="I1928">
        <v>0</v>
      </c>
    </row>
    <row r="1929">
      <c r="A1929" t="inlineStr">
        <is>
          <t>market for power distribution unit, for electric passenger car</t>
        </is>
      </c>
      <c r="B1929">
        <v>6.2388101824555015e-06</v>
      </c>
      <c r="C1929" t="inlineStr">
        <is>
          <t>GLO</t>
        </is>
      </c>
      <c r="D1929" t="inlineStr">
        <is>
          <t>kilogram</t>
        </is>
      </c>
      <c r="F1929" t="inlineStr">
        <is>
          <t>technosphere</t>
        </is>
      </c>
      <c r="G1929" t="inlineStr">
        <is>
          <t>power distribution unit, for electric passenger car</t>
        </is>
      </c>
      <c r="H1929" t="inlineStr">
        <is>
          <t> Energy-use allocation: 36 * 1e-07 / 0.5770331032227517 MJ per person kilometer.</t>
        </is>
      </c>
      <c r="I1929">
        <v>0</v>
      </c>
    </row>
    <row r="1930">
      <c r="A1930" t="inlineStr">
        <is>
          <t>power electronics, for lorry</t>
        </is>
      </c>
      <c r="B1930">
        <v>3.171395176081547e-05</v>
      </c>
      <c r="C1930" t="inlineStr">
        <is>
          <t>RER</t>
        </is>
      </c>
      <c r="D1930" t="inlineStr">
        <is>
          <t>kilogram</t>
        </is>
      </c>
      <c r="F1930" t="inlineStr">
        <is>
          <t>technosphere</t>
        </is>
      </c>
      <c r="G1930" t="inlineStr">
        <is>
          <t>power electronics, for lorry</t>
        </is>
      </c>
      <c r="H1930" t="inlineStr">
        <is>
          <t> Energy-use allocation: 183 * 1e-07 / 0.5770331032227517 MJ per person kilometer.</t>
        </is>
      </c>
      <c r="I1930">
        <v>0</v>
      </c>
    </row>
    <row r="1931">
      <c r="A1931" t="inlineStr">
        <is>
          <t>retarder, for lorry</t>
        </is>
      </c>
      <c r="B1931">
        <v>9.104503584232683e-06</v>
      </c>
      <c r="C1931" t="inlineStr">
        <is>
          <t>RER</t>
        </is>
      </c>
      <c r="D1931" t="inlineStr">
        <is>
          <t>kilogram</t>
        </is>
      </c>
      <c r="F1931" t="inlineStr">
        <is>
          <t>technosphere</t>
        </is>
      </c>
      <c r="G1931" t="inlineStr">
        <is>
          <t>retarder, for lorry</t>
        </is>
      </c>
      <c r="H1931" t="inlineStr">
        <is>
          <t> Energy-use allocation: 52.53599956512451 * 1e-07 / 0.5770331032227517 MJ per person kilometer.</t>
        </is>
      </c>
      <c r="I1931">
        <v>0</v>
      </c>
    </row>
    <row r="1932">
      <c r="A1932" t="inlineStr">
        <is>
          <t>transmission, for lorry</t>
        </is>
      </c>
      <c r="B1932">
        <v>3.945284886500829e-05</v>
      </c>
      <c r="C1932" t="inlineStr">
        <is>
          <t>RER</t>
        </is>
      </c>
      <c r="D1932" t="inlineStr">
        <is>
          <t>kilogram</t>
        </is>
      </c>
      <c r="F1932" t="inlineStr">
        <is>
          <t>technosphere</t>
        </is>
      </c>
      <c r="G1932" t="inlineStr">
        <is>
          <t>transmission, for lorry</t>
        </is>
      </c>
      <c r="H1932" t="inlineStr">
        <is>
          <t> Energy-use allocation: 227.6559981155395 * 1e-07 / 0.5770331032227517 MJ per person kilometer.</t>
        </is>
      </c>
      <c r="I1932">
        <v>0</v>
      </c>
    </row>
    <row r="1933">
      <c r="A1933" t="inlineStr">
        <is>
          <t>market for refrigerant R134a</t>
        </is>
      </c>
      <c r="B1933">
        <v>4.072556646880675e-06</v>
      </c>
      <c r="C1933" t="inlineStr">
        <is>
          <t>GLO</t>
        </is>
      </c>
      <c r="D1933" t="inlineStr">
        <is>
          <t>kilogram</t>
        </is>
      </c>
      <c r="F1933" t="inlineStr">
        <is>
          <t>technosphere</t>
        </is>
      </c>
      <c r="G1933" t="inlineStr">
        <is>
          <t>refrigerant R134a</t>
        </is>
      </c>
      <c r="I1933">
        <v>0</v>
      </c>
    </row>
    <row r="1934">
      <c r="A1934" t="inlineStr">
        <is>
          <t>treatment of brake wear emissions, lorry</t>
        </is>
      </c>
      <c r="B1934">
        <v>-7.430982091970633e-06</v>
      </c>
      <c r="C1934" t="inlineStr">
        <is>
          <t>RER</t>
        </is>
      </c>
      <c r="D1934" t="inlineStr">
        <is>
          <t>kilogram</t>
        </is>
      </c>
      <c r="F1934" t="inlineStr">
        <is>
          <t>technosphere</t>
        </is>
      </c>
      <c r="G1934" t="inlineStr">
        <is>
          <t>brake wear emissions, lorry</t>
        </is>
      </c>
      <c r="I1934">
        <v>0</v>
      </c>
    </row>
    <row r="1935">
      <c r="A1935" t="inlineStr">
        <is>
          <t>treatment of road wear emissions, lorry</t>
        </is>
      </c>
      <c r="B1935">
        <v>-1.3109941475499826e-05</v>
      </c>
      <c r="C1935" t="inlineStr">
        <is>
          <t>RER</t>
        </is>
      </c>
      <c r="D1935" t="inlineStr">
        <is>
          <t>kilogram</t>
        </is>
      </c>
      <c r="F1935" t="inlineStr">
        <is>
          <t>technosphere</t>
        </is>
      </c>
      <c r="G1935" t="inlineStr">
        <is>
          <t>road wear emissions, lorry</t>
        </is>
      </c>
      <c r="I1935">
        <v>0</v>
      </c>
    </row>
    <row r="1936">
      <c r="A1936" t="inlineStr">
        <is>
          <t>treatment of tyre wear emissions, lorry</t>
        </is>
      </c>
      <c r="B1936">
        <v>-1.3030412942614006e-05</v>
      </c>
      <c r="C1936" t="inlineStr">
        <is>
          <t>RER</t>
        </is>
      </c>
      <c r="D1936" t="inlineStr">
        <is>
          <t>kilogram</t>
        </is>
      </c>
      <c r="F1936" t="inlineStr">
        <is>
          <t>technosphere</t>
        </is>
      </c>
      <c r="G1936" t="inlineStr">
        <is>
          <t>tyre wear emissions, lorry</t>
        </is>
      </c>
      <c r="I1936">
        <v>0</v>
      </c>
    </row>
    <row r="1937"/>
    <row r="1938">
      <c r="A1938" t="inlineStr">
        <is>
          <t>Activity</t>
        </is>
      </c>
      <c r="B1938" t="inlineStr">
        <is>
          <t>electricity, used in tram</t>
        </is>
      </c>
    </row>
    <row r="1939">
      <c r="A1939" t="inlineStr">
        <is>
          <t>location</t>
        </is>
      </c>
      <c r="B1939" t="inlineStr">
        <is>
          <t>RER</t>
        </is>
      </c>
    </row>
    <row r="1940">
      <c r="A1940" t="inlineStr">
        <is>
          <t>reference product</t>
        </is>
      </c>
      <c r="B1940" t="inlineStr">
        <is>
          <t>electricity, low voltage</t>
        </is>
      </c>
    </row>
    <row r="1941">
      <c r="A1941" t="inlineStr">
        <is>
          <t>type</t>
        </is>
      </c>
      <c r="B1941" t="inlineStr">
        <is>
          <t>process</t>
        </is>
      </c>
    </row>
    <row r="1942">
      <c r="A1942" t="inlineStr">
        <is>
          <t>unit</t>
        </is>
      </c>
      <c r="B1942" t="inlineStr">
        <is>
          <t>megajoule</t>
        </is>
      </c>
    </row>
    <row r="1943">
      <c r="A1943" t="inlineStr">
        <is>
          <t>energy use source</t>
        </is>
      </c>
      <c r="B1943"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 "vehicle per source service": 7.11e-10, "replacement correction factor": 1.0, "amount per MJ": 1.0214001325676948e-05}, {"supplier": ["market for electric motor, electric passenger car", "electric motor, electric passenger car", "GLO", "kilogram"], "amount per vehicle": 3710,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1944">
      <c r="A1944" t="inlineStr">
        <is>
          <t>comment</t>
        </is>
      </c>
      <c r="B1944"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45">
      <c r="A1945" t="inlineStr">
        <is>
          <t>Exchanges</t>
        </is>
      </c>
    </row>
    <row r="1946">
      <c r="A1946" t="inlineStr">
        <is>
          <t>name</t>
        </is>
      </c>
      <c r="B1946" t="inlineStr">
        <is>
          <t>amount</t>
        </is>
      </c>
      <c r="C1946" t="inlineStr">
        <is>
          <t>location</t>
        </is>
      </c>
      <c r="D1946" t="inlineStr">
        <is>
          <t>unit</t>
        </is>
      </c>
      <c r="E1946" t="inlineStr">
        <is>
          <t>categories</t>
        </is>
      </c>
      <c r="F1946" t="inlineStr">
        <is>
          <t>type</t>
        </is>
      </c>
      <c r="G1946" t="inlineStr">
        <is>
          <t>reference product</t>
        </is>
      </c>
      <c r="H1946" t="inlineStr">
        <is>
          <t>comment</t>
        </is>
      </c>
      <c r="I1946" t="inlineStr">
        <is>
          <t>uncertainty type</t>
        </is>
      </c>
    </row>
    <row r="1947">
      <c r="A1947" t="inlineStr">
        <is>
          <t>electricity, used in tram</t>
        </is>
      </c>
      <c r="B1947">
        <v>1.0</v>
      </c>
      <c r="C1947" t="inlineStr">
        <is>
          <t>RER</t>
        </is>
      </c>
      <c r="D1947" t="inlineStr">
        <is>
          <t>megajoule</t>
        </is>
      </c>
      <c r="F1947" t="inlineStr">
        <is>
          <t>production</t>
        </is>
      </c>
      <c r="G1947" t="inlineStr">
        <is>
          <t>electricity, low voltage</t>
        </is>
      </c>
      <c r="I1947">
        <v>0</v>
      </c>
    </row>
    <row r="1948">
      <c r="A1948" t="inlineStr">
        <is>
          <t>market group for electricity, high voltage</t>
        </is>
      </c>
      <c r="B1948">
        <v>0.27777777777777773</v>
      </c>
      <c r="C1948" t="inlineStr">
        <is>
          <t>Europe without Switzerland</t>
        </is>
      </c>
      <c r="D1948" t="inlineStr">
        <is>
          <t>kilowatt hour</t>
        </is>
      </c>
      <c r="F1948" t="inlineStr">
        <is>
          <t>technosphere</t>
        </is>
      </c>
      <c r="G1948" t="inlineStr">
        <is>
          <t>electricity, high voltage</t>
        </is>
      </c>
      <c r="H194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48">
        <v>0</v>
      </c>
    </row>
    <row r="1949">
      <c r="A1949" t="inlineStr">
        <is>
          <t>market for diesel</t>
        </is>
      </c>
      <c r="B1949">
        <v>0.003188710842490739</v>
      </c>
      <c r="C1949" t="inlineStr">
        <is>
          <t>Europe without Switzerland</t>
        </is>
      </c>
      <c r="D1949" t="inlineStr">
        <is>
          <t>kilogram</t>
        </is>
      </c>
      <c r="F1949" t="inlineStr">
        <is>
          <t>technosphere</t>
        </is>
      </c>
      <c r="G1949" t="inlineStr">
        <is>
          <t>diesel</t>
        </is>
      </c>
      <c r="H1949"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49">
        <v>0</v>
      </c>
    </row>
    <row r="1950">
      <c r="A1950" t="inlineStr">
        <is>
          <t>market for transformer, high voltage use</t>
        </is>
      </c>
      <c r="B1950">
        <v>1.0214001325676948e-05</v>
      </c>
      <c r="C1950" t="inlineStr">
        <is>
          <t>GLO</t>
        </is>
      </c>
      <c r="D1950" t="inlineStr">
        <is>
          <t>kilogram</t>
        </is>
      </c>
      <c r="F1950" t="inlineStr">
        <is>
          <t>technosphere</t>
        </is>
      </c>
      <c r="G1950" t="inlineStr">
        <is>
          <t>transformer, high voltage use</t>
        </is>
      </c>
      <c r="H1950"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50">
        <v>0</v>
      </c>
    </row>
    <row r="1951">
      <c r="A1951" t="inlineStr">
        <is>
          <t>market for electric motor, electric passenger car</t>
        </is>
      </c>
      <c r="B1951">
        <v>1.2424244235495565e-05</v>
      </c>
      <c r="C1951" t="inlineStr">
        <is>
          <t>GLO</t>
        </is>
      </c>
      <c r="D1951" t="inlineStr">
        <is>
          <t>kilogram</t>
        </is>
      </c>
      <c r="F1951" t="inlineStr">
        <is>
          <t>technosphere</t>
        </is>
      </c>
      <c r="G1951" t="inlineStr">
        <is>
          <t>electric motor, electric passenger car</t>
        </is>
      </c>
      <c r="H1951"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51">
        <v>0</v>
      </c>
    </row>
    <row r="1952">
      <c r="A1952" t="inlineStr">
        <is>
          <t>market for converter, for electric passenger car</t>
        </is>
      </c>
      <c r="B1952">
        <v>3.4694115978364936e-05</v>
      </c>
      <c r="C1952" t="inlineStr">
        <is>
          <t>GLO</t>
        </is>
      </c>
      <c r="D1952" t="inlineStr">
        <is>
          <t>kilogram</t>
        </is>
      </c>
      <c r="F1952" t="inlineStr">
        <is>
          <t>technosphere</t>
        </is>
      </c>
      <c r="G1952" t="inlineStr">
        <is>
          <t>converter, for electric passenger car</t>
        </is>
      </c>
      <c r="H1952"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52">
        <v>0</v>
      </c>
    </row>
    <row r="1953">
      <c r="A1953" t="inlineStr">
        <is>
          <t>Ammonia</t>
        </is>
      </c>
      <c r="B1953">
        <v>6.377421684981479e-08</v>
      </c>
      <c r="D1953" t="inlineStr">
        <is>
          <t>kilogram</t>
        </is>
      </c>
      <c r="E1953" t="inlineStr">
        <is>
          <t>air</t>
        </is>
      </c>
      <c r="F1953" t="inlineStr">
        <is>
          <t>biosphere</t>
        </is>
      </c>
      <c r="H1953" t="inlineStr">
        <is>
          <t>2.0E-05 kg/kg fuel for diesel locomotives, according to Spielmann et al. (2007)
Spielmann, M., Bauer, C., Dones, R., Institut, P. S., &amp; Tuchschmid, M. (2007). Transport Services. Swiss Centre for Life Cycle Inventories, ecoinvent report No. 14.</t>
        </is>
      </c>
      <c r="I1953">
        <v>0</v>
      </c>
    </row>
    <row r="1954">
      <c r="A1954" t="inlineStr">
        <is>
          <t>Benzene</t>
        </is>
      </c>
      <c r="B1954">
        <v>3.1887108424907397e-07</v>
      </c>
      <c r="D1954" t="inlineStr">
        <is>
          <t>kilogram</t>
        </is>
      </c>
      <c r="E1954" t="inlineStr">
        <is>
          <t>air</t>
        </is>
      </c>
      <c r="F1954" t="inlineStr">
        <is>
          <t>biosphere</t>
        </is>
      </c>
      <c r="H1954" t="inlineStr">
        <is>
          <t>1.0E-04 kg/kg fuel for diesel locomotives, according to Spielmann et al. (2007)
Spielmann, M., Bauer, C., Dones, R., Institut, P. S., &amp; Tuchschmid, M. (2007). Transport Services. Swiss Centre for Life Cycle Inventories, ecoinvent report No. 14.</t>
        </is>
      </c>
      <c r="I1954">
        <v>0</v>
      </c>
    </row>
    <row r="1955">
      <c r="A1955" t="inlineStr">
        <is>
          <t>Cadmium II</t>
        </is>
      </c>
      <c r="B1955">
        <v>3.1887108424907394e-11</v>
      </c>
      <c r="D1955" t="inlineStr">
        <is>
          <t>kilogram</t>
        </is>
      </c>
      <c r="E1955" t="inlineStr">
        <is>
          <t>air</t>
        </is>
      </c>
      <c r="F1955" t="inlineStr">
        <is>
          <t>biosphere</t>
        </is>
      </c>
      <c r="H1955" t="inlineStr">
        <is>
          <t>1.0E-08 kg/kg fuel for diesel locomotives, according to Spielmann et al. (2007)
Spielmann, M., Bauer, C., Dones, R., Institut, P. S., &amp; Tuchschmid, M. (2007). Transport Services. Swiss Centre for Life Cycle Inventories, ecoinvent report No. 14.</t>
        </is>
      </c>
      <c r="I1955">
        <v>0</v>
      </c>
    </row>
    <row r="1956">
      <c r="A1956" t="inlineStr">
        <is>
          <t>Carbon dioxide, fossil</t>
        </is>
      </c>
      <c r="B1956">
        <v>0.010031684310475865</v>
      </c>
      <c r="D1956" t="inlineStr">
        <is>
          <t>kilogram</t>
        </is>
      </c>
      <c r="E1956" t="inlineStr">
        <is>
          <t>air</t>
        </is>
      </c>
      <c r="F1956" t="inlineStr">
        <is>
          <t>biosphere</t>
        </is>
      </c>
      <c r="H1956" t="inlineStr">
        <is>
          <t>3.146 kg/kg fuel for diesel locomotives, according to Spielmann et al. (2007)
Spielmann, M., Bauer, C., Dones, R., Institut, P. S., &amp; Tuchschmid, M. (2007). Transport Services. Swiss Centre for Life Cycle Inventories, ecoinvent report No. 14.</t>
        </is>
      </c>
      <c r="I1956">
        <v>0</v>
      </c>
    </row>
    <row r="1957">
      <c r="A1957" t="inlineStr">
        <is>
          <t>Carbon monoxide, fossil</t>
        </is>
      </c>
      <c r="B1957">
        <v>5.038163131135368e-05</v>
      </c>
      <c r="D1957" t="inlineStr">
        <is>
          <t>kilogram</t>
        </is>
      </c>
      <c r="E1957" t="inlineStr">
        <is>
          <t>air</t>
        </is>
      </c>
      <c r="F1957" t="inlineStr">
        <is>
          <t>biosphere</t>
        </is>
      </c>
      <c r="H1957" t="inlineStr">
        <is>
          <t>1.58E-02 kg/kg fuel for diesel locomotives, according to Spielmann et al. (2007)
Spielmann, M., Bauer, C., Dones, R., Institut, P. S., &amp; Tuchschmid, M. (2007). Transport Services. Swiss Centre for Life Cycle Inventories, ecoinvent report No. 14.</t>
        </is>
      </c>
      <c r="I1957">
        <v>0</v>
      </c>
    </row>
    <row r="1958">
      <c r="A1958" t="inlineStr">
        <is>
          <t>Chromium III</t>
        </is>
      </c>
      <c r="B1958">
        <v>1.5943554212453697e-10</v>
      </c>
      <c r="D1958" t="inlineStr">
        <is>
          <t>kilogram</t>
        </is>
      </c>
      <c r="E1958" t="inlineStr">
        <is>
          <t>air</t>
        </is>
      </c>
      <c r="F1958" t="inlineStr">
        <is>
          <t>biosphere</t>
        </is>
      </c>
      <c r="H1958" t="inlineStr">
        <is>
          <t>5.0E-08 kg/kg fuel for diesel locomotives, according to Spielmann et al. (2007)
Spielmann, M., Bauer, C., Dones, R., Institut, P. S., &amp; Tuchschmid, M. (2007). Transport Services. Swiss Centre for Life Cycle Inventories, ecoinvent report No. 14.</t>
        </is>
      </c>
      <c r="I1958">
        <v>0</v>
      </c>
    </row>
    <row r="1959">
      <c r="A1959" t="inlineStr">
        <is>
          <t>Copper ion</t>
        </is>
      </c>
      <c r="B1959">
        <v>5.420808432234257e-09</v>
      </c>
      <c r="D1959" t="inlineStr">
        <is>
          <t>kilogram</t>
        </is>
      </c>
      <c r="E1959" t="inlineStr">
        <is>
          <t>air</t>
        </is>
      </c>
      <c r="F1959" t="inlineStr">
        <is>
          <t>biosphere</t>
        </is>
      </c>
      <c r="H1959" t="inlineStr">
        <is>
          <t>1.7E-06 kg/kg fuel for diesel locomotives, according to Spielmann et al. (2007)
Spielmann, M., Bauer, C., Dones, R., Institut, P. S., &amp; Tuchschmid, M. (2007). Transport Services. Swiss Centre for Life Cycle Inventories, ecoinvent report No. 14.</t>
        </is>
      </c>
      <c r="I1959">
        <v>0</v>
      </c>
    </row>
    <row r="1960">
      <c r="A1960" t="inlineStr">
        <is>
          <t>Dinitrogen monoxide</t>
        </is>
      </c>
      <c r="B1960">
        <v>3.1887108424907397e-07</v>
      </c>
      <c r="D1960" t="inlineStr">
        <is>
          <t>kilogram</t>
        </is>
      </c>
      <c r="E1960" t="inlineStr">
        <is>
          <t>air</t>
        </is>
      </c>
      <c r="F1960" t="inlineStr">
        <is>
          <t>biosphere</t>
        </is>
      </c>
      <c r="H1960" t="inlineStr">
        <is>
          <t>1.0E-04 kg/kg fuel for diesel locomotives, according to Spielmann et al. (2007)
Spielmann, M., Bauer, C., Dones, R., Institut, P. S., &amp; Tuchschmid, M. (2007). Transport Services. Swiss Centre for Life Cycle Inventories, ecoinvent report No. 14.</t>
        </is>
      </c>
      <c r="I1960">
        <v>0</v>
      </c>
    </row>
    <row r="1961">
      <c r="A1961" t="inlineStr">
        <is>
          <t>Iron ion</t>
        </is>
      </c>
      <c r="B1961">
        <v>5.840474807516273e-05</v>
      </c>
      <c r="D1961" t="inlineStr">
        <is>
          <t>kilogram</t>
        </is>
      </c>
      <c r="E1961" t="inlineStr">
        <is>
          <t>soil</t>
        </is>
      </c>
      <c r="F1961" t="inlineStr">
        <is>
          <t>biosphere</t>
        </is>
      </c>
      <c r="H19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61">
        <v>0</v>
      </c>
    </row>
    <row r="1962">
      <c r="A1962" t="inlineStr">
        <is>
          <t>Lead II</t>
        </is>
      </c>
      <c r="B1962">
        <v>3.5075819267398133e-13</v>
      </c>
      <c r="D1962" t="inlineStr">
        <is>
          <t>kilogram</t>
        </is>
      </c>
      <c r="E1962" t="inlineStr">
        <is>
          <t>air</t>
        </is>
      </c>
      <c r="F1962" t="inlineStr">
        <is>
          <t>biosphere</t>
        </is>
      </c>
      <c r="H1962" t="inlineStr">
        <is>
          <t>1.1E-10 kg/kg fuel for diesel locomotives, according to Spielmann et al. (2007)
Spielmann, M., Bauer, C., Dones, R., Institut, P. S., &amp; Tuchschmid, M. (2007). Transport Services. Swiss Centre for Life Cycle Inventories, ecoinvent report No. 14.</t>
        </is>
      </c>
      <c r="I1962">
        <v>0</v>
      </c>
    </row>
    <row r="1963">
      <c r="A1963" t="inlineStr">
        <is>
          <t>Mercury II</t>
        </is>
      </c>
      <c r="B1963">
        <v>6.377421684981477e-14</v>
      </c>
      <c r="D1963" t="inlineStr">
        <is>
          <t>kilogram</t>
        </is>
      </c>
      <c r="E1963" t="inlineStr">
        <is>
          <t>air</t>
        </is>
      </c>
      <c r="F1963" t="inlineStr">
        <is>
          <t>biosphere</t>
        </is>
      </c>
      <c r="H1963" t="inlineStr">
        <is>
          <t>2.0E-11 kg/kg fuel for diesel locomotives, according to Spielmann et al. (2007)
Spielmann, M., Bauer, C., Dones, R., Institut, P. S., &amp; Tuchschmid, M. (2007). Transport Services. Swiss Centre for Life Cycle Inventories, ecoinvent report No. 14.</t>
        </is>
      </c>
      <c r="I1963">
        <v>0</v>
      </c>
    </row>
    <row r="1964">
      <c r="A1964" t="inlineStr">
        <is>
          <t>Methane, fossil</t>
        </is>
      </c>
      <c r="B1964">
        <v>4.1453240952379607e-07</v>
      </c>
      <c r="D1964" t="inlineStr">
        <is>
          <t>kilogram</t>
        </is>
      </c>
      <c r="E1964" t="inlineStr">
        <is>
          <t>air</t>
        </is>
      </c>
      <c r="F1964" t="inlineStr">
        <is>
          <t>biosphere</t>
        </is>
      </c>
      <c r="H1964" t="inlineStr">
        <is>
          <t>1.3E-04 kg/kg fuel for diesel locomotives, according to Spielmann et al. (2007)
Spielmann, M., Bauer, C., Dones, R., Institut, P. S., &amp; Tuchschmid, M. (2007). Transport Services. Swiss Centre for Life Cycle Inventories, ecoinvent report No. 14.</t>
        </is>
      </c>
      <c r="I1964">
        <v>0</v>
      </c>
    </row>
    <row r="1965">
      <c r="A1965" t="inlineStr">
        <is>
          <t>NMVOC, non-methane volatile organic compounds</t>
        </is>
      </c>
      <c r="B1965">
        <v>1.6740731923076382e-05</v>
      </c>
      <c r="D1965" t="inlineStr">
        <is>
          <t>kilogram</t>
        </is>
      </c>
      <c r="E1965" t="inlineStr">
        <is>
          <t>air</t>
        </is>
      </c>
      <c r="F1965" t="inlineStr">
        <is>
          <t>biosphere</t>
        </is>
      </c>
      <c r="H1965" t="inlineStr">
        <is>
          <t>5.25E-03 kg/kg fuel for diesel locomotives, according to Spielmann et al. (2007)
Spielmann, M., Bauer, C., Dones, R., Institut, P. S., &amp; Tuchschmid, M. (2007). Transport Services. Swiss Centre for Life Cycle Inventories, ecoinvent report No. 14.</t>
        </is>
      </c>
      <c r="I1965">
        <v>0</v>
      </c>
    </row>
    <row r="1966">
      <c r="A1966" t="inlineStr">
        <is>
          <t>Nickel II</t>
        </is>
      </c>
      <c r="B1966">
        <v>2.2320975897435179e-10</v>
      </c>
      <c r="D1966" t="inlineStr">
        <is>
          <t>kilogram</t>
        </is>
      </c>
      <c r="E1966" t="inlineStr">
        <is>
          <t>air</t>
        </is>
      </c>
      <c r="F1966" t="inlineStr">
        <is>
          <t>biosphere</t>
        </is>
      </c>
      <c r="H1966" t="inlineStr">
        <is>
          <t>7.0E-08 kg/kg fuel for diesel locomotives, according to Spielmann et al. (2007)
Spielmann, M., Bauer, C., Dones, R., Institut, P. S., &amp; Tuchschmid, M. (2007). Transport Services. Swiss Centre for Life Cycle Inventories, ecoinvent report No. 14.</t>
        </is>
      </c>
      <c r="I1966">
        <v>0</v>
      </c>
    </row>
    <row r="1967">
      <c r="A1967" t="inlineStr">
        <is>
          <t>Nitrogen oxides</t>
        </is>
      </c>
      <c r="B1967">
        <v>0.00017537909633699066</v>
      </c>
      <c r="D1967" t="inlineStr">
        <is>
          <t>kilogram</t>
        </is>
      </c>
      <c r="E1967" t="inlineStr">
        <is>
          <t>air::unspecified</t>
        </is>
      </c>
      <c r="F1967" t="inlineStr">
        <is>
          <t>biosphere</t>
        </is>
      </c>
      <c r="H1967" t="inlineStr">
        <is>
          <t>5.5E-02 kg/kg fuel for diesel locomotives, according to Spielmann et al. (2007)
Spielmann, M., Bauer, C., Dones, R., Institut, P. S., &amp; Tuchschmid, M. (2007). Transport Services. Swiss Centre for Life Cycle Inventories, ecoinvent report No. 14.</t>
        </is>
      </c>
      <c r="I1967">
        <v>0</v>
      </c>
    </row>
    <row r="1968">
      <c r="A1968" t="inlineStr">
        <is>
          <t>Particulate Matter, &lt; 2.5 um</t>
        </is>
      </c>
      <c r="B1968">
        <v>3.922114336263609e-06</v>
      </c>
      <c r="D1968" t="inlineStr">
        <is>
          <t>kilogram</t>
        </is>
      </c>
      <c r="E1968" t="inlineStr">
        <is>
          <t>air</t>
        </is>
      </c>
      <c r="F1968" t="inlineStr">
        <is>
          <t>biosphere</t>
        </is>
      </c>
      <c r="H1968" t="inlineStr">
        <is>
          <t>1.28E-03 kg/kg fuel for diesel locomotives, according to Spielmann et al. (2007)
Spielmann, M., Bauer, C., Dones, R., Institut, P. S., &amp; Tuchschmid, M. (2007). Transport Services. Swiss Centre for Life Cycle Inventories, ecoinvent report No. 14.</t>
        </is>
      </c>
      <c r="I1968">
        <v>0</v>
      </c>
    </row>
    <row r="1969">
      <c r="A1969" t="inlineStr">
        <is>
          <t>Particulate Matter, &gt; 10 um</t>
        </is>
      </c>
      <c r="B1969">
        <v>8.35431280422189e-05</v>
      </c>
      <c r="D1969" t="inlineStr">
        <is>
          <t>kilogram</t>
        </is>
      </c>
      <c r="E1969" t="inlineStr">
        <is>
          <t>air</t>
        </is>
      </c>
      <c r="F1969" t="inlineStr">
        <is>
          <t>biosphere</t>
        </is>
      </c>
      <c r="H19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69">
        <v>0</v>
      </c>
    </row>
    <row r="1970">
      <c r="A1970" t="inlineStr">
        <is>
          <t>Particulate Matter, &gt; 2.5 um and &lt; 10um</t>
        </is>
      </c>
      <c r="B1970">
        <v>7.711517541701365e-05</v>
      </c>
      <c r="D1970" t="inlineStr">
        <is>
          <t>kilogram</t>
        </is>
      </c>
      <c r="E1970" t="inlineStr">
        <is>
          <t>air</t>
        </is>
      </c>
      <c r="F1970" t="inlineStr">
        <is>
          <t>biosphere</t>
        </is>
      </c>
      <c r="H19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70">
        <v>0</v>
      </c>
    </row>
    <row r="1971">
      <c r="A1971" t="inlineStr">
        <is>
          <t>Selenium IV</t>
        </is>
      </c>
      <c r="B1971">
        <v>3.1887108424907394e-11</v>
      </c>
      <c r="D1971" t="inlineStr">
        <is>
          <t>kilogram</t>
        </is>
      </c>
      <c r="E1971" t="inlineStr">
        <is>
          <t>air</t>
        </is>
      </c>
      <c r="F1971" t="inlineStr">
        <is>
          <t>biosphere</t>
        </is>
      </c>
      <c r="H1971" t="inlineStr">
        <is>
          <t>1.0E-08 kg/kg fuel for diesel locomotives, according to Spielmann et al. (2007)
Spielmann, M., Bauer, C., Dones, R., Institut, P. S., &amp; Tuchschmid, M. (2007). Transport Services. Swiss Centre for Life Cycle Inventories, ecoinvent report No. 14.</t>
        </is>
      </c>
      <c r="I1971">
        <v>0</v>
      </c>
    </row>
    <row r="1972">
      <c r="A1972" t="inlineStr">
        <is>
          <t>Sulfur dioxide</t>
        </is>
      </c>
      <c r="B1972">
        <v>1.9132265054944433e-06</v>
      </c>
      <c r="D1972" t="inlineStr">
        <is>
          <t>kilogram</t>
        </is>
      </c>
      <c r="E1972" t="inlineStr">
        <is>
          <t>air</t>
        </is>
      </c>
      <c r="F1972" t="inlineStr">
        <is>
          <t>biosphere</t>
        </is>
      </c>
      <c r="H1972" t="inlineStr">
        <is>
          <t>6.0E-04 kg/kg fuel for diesel locomotives, according to Spielmann et al. (2007)
Spielmann, M., Bauer, C., Dones, R., Institut, P. S., &amp; Tuchschmid, M. (2007). Transport Services. Swiss Centre for Life Cycle Inventories, ecoinvent report No. 14.</t>
        </is>
      </c>
      <c r="I1972">
        <v>0</v>
      </c>
    </row>
    <row r="1973">
      <c r="A1973" t="inlineStr">
        <is>
          <t>Sulfur hexafluoride</t>
        </is>
      </c>
      <c r="B1973">
        <v>1.4789589431936368e-08</v>
      </c>
      <c r="D1973" t="inlineStr">
        <is>
          <t>kilogram</t>
        </is>
      </c>
      <c r="E1973" t="inlineStr">
        <is>
          <t>air</t>
        </is>
      </c>
      <c r="F1973" t="inlineStr">
        <is>
          <t>biosphere</t>
        </is>
      </c>
      <c r="H1973"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73">
        <v>0</v>
      </c>
    </row>
    <row r="1974">
      <c r="A1974" t="inlineStr">
        <is>
          <t>Toluene</t>
        </is>
      </c>
      <c r="B1974">
        <v>1.2754843369962958e-07</v>
      </c>
      <c r="D1974" t="inlineStr">
        <is>
          <t>kilogram</t>
        </is>
      </c>
      <c r="E1974" t="inlineStr">
        <is>
          <t>air</t>
        </is>
      </c>
      <c r="F1974" t="inlineStr">
        <is>
          <t>biosphere</t>
        </is>
      </c>
      <c r="H1974" t="inlineStr">
        <is>
          <t>4.0E-05 kg/kg fuel for diesel locomotives, according to Spielmann et al. (2007)
Spielmann, M., Bauer, C., Dones, R., Institut, P. S., &amp; Tuchschmid, M. (2007). Transport Services. Swiss Centre for Life Cycle Inventories, ecoinvent report No. 14.</t>
        </is>
      </c>
      <c r="I1974">
        <v>0</v>
      </c>
    </row>
    <row r="1975">
      <c r="A1975" t="inlineStr">
        <is>
          <t>Xylenes, unspecified</t>
        </is>
      </c>
      <c r="B1975">
        <v>1.2754843369962958e-07</v>
      </c>
      <c r="D1975" t="inlineStr">
        <is>
          <t>kilogram</t>
        </is>
      </c>
      <c r="E1975" t="inlineStr">
        <is>
          <t>air::unspecified</t>
        </is>
      </c>
      <c r="F1975" t="inlineStr">
        <is>
          <t>biosphere</t>
        </is>
      </c>
      <c r="H1975" t="inlineStr">
        <is>
          <t>4.0E-05 kg/kg fuel for diesel locomotives, according to Spielmann et al. (2007)
Spielmann, M., Bauer, C., Dones, R., Institut, P. S., &amp; Tuchschmid, M. (2007). Transport Services. Swiss Centre for Life Cycle Inventories, ecoinvent report No. 14.</t>
        </is>
      </c>
      <c r="I1975">
        <v>0</v>
      </c>
    </row>
    <row r="1976">
      <c r="A1976" t="inlineStr">
        <is>
          <t>Zinc II</t>
        </is>
      </c>
      <c r="B1976">
        <v>3.188710842490739e-09</v>
      </c>
      <c r="D1976" t="inlineStr">
        <is>
          <t>kilogram</t>
        </is>
      </c>
      <c r="E1976" t="inlineStr">
        <is>
          <t>air</t>
        </is>
      </c>
      <c r="F1976" t="inlineStr">
        <is>
          <t>biosphere</t>
        </is>
      </c>
      <c r="H1976" t="inlineStr">
        <is>
          <t>1.0E-06 kg/kg fuel for diesel locomotives, according to Spielmann et al. (2007)
Spielmann, M., Bauer, C., Dones, R., Institut, P. S., &amp; Tuchschmid, M. (2007). Transport Services. Swiss Centre for Life Cycle Inventories, ecoinvent report No. 14.</t>
        </is>
      </c>
      <c r="I1976">
        <v>0</v>
      </c>
    </row>
    <row r="1977"/>
    <row r="1978">
      <c r="A1978" t="inlineStr">
        <is>
          <t>Activity</t>
        </is>
      </c>
      <c r="B1978" t="inlineStr">
        <is>
          <t>electricity, used in battery electric motorcycle</t>
        </is>
      </c>
    </row>
    <row r="1979">
      <c r="A1979" t="inlineStr">
        <is>
          <t>location</t>
        </is>
      </c>
      <c r="B1979" t="inlineStr">
        <is>
          <t>RER</t>
        </is>
      </c>
    </row>
    <row r="1980">
      <c r="A1980" t="inlineStr">
        <is>
          <t>reference product</t>
        </is>
      </c>
      <c r="B1980" t="inlineStr">
        <is>
          <t>electricity, low voltage</t>
        </is>
      </c>
    </row>
    <row r="1981">
      <c r="A1981" t="inlineStr">
        <is>
          <t>type</t>
        </is>
      </c>
      <c r="B1981" t="inlineStr">
        <is>
          <t>process</t>
        </is>
      </c>
    </row>
    <row r="1982">
      <c r="A1982" t="inlineStr">
        <is>
          <t>unit</t>
        </is>
      </c>
      <c r="B1982" t="inlineStr">
        <is>
          <t>megajoule</t>
        </is>
      </c>
    </row>
    <row r="1983">
      <c r="A1983" t="inlineStr">
        <is>
          <t>source</t>
        </is>
      </c>
      <c r="B1983" t="inlineStr">
        <is>
          <t>Sacchi R., Bauer C. Life cycle inventories for on-road vehicles. Paul Scherrer Institut, 2021.</t>
        </is>
      </c>
    </row>
    <row r="1984">
      <c r="A1984" t="inlineStr">
        <is>
          <t>comment</t>
        </is>
      </c>
      <c r="B1984"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85">
      <c r="A1985" t="inlineStr">
        <is>
          <t>Power, mean</t>
        </is>
      </c>
      <c r="B1985">
        <v>13</v>
      </c>
    </row>
    <row r="1986">
      <c r="A1986" t="inlineStr">
        <is>
          <t>Power, min</t>
        </is>
      </c>
      <c r="B1986">
        <v>5</v>
      </c>
    </row>
    <row r="1987">
      <c r="A1987" t="inlineStr">
        <is>
          <t>Power, max</t>
        </is>
      </c>
      <c r="B1987">
        <v>45</v>
      </c>
    </row>
    <row r="1988">
      <c r="A1988" t="inlineStr">
        <is>
          <t>Lifetime, mean</t>
        </is>
      </c>
      <c r="B1988">
        <v>100000</v>
      </c>
    </row>
    <row r="1989">
      <c r="A1989" t="inlineStr">
        <is>
          <t>Lifetime, min</t>
        </is>
      </c>
      <c r="B1989">
        <v>50000</v>
      </c>
    </row>
    <row r="1990">
      <c r="A1990" t="inlineStr">
        <is>
          <t>Lifetime, max</t>
        </is>
      </c>
      <c r="B1990">
        <v>200000</v>
      </c>
    </row>
    <row r="1991">
      <c r="A1991" t="inlineStr">
        <is>
          <t>Energy use, mean</t>
        </is>
      </c>
      <c r="B1991">
        <v>284</v>
      </c>
    </row>
    <row r="1992">
      <c r="A1992" t="inlineStr">
        <is>
          <t>Energy use, min</t>
        </is>
      </c>
      <c r="B1992">
        <v>156</v>
      </c>
    </row>
    <row r="1993">
      <c r="A1993" t="inlineStr">
        <is>
          <t>Energy use, max</t>
        </is>
      </c>
      <c r="B1993">
        <v>356</v>
      </c>
    </row>
    <row r="1994">
      <c r="A1994" t="inlineStr">
        <is>
          <t>Electric motor, mean</t>
        </is>
      </c>
      <c r="B1994">
        <v>6.4</v>
      </c>
    </row>
    <row r="1995">
      <c r="A1995" t="inlineStr">
        <is>
          <t>Electric motor, min</t>
        </is>
      </c>
      <c r="B1995">
        <v>2.3</v>
      </c>
    </row>
    <row r="1996">
      <c r="A1996" t="inlineStr">
        <is>
          <t>Electric motor, max</t>
        </is>
      </c>
      <c r="B1996">
        <v>22</v>
      </c>
    </row>
    <row r="1997">
      <c r="A1997" t="inlineStr">
        <is>
          <t>Combustion engine, mean</t>
        </is>
      </c>
      <c r="B1997">
        <v>0</v>
      </c>
    </row>
    <row r="1998">
      <c r="A1998" t="inlineStr">
        <is>
          <t>Combustion engine, min</t>
        </is>
      </c>
      <c r="B1998">
        <v>0</v>
      </c>
    </row>
    <row r="1999">
      <c r="A1999" t="inlineStr">
        <is>
          <t>Combustion engine, max</t>
        </is>
      </c>
      <c r="B1999">
        <v>0</v>
      </c>
    </row>
    <row r="2000">
      <c r="A2000" t="inlineStr">
        <is>
          <t>Fuel tank, mean</t>
        </is>
      </c>
      <c r="B2000">
        <v>0</v>
      </c>
    </row>
    <row r="2001">
      <c r="A2001" t="inlineStr">
        <is>
          <t>Fuel tank, min</t>
        </is>
      </c>
      <c r="B2001">
        <v>0</v>
      </c>
    </row>
    <row r="2002">
      <c r="A2002" t="inlineStr">
        <is>
          <t>Fuel tank, max</t>
        </is>
      </c>
      <c r="B2002">
        <v>0</v>
      </c>
    </row>
    <row r="2003">
      <c r="A2003" t="inlineStr">
        <is>
          <t>Battery capacity, mean</t>
        </is>
      </c>
      <c r="B2003">
        <v>6.7</v>
      </c>
    </row>
    <row r="2004">
      <c r="A2004" t="inlineStr">
        <is>
          <t>Battery capacity, min</t>
        </is>
      </c>
      <c r="B2004">
        <v>2.5</v>
      </c>
    </row>
    <row r="2005">
      <c r="A2005" t="inlineStr">
        <is>
          <t>Battery capacity, max</t>
        </is>
      </c>
      <c r="B2005">
        <v>14</v>
      </c>
    </row>
    <row r="2006">
      <c r="A2006" t="inlineStr">
        <is>
          <t>Battery replacement, mean</t>
        </is>
      </c>
      <c r="B2006">
        <v>0</v>
      </c>
    </row>
    <row r="2007">
      <c r="A2007" t="inlineStr">
        <is>
          <t>Battery replacement, min</t>
        </is>
      </c>
      <c r="B2007">
        <v>0</v>
      </c>
    </row>
    <row r="2008">
      <c r="A2008" t="inlineStr">
        <is>
          <t>Battery replacement, max</t>
        </is>
      </c>
      <c r="B2008">
        <v>0</v>
      </c>
    </row>
    <row r="2009">
      <c r="A2009" t="inlineStr">
        <is>
          <t>Fuel cell system, mean</t>
        </is>
      </c>
      <c r="B2009">
        <v>0</v>
      </c>
    </row>
    <row r="2010">
      <c r="A2010" t="inlineStr">
        <is>
          <t>Fuel cell system, min</t>
        </is>
      </c>
      <c r="B2010">
        <v>0</v>
      </c>
    </row>
    <row r="2011">
      <c r="A2011" t="inlineStr">
        <is>
          <t>Fuel cell system, max</t>
        </is>
      </c>
      <c r="B2011">
        <v>0</v>
      </c>
    </row>
    <row r="2012">
      <c r="A2012" t="inlineStr">
        <is>
          <t>Fuel cell stack replacement, mean</t>
        </is>
      </c>
      <c r="B2012">
        <v>0</v>
      </c>
    </row>
    <row r="2013">
      <c r="A2013" t="inlineStr">
        <is>
          <t>Fuel cell replacement, min</t>
        </is>
      </c>
      <c r="B2013">
        <v>0</v>
      </c>
    </row>
    <row r="2014">
      <c r="A2014" t="inlineStr">
        <is>
          <t>Fuel cell replacement, max</t>
        </is>
      </c>
      <c r="B2014">
        <v>0</v>
      </c>
    </row>
    <row r="2015">
      <c r="A2015" t="inlineStr">
        <is>
          <t>Onboard charger mass</t>
        </is>
      </c>
      <c r="B2015">
        <v>2.4</v>
      </c>
    </row>
    <row r="2016">
      <c r="A2016" t="inlineStr">
        <is>
          <t>Controller mass</t>
        </is>
      </c>
      <c r="B2016">
        <v>1.3</v>
      </c>
    </row>
    <row r="2017">
      <c r="A2017" t="inlineStr">
        <is>
          <t>Converter mass</t>
        </is>
      </c>
      <c r="B2017">
        <v>1.125</v>
      </c>
    </row>
    <row r="2018">
      <c r="A2018" t="inlineStr">
        <is>
          <t>Electrical powertrain mass</t>
        </is>
      </c>
      <c r="B2018">
        <v>5.2</v>
      </c>
    </row>
    <row r="2019">
      <c r="A2019" t="inlineStr">
        <is>
          <t>Inverter mass</t>
        </is>
      </c>
      <c r="B2019">
        <v>2.25</v>
      </c>
    </row>
    <row r="2020">
      <c r="A2020" t="inlineStr">
        <is>
          <t>NOx</t>
        </is>
      </c>
      <c r="B2020">
        <v>0</v>
      </c>
    </row>
    <row r="2021">
      <c r="A2021" t="inlineStr">
        <is>
          <t>PM 2.5</t>
        </is>
      </c>
      <c r="B2021">
        <v>0</v>
      </c>
    </row>
    <row r="2022">
      <c r="A2022" t="inlineStr">
        <is>
          <t>energy use source</t>
        </is>
      </c>
      <c r="B2022"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 "vehicle per source service": 2.5974025974025975e-05, "replacement correction factor": 1.0, "amount per MJ": 9.58481633806309e-05}], "excluded": [{"supplier": ["market for glider, for electric scooter", "glider, for electric scooter", "GLO", "kilogram"], "amount per vehicle": 81, "vehicle per source service": 2.5974025974025975e-05}, {"supplier": ["market for glider, for electric scooter", "glider, for electric scooter", "GLO", "kilogram"], "amount per vehicle": 13, "vehicle per source service": 2.5974025974025975e-05}, {"supplier": ["manual dismantling of used electric scooter", "manual dismantling of electric scooter", "GLO", "unit"], "amount per vehicle": 81, "vehicle per source service": 2.5974025974025975e-05}, {"supplier": ["manual dismantling of used electric scooter", "manual dismantling of electric scooter", "GLO", "unit"], "amount per vehicle": 32,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"alternative fuel recipe retained": false}</t>
        </is>
      </c>
    </row>
    <row r="2023">
      <c r="A2023" t="inlineStr">
        <is>
          <t>Exchanges</t>
        </is>
      </c>
    </row>
    <row r="2024">
      <c r="A2024" t="inlineStr">
        <is>
          <t>name</t>
        </is>
      </c>
      <c r="B2024" t="inlineStr">
        <is>
          <t>amount</t>
        </is>
      </c>
      <c r="C2024" t="inlineStr">
        <is>
          <t>location</t>
        </is>
      </c>
      <c r="D2024" t="inlineStr">
        <is>
          <t>unit</t>
        </is>
      </c>
      <c r="E2024" t="inlineStr">
        <is>
          <t>categories</t>
        </is>
      </c>
      <c r="F2024" t="inlineStr">
        <is>
          <t>type</t>
        </is>
      </c>
      <c r="G2024" t="inlineStr">
        <is>
          <t>reference product</t>
        </is>
      </c>
      <c r="H2024" t="inlineStr">
        <is>
          <t>comment</t>
        </is>
      </c>
      <c r="I2024" t="inlineStr">
        <is>
          <t>uncertainty type</t>
        </is>
      </c>
    </row>
    <row r="2025">
      <c r="A2025" t="inlineStr">
        <is>
          <t>electricity, used in battery electric motorcycle</t>
        </is>
      </c>
      <c r="B2025">
        <v>1.0</v>
      </c>
      <c r="C2025" t="inlineStr">
        <is>
          <t>RER</t>
        </is>
      </c>
      <c r="D2025" t="inlineStr">
        <is>
          <t>megajoule</t>
        </is>
      </c>
      <c r="F2025" t="inlineStr">
        <is>
          <t>production</t>
        </is>
      </c>
      <c r="G2025" t="inlineStr">
        <is>
          <t>electricity, low voltage</t>
        </is>
      </c>
      <c r="H2025" t="inlineStr">
        <is>
          <t/>
        </is>
      </c>
      <c r="I2025">
        <v>0</v>
      </c>
    </row>
    <row r="2026">
      <c r="A2026" t="inlineStr">
        <is>
          <t>market for electricity, low voltage</t>
        </is>
      </c>
      <c r="B2026">
        <v>0.27777777777777773</v>
      </c>
      <c r="C2026" t="inlineStr">
        <is>
          <t>CH</t>
        </is>
      </c>
      <c r="D2026" t="inlineStr">
        <is>
          <t>kilowatt hour</t>
        </is>
      </c>
      <c r="F2026" t="inlineStr">
        <is>
          <t>technosphere</t>
        </is>
      </c>
      <c r="G2026" t="inlineStr">
        <is>
          <t>electricity, low voltage</t>
        </is>
      </c>
      <c r="H2026" t="inlineStr">
        <is>
          <t>Electricity consumption [MJ/km]</t>
        </is>
      </c>
      <c r="I2026">
        <v>0</v>
      </c>
    </row>
    <row r="2027">
      <c r="A2027" t="inlineStr">
        <is>
          <t>market for powertrain, for electric scooter</t>
        </is>
      </c>
      <c r="B2027">
        <v>0.001821115104231987</v>
      </c>
      <c r="C2027" t="inlineStr">
        <is>
          <t>GLO</t>
        </is>
      </c>
      <c r="D2027" t="inlineStr">
        <is>
          <t>kilogram</t>
        </is>
      </c>
      <c r="F2027" t="inlineStr">
        <is>
          <t>technosphere</t>
        </is>
      </c>
      <c r="G2027" t="inlineStr">
        <is>
          <t>powertrain, for electric scooter</t>
        </is>
      </c>
      <c r="H2027" t="inlineStr">
        <is>
          <t>Electric powertrain mass [kg] Energy-use allocation: 19 * 2.5974025974025975e-05 / 0.2709913790510339 MJ per kilometer.</t>
        </is>
      </c>
      <c r="I2027">
        <v>0</v>
      </c>
    </row>
    <row r="2028">
      <c r="A2028" t="inlineStr">
        <is>
          <t>market for battery capacity (MIX scenario)</t>
        </is>
      </c>
      <c r="B2028">
        <v>0.0015527402467662207</v>
      </c>
      <c r="C2028" t="inlineStr">
        <is>
          <t>GLO</t>
        </is>
      </c>
      <c r="D2028" t="inlineStr">
        <is>
          <t>kilowatt hour</t>
        </is>
      </c>
      <c r="F2028" t="inlineStr">
        <is>
          <t>technosphere</t>
        </is>
      </c>
      <c r="G2028" t="inlineStr">
        <is>
          <t>electricity storage capacity</t>
        </is>
      </c>
      <c r="H2028" t="inlineStr">
        <is>
          <t> Energy-use allocation: 8.1 * 2.5974025974025975e-05 / 0.2709913790510339 MJ per kilometer.</t>
        </is>
      </c>
      <c r="I2028">
        <v>0</v>
      </c>
    </row>
    <row r="2029">
      <c r="A2029" t="inlineStr">
        <is>
          <t>charging station, 3kW</t>
        </is>
      </c>
      <c r="B2029">
        <v>9.58481633806309e-05</v>
      </c>
      <c r="C2029" t="inlineStr">
        <is>
          <t>GLO</t>
        </is>
      </c>
      <c r="D2029" t="inlineStr">
        <is>
          <t>unit</t>
        </is>
      </c>
      <c r="F2029" t="inlineStr">
        <is>
          <t>technosphere</t>
        </is>
      </c>
      <c r="G2029" t="inlineStr">
        <is>
          <t>charging station, 3kW</t>
        </is>
      </c>
      <c r="H2029" t="inlineStr">
        <is>
          <t>Charging station per vehicle [unit] Energy-use allocation: 1 * 2.5974025974025975e-05 / 0.2709913790510339 MJ per kilometer.</t>
        </is>
      </c>
      <c r="I2029">
        <v>0</v>
      </c>
    </row>
    <row r="2030">
      <c r="A2030" t="inlineStr">
        <is>
          <t>market for maintenance, electric scooter, without battery</t>
        </is>
      </c>
      <c r="B2030">
        <v>0.0001476061716061716</v>
      </c>
      <c r="C2030" t="inlineStr">
        <is>
          <t>GLO</t>
        </is>
      </c>
      <c r="D2030" t="inlineStr">
        <is>
          <t>unit</t>
        </is>
      </c>
      <c r="F2030" t="inlineStr">
        <is>
          <t>technosphere</t>
        </is>
      </c>
      <c r="G2030" t="inlineStr">
        <is>
          <t>maintenance, electric scooter, without battery</t>
        </is>
      </c>
      <c r="H2030" t="inlineStr">
        <is>
          <t>Servicing [unit]</t>
        </is>
      </c>
      <c r="I2030">
        <v>0</v>
      </c>
    </row>
    <row r="2031">
      <c r="A2031" t="inlineStr">
        <is>
          <t>treatment of road wear emissions, passenger car</t>
        </is>
      </c>
      <c r="B2031">
        <v>-3.2522650169904065e-05</v>
      </c>
      <c r="C2031" t="inlineStr">
        <is>
          <t>RER</t>
        </is>
      </c>
      <c r="D2031" t="inlineStr">
        <is>
          <t>kilogram</t>
        </is>
      </c>
      <c r="F2031" t="inlineStr">
        <is>
          <t>technosphere</t>
        </is>
      </c>
      <c r="G2031" t="inlineStr">
        <is>
          <t>road wear emissions, passenger car</t>
        </is>
      </c>
      <c r="H2031" t="inlineStr">
        <is>
          <t>Road wear [kg/km]</t>
        </is>
      </c>
      <c r="I2031">
        <v>0</v>
      </c>
    </row>
    <row r="2032">
      <c r="A2032" t="inlineStr">
        <is>
          <t>treatment of tyre wear emissions, passenger car</t>
        </is>
      </c>
      <c r="B2032">
        <v>-2.1350377440557216e-05</v>
      </c>
      <c r="C2032" t="inlineStr">
        <is>
          <t>RER</t>
        </is>
      </c>
      <c r="D2032" t="inlineStr">
        <is>
          <t>kilogram</t>
        </is>
      </c>
      <c r="F2032" t="inlineStr">
        <is>
          <t>technosphere</t>
        </is>
      </c>
      <c r="G2032" t="inlineStr">
        <is>
          <t>tyre wear emissions, passenger car</t>
        </is>
      </c>
      <c r="H2032" t="inlineStr">
        <is>
          <t>Tire wear [kg/km]</t>
        </is>
      </c>
      <c r="I2032">
        <v>0</v>
      </c>
    </row>
    <row r="2033">
      <c r="A2033" t="inlineStr">
        <is>
          <t>treatment of brake wear emissions, passenger car</t>
        </is>
      </c>
      <c r="B2033">
        <v>-1.1905895030261116e-05</v>
      </c>
      <c r="C2033" t="inlineStr">
        <is>
          <t>RER</t>
        </is>
      </c>
      <c r="D2033" t="inlineStr">
        <is>
          <t>kilogram</t>
        </is>
      </c>
      <c r="F2033" t="inlineStr">
        <is>
          <t>technosphere</t>
        </is>
      </c>
      <c r="G2033" t="inlineStr">
        <is>
          <t>brake wear emissions, passenger car</t>
        </is>
      </c>
      <c r="H2033" t="inlineStr">
        <is>
          <t>Brake wear [kg/km]</t>
        </is>
      </c>
      <c r="I2033">
        <v>0</v>
      </c>
    </row>
    <row r="2034"/>
    <row r="2035">
      <c r="A2035" t="inlineStr">
        <is>
          <t>Activity</t>
        </is>
      </c>
      <c r="B2035" t="inlineStr">
        <is>
          <t>hydrogen, used in a fuel cell in a hydrogen motorcycle</t>
        </is>
      </c>
    </row>
    <row r="2036">
      <c r="A2036" t="inlineStr">
        <is>
          <t>location</t>
        </is>
      </c>
      <c r="B2036" t="inlineStr">
        <is>
          <t>RER</t>
        </is>
      </c>
    </row>
    <row r="2037">
      <c r="A2037" t="inlineStr">
        <is>
          <t>reference product</t>
        </is>
      </c>
      <c r="B2037" t="inlineStr">
        <is>
          <t>heat</t>
        </is>
      </c>
    </row>
    <row r="2038">
      <c r="A2038" t="inlineStr">
        <is>
          <t>type</t>
        </is>
      </c>
      <c r="B2038" t="inlineStr">
        <is>
          <t>process</t>
        </is>
      </c>
    </row>
    <row r="2039">
      <c r="A2039" t="inlineStr">
        <is>
          <t>unit</t>
        </is>
      </c>
      <c r="B2039" t="inlineStr">
        <is>
          <t>megajoule</t>
        </is>
      </c>
    </row>
    <row r="2040">
      <c r="A2040" t="inlineStr">
        <is>
          <t>source</t>
        </is>
      </c>
      <c r="B2040" t="inlineStr">
        <is>
          <t>Sacchi R., Bauer C. Life cycle inventories for on-road vehicles. Paul Scherrer Institut, 2021.</t>
        </is>
      </c>
    </row>
    <row r="2041">
      <c r="A2041" t="inlineStr">
        <is>
          <t>comment</t>
        </is>
      </c>
      <c r="B204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42">
      <c r="A2042" t="inlineStr">
        <is>
          <t>Power, mean</t>
        </is>
      </c>
      <c r="B2042">
        <v>13</v>
      </c>
    </row>
    <row r="2043">
      <c r="A2043" t="inlineStr">
        <is>
          <t>Power, min</t>
        </is>
      </c>
      <c r="B2043">
        <v>5</v>
      </c>
    </row>
    <row r="2044">
      <c r="A2044" t="inlineStr">
        <is>
          <t>Power, max</t>
        </is>
      </c>
      <c r="B2044">
        <v>45</v>
      </c>
    </row>
    <row r="2045">
      <c r="A2045" t="inlineStr">
        <is>
          <t>Lifetime, mean</t>
        </is>
      </c>
      <c r="B2045">
        <v>100000</v>
      </c>
    </row>
    <row r="2046">
      <c r="A2046" t="inlineStr">
        <is>
          <t>Lifetime, min</t>
        </is>
      </c>
      <c r="B2046">
        <v>50000</v>
      </c>
    </row>
    <row r="2047">
      <c r="A2047" t="inlineStr">
        <is>
          <t>Lifetime, max</t>
        </is>
      </c>
      <c r="B2047">
        <v>200000</v>
      </c>
    </row>
    <row r="2048">
      <c r="A2048" t="inlineStr">
        <is>
          <t>Energy use, mean</t>
        </is>
      </c>
      <c r="B2048">
        <v>284</v>
      </c>
    </row>
    <row r="2049">
      <c r="A2049" t="inlineStr">
        <is>
          <t>Energy use, min</t>
        </is>
      </c>
      <c r="B2049">
        <v>156</v>
      </c>
    </row>
    <row r="2050">
      <c r="A2050" t="inlineStr">
        <is>
          <t>Energy use, max</t>
        </is>
      </c>
      <c r="B2050">
        <v>356</v>
      </c>
    </row>
    <row r="2051">
      <c r="A2051" t="inlineStr">
        <is>
          <t>Electric motor, mean</t>
        </is>
      </c>
      <c r="B2051">
        <v>6.4</v>
      </c>
    </row>
    <row r="2052">
      <c r="A2052" t="inlineStr">
        <is>
          <t>Electric motor, min</t>
        </is>
      </c>
      <c r="B2052">
        <v>2.3</v>
      </c>
    </row>
    <row r="2053">
      <c r="A2053" t="inlineStr">
        <is>
          <t>Electric motor, max</t>
        </is>
      </c>
      <c r="B2053">
        <v>22</v>
      </c>
    </row>
    <row r="2054">
      <c r="A2054" t="inlineStr">
        <is>
          <t>Combustion engine, mean</t>
        </is>
      </c>
      <c r="B2054">
        <v>0</v>
      </c>
    </row>
    <row r="2055">
      <c r="A2055" t="inlineStr">
        <is>
          <t>Combustion engine, min</t>
        </is>
      </c>
      <c r="B2055">
        <v>0</v>
      </c>
    </row>
    <row r="2056">
      <c r="A2056" t="inlineStr">
        <is>
          <t>Combustion engine, max</t>
        </is>
      </c>
      <c r="B2056">
        <v>0</v>
      </c>
    </row>
    <row r="2057">
      <c r="A2057" t="inlineStr">
        <is>
          <t>Fuel tank, mean</t>
        </is>
      </c>
      <c r="B2057">
        <v>0</v>
      </c>
    </row>
    <row r="2058">
      <c r="A2058" t="inlineStr">
        <is>
          <t>Fuel tank, min</t>
        </is>
      </c>
      <c r="B2058">
        <v>0</v>
      </c>
    </row>
    <row r="2059">
      <c r="A2059" t="inlineStr">
        <is>
          <t>Fuel tank, max</t>
        </is>
      </c>
      <c r="B2059">
        <v>0</v>
      </c>
    </row>
    <row r="2060">
      <c r="A2060" t="inlineStr">
        <is>
          <t>Battery capacity, mean</t>
        </is>
      </c>
      <c r="B2060">
        <v>2</v>
      </c>
    </row>
    <row r="2061">
      <c r="A2061" t="inlineStr">
        <is>
          <t>Battery capacity, min</t>
        </is>
      </c>
      <c r="B2061">
        <v>1</v>
      </c>
    </row>
    <row r="2062">
      <c r="A2062" t="inlineStr">
        <is>
          <t>Battery capacity, max</t>
        </is>
      </c>
      <c r="B2062">
        <v>5</v>
      </c>
    </row>
    <row r="2063">
      <c r="A2063" t="inlineStr">
        <is>
          <t>Battery replacement, mean</t>
        </is>
      </c>
      <c r="B2063">
        <v>0</v>
      </c>
    </row>
    <row r="2064">
      <c r="A2064" t="inlineStr">
        <is>
          <t>Battery replacement, min</t>
        </is>
      </c>
      <c r="B2064">
        <v>0</v>
      </c>
    </row>
    <row r="2065">
      <c r="A2065" t="inlineStr">
        <is>
          <t>Battery replacement, max</t>
        </is>
      </c>
      <c r="B2065">
        <v>0</v>
      </c>
    </row>
    <row r="2066">
      <c r="A2066" t="inlineStr">
        <is>
          <t>Fuel cell system, mean</t>
        </is>
      </c>
      <c r="B2066">
        <v>13</v>
      </c>
    </row>
    <row r="2067">
      <c r="A2067" t="inlineStr">
        <is>
          <t>Fuel cell system, min</t>
        </is>
      </c>
      <c r="B2067">
        <v>5</v>
      </c>
    </row>
    <row r="2068">
      <c r="A2068" t="inlineStr">
        <is>
          <t>Fuel cell system, max</t>
        </is>
      </c>
      <c r="B2068">
        <v>45</v>
      </c>
    </row>
    <row r="2069">
      <c r="A2069" t="inlineStr">
        <is>
          <t>Fuel cell stack replacement, mean</t>
        </is>
      </c>
      <c r="B2069">
        <v>0</v>
      </c>
    </row>
    <row r="2070">
      <c r="A2070" t="inlineStr">
        <is>
          <t>Fuel cell replacement, min</t>
        </is>
      </c>
      <c r="B2070">
        <v>0</v>
      </c>
    </row>
    <row r="2071">
      <c r="A2071" t="inlineStr">
        <is>
          <t>Fuel cell replacement, max</t>
        </is>
      </c>
      <c r="B2071">
        <v>0</v>
      </c>
    </row>
    <row r="2072">
      <c r="A2072" t="inlineStr">
        <is>
          <t>Onboard charger mass</t>
        </is>
      </c>
      <c r="B2072">
        <v>0</v>
      </c>
    </row>
    <row r="2073">
      <c r="A2073" t="inlineStr">
        <is>
          <t>Controller mass</t>
        </is>
      </c>
      <c r="B2073">
        <v>1.3</v>
      </c>
    </row>
    <row r="2074">
      <c r="A2074" t="inlineStr">
        <is>
          <t>Converter mass</t>
        </is>
      </c>
      <c r="B2074">
        <v>1.125</v>
      </c>
    </row>
    <row r="2075">
      <c r="A2075" t="inlineStr">
        <is>
          <t>Electrical powertrain mass</t>
        </is>
      </c>
      <c r="B2075">
        <v>5.2</v>
      </c>
    </row>
    <row r="2076">
      <c r="A2076" t="inlineStr">
        <is>
          <t>Inverter mass</t>
        </is>
      </c>
      <c r="B2076">
        <v>2.25</v>
      </c>
    </row>
    <row r="2077">
      <c r="A2077" t="inlineStr">
        <is>
          <t>NOx</t>
        </is>
      </c>
      <c r="B2077">
        <v>0</v>
      </c>
    </row>
    <row r="2078">
      <c r="A2078" t="inlineStr">
        <is>
          <t>PM 2.5</t>
        </is>
      </c>
      <c r="B2078">
        <v>0</v>
      </c>
    </row>
    <row r="2079">
      <c r="A2079" t="inlineStr">
        <is>
          <t>energy use source</t>
        </is>
      </c>
      <c r="B2079"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2080">
      <c r="A2080" t="inlineStr">
        <is>
          <t>Exchanges</t>
        </is>
      </c>
    </row>
    <row r="2081">
      <c r="A2081" t="inlineStr">
        <is>
          <t>name</t>
        </is>
      </c>
      <c r="B2081" t="inlineStr">
        <is>
          <t>amount</t>
        </is>
      </c>
      <c r="C2081" t="inlineStr">
        <is>
          <t>location</t>
        </is>
      </c>
      <c r="D2081" t="inlineStr">
        <is>
          <t>unit</t>
        </is>
      </c>
      <c r="E2081" t="inlineStr">
        <is>
          <t>categories</t>
        </is>
      </c>
      <c r="F2081" t="inlineStr">
        <is>
          <t>type</t>
        </is>
      </c>
      <c r="G2081" t="inlineStr">
        <is>
          <t>reference product</t>
        </is>
      </c>
      <c r="H2081" t="inlineStr">
        <is>
          <t>comment</t>
        </is>
      </c>
      <c r="I2081" t="inlineStr">
        <is>
          <t>uncertainty type</t>
        </is>
      </c>
    </row>
    <row r="2082">
      <c r="A2082" t="inlineStr">
        <is>
          <t>hydrogen, used in a fuel cell in a hydrogen motorcycle</t>
        </is>
      </c>
      <c r="B2082">
        <v>1.0</v>
      </c>
      <c r="C2082" t="inlineStr">
        <is>
          <t>RER</t>
        </is>
      </c>
      <c r="D2082" t="inlineStr">
        <is>
          <t>megajoule</t>
        </is>
      </c>
      <c r="F2082" t="inlineStr">
        <is>
          <t>production</t>
        </is>
      </c>
      <c r="G2082" t="inlineStr">
        <is>
          <t>heat</t>
        </is>
      </c>
      <c r="H2082" t="inlineStr">
        <is>
          <t/>
        </is>
      </c>
      <c r="I2082">
        <v>0</v>
      </c>
    </row>
    <row r="2083">
      <c r="A2083" t="inlineStr">
        <is>
          <t>market for hydrogen, gaseous, low pressure</t>
        </is>
      </c>
      <c r="B2083">
        <v>0.008333333333333333</v>
      </c>
      <c r="C2083" t="inlineStr">
        <is>
          <t>RER</t>
        </is>
      </c>
      <c r="D2083" t="inlineStr">
        <is>
          <t>kilogram</t>
        </is>
      </c>
      <c r="F2083" t="inlineStr">
        <is>
          <t>technosphere</t>
        </is>
      </c>
      <c r="G2083" t="inlineStr">
        <is>
          <t>hydrogen, gaseous, low pressure</t>
        </is>
      </c>
      <c r="H2083" t="inlineStr">
        <is>
          <t>Default carculator fuel energy preserved (1.07263356625 MJ/vkm); premise reference LHV 120.0 MJ/kg. Regional scenario blend belongs to premise.</t>
        </is>
      </c>
      <c r="I2083">
        <v>0</v>
      </c>
    </row>
    <row r="2084">
      <c r="A2084" t="inlineStr">
        <is>
          <t>treatment of brake wear emissions, passenger car</t>
        </is>
      </c>
      <c r="B2084">
        <v>-7.811243251597881e-06</v>
      </c>
      <c r="C2084" t="inlineStr">
        <is>
          <t>RER</t>
        </is>
      </c>
      <c r="D2084" t="inlineStr">
        <is>
          <t>kilogram</t>
        </is>
      </c>
      <c r="F2084" t="inlineStr">
        <is>
          <t>technosphere</t>
        </is>
      </c>
      <c r="G2084" t="inlineStr">
        <is>
          <t>brake wear emissions, passenger car</t>
        </is>
      </c>
      <c r="I2084">
        <v>0</v>
      </c>
    </row>
    <row r="2085">
      <c r="A2085" t="inlineStr">
        <is>
          <t>treatment of road wear emissions, passenger car</t>
        </is>
      </c>
      <c r="B2085">
        <v>-1.7354722075946138e-05</v>
      </c>
      <c r="C2085" t="inlineStr">
        <is>
          <t>RER</t>
        </is>
      </c>
      <c r="D2085" t="inlineStr">
        <is>
          <t>kilogram</t>
        </is>
      </c>
      <c r="F2085" t="inlineStr">
        <is>
          <t>technosphere</t>
        </is>
      </c>
      <c r="G2085" t="inlineStr">
        <is>
          <t>road wear emissions, passenger car</t>
        </is>
      </c>
      <c r="I2085">
        <v>0</v>
      </c>
    </row>
    <row r="2086">
      <c r="A2086" t="inlineStr">
        <is>
          <t>treatment of tyre wear emissions, passenger car</t>
        </is>
      </c>
      <c r="B2086">
        <v>-1.9644274084031096e-05</v>
      </c>
      <c r="C2086" t="inlineStr">
        <is>
          <t>RER</t>
        </is>
      </c>
      <c r="D2086" t="inlineStr">
        <is>
          <t>kilogram</t>
        </is>
      </c>
      <c r="F2086" t="inlineStr">
        <is>
          <t>technosphere</t>
        </is>
      </c>
      <c r="G2086" t="inlineStr">
        <is>
          <t>tyre wear emissions, passenger car</t>
        </is>
      </c>
      <c r="I2086">
        <v>0</v>
      </c>
    </row>
    <row r="2087">
      <c r="A2087" t="inlineStr">
        <is>
          <t>market for tetrafluoroethane, R134a</t>
        </is>
      </c>
      <c r="B2087">
        <v>6.05985131483241e-06</v>
      </c>
      <c r="C2087" t="inlineStr">
        <is>
          <t>GLO</t>
        </is>
      </c>
      <c r="D2087" t="inlineStr">
        <is>
          <t>kilogram</t>
        </is>
      </c>
      <c r="F2087" t="inlineStr">
        <is>
          <t>technosphere</t>
        </is>
      </c>
      <c r="G2087" t="inlineStr">
        <is>
          <t>tetrafluoroethane, R134a</t>
        </is>
      </c>
      <c r="I2087">
        <v>0</v>
      </c>
    </row>
    <row r="2088">
      <c r="A2088" t="inlineStr">
        <is>
          <t>1,1,1,2-Tetrafluoroethane</t>
        </is>
      </c>
      <c r="B2088">
        <v>3.4960680173316915e-06</v>
      </c>
      <c r="D2088" t="inlineStr">
        <is>
          <t>kilogram</t>
        </is>
      </c>
      <c r="E2088" t="inlineStr">
        <is>
          <t>air</t>
        </is>
      </c>
      <c r="F2088" t="inlineStr">
        <is>
          <t>biosphere</t>
        </is>
      </c>
      <c r="I2088">
        <v>0</v>
      </c>
    </row>
    <row r="2089">
      <c r="A2089" t="inlineStr">
        <is>
          <t>market group for electricity, low voltage</t>
        </is>
      </c>
      <c r="B2089">
        <v>0.020421827056420445</v>
      </c>
      <c r="C2089" t="inlineStr">
        <is>
          <t>RER</t>
        </is>
      </c>
      <c r="D2089" t="inlineStr">
        <is>
          <t>kilowatt hour</t>
        </is>
      </c>
      <c r="F2089" t="inlineStr">
        <is>
          <t>technosphere</t>
        </is>
      </c>
      <c r="G2089" t="inlineStr">
        <is>
          <t>electricity, low voltage</t>
        </is>
      </c>
      <c r="H2089" t="inlineStr">
        <is>
          <t>Hydrogen tank compression, 30 to 700 bar: 2.45061924677 kWh/kg H2, using the model's default compressor assumptions and Premise's documented delivery pressure.</t>
        </is>
      </c>
      <c r="I2089">
        <v>0</v>
      </c>
    </row>
    <row r="2090">
      <c r="A2090" t="inlineStr">
        <is>
          <t>fuel cell Balance of Plant production, 1 kWe, proton exchange membrane (PEM), carculator passenger car 2020</t>
        </is>
      </c>
      <c r="B2090">
        <v>0.00013256366446464648</v>
      </c>
      <c r="C2090" t="inlineStr">
        <is>
          <t>GLO</t>
        </is>
      </c>
      <c r="D2090" t="inlineStr">
        <is>
          <t>unit</t>
        </is>
      </c>
      <c r="F2090" t="inlineStr">
        <is>
          <t>technosphere</t>
        </is>
      </c>
      <c r="G2090" t="inlineStr">
        <is>
          <t>fuel cell Balance of Plant, 1 kWe, proton exchange membrane (PEM)</t>
        </is>
      </c>
      <c r="H2090" t="inlineStr">
        <is>
          <t> Energy-use allocation: 28.43844795227051 * 4.999999873689376e-06 / 1.0726335662454156 MJ per kilometer.</t>
        </is>
      </c>
      <c r="I2090">
        <v>0</v>
      </c>
    </row>
    <row r="2091">
      <c r="A2091" t="inlineStr">
        <is>
          <t>fuel cell stack production, 1 kWe, proton exchange membrane (PEM), carculator passenger car 2020</t>
        </is>
      </c>
      <c r="B2091">
        <v>0.0006491343068889693</v>
      </c>
      <c r="C2091" t="inlineStr">
        <is>
          <t>GLO</t>
        </is>
      </c>
      <c r="D2091" t="inlineStr">
        <is>
          <t>unit</t>
        </is>
      </c>
      <c r="F2091" t="inlineStr">
        <is>
          <t>technosphere</t>
        </is>
      </c>
      <c r="G2091" t="inlineStr">
        <is>
          <t>fuel cell stack, 1 kWe, proton exchange membrane (PEM)</t>
        </is>
      </c>
      <c r="H2091" t="inlineStr">
        <is>
          <t> Energy-use allocation: 139.2566528320312 * 4.999999873689376e-06 / 1.0726335662454156 MJ per kilometer.</t>
        </is>
      </c>
      <c r="I2091">
        <v>0</v>
      </c>
    </row>
    <row r="2092">
      <c r="A2092" t="inlineStr">
        <is>
          <t>fuel tank, compressed hydrogen gas, 700bar, with HDPE liner, carculator passenger car 2020</t>
        </is>
      </c>
      <c r="B2092">
        <v>0.0004560088764646349</v>
      </c>
      <c r="C2092" t="inlineStr">
        <is>
          <t>RER</t>
        </is>
      </c>
      <c r="D2092" t="inlineStr">
        <is>
          <t>kilogram</t>
        </is>
      </c>
      <c r="F2092" t="inlineStr">
        <is>
          <t>technosphere</t>
        </is>
      </c>
      <c r="G2092" t="inlineStr">
        <is>
          <t>hydrogen tank</t>
        </is>
      </c>
      <c r="H2092" t="inlineStr">
        <is>
          <t> Energy-use allocation: 97.82608795166016 * 4.999999873689376e-06 / 1.0726335662454156 MJ per kilometer.</t>
        </is>
      </c>
      <c r="I2092">
        <v>0</v>
      </c>
    </row>
    <row r="2093">
      <c r="A2093" t="inlineStr">
        <is>
          <t>market for converter, for electric passenger car</t>
        </is>
      </c>
      <c r="B2093">
        <v>2.0839605113863403e-05</v>
      </c>
      <c r="C2093" t="inlineStr">
        <is>
          <t>GLO</t>
        </is>
      </c>
      <c r="D2093" t="inlineStr">
        <is>
          <t>kilogram</t>
        </is>
      </c>
      <c r="F2093" t="inlineStr">
        <is>
          <t>technosphere</t>
        </is>
      </c>
      <c r="G2093" t="inlineStr">
        <is>
          <t>converter, for electric passenger car</t>
        </is>
      </c>
      <c r="H2093" t="inlineStr">
        <is>
          <t> Energy-use allocation: 4.470652103424072 * 4.999999873689376e-06 / 1.0726335662454156 MJ per kilometer.</t>
        </is>
      </c>
      <c r="I2093">
        <v>0</v>
      </c>
    </row>
    <row r="2094">
      <c r="A2094" t="inlineStr">
        <is>
          <t>market for electric motor, electric passenger car</t>
        </is>
      </c>
      <c r="B2094">
        <v>0.0004290234592004841</v>
      </c>
      <c r="C2094" t="inlineStr">
        <is>
          <t>GLO</t>
        </is>
      </c>
      <c r="D2094" t="inlineStr">
        <is>
          <t>kilogram</t>
        </is>
      </c>
      <c r="F2094" t="inlineStr">
        <is>
          <t>technosphere</t>
        </is>
      </c>
      <c r="G2094" t="inlineStr">
        <is>
          <t>electric motor, electric passenger car</t>
        </is>
      </c>
      <c r="H2094" t="inlineStr">
        <is>
          <t> Energy-use allocation: 92.03699493408203 * 4.999999873689376e-06 / 1.0726335662454156 MJ per kilometer.</t>
        </is>
      </c>
      <c r="I2094">
        <v>0</v>
      </c>
    </row>
    <row r="2095">
      <c r="A2095" t="inlineStr">
        <is>
          <t>market for internal combustion engine, passenger car</t>
        </is>
      </c>
      <c r="B2095">
        <v>0.0004267582557876431</v>
      </c>
      <c r="C2095" t="inlineStr">
        <is>
          <t>GLO</t>
        </is>
      </c>
      <c r="D2095" t="inlineStr">
        <is>
          <t>kilogram</t>
        </is>
      </c>
      <c r="F2095" t="inlineStr">
        <is>
          <t>technosphere</t>
        </is>
      </c>
      <c r="G2095" t="inlineStr">
        <is>
          <t>internal combustion engine, passenger car</t>
        </is>
      </c>
      <c r="H2095" t="inlineStr">
        <is>
          <t> Energy-use allocation: 91.5510482788086 * 4.999999873689376e-06 / 1.0726335662454156 MJ per kilometer.</t>
        </is>
      </c>
      <c r="I2095">
        <v>0</v>
      </c>
    </row>
    <row r="2096">
      <c r="A2096" t="inlineStr">
        <is>
          <t>market for inverter, for electric passenger car</t>
        </is>
      </c>
      <c r="B2096">
        <v>4.1679210227726807e-05</v>
      </c>
      <c r="C2096" t="inlineStr">
        <is>
          <t>GLO</t>
        </is>
      </c>
      <c r="D2096" t="inlineStr">
        <is>
          <t>kilogram</t>
        </is>
      </c>
      <c r="F2096" t="inlineStr">
        <is>
          <t>technosphere</t>
        </is>
      </c>
      <c r="G2096" t="inlineStr">
        <is>
          <t>inverter, for electric passenger car</t>
        </is>
      </c>
      <c r="H2096" t="inlineStr">
        <is>
          <t> Energy-use allocation: 8.941304206848145 * 4.999999873689376e-06 / 1.0726335662454156 MJ per kilometer.</t>
        </is>
      </c>
      <c r="I2096">
        <v>0</v>
      </c>
    </row>
    <row r="2097">
      <c r="A2097" t="inlineStr">
        <is>
          <t>market for power distribution unit, for electric passenger car</t>
        </is>
      </c>
      <c r="B2097">
        <v>1.852409331105968e-05</v>
      </c>
      <c r="C2097" t="inlineStr">
        <is>
          <t>GLO</t>
        </is>
      </c>
      <c r="D2097" t="inlineStr">
        <is>
          <t>kilogram</t>
        </is>
      </c>
      <c r="F2097" t="inlineStr">
        <is>
          <t>technosphere</t>
        </is>
      </c>
      <c r="G2097" t="inlineStr">
        <is>
          <t>power distribution unit, for electric passenger car</t>
        </is>
      </c>
      <c r="H2097" t="inlineStr">
        <is>
          <t> Energy-use allocation: 3.973912954330444 * 4.999999873689376e-06 / 1.0726335662454156 MJ per kilometer.</t>
        </is>
      </c>
      <c r="I2097">
        <v>0</v>
      </c>
    </row>
    <row r="2098">
      <c r="A2098" t="inlineStr">
        <is>
          <t>market for used powertrain from electric passenger car, manual dismantling</t>
        </is>
      </c>
      <c r="B2098">
        <v>-0.0016750567184222265</v>
      </c>
      <c r="C2098" t="inlineStr">
        <is>
          <t>GLO</t>
        </is>
      </c>
      <c r="D2098" t="inlineStr">
        <is>
          <t>kilogram</t>
        </is>
      </c>
      <c r="F2098" t="inlineStr">
        <is>
          <t>technosphere</t>
        </is>
      </c>
      <c r="G2098" t="inlineStr">
        <is>
          <t>used powertrain from electric passenger car, manual dismantling</t>
        </is>
      </c>
      <c r="H2098" t="inlineStr">
        <is>
          <t> Energy-use allocation: -359.3444213867188 * 4.999999873689376e-06 / 1.0726335662454156 MJ per kilometer.</t>
        </is>
      </c>
      <c r="I2098">
        <v>0</v>
      </c>
    </row>
    <row r="2099">
      <c r="A2099" t="inlineStr">
        <is>
          <t>market for waste plastic, industrial electronics</t>
        </is>
      </c>
      <c r="B2099">
        <v>-0.0004560088764646349</v>
      </c>
      <c r="C2099" t="inlineStr">
        <is>
          <t>CH</t>
        </is>
      </c>
      <c r="D2099" t="inlineStr">
        <is>
          <t>kilogram</t>
        </is>
      </c>
      <c r="F2099" t="inlineStr">
        <is>
          <t>technosphere</t>
        </is>
      </c>
      <c r="G2099" t="inlineStr">
        <is>
          <t>waste plastic, industrial electronics</t>
        </is>
      </c>
      <c r="H2099" t="inlineStr">
        <is>
          <t> Energy-use allocation: -97.82608795166016 * 4.999999873689376e-06 / 1.0726335662454156 MJ per kilometer.</t>
        </is>
      </c>
      <c r="I2099">
        <v>0</v>
      </c>
    </row>
    <row r="2100">
      <c r="A2100" t="inlineStr">
        <is>
          <t>market for battery capacity (MIX scenario)</t>
        </is>
      </c>
      <c r="B2100">
        <v>7.446961466462621e-06</v>
      </c>
      <c r="C2100" t="inlineStr">
        <is>
          <t>GLO</t>
        </is>
      </c>
      <c r="D2100" t="inlineStr">
        <is>
          <t>kilowatt hour</t>
        </is>
      </c>
      <c r="F2100" t="inlineStr">
        <is>
          <t>technosphere</t>
        </is>
      </c>
      <c r="G2100" t="inlineStr">
        <is>
          <t>electricity storage capacity</t>
        </is>
      </c>
      <c r="H2100" t="inlineStr">
        <is>
          <t>1.59757220745 kWh nominal * (1 + 0 lifetime replacements). Capacity market includes battery manufacture AND end of life; original kg pack and disposal removed. Energy-use allocation: 1.597572207450867 * 4.999999873689376e-06 / 1.0726335662454156 MJ per kilometer.</t>
        </is>
      </c>
      <c r="I2100">
        <v>0</v>
      </c>
    </row>
    <row r="2101"/>
    <row r="2102">
      <c r="A2102" t="inlineStr">
        <is>
          <t>Activity</t>
        </is>
      </c>
      <c r="B2102" t="inlineStr">
        <is>
          <t>petrol, burned in motorcycle</t>
        </is>
      </c>
    </row>
    <row r="2103">
      <c r="A2103" t="inlineStr">
        <is>
          <t>location</t>
        </is>
      </c>
      <c r="B2103" t="inlineStr">
        <is>
          <t>RER</t>
        </is>
      </c>
    </row>
    <row r="2104">
      <c r="A2104" t="inlineStr">
        <is>
          <t>production amount</t>
        </is>
      </c>
      <c r="B2104">
        <v>1</v>
      </c>
    </row>
    <row r="2105">
      <c r="A2105" t="inlineStr">
        <is>
          <t>reference product</t>
        </is>
      </c>
      <c r="B2105" t="inlineStr">
        <is>
          <t>heat</t>
        </is>
      </c>
    </row>
    <row r="2106">
      <c r="A2106" t="inlineStr">
        <is>
          <t>type</t>
        </is>
      </c>
      <c r="B2106" t="inlineStr">
        <is>
          <t>process</t>
        </is>
      </c>
    </row>
    <row r="2107">
      <c r="A2107" t="inlineStr">
        <is>
          <t>unit</t>
        </is>
      </c>
      <c r="B2107" t="inlineStr">
        <is>
          <t>megajoule</t>
        </is>
      </c>
    </row>
    <row r="2108">
      <c r="A2108" t="inlineStr">
        <is>
          <t>Power, mean</t>
        </is>
      </c>
      <c r="B2108">
        <v>20</v>
      </c>
    </row>
    <row r="2109">
      <c r="A2109" t="inlineStr">
        <is>
          <t>Power, min</t>
        </is>
      </c>
      <c r="B2109">
        <v>9</v>
      </c>
    </row>
    <row r="2110">
      <c r="A2110" t="inlineStr">
        <is>
          <t>Power, max</t>
        </is>
      </c>
      <c r="B2110">
        <v>92</v>
      </c>
    </row>
    <row r="2111">
      <c r="A2111" t="inlineStr">
        <is>
          <t>Lifetime, mean</t>
        </is>
      </c>
      <c r="B2111">
        <v>100000</v>
      </c>
    </row>
    <row r="2112">
      <c r="A2112" t="inlineStr">
        <is>
          <t>Lifetime, min</t>
        </is>
      </c>
      <c r="B2112">
        <v>50000</v>
      </c>
    </row>
    <row r="2113">
      <c r="A2113" t="inlineStr">
        <is>
          <t>Lifetime, max</t>
        </is>
      </c>
      <c r="B2113">
        <v>200000</v>
      </c>
    </row>
    <row r="2114">
      <c r="A2114" t="inlineStr">
        <is>
          <t>Energy use, mean</t>
        </is>
      </c>
      <c r="B2114">
        <v>1300</v>
      </c>
    </row>
    <row r="2115">
      <c r="A2115" t="inlineStr">
        <is>
          <t>Energy use, min</t>
        </is>
      </c>
      <c r="B2115">
        <v>800</v>
      </c>
    </row>
    <row r="2116">
      <c r="A2116" t="inlineStr">
        <is>
          <t>Energy use, max</t>
        </is>
      </c>
      <c r="B2116">
        <v>1530</v>
      </c>
    </row>
    <row r="2117">
      <c r="A2117" t="inlineStr">
        <is>
          <t>Combustion engine, mean</t>
        </is>
      </c>
      <c r="B2117">
        <v>14</v>
      </c>
    </row>
    <row r="2118">
      <c r="A2118" t="inlineStr">
        <is>
          <t>Combustion engine, min</t>
        </is>
      </c>
      <c r="B2118">
        <v>6</v>
      </c>
    </row>
    <row r="2119">
      <c r="A2119" t="inlineStr">
        <is>
          <t>Combustion engine, max</t>
        </is>
      </c>
      <c r="B2119">
        <v>65</v>
      </c>
    </row>
    <row r="2120">
      <c r="A2120" t="inlineStr">
        <is>
          <t>Fuel tank, mean</t>
        </is>
      </c>
      <c r="B2120">
        <v>10</v>
      </c>
    </row>
    <row r="2121">
      <c r="A2121" t="inlineStr">
        <is>
          <t>Fuel tank, min</t>
        </is>
      </c>
      <c r="B2121">
        <v>6</v>
      </c>
    </row>
    <row r="2122">
      <c r="A2122" t="inlineStr">
        <is>
          <t>Fuel tank, max</t>
        </is>
      </c>
      <c r="B2122">
        <v>12</v>
      </c>
    </row>
    <row r="2123">
      <c r="A2123" t="inlineStr">
        <is>
          <t>NOx</t>
        </is>
      </c>
      <c r="B2123">
        <v>0.007581145</v>
      </c>
    </row>
    <row r="2124">
      <c r="A2124" t="inlineStr">
        <is>
          <t>PM 2.5</t>
        </is>
      </c>
      <c r="B2124">
        <v>0.000565099</v>
      </c>
    </row>
    <row r="2125">
      <c r="A2125" t="inlineStr">
        <is>
          <t>energy use source</t>
        </is>
      </c>
      <c r="B2125"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26">
      <c r="A2126" t="inlineStr">
        <is>
          <t>comment</t>
        </is>
      </c>
      <c r="B2126"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27">
      <c r="A2127" t="inlineStr">
        <is>
          <t>Exchanges</t>
        </is>
      </c>
    </row>
    <row r="2128">
      <c r="A2128" t="inlineStr">
        <is>
          <t>name</t>
        </is>
      </c>
      <c r="B2128" t="inlineStr">
        <is>
          <t>amount</t>
        </is>
      </c>
      <c r="C2128" t="inlineStr">
        <is>
          <t>location</t>
        </is>
      </c>
      <c r="D2128" t="inlineStr">
        <is>
          <t>unit</t>
        </is>
      </c>
      <c r="E2128" t="inlineStr">
        <is>
          <t>categories</t>
        </is>
      </c>
      <c r="F2128" t="inlineStr">
        <is>
          <t>type</t>
        </is>
      </c>
      <c r="G2128" t="inlineStr">
        <is>
          <t>reference product</t>
        </is>
      </c>
      <c r="H2128" t="inlineStr">
        <is>
          <t>comment</t>
        </is>
      </c>
      <c r="I2128" t="inlineStr">
        <is>
          <t>uncertainty type</t>
        </is>
      </c>
    </row>
    <row r="2129">
      <c r="A2129" t="inlineStr">
        <is>
          <t>petrol, burned in motorcycle</t>
        </is>
      </c>
      <c r="B2129">
        <v>1.0</v>
      </c>
      <c r="C2129" t="inlineStr">
        <is>
          <t>RER</t>
        </is>
      </c>
      <c r="D2129" t="inlineStr">
        <is>
          <t>megajoule</t>
        </is>
      </c>
      <c r="F2129" t="inlineStr">
        <is>
          <t>production</t>
        </is>
      </c>
      <c r="G2129" t="inlineStr">
        <is>
          <t>heat</t>
        </is>
      </c>
      <c r="I2129">
        <v>0</v>
      </c>
    </row>
    <row r="2130">
      <c r="A2130" t="inlineStr">
        <is>
          <t>fuel supply for gasoline vehicles</t>
        </is>
      </c>
      <c r="B2130">
        <v>0.02347417840375587</v>
      </c>
      <c r="C2130" t="inlineStr">
        <is>
          <t>CH</t>
        </is>
      </c>
      <c r="D2130" t="inlineStr">
        <is>
          <t>kilogram</t>
        </is>
      </c>
      <c r="F2130" t="inlineStr">
        <is>
          <t>technosphere</t>
        </is>
      </c>
      <c r="G2130" t="inlineStr">
        <is>
          <t>gasoline blend</t>
        </is>
      </c>
      <c r="H2130" t="inlineStr">
        <is>
          <t>Gasoline consumption [MJ/km]</t>
        </is>
      </c>
      <c r="I2130">
        <v>0</v>
      </c>
    </row>
    <row r="2131">
      <c r="A2131" t="inlineStr">
        <is>
          <t>polyethylene production, high density, granulate</t>
        </is>
      </c>
      <c r="B2131">
        <v>3.004649931974593e-05</v>
      </c>
      <c r="C2131" t="inlineStr">
        <is>
          <t>RER</t>
        </is>
      </c>
      <c r="D2131" t="inlineStr">
        <is>
          <t>kilogram</t>
        </is>
      </c>
      <c r="F2131" t="inlineStr">
        <is>
          <t>technosphere</t>
        </is>
      </c>
      <c r="G2131" t="inlineStr">
        <is>
          <t>polyethylene, high density, granulate</t>
        </is>
      </c>
      <c r="H2131" t="inlineStr">
        <is>
          <t>Fuel tank mass [kg] Energy-use allocation: 1.6875 * 2.5974025974025975e-05 / 1.4587778883899432 MJ per kilometer.</t>
        </is>
      </c>
      <c r="I2131">
        <v>0</v>
      </c>
    </row>
    <row r="2132">
      <c r="A2132" t="inlineStr">
        <is>
          <t>Carbon dioxide, fossil</t>
        </is>
      </c>
      <c r="B2132">
        <v>0.0728244131455399</v>
      </c>
      <c r="D2132" t="inlineStr">
        <is>
          <t>kilogram</t>
        </is>
      </c>
      <c r="E2132" t="inlineStr">
        <is>
          <t>air::urban air close to ground</t>
        </is>
      </c>
      <c r="F2132" t="inlineStr">
        <is>
          <t>biosphere</t>
        </is>
      </c>
      <c r="H2132" t="inlineStr">
        <is>
          <t>CO2</t>
        </is>
      </c>
      <c r="I2132">
        <v>0</v>
      </c>
    </row>
    <row r="2133">
      <c r="A2133" t="inlineStr">
        <is>
          <t>Carbon dioxide, from soil or biomass stock</t>
        </is>
      </c>
      <c r="B2133">
        <v>0.0008845070422535212</v>
      </c>
      <c r="D2133" t="inlineStr">
        <is>
          <t>kilogram</t>
        </is>
      </c>
      <c r="E2133" t="inlineStr">
        <is>
          <t>air::urban air close to ground</t>
        </is>
      </c>
      <c r="F2133" t="inlineStr">
        <is>
          <t>biosphere</t>
        </is>
      </c>
      <c r="H2133" t="inlineStr">
        <is>
          <t>CO2, bio</t>
        </is>
      </c>
      <c r="I2133">
        <v>0</v>
      </c>
    </row>
    <row r="2134">
      <c r="A2134" t="inlineStr">
        <is>
          <t>Sulfur dioxide</t>
        </is>
      </c>
      <c r="B2134">
        <v>3.755868544600939e-07</v>
      </c>
      <c r="D2134" t="inlineStr">
        <is>
          <t>kilogram</t>
        </is>
      </c>
      <c r="E2134" t="inlineStr">
        <is>
          <t>air::urban air close to ground</t>
        </is>
      </c>
      <c r="F2134" t="inlineStr">
        <is>
          <t>biosphere</t>
        </is>
      </c>
      <c r="H2134" t="inlineStr">
        <is>
          <t>SO2</t>
        </is>
      </c>
      <c r="I2134">
        <v>0</v>
      </c>
    </row>
    <row r="2135">
      <c r="A2135" t="inlineStr">
        <is>
          <t>Benzene</t>
        </is>
      </c>
      <c r="B2135">
        <v>7.62340991328562e-07</v>
      </c>
      <c r="D2135" t="inlineStr">
        <is>
          <t>kilogram</t>
        </is>
      </c>
      <c r="E2135" t="inlineStr">
        <is>
          <t>air::urban air close to ground</t>
        </is>
      </c>
      <c r="F2135" t="inlineStr">
        <is>
          <t>biosphere</t>
        </is>
      </c>
      <c r="H2135" t="inlineStr">
        <is>
          <t>Benzene</t>
        </is>
      </c>
      <c r="I2135">
        <v>0</v>
      </c>
    </row>
    <row r="2136">
      <c r="A2136" t="inlineStr">
        <is>
          <t>Methane, fossil</t>
        </is>
      </c>
      <c r="B2136">
        <v>1.8797075715851682e-05</v>
      </c>
      <c r="D2136" t="inlineStr">
        <is>
          <t>kilogram</t>
        </is>
      </c>
      <c r="E2136" t="inlineStr">
        <is>
          <t>air::urban air close to ground</t>
        </is>
      </c>
      <c r="F2136" t="inlineStr">
        <is>
          <t>biosphere</t>
        </is>
      </c>
      <c r="H2136" t="inlineStr">
        <is>
          <t>CH4</t>
        </is>
      </c>
      <c r="I2136">
        <v>0</v>
      </c>
    </row>
    <row r="2137">
      <c r="A2137" t="inlineStr">
        <is>
          <t>Carbon monoxide, fossil</t>
        </is>
      </c>
      <c r="B2137">
        <v>8.345515188546348e-05</v>
      </c>
      <c r="D2137" t="inlineStr">
        <is>
          <t>kilogram</t>
        </is>
      </c>
      <c r="E2137" t="inlineStr">
        <is>
          <t>air::urban air close to ground</t>
        </is>
      </c>
      <c r="F2137" t="inlineStr">
        <is>
          <t>biosphere</t>
        </is>
      </c>
      <c r="H2137" t="inlineStr">
        <is>
          <t>CO</t>
        </is>
      </c>
      <c r="I2137">
        <v>0</v>
      </c>
    </row>
    <row r="2138">
      <c r="A2138" t="inlineStr">
        <is>
          <t>Dinitrogen monoxide</t>
        </is>
      </c>
      <c r="B2138">
        <v>5.653255854391483e-07</v>
      </c>
      <c r="D2138" t="inlineStr">
        <is>
          <t>kilogram</t>
        </is>
      </c>
      <c r="E2138" t="inlineStr">
        <is>
          <t>air::urban air close to ground</t>
        </is>
      </c>
      <c r="F2138" t="inlineStr">
        <is>
          <t>biosphere</t>
        </is>
      </c>
      <c r="H2138" t="inlineStr">
        <is>
          <t>N2O</t>
        </is>
      </c>
      <c r="I2138">
        <v>0</v>
      </c>
    </row>
    <row r="2139">
      <c r="A2139" t="inlineStr">
        <is>
          <t>Ammonia</t>
        </is>
      </c>
      <c r="B2139">
        <v>5.653255854391483e-07</v>
      </c>
      <c r="D2139" t="inlineStr">
        <is>
          <t>kilogram</t>
        </is>
      </c>
      <c r="E2139" t="inlineStr">
        <is>
          <t>air::urban air close to ground</t>
        </is>
      </c>
      <c r="F2139" t="inlineStr">
        <is>
          <t>biosphere</t>
        </is>
      </c>
      <c r="H2139" t="inlineStr">
        <is>
          <t>NH3</t>
        </is>
      </c>
      <c r="I2139">
        <v>0</v>
      </c>
    </row>
    <row r="2140">
      <c r="A2140" t="inlineStr">
        <is>
          <t>Nitrogen oxides</t>
        </is>
      </c>
      <c r="B2140">
        <v>6.162014101297245e-06</v>
      </c>
      <c r="D2140" t="inlineStr">
        <is>
          <t>kilogram</t>
        </is>
      </c>
      <c r="E2140" t="inlineStr">
        <is>
          <t>air::urban air close to ground</t>
        </is>
      </c>
      <c r="F2140" t="inlineStr">
        <is>
          <t>biosphere</t>
        </is>
      </c>
      <c r="H2140" t="inlineStr">
        <is>
          <t>NOx</t>
        </is>
      </c>
      <c r="I2140">
        <v>0</v>
      </c>
    </row>
    <row r="2141">
      <c r="A2141" t="inlineStr">
        <is>
          <t>Particulate Matter, &lt; 2.5 um</t>
        </is>
      </c>
      <c r="B2141">
        <v>1.4133139635978708e-06</v>
      </c>
      <c r="D2141" t="inlineStr">
        <is>
          <t>kilogram</t>
        </is>
      </c>
      <c r="E2141" t="inlineStr">
        <is>
          <t>air::urban air close to ground</t>
        </is>
      </c>
      <c r="F2141" t="inlineStr">
        <is>
          <t>biosphere</t>
        </is>
      </c>
      <c r="H2141" t="inlineStr">
        <is>
          <t>PM2.5</t>
        </is>
      </c>
      <c r="I2141">
        <v>0</v>
      </c>
    </row>
    <row r="2142">
      <c r="A2142" t="inlineStr">
        <is>
          <t>NMVOC, non-methane volatile organic compounds</t>
        </is>
      </c>
      <c r="B2142">
        <v>6.1476482081469075e-06</v>
      </c>
      <c r="D2142" t="inlineStr">
        <is>
          <t>kilogram</t>
        </is>
      </c>
      <c r="E2142" t="inlineStr">
        <is>
          <t>air::urban air close to ground</t>
        </is>
      </c>
      <c r="F2142" t="inlineStr">
        <is>
          <t>biosphere</t>
        </is>
      </c>
      <c r="H2142" t="inlineStr">
        <is>
          <t>NMVOC</t>
        </is>
      </c>
      <c r="I2142">
        <v>0</v>
      </c>
    </row>
    <row r="2143">
      <c r="A2143" t="inlineStr">
        <is>
          <t>Ethane</t>
        </is>
      </c>
      <c r="B2143">
        <v>4.3348801467702544e-07</v>
      </c>
      <c r="D2143" t="inlineStr">
        <is>
          <t>kilogram</t>
        </is>
      </c>
      <c r="E2143" t="inlineStr">
        <is>
          <t>air::urban air close to ground</t>
        </is>
      </c>
      <c r="F2143" t="inlineStr">
        <is>
          <t>biosphere</t>
        </is>
      </c>
      <c r="H2143" t="inlineStr">
        <is>
          <t>Ethane</t>
        </is>
      </c>
      <c r="I2143">
        <v>0</v>
      </c>
    </row>
    <row r="2144">
      <c r="A2144" t="inlineStr">
        <is>
          <t>Propane</t>
        </is>
      </c>
      <c r="B2144">
        <v>8.832827885268543e-08</v>
      </c>
      <c r="D2144" t="inlineStr">
        <is>
          <t>kilogram</t>
        </is>
      </c>
      <c r="E2144" t="inlineStr">
        <is>
          <t>air::urban air close to ground</t>
        </is>
      </c>
      <c r="F2144" t="inlineStr">
        <is>
          <t>biosphere</t>
        </is>
      </c>
      <c r="H2144" t="inlineStr">
        <is>
          <t>Propane</t>
        </is>
      </c>
      <c r="I2144">
        <v>0</v>
      </c>
    </row>
    <row r="2145">
      <c r="A2145" t="inlineStr">
        <is>
          <t>Butane</t>
        </is>
      </c>
      <c r="B2145">
        <v>7.120618172124179e-07</v>
      </c>
      <c r="D2145" t="inlineStr">
        <is>
          <t>kilogram</t>
        </is>
      </c>
      <c r="E2145" t="inlineStr">
        <is>
          <t>air::urban air close to ground</t>
        </is>
      </c>
      <c r="F2145" t="inlineStr">
        <is>
          <t>biosphere</t>
        </is>
      </c>
      <c r="H2145" t="inlineStr">
        <is>
          <t>Butane</t>
        </is>
      </c>
      <c r="I2145">
        <v>0</v>
      </c>
    </row>
    <row r="2146">
      <c r="A2146" t="inlineStr">
        <is>
          <t>Pentane</t>
        </is>
      </c>
      <c r="B2146">
        <v>2.9216276851272876e-07</v>
      </c>
      <c r="D2146" t="inlineStr">
        <is>
          <t>kilogram</t>
        </is>
      </c>
      <c r="E2146" t="inlineStr">
        <is>
          <t>air::urban air close to ground</t>
        </is>
      </c>
      <c r="F2146" t="inlineStr">
        <is>
          <t>biosphere</t>
        </is>
      </c>
      <c r="H2146" t="inlineStr">
        <is>
          <t>Pentane</t>
        </is>
      </c>
      <c r="I2146">
        <v>0</v>
      </c>
    </row>
    <row r="2147">
      <c r="A2147" t="inlineStr">
        <is>
          <t>Hexane</t>
        </is>
      </c>
      <c r="B2147">
        <v>2.1878235223511317e-07</v>
      </c>
      <c r="D2147" t="inlineStr">
        <is>
          <t>kilogram</t>
        </is>
      </c>
      <c r="E2147" t="inlineStr">
        <is>
          <t>air::urban air close to ground</t>
        </is>
      </c>
      <c r="F2147" t="inlineStr">
        <is>
          <t>biosphere</t>
        </is>
      </c>
      <c r="H2147" t="inlineStr">
        <is>
          <t>Hexane</t>
        </is>
      </c>
      <c r="I2147">
        <v>0</v>
      </c>
    </row>
    <row r="2148">
      <c r="A2148" t="inlineStr">
        <is>
          <t>Cyclohexane</t>
        </is>
      </c>
      <c r="B2148">
        <v>1.5491421214163292e-07</v>
      </c>
      <c r="D2148" t="inlineStr">
        <is>
          <t>kilogram</t>
        </is>
      </c>
      <c r="E2148" t="inlineStr">
        <is>
          <t>air::urban air close to ground</t>
        </is>
      </c>
      <c r="F2148" t="inlineStr">
        <is>
          <t>biosphere</t>
        </is>
      </c>
      <c r="H2148" t="inlineStr">
        <is>
          <t>Cyclohexane</t>
        </is>
      </c>
      <c r="I2148">
        <v>0</v>
      </c>
    </row>
    <row r="2149">
      <c r="A2149" t="inlineStr">
        <is>
          <t>Heptane</t>
        </is>
      </c>
      <c r="B2149">
        <v>1.0055834823228804e-07</v>
      </c>
      <c r="D2149" t="inlineStr">
        <is>
          <t>kilogram</t>
        </is>
      </c>
      <c r="E2149" t="inlineStr">
        <is>
          <t>air::urban air close to ground</t>
        </is>
      </c>
      <c r="F2149" t="inlineStr">
        <is>
          <t>biosphere</t>
        </is>
      </c>
      <c r="H2149" t="inlineStr">
        <is>
          <t>Heptane</t>
        </is>
      </c>
      <c r="I2149">
        <v>0</v>
      </c>
    </row>
    <row r="2150">
      <c r="A2150" t="inlineStr">
        <is>
          <t>Ethylene</t>
        </is>
      </c>
      <c r="B2150">
        <v>9.919945163455441e-07</v>
      </c>
      <c r="D2150" t="inlineStr">
        <is>
          <t>kilogram</t>
        </is>
      </c>
      <c r="E2150" t="inlineStr">
        <is>
          <t>air::urban air close to ground</t>
        </is>
      </c>
      <c r="F2150" t="inlineStr">
        <is>
          <t>biosphere</t>
        </is>
      </c>
      <c r="H2150" t="inlineStr">
        <is>
          <t>Ethene</t>
        </is>
      </c>
      <c r="I2150">
        <v>0</v>
      </c>
    </row>
    <row r="2151">
      <c r="A2151" t="inlineStr">
        <is>
          <t>Propylene</t>
        </is>
      </c>
      <c r="B2151">
        <v>5.190985003342436e-07</v>
      </c>
      <c r="D2151" t="inlineStr">
        <is>
          <t>kilogram</t>
        </is>
      </c>
      <c r="E2151" t="inlineStr">
        <is>
          <t>air::urban air close to ground</t>
        </is>
      </c>
      <c r="F2151" t="inlineStr">
        <is>
          <t>biosphere</t>
        </is>
      </c>
      <c r="H2151" t="inlineStr">
        <is>
          <t>Propene</t>
        </is>
      </c>
      <c r="I2151">
        <v>0</v>
      </c>
    </row>
    <row r="2152">
      <c r="A2152" t="inlineStr">
        <is>
          <t>1-Pentene</t>
        </is>
      </c>
      <c r="B2152">
        <v>1.4947862575069847e-08</v>
      </c>
      <c r="D2152" t="inlineStr">
        <is>
          <t>kilogram</t>
        </is>
      </c>
      <c r="E2152" t="inlineStr">
        <is>
          <t>air::urban air close to ground</t>
        </is>
      </c>
      <c r="F2152" t="inlineStr">
        <is>
          <t>biosphere</t>
        </is>
      </c>
      <c r="H2152" t="inlineStr">
        <is>
          <t>1-Pentene</t>
        </is>
      </c>
      <c r="I2152">
        <v>0</v>
      </c>
    </row>
    <row r="2153">
      <c r="A2153" t="inlineStr">
        <is>
          <t>Toluene</t>
        </is>
      </c>
      <c r="B2153">
        <v>1.4920684643115172e-06</v>
      </c>
      <c r="D2153" t="inlineStr">
        <is>
          <t>kilogram</t>
        </is>
      </c>
      <c r="E2153" t="inlineStr">
        <is>
          <t>air::urban air close to ground</t>
        </is>
      </c>
      <c r="F2153" t="inlineStr">
        <is>
          <t>biosphere</t>
        </is>
      </c>
      <c r="H2153" t="inlineStr">
        <is>
          <t>Toluene</t>
        </is>
      </c>
      <c r="I2153">
        <v>0</v>
      </c>
    </row>
    <row r="2154">
      <c r="A2154" t="inlineStr">
        <is>
          <t>m-Xylene</t>
        </is>
      </c>
      <c r="B2154">
        <v>7.37880852569357e-07</v>
      </c>
      <c r="D2154" t="inlineStr">
        <is>
          <t>kilogram</t>
        </is>
      </c>
      <c r="E2154" t="inlineStr">
        <is>
          <t>air::urban air close to ground</t>
        </is>
      </c>
      <c r="F2154" t="inlineStr">
        <is>
          <t>biosphere</t>
        </is>
      </c>
      <c r="H2154" t="inlineStr">
        <is>
          <t>m-Xylene</t>
        </is>
      </c>
      <c r="I2154">
        <v>0</v>
      </c>
    </row>
    <row r="2155">
      <c r="A2155" t="inlineStr">
        <is>
          <t>o-Xylene</t>
        </is>
      </c>
      <c r="B2155">
        <v>3.071106310877986e-07</v>
      </c>
      <c r="D2155" t="inlineStr">
        <is>
          <t>kilogram</t>
        </is>
      </c>
      <c r="E2155" t="inlineStr">
        <is>
          <t>air::urban air close to ground</t>
        </is>
      </c>
      <c r="F2155" t="inlineStr">
        <is>
          <t>biosphere</t>
        </is>
      </c>
      <c r="H2155" t="inlineStr">
        <is>
          <t>o-Xylene</t>
        </is>
      </c>
      <c r="I2155">
        <v>0</v>
      </c>
    </row>
    <row r="2156">
      <c r="A2156" t="inlineStr">
        <is>
          <t>Formaldehyde</t>
        </is>
      </c>
      <c r="B2156">
        <v>2.310124216147158e-07</v>
      </c>
      <c r="D2156" t="inlineStr">
        <is>
          <t>kilogram</t>
        </is>
      </c>
      <c r="E2156" t="inlineStr">
        <is>
          <t>air::urban air close to ground</t>
        </is>
      </c>
      <c r="F2156" t="inlineStr">
        <is>
          <t>biosphere</t>
        </is>
      </c>
      <c r="H2156" t="inlineStr">
        <is>
          <t>Formaldehyde</t>
        </is>
      </c>
      <c r="I2156">
        <v>0</v>
      </c>
    </row>
    <row r="2157">
      <c r="A2157" t="inlineStr">
        <is>
          <t>Acetaldehyde</t>
        </is>
      </c>
      <c r="B2157">
        <v>1.0191724483002165e-07</v>
      </c>
      <c r="D2157" t="inlineStr">
        <is>
          <t>kilogram</t>
        </is>
      </c>
      <c r="E2157" t="inlineStr">
        <is>
          <t>air::urban air close to ground</t>
        </is>
      </c>
      <c r="F2157" t="inlineStr">
        <is>
          <t>biosphere</t>
        </is>
      </c>
      <c r="H2157" t="inlineStr">
        <is>
          <t>Acetaldehyde</t>
        </is>
      </c>
      <c r="I2157">
        <v>0</v>
      </c>
    </row>
    <row r="2158">
      <c r="A2158" t="inlineStr">
        <is>
          <t>Benzaldehyde</t>
        </is>
      </c>
      <c r="B2158">
        <v>2.9895725150139694e-08</v>
      </c>
      <c r="D2158" t="inlineStr">
        <is>
          <t>kilogram</t>
        </is>
      </c>
      <c r="E2158" t="inlineStr">
        <is>
          <t>air::urban air close to ground</t>
        </is>
      </c>
      <c r="F2158" t="inlineStr">
        <is>
          <t>biosphere</t>
        </is>
      </c>
      <c r="H2158" t="inlineStr">
        <is>
          <t>Benzaldehyde</t>
        </is>
      </c>
      <c r="I2158">
        <v>0</v>
      </c>
    </row>
    <row r="2159">
      <c r="A2159" t="inlineStr">
        <is>
          <t>Acetone</t>
        </is>
      </c>
      <c r="B2159">
        <v>8.289269246175097e-08</v>
      </c>
      <c r="D2159" t="inlineStr">
        <is>
          <t>kilogram</t>
        </is>
      </c>
      <c r="E2159" t="inlineStr">
        <is>
          <t>air::urban air close to ground</t>
        </is>
      </c>
      <c r="F2159" t="inlineStr">
        <is>
          <t>biosphere</t>
        </is>
      </c>
      <c r="H2159" t="inlineStr">
        <is>
          <t>Acetone</t>
        </is>
      </c>
      <c r="I2159">
        <v>0</v>
      </c>
    </row>
    <row r="2160">
      <c r="A2160" t="inlineStr">
        <is>
          <t>Methyl ethyl ketone</t>
        </is>
      </c>
      <c r="B2160">
        <v>0.0</v>
      </c>
      <c r="D2160" t="inlineStr">
        <is>
          <t>kilogram</t>
        </is>
      </c>
      <c r="E2160" t="inlineStr">
        <is>
          <t>air::urban air close to ground</t>
        </is>
      </c>
      <c r="F2160" t="inlineStr">
        <is>
          <t>biosphere</t>
        </is>
      </c>
      <c r="H2160" t="inlineStr">
        <is>
          <t>Methyl ethyl ketone</t>
        </is>
      </c>
      <c r="I2160">
        <v>0</v>
      </c>
    </row>
    <row r="2161">
      <c r="A2161" t="inlineStr">
        <is>
          <t>Acrolein</t>
        </is>
      </c>
      <c r="B2161">
        <v>2.581903535693882e-08</v>
      </c>
      <c r="D2161" t="inlineStr">
        <is>
          <t>kilogram</t>
        </is>
      </c>
      <c r="E2161" t="inlineStr">
        <is>
          <t>air::urban air close to ground</t>
        </is>
      </c>
      <c r="F2161" t="inlineStr">
        <is>
          <t>biosphere</t>
        </is>
      </c>
      <c r="H2161" t="inlineStr">
        <is>
          <t>Acrolein</t>
        </is>
      </c>
      <c r="I2161">
        <v>0</v>
      </c>
    </row>
    <row r="2162">
      <c r="A2162" t="inlineStr">
        <is>
          <t>Styrene</t>
        </is>
      </c>
      <c r="B2162">
        <v>1.3724855637109585e-07</v>
      </c>
      <c r="D2162" t="inlineStr">
        <is>
          <t>kilogram</t>
        </is>
      </c>
      <c r="E2162" t="inlineStr">
        <is>
          <t>air::urban air close to ground</t>
        </is>
      </c>
      <c r="F2162" t="inlineStr">
        <is>
          <t>biosphere</t>
        </is>
      </c>
      <c r="H2162" t="inlineStr">
        <is>
          <t>Styrene</t>
        </is>
      </c>
      <c r="I2162">
        <v>0</v>
      </c>
    </row>
    <row r="2163">
      <c r="A2163" t="inlineStr">
        <is>
          <t>PAH, polycyclic aromatic hydrocarbons</t>
        </is>
      </c>
      <c r="B2163">
        <v>8.188235294117648e-10</v>
      </c>
      <c r="D2163" t="inlineStr">
        <is>
          <t>kilogram</t>
        </is>
      </c>
      <c r="E2163" t="inlineStr">
        <is>
          <t>air::urban air close to ground</t>
        </is>
      </c>
      <c r="F2163" t="inlineStr">
        <is>
          <t>biosphere</t>
        </is>
      </c>
      <c r="H2163" t="inlineStr">
        <is>
          <t>PAHs</t>
        </is>
      </c>
      <c r="I2163">
        <v>0</v>
      </c>
    </row>
    <row r="2164">
      <c r="A2164" t="inlineStr">
        <is>
          <t>Arsenic ion</t>
        </is>
      </c>
      <c r="B2164">
        <v>7.058823529411766e-12</v>
      </c>
      <c r="D2164" t="inlineStr">
        <is>
          <t>kilogram</t>
        </is>
      </c>
      <c r="E2164" t="inlineStr">
        <is>
          <t>air::urban air close to ground</t>
        </is>
      </c>
      <c r="F2164" t="inlineStr">
        <is>
          <t>biosphere</t>
        </is>
      </c>
      <c r="H2164" t="inlineStr">
        <is>
          <t>Arsenic</t>
        </is>
      </c>
      <c r="I2164">
        <v>0</v>
      </c>
    </row>
    <row r="2165">
      <c r="A2165" t="inlineStr">
        <is>
          <t>Selenium IV</t>
        </is>
      </c>
      <c r="B2165">
        <v>4.705882352941177e-12</v>
      </c>
      <c r="D2165" t="inlineStr">
        <is>
          <t>kilogram</t>
        </is>
      </c>
      <c r="E2165" t="inlineStr">
        <is>
          <t>air::urban air close to ground</t>
        </is>
      </c>
      <c r="F2165" t="inlineStr">
        <is>
          <t>biosphere</t>
        </is>
      </c>
      <c r="H2165" t="inlineStr">
        <is>
          <t>Selenium</t>
        </is>
      </c>
      <c r="I2165">
        <v>0</v>
      </c>
    </row>
    <row r="2166">
      <c r="A2166" t="inlineStr">
        <is>
          <t>Zinc II</t>
        </is>
      </c>
      <c r="B2166">
        <v>5.082352941176471e-08</v>
      </c>
      <c r="D2166" t="inlineStr">
        <is>
          <t>kilogram</t>
        </is>
      </c>
      <c r="E2166" t="inlineStr">
        <is>
          <t>air::urban air close to ground</t>
        </is>
      </c>
      <c r="F2166" t="inlineStr">
        <is>
          <t>biosphere</t>
        </is>
      </c>
      <c r="H2166" t="inlineStr">
        <is>
          <t>Zinc</t>
        </is>
      </c>
      <c r="I2166">
        <v>0</v>
      </c>
    </row>
    <row r="2167">
      <c r="A2167" t="inlineStr">
        <is>
          <t>Copper ion</t>
        </is>
      </c>
      <c r="B2167">
        <v>9.88235294117647e-10</v>
      </c>
      <c r="D2167" t="inlineStr">
        <is>
          <t>kilogram</t>
        </is>
      </c>
      <c r="E2167" t="inlineStr">
        <is>
          <t>air::urban air close to ground</t>
        </is>
      </c>
      <c r="F2167" t="inlineStr">
        <is>
          <t>biosphere</t>
        </is>
      </c>
      <c r="H2167" t="inlineStr">
        <is>
          <t>Copper</t>
        </is>
      </c>
      <c r="I2167">
        <v>0</v>
      </c>
    </row>
    <row r="2168">
      <c r="A2168" t="inlineStr">
        <is>
          <t>Nickel II</t>
        </is>
      </c>
      <c r="B2168">
        <v>3.058823529411765e-10</v>
      </c>
      <c r="D2168" t="inlineStr">
        <is>
          <t>kilogram</t>
        </is>
      </c>
      <c r="E2168" t="inlineStr">
        <is>
          <t>air::urban air close to ground</t>
        </is>
      </c>
      <c r="F2168" t="inlineStr">
        <is>
          <t>biosphere</t>
        </is>
      </c>
      <c r="H2168" t="inlineStr">
        <is>
          <t>Nickel</t>
        </is>
      </c>
      <c r="I2168">
        <v>0</v>
      </c>
    </row>
    <row r="2169">
      <c r="A2169" t="inlineStr">
        <is>
          <t>Chromium III</t>
        </is>
      </c>
      <c r="B2169">
        <v>3.7647058823529416e-10</v>
      </c>
      <c r="D2169" t="inlineStr">
        <is>
          <t>kilogram</t>
        </is>
      </c>
      <c r="E2169" t="inlineStr">
        <is>
          <t>air::urban air close to ground</t>
        </is>
      </c>
      <c r="F2169" t="inlineStr">
        <is>
          <t>biosphere</t>
        </is>
      </c>
      <c r="H2169" t="inlineStr">
        <is>
          <t>Chromium</t>
        </is>
      </c>
      <c r="I2169">
        <v>0</v>
      </c>
    </row>
    <row r="2170">
      <c r="A2170" t="inlineStr">
        <is>
          <t>Chromium VI</t>
        </is>
      </c>
      <c r="B2170">
        <v>7.529411764705882e-13</v>
      </c>
      <c r="D2170" t="inlineStr">
        <is>
          <t>kilogram</t>
        </is>
      </c>
      <c r="E2170" t="inlineStr">
        <is>
          <t>air::urban air close to ground</t>
        </is>
      </c>
      <c r="F2170" t="inlineStr">
        <is>
          <t>biosphere</t>
        </is>
      </c>
      <c r="H2170" t="inlineStr">
        <is>
          <t>Chromium VI</t>
        </is>
      </c>
      <c r="I2170">
        <v>0</v>
      </c>
    </row>
    <row r="2171">
      <c r="A2171" t="inlineStr">
        <is>
          <t>Mercury II</t>
        </is>
      </c>
      <c r="B2171">
        <v>2.047058823529412e-10</v>
      </c>
      <c r="D2171" t="inlineStr">
        <is>
          <t>kilogram</t>
        </is>
      </c>
      <c r="E2171" t="inlineStr">
        <is>
          <t>air::urban air close to ground</t>
        </is>
      </c>
      <c r="F2171" t="inlineStr">
        <is>
          <t>biosphere</t>
        </is>
      </c>
      <c r="H2171" t="inlineStr">
        <is>
          <t>Mercury</t>
        </is>
      </c>
      <c r="I2171">
        <v>0</v>
      </c>
    </row>
    <row r="2172">
      <c r="A2172" t="inlineStr">
        <is>
          <t>Cadmium II</t>
        </is>
      </c>
      <c r="B2172">
        <v>2.541176470588236e-10</v>
      </c>
      <c r="D2172" t="inlineStr">
        <is>
          <t>kilogram</t>
        </is>
      </c>
      <c r="E2172" t="inlineStr">
        <is>
          <t>air::urban air close to ground</t>
        </is>
      </c>
      <c r="F2172" t="inlineStr">
        <is>
          <t>biosphere</t>
        </is>
      </c>
      <c r="H2172" t="inlineStr">
        <is>
          <t>Cadmium</t>
        </is>
      </c>
      <c r="I2172">
        <v>0</v>
      </c>
    </row>
    <row r="2173">
      <c r="A2173" t="inlineStr">
        <is>
          <t>treatment of road wear emissions, passenger car</t>
        </is>
      </c>
      <c r="B2173">
        <v>-5.857039126012582e-06</v>
      </c>
      <c r="C2173" t="inlineStr">
        <is>
          <t>RER</t>
        </is>
      </c>
      <c r="D2173" t="inlineStr">
        <is>
          <t>kilogram</t>
        </is>
      </c>
      <c r="F2173" t="inlineStr">
        <is>
          <t>technosphere</t>
        </is>
      </c>
      <c r="G2173" t="inlineStr">
        <is>
          <t>road wear emissions, passenger car</t>
        </is>
      </c>
      <c r="H2173" t="inlineStr">
        <is>
          <t>Road wear [kg/km]</t>
        </is>
      </c>
      <c r="I2173">
        <v>0</v>
      </c>
    </row>
    <row r="2174">
      <c r="A2174" t="inlineStr">
        <is>
          <t>treatment of tyre wear emissions, passenger car</t>
        </is>
      </c>
      <c r="B2174">
        <v>-3.886222117725553e-06</v>
      </c>
      <c r="C2174" t="inlineStr">
        <is>
          <t>RER</t>
        </is>
      </c>
      <c r="D2174" t="inlineStr">
        <is>
          <t>kilogram</t>
        </is>
      </c>
      <c r="F2174" t="inlineStr">
        <is>
          <t>technosphere</t>
        </is>
      </c>
      <c r="G2174" t="inlineStr">
        <is>
          <t>tyre wear emissions, passenger car</t>
        </is>
      </c>
      <c r="H2174" t="inlineStr">
        <is>
          <t>Tire wear [kg/km]</t>
        </is>
      </c>
      <c r="I2174">
        <v>0</v>
      </c>
    </row>
    <row r="2175">
      <c r="A2175" t="inlineStr">
        <is>
          <t>treatment of brake wear emissions, passenger car</t>
        </is>
      </c>
      <c r="B2175">
        <v>-2.1569214522274334e-06</v>
      </c>
      <c r="C2175" t="inlineStr">
        <is>
          <t>RER</t>
        </is>
      </c>
      <c r="D2175" t="inlineStr">
        <is>
          <t>kilogram</t>
        </is>
      </c>
      <c r="F2175" t="inlineStr">
        <is>
          <t>technosphere</t>
        </is>
      </c>
      <c r="G2175" t="inlineStr">
        <is>
          <t>brake wear emissions, passenger car</t>
        </is>
      </c>
      <c r="H2175" t="inlineStr">
        <is>
          <t>Brake wear [kg/km]</t>
        </is>
      </c>
      <c r="I2175">
        <v>0</v>
      </c>
    </row>
    <row r="2176"/>
    <row r="2177">
      <c r="A2177" t="inlineStr">
        <is>
          <t>Activity</t>
        </is>
      </c>
      <c r="B2177" t="inlineStr">
        <is>
          <t>bioethanol, burned in motorcycle</t>
        </is>
      </c>
    </row>
    <row r="2178">
      <c r="A2178" t="inlineStr">
        <is>
          <t>location</t>
        </is>
      </c>
      <c r="B2178" t="inlineStr">
        <is>
          <t>RER</t>
        </is>
      </c>
    </row>
    <row r="2179">
      <c r="A2179" t="inlineStr">
        <is>
          <t>production amount</t>
        </is>
      </c>
      <c r="B2179">
        <v>1</v>
      </c>
    </row>
    <row r="2180">
      <c r="A2180" t="inlineStr">
        <is>
          <t>reference product</t>
        </is>
      </c>
      <c r="B2180" t="inlineStr">
        <is>
          <t>heat</t>
        </is>
      </c>
    </row>
    <row r="2181">
      <c r="A2181" t="inlineStr">
        <is>
          <t>type</t>
        </is>
      </c>
      <c r="B2181" t="inlineStr">
        <is>
          <t>process</t>
        </is>
      </c>
    </row>
    <row r="2182">
      <c r="A2182" t="inlineStr">
        <is>
          <t>unit</t>
        </is>
      </c>
      <c r="B2182" t="inlineStr">
        <is>
          <t>megajoule</t>
        </is>
      </c>
    </row>
    <row r="2183">
      <c r="A2183" t="inlineStr">
        <is>
          <t>Power, mean</t>
        </is>
      </c>
      <c r="B2183">
        <v>20</v>
      </c>
    </row>
    <row r="2184">
      <c r="A2184" t="inlineStr">
        <is>
          <t>Power, min</t>
        </is>
      </c>
      <c r="B2184">
        <v>9</v>
      </c>
    </row>
    <row r="2185">
      <c r="A2185" t="inlineStr">
        <is>
          <t>Power, max</t>
        </is>
      </c>
      <c r="B2185">
        <v>92</v>
      </c>
    </row>
    <row r="2186">
      <c r="A2186" t="inlineStr">
        <is>
          <t>Lifetime, mean</t>
        </is>
      </c>
      <c r="B2186">
        <v>100000</v>
      </c>
    </row>
    <row r="2187">
      <c r="A2187" t="inlineStr">
        <is>
          <t>Lifetime, min</t>
        </is>
      </c>
      <c r="B2187">
        <v>50000</v>
      </c>
    </row>
    <row r="2188">
      <c r="A2188" t="inlineStr">
        <is>
          <t>Lifetime, max</t>
        </is>
      </c>
      <c r="B2188">
        <v>200000</v>
      </c>
    </row>
    <row r="2189">
      <c r="A2189" t="inlineStr">
        <is>
          <t>Energy use, mean</t>
        </is>
      </c>
      <c r="B2189">
        <v>1300</v>
      </c>
    </row>
    <row r="2190">
      <c r="A2190" t="inlineStr">
        <is>
          <t>Energy use, min</t>
        </is>
      </c>
      <c r="B2190">
        <v>800</v>
      </c>
    </row>
    <row r="2191">
      <c r="A2191" t="inlineStr">
        <is>
          <t>Energy use, max</t>
        </is>
      </c>
      <c r="B2191">
        <v>1530</v>
      </c>
    </row>
    <row r="2192">
      <c r="A2192" t="inlineStr">
        <is>
          <t>Combustion engine, mean</t>
        </is>
      </c>
      <c r="B2192">
        <v>14</v>
      </c>
    </row>
    <row r="2193">
      <c r="A2193" t="inlineStr">
        <is>
          <t>Combustion engine, min</t>
        </is>
      </c>
      <c r="B2193">
        <v>6</v>
      </c>
    </row>
    <row r="2194">
      <c r="A2194" t="inlineStr">
        <is>
          <t>Combustion engine, max</t>
        </is>
      </c>
      <c r="B2194">
        <v>65</v>
      </c>
    </row>
    <row r="2195">
      <c r="A2195" t="inlineStr">
        <is>
          <t>Fuel tank, mean</t>
        </is>
      </c>
      <c r="B2195">
        <v>10</v>
      </c>
    </row>
    <row r="2196">
      <c r="A2196" t="inlineStr">
        <is>
          <t>Fuel tank, min</t>
        </is>
      </c>
      <c r="B2196">
        <v>6</v>
      </c>
    </row>
    <row r="2197">
      <c r="A2197" t="inlineStr">
        <is>
          <t>Fuel tank, max</t>
        </is>
      </c>
      <c r="B2197">
        <v>12</v>
      </c>
    </row>
    <row r="2198">
      <c r="A2198" t="inlineStr">
        <is>
          <t>NOx</t>
        </is>
      </c>
      <c r="B2198">
        <v>0.007581145</v>
      </c>
    </row>
    <row r="2199">
      <c r="A2199" t="inlineStr">
        <is>
          <t>PM 2.5</t>
        </is>
      </c>
      <c r="B2199">
        <v>0.000565099</v>
      </c>
    </row>
    <row r="2200">
      <c r="A2200" t="inlineStr">
        <is>
          <t>energy use source</t>
        </is>
      </c>
      <c r="B2200"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01">
      <c r="A2201" t="inlineStr">
        <is>
          <t>comment</t>
        </is>
      </c>
      <c r="B2201"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02">
      <c r="A2202" t="inlineStr">
        <is>
          <t>Exchanges</t>
        </is>
      </c>
    </row>
    <row r="2203">
      <c r="A2203" t="inlineStr">
        <is>
          <t>name</t>
        </is>
      </c>
      <c r="B2203" t="inlineStr">
        <is>
          <t>amount</t>
        </is>
      </c>
      <c r="C2203" t="inlineStr">
        <is>
          <t>location</t>
        </is>
      </c>
      <c r="D2203" t="inlineStr">
        <is>
          <t>unit</t>
        </is>
      </c>
      <c r="E2203" t="inlineStr">
        <is>
          <t>categories</t>
        </is>
      </c>
      <c r="F2203" t="inlineStr">
        <is>
          <t>type</t>
        </is>
      </c>
      <c r="G2203" t="inlineStr">
        <is>
          <t>reference product</t>
        </is>
      </c>
      <c r="H2203" t="inlineStr">
        <is>
          <t>comment</t>
        </is>
      </c>
      <c r="I2203" t="inlineStr">
        <is>
          <t>uncertainty type</t>
        </is>
      </c>
    </row>
    <row r="2204">
      <c r="A2204" t="inlineStr">
        <is>
          <t>bioethanol, burned in motorcycle</t>
        </is>
      </c>
      <c r="B2204">
        <v>1.0</v>
      </c>
      <c r="C2204" t="inlineStr">
        <is>
          <t>RER</t>
        </is>
      </c>
      <c r="D2204" t="inlineStr">
        <is>
          <t>megajoule</t>
        </is>
      </c>
      <c r="F2204" t="inlineStr">
        <is>
          <t>production</t>
        </is>
      </c>
      <c r="G2204" t="inlineStr">
        <is>
          <t>heat</t>
        </is>
      </c>
      <c r="I2204">
        <v>0</v>
      </c>
    </row>
    <row r="2205">
      <c r="A2205" t="inlineStr">
        <is>
          <t>market for ethanol, without water, in 99.7% solution state, from fermentation, vehicle grade</t>
        </is>
      </c>
      <c r="B2205">
        <v>0.03773584905660377</v>
      </c>
      <c r="C2205" t="inlineStr">
        <is>
          <t>CH</t>
        </is>
      </c>
      <c r="D2205" t="inlineStr">
        <is>
          <t>kilogram</t>
        </is>
      </c>
      <c r="F2205" t="inlineStr">
        <is>
          <t>technosphere</t>
        </is>
      </c>
      <c r="G2205" t="inlineStr">
        <is>
          <t>ethanol, without water, in 99.7% solution state, from fermentation, vehicle grade</t>
        </is>
      </c>
      <c r="I2205">
        <v>0</v>
      </c>
    </row>
    <row r="2206">
      <c r="A2206" t="inlineStr">
        <is>
          <t>polyethylene production, high density, granulate</t>
        </is>
      </c>
      <c r="B2206">
        <v>3.004649931974593e-05</v>
      </c>
      <c r="C2206" t="inlineStr">
        <is>
          <t>RER</t>
        </is>
      </c>
      <c r="D2206" t="inlineStr">
        <is>
          <t>kilogram</t>
        </is>
      </c>
      <c r="F2206" t="inlineStr">
        <is>
          <t>technosphere</t>
        </is>
      </c>
      <c r="G2206" t="inlineStr">
        <is>
          <t>polyethylene, high density, granulate</t>
        </is>
      </c>
      <c r="H2206" t="inlineStr">
        <is>
          <t>Fuel tank mass [kg] Energy-use allocation: 1.6875 * 2.5974025974025975e-05 / 1.4587778883899432 MJ per kilometer.</t>
        </is>
      </c>
      <c r="I2206">
        <v>0</v>
      </c>
    </row>
    <row r="2207">
      <c r="A2207" t="inlineStr">
        <is>
          <t>Sulfur dioxide</t>
        </is>
      </c>
      <c r="B2207">
        <v>3.755868544600939e-07</v>
      </c>
      <c r="D2207" t="inlineStr">
        <is>
          <t>kilogram</t>
        </is>
      </c>
      <c r="E2207" t="inlineStr">
        <is>
          <t>air::urban air close to ground</t>
        </is>
      </c>
      <c r="F2207" t="inlineStr">
        <is>
          <t>biosphere</t>
        </is>
      </c>
      <c r="H2207" t="inlineStr">
        <is>
          <t>SO2</t>
        </is>
      </c>
      <c r="I2207">
        <v>0</v>
      </c>
    </row>
    <row r="2208">
      <c r="A2208" t="inlineStr">
        <is>
          <t>Benzene</t>
        </is>
      </c>
      <c r="B2208">
        <v>7.62340991328562e-07</v>
      </c>
      <c r="D2208" t="inlineStr">
        <is>
          <t>kilogram</t>
        </is>
      </c>
      <c r="E2208" t="inlineStr">
        <is>
          <t>air::urban air close to ground</t>
        </is>
      </c>
      <c r="F2208" t="inlineStr">
        <is>
          <t>biosphere</t>
        </is>
      </c>
      <c r="H2208" t="inlineStr">
        <is>
          <t>Benzene</t>
        </is>
      </c>
      <c r="I2208">
        <v>0</v>
      </c>
    </row>
    <row r="2209">
      <c r="A2209" t="inlineStr">
        <is>
          <t>Methane, fossil</t>
        </is>
      </c>
      <c r="B2209">
        <v>1.8797075715851682e-05</v>
      </c>
      <c r="D2209" t="inlineStr">
        <is>
          <t>kilogram</t>
        </is>
      </c>
      <c r="E2209" t="inlineStr">
        <is>
          <t>air::urban air close to ground</t>
        </is>
      </c>
      <c r="F2209" t="inlineStr">
        <is>
          <t>biosphere</t>
        </is>
      </c>
      <c r="H2209" t="inlineStr">
        <is>
          <t>CH4</t>
        </is>
      </c>
      <c r="I2209">
        <v>0</v>
      </c>
    </row>
    <row r="2210">
      <c r="A2210" t="inlineStr">
        <is>
          <t>Carbon monoxide, fossil</t>
        </is>
      </c>
      <c r="B2210">
        <v>8.345515188546348e-05</v>
      </c>
      <c r="D2210" t="inlineStr">
        <is>
          <t>kilogram</t>
        </is>
      </c>
      <c r="E2210" t="inlineStr">
        <is>
          <t>air::urban air close to ground</t>
        </is>
      </c>
      <c r="F2210" t="inlineStr">
        <is>
          <t>biosphere</t>
        </is>
      </c>
      <c r="H2210" t="inlineStr">
        <is>
          <t>CO</t>
        </is>
      </c>
      <c r="I2210">
        <v>0</v>
      </c>
    </row>
    <row r="2211">
      <c r="A2211" t="inlineStr">
        <is>
          <t>Dinitrogen monoxide</t>
        </is>
      </c>
      <c r="B2211">
        <v>5.653255854391483e-07</v>
      </c>
      <c r="D2211" t="inlineStr">
        <is>
          <t>kilogram</t>
        </is>
      </c>
      <c r="E2211" t="inlineStr">
        <is>
          <t>air::urban air close to ground</t>
        </is>
      </c>
      <c r="F2211" t="inlineStr">
        <is>
          <t>biosphere</t>
        </is>
      </c>
      <c r="H2211" t="inlineStr">
        <is>
          <t>N2O</t>
        </is>
      </c>
      <c r="I2211">
        <v>0</v>
      </c>
    </row>
    <row r="2212">
      <c r="A2212" t="inlineStr">
        <is>
          <t>Ammonia</t>
        </is>
      </c>
      <c r="B2212">
        <v>5.653255854391483e-07</v>
      </c>
      <c r="D2212" t="inlineStr">
        <is>
          <t>kilogram</t>
        </is>
      </c>
      <c r="E2212" t="inlineStr">
        <is>
          <t>air::urban air close to ground</t>
        </is>
      </c>
      <c r="F2212" t="inlineStr">
        <is>
          <t>biosphere</t>
        </is>
      </c>
      <c r="H2212" t="inlineStr">
        <is>
          <t>NH3</t>
        </is>
      </c>
      <c r="I2212">
        <v>0</v>
      </c>
    </row>
    <row r="2213">
      <c r="A2213" t="inlineStr">
        <is>
          <t>Nitrogen oxides</t>
        </is>
      </c>
      <c r="B2213">
        <v>6.162014101297245e-06</v>
      </c>
      <c r="D2213" t="inlineStr">
        <is>
          <t>kilogram</t>
        </is>
      </c>
      <c r="E2213" t="inlineStr">
        <is>
          <t>air::urban air close to ground</t>
        </is>
      </c>
      <c r="F2213" t="inlineStr">
        <is>
          <t>biosphere</t>
        </is>
      </c>
      <c r="H2213" t="inlineStr">
        <is>
          <t>NOx</t>
        </is>
      </c>
      <c r="I2213">
        <v>0</v>
      </c>
    </row>
    <row r="2214">
      <c r="A2214" t="inlineStr">
        <is>
          <t>Particulate Matter, &lt; 2.5 um</t>
        </is>
      </c>
      <c r="B2214">
        <v>1.4133139635978708e-06</v>
      </c>
      <c r="D2214" t="inlineStr">
        <is>
          <t>kilogram</t>
        </is>
      </c>
      <c r="E2214" t="inlineStr">
        <is>
          <t>air::urban air close to ground</t>
        </is>
      </c>
      <c r="F2214" t="inlineStr">
        <is>
          <t>biosphere</t>
        </is>
      </c>
      <c r="H2214" t="inlineStr">
        <is>
          <t>PM2.5</t>
        </is>
      </c>
      <c r="I2214">
        <v>0</v>
      </c>
    </row>
    <row r="2215">
      <c r="A2215" t="inlineStr">
        <is>
          <t>NMVOC, non-methane volatile organic compounds</t>
        </is>
      </c>
      <c r="B2215">
        <v>6.1476482081469075e-06</v>
      </c>
      <c r="D2215" t="inlineStr">
        <is>
          <t>kilogram</t>
        </is>
      </c>
      <c r="E2215" t="inlineStr">
        <is>
          <t>air::urban air close to ground</t>
        </is>
      </c>
      <c r="F2215" t="inlineStr">
        <is>
          <t>biosphere</t>
        </is>
      </c>
      <c r="H2215" t="inlineStr">
        <is>
          <t>NMVOC</t>
        </is>
      </c>
      <c r="I2215">
        <v>0</v>
      </c>
    </row>
    <row r="2216">
      <c r="A2216" t="inlineStr">
        <is>
          <t>Ethane</t>
        </is>
      </c>
      <c r="B2216">
        <v>4.3348801467702544e-07</v>
      </c>
      <c r="D2216" t="inlineStr">
        <is>
          <t>kilogram</t>
        </is>
      </c>
      <c r="E2216" t="inlineStr">
        <is>
          <t>air::urban air close to ground</t>
        </is>
      </c>
      <c r="F2216" t="inlineStr">
        <is>
          <t>biosphere</t>
        </is>
      </c>
      <c r="H2216" t="inlineStr">
        <is>
          <t>Ethane</t>
        </is>
      </c>
      <c r="I2216">
        <v>0</v>
      </c>
    </row>
    <row r="2217">
      <c r="A2217" t="inlineStr">
        <is>
          <t>Propane</t>
        </is>
      </c>
      <c r="B2217">
        <v>8.832827885268543e-08</v>
      </c>
      <c r="D2217" t="inlineStr">
        <is>
          <t>kilogram</t>
        </is>
      </c>
      <c r="E2217" t="inlineStr">
        <is>
          <t>air::urban air close to ground</t>
        </is>
      </c>
      <c r="F2217" t="inlineStr">
        <is>
          <t>biosphere</t>
        </is>
      </c>
      <c r="H2217" t="inlineStr">
        <is>
          <t>Propane</t>
        </is>
      </c>
      <c r="I2217">
        <v>0</v>
      </c>
    </row>
    <row r="2218">
      <c r="A2218" t="inlineStr">
        <is>
          <t>Butane</t>
        </is>
      </c>
      <c r="B2218">
        <v>7.120618172124179e-07</v>
      </c>
      <c r="D2218" t="inlineStr">
        <is>
          <t>kilogram</t>
        </is>
      </c>
      <c r="E2218" t="inlineStr">
        <is>
          <t>air::urban air close to ground</t>
        </is>
      </c>
      <c r="F2218" t="inlineStr">
        <is>
          <t>biosphere</t>
        </is>
      </c>
      <c r="H2218" t="inlineStr">
        <is>
          <t>Butane</t>
        </is>
      </c>
      <c r="I2218">
        <v>0</v>
      </c>
    </row>
    <row r="2219">
      <c r="A2219" t="inlineStr">
        <is>
          <t>Pentane</t>
        </is>
      </c>
      <c r="B2219">
        <v>2.9216276851272876e-07</v>
      </c>
      <c r="D2219" t="inlineStr">
        <is>
          <t>kilogram</t>
        </is>
      </c>
      <c r="E2219" t="inlineStr">
        <is>
          <t>air::urban air close to ground</t>
        </is>
      </c>
      <c r="F2219" t="inlineStr">
        <is>
          <t>biosphere</t>
        </is>
      </c>
      <c r="H2219" t="inlineStr">
        <is>
          <t>Pentane</t>
        </is>
      </c>
      <c r="I2219">
        <v>0</v>
      </c>
    </row>
    <row r="2220">
      <c r="A2220" t="inlineStr">
        <is>
          <t>Hexane</t>
        </is>
      </c>
      <c r="B2220">
        <v>2.1878235223511317e-07</v>
      </c>
      <c r="D2220" t="inlineStr">
        <is>
          <t>kilogram</t>
        </is>
      </c>
      <c r="E2220" t="inlineStr">
        <is>
          <t>air::urban air close to ground</t>
        </is>
      </c>
      <c r="F2220" t="inlineStr">
        <is>
          <t>biosphere</t>
        </is>
      </c>
      <c r="H2220" t="inlineStr">
        <is>
          <t>Hexane</t>
        </is>
      </c>
      <c r="I2220">
        <v>0</v>
      </c>
    </row>
    <row r="2221">
      <c r="A2221" t="inlineStr">
        <is>
          <t>Cyclohexane</t>
        </is>
      </c>
      <c r="B2221">
        <v>1.5491421214163292e-07</v>
      </c>
      <c r="D2221" t="inlineStr">
        <is>
          <t>kilogram</t>
        </is>
      </c>
      <c r="E2221" t="inlineStr">
        <is>
          <t>air::urban air close to ground</t>
        </is>
      </c>
      <c r="F2221" t="inlineStr">
        <is>
          <t>biosphere</t>
        </is>
      </c>
      <c r="H2221" t="inlineStr">
        <is>
          <t>Cyclohexane</t>
        </is>
      </c>
      <c r="I2221">
        <v>0</v>
      </c>
    </row>
    <row r="2222">
      <c r="A2222" t="inlineStr">
        <is>
          <t>Heptane</t>
        </is>
      </c>
      <c r="B2222">
        <v>1.0055834823228804e-07</v>
      </c>
      <c r="D2222" t="inlineStr">
        <is>
          <t>kilogram</t>
        </is>
      </c>
      <c r="E2222" t="inlineStr">
        <is>
          <t>air::urban air close to ground</t>
        </is>
      </c>
      <c r="F2222" t="inlineStr">
        <is>
          <t>biosphere</t>
        </is>
      </c>
      <c r="H2222" t="inlineStr">
        <is>
          <t>Heptane</t>
        </is>
      </c>
      <c r="I2222">
        <v>0</v>
      </c>
    </row>
    <row r="2223">
      <c r="A2223" t="inlineStr">
        <is>
          <t>Ethylene</t>
        </is>
      </c>
      <c r="B2223">
        <v>9.919945163455441e-07</v>
      </c>
      <c r="D2223" t="inlineStr">
        <is>
          <t>kilogram</t>
        </is>
      </c>
      <c r="E2223" t="inlineStr">
        <is>
          <t>air::urban air close to ground</t>
        </is>
      </c>
      <c r="F2223" t="inlineStr">
        <is>
          <t>biosphere</t>
        </is>
      </c>
      <c r="H2223" t="inlineStr">
        <is>
          <t>Ethene</t>
        </is>
      </c>
      <c r="I2223">
        <v>0</v>
      </c>
    </row>
    <row r="2224">
      <c r="A2224" t="inlineStr">
        <is>
          <t>Propylene</t>
        </is>
      </c>
      <c r="B2224">
        <v>5.190985003342436e-07</v>
      </c>
      <c r="D2224" t="inlineStr">
        <is>
          <t>kilogram</t>
        </is>
      </c>
      <c r="E2224" t="inlineStr">
        <is>
          <t>air::urban air close to ground</t>
        </is>
      </c>
      <c r="F2224" t="inlineStr">
        <is>
          <t>biosphere</t>
        </is>
      </c>
      <c r="H2224" t="inlineStr">
        <is>
          <t>Propene</t>
        </is>
      </c>
      <c r="I2224">
        <v>0</v>
      </c>
    </row>
    <row r="2225">
      <c r="A2225" t="inlineStr">
        <is>
          <t>1-Pentene</t>
        </is>
      </c>
      <c r="B2225">
        <v>1.4947862575069847e-08</v>
      </c>
      <c r="D2225" t="inlineStr">
        <is>
          <t>kilogram</t>
        </is>
      </c>
      <c r="E2225" t="inlineStr">
        <is>
          <t>air::urban air close to ground</t>
        </is>
      </c>
      <c r="F2225" t="inlineStr">
        <is>
          <t>biosphere</t>
        </is>
      </c>
      <c r="H2225" t="inlineStr">
        <is>
          <t>1-Pentene</t>
        </is>
      </c>
      <c r="I2225">
        <v>0</v>
      </c>
    </row>
    <row r="2226">
      <c r="A2226" t="inlineStr">
        <is>
          <t>Toluene</t>
        </is>
      </c>
      <c r="B2226">
        <v>1.4920684643115172e-06</v>
      </c>
      <c r="D2226" t="inlineStr">
        <is>
          <t>kilogram</t>
        </is>
      </c>
      <c r="E2226" t="inlineStr">
        <is>
          <t>air::urban air close to ground</t>
        </is>
      </c>
      <c r="F2226" t="inlineStr">
        <is>
          <t>biosphere</t>
        </is>
      </c>
      <c r="H2226" t="inlineStr">
        <is>
          <t>Toluene</t>
        </is>
      </c>
      <c r="I2226">
        <v>0</v>
      </c>
    </row>
    <row r="2227">
      <c r="A2227" t="inlineStr">
        <is>
          <t>m-Xylene</t>
        </is>
      </c>
      <c r="B2227">
        <v>7.37880852569357e-07</v>
      </c>
      <c r="D2227" t="inlineStr">
        <is>
          <t>kilogram</t>
        </is>
      </c>
      <c r="E2227" t="inlineStr">
        <is>
          <t>air::urban air close to ground</t>
        </is>
      </c>
      <c r="F2227" t="inlineStr">
        <is>
          <t>biosphere</t>
        </is>
      </c>
      <c r="H2227" t="inlineStr">
        <is>
          <t>m-Xylene</t>
        </is>
      </c>
      <c r="I2227">
        <v>0</v>
      </c>
    </row>
    <row r="2228">
      <c r="A2228" t="inlineStr">
        <is>
          <t>o-Xylene</t>
        </is>
      </c>
      <c r="B2228">
        <v>3.071106310877986e-07</v>
      </c>
      <c r="D2228" t="inlineStr">
        <is>
          <t>kilogram</t>
        </is>
      </c>
      <c r="E2228" t="inlineStr">
        <is>
          <t>air::urban air close to ground</t>
        </is>
      </c>
      <c r="F2228" t="inlineStr">
        <is>
          <t>biosphere</t>
        </is>
      </c>
      <c r="H2228" t="inlineStr">
        <is>
          <t>o-Xylene</t>
        </is>
      </c>
      <c r="I2228">
        <v>0</v>
      </c>
    </row>
    <row r="2229">
      <c r="A2229" t="inlineStr">
        <is>
          <t>Formaldehyde</t>
        </is>
      </c>
      <c r="B2229">
        <v>2.310124216147158e-07</v>
      </c>
      <c r="D2229" t="inlineStr">
        <is>
          <t>kilogram</t>
        </is>
      </c>
      <c r="E2229" t="inlineStr">
        <is>
          <t>air::urban air close to ground</t>
        </is>
      </c>
      <c r="F2229" t="inlineStr">
        <is>
          <t>biosphere</t>
        </is>
      </c>
      <c r="H2229" t="inlineStr">
        <is>
          <t>Formaldehyde</t>
        </is>
      </c>
      <c r="I2229">
        <v>0</v>
      </c>
    </row>
    <row r="2230">
      <c r="A2230" t="inlineStr">
        <is>
          <t>Acetaldehyde</t>
        </is>
      </c>
      <c r="B2230">
        <v>1.0191724483002165e-07</v>
      </c>
      <c r="D2230" t="inlineStr">
        <is>
          <t>kilogram</t>
        </is>
      </c>
      <c r="E2230" t="inlineStr">
        <is>
          <t>air::urban air close to ground</t>
        </is>
      </c>
      <c r="F2230" t="inlineStr">
        <is>
          <t>biosphere</t>
        </is>
      </c>
      <c r="H2230" t="inlineStr">
        <is>
          <t>Acetaldehyde</t>
        </is>
      </c>
      <c r="I2230">
        <v>0</v>
      </c>
    </row>
    <row r="2231">
      <c r="A2231" t="inlineStr">
        <is>
          <t>Benzaldehyde</t>
        </is>
      </c>
      <c r="B2231">
        <v>2.9895725150139694e-08</v>
      </c>
      <c r="D2231" t="inlineStr">
        <is>
          <t>kilogram</t>
        </is>
      </c>
      <c r="E2231" t="inlineStr">
        <is>
          <t>air::urban air close to ground</t>
        </is>
      </c>
      <c r="F2231" t="inlineStr">
        <is>
          <t>biosphere</t>
        </is>
      </c>
      <c r="H2231" t="inlineStr">
        <is>
          <t>Benzaldehyde</t>
        </is>
      </c>
      <c r="I2231">
        <v>0</v>
      </c>
    </row>
    <row r="2232">
      <c r="A2232" t="inlineStr">
        <is>
          <t>Acetone</t>
        </is>
      </c>
      <c r="B2232">
        <v>8.289269246175097e-08</v>
      </c>
      <c r="D2232" t="inlineStr">
        <is>
          <t>kilogram</t>
        </is>
      </c>
      <c r="E2232" t="inlineStr">
        <is>
          <t>air::urban air close to ground</t>
        </is>
      </c>
      <c r="F2232" t="inlineStr">
        <is>
          <t>biosphere</t>
        </is>
      </c>
      <c r="H2232" t="inlineStr">
        <is>
          <t>Acetone</t>
        </is>
      </c>
      <c r="I2232">
        <v>0</v>
      </c>
    </row>
    <row r="2233">
      <c r="A2233" t="inlineStr">
        <is>
          <t>Methyl ethyl ketone</t>
        </is>
      </c>
      <c r="B2233">
        <v>0.0</v>
      </c>
      <c r="D2233" t="inlineStr">
        <is>
          <t>kilogram</t>
        </is>
      </c>
      <c r="E2233" t="inlineStr">
        <is>
          <t>air::urban air close to ground</t>
        </is>
      </c>
      <c r="F2233" t="inlineStr">
        <is>
          <t>biosphere</t>
        </is>
      </c>
      <c r="H2233" t="inlineStr">
        <is>
          <t>Methyl ethyl ketone</t>
        </is>
      </c>
      <c r="I2233">
        <v>0</v>
      </c>
    </row>
    <row r="2234">
      <c r="A2234" t="inlineStr">
        <is>
          <t>Acrolein</t>
        </is>
      </c>
      <c r="B2234">
        <v>2.581903535693882e-08</v>
      </c>
      <c r="D2234" t="inlineStr">
        <is>
          <t>kilogram</t>
        </is>
      </c>
      <c r="E2234" t="inlineStr">
        <is>
          <t>air::urban air close to ground</t>
        </is>
      </c>
      <c r="F2234" t="inlineStr">
        <is>
          <t>biosphere</t>
        </is>
      </c>
      <c r="H2234" t="inlineStr">
        <is>
          <t>Acrolein</t>
        </is>
      </c>
      <c r="I2234">
        <v>0</v>
      </c>
    </row>
    <row r="2235">
      <c r="A2235" t="inlineStr">
        <is>
          <t>Styrene</t>
        </is>
      </c>
      <c r="B2235">
        <v>1.3724855637109585e-07</v>
      </c>
      <c r="D2235" t="inlineStr">
        <is>
          <t>kilogram</t>
        </is>
      </c>
      <c r="E2235" t="inlineStr">
        <is>
          <t>air::urban air close to ground</t>
        </is>
      </c>
      <c r="F2235" t="inlineStr">
        <is>
          <t>biosphere</t>
        </is>
      </c>
      <c r="H2235" t="inlineStr">
        <is>
          <t>Styrene</t>
        </is>
      </c>
      <c r="I2235">
        <v>0</v>
      </c>
    </row>
    <row r="2236">
      <c r="A2236" t="inlineStr">
        <is>
          <t>PAH, polycyclic aromatic hydrocarbons</t>
        </is>
      </c>
      <c r="B2236">
        <v>8.188235294117648e-10</v>
      </c>
      <c r="D2236" t="inlineStr">
        <is>
          <t>kilogram</t>
        </is>
      </c>
      <c r="E2236" t="inlineStr">
        <is>
          <t>air::urban air close to ground</t>
        </is>
      </c>
      <c r="F2236" t="inlineStr">
        <is>
          <t>biosphere</t>
        </is>
      </c>
      <c r="H2236" t="inlineStr">
        <is>
          <t>PAHs</t>
        </is>
      </c>
      <c r="I2236">
        <v>0</v>
      </c>
    </row>
    <row r="2237">
      <c r="A2237" t="inlineStr">
        <is>
          <t>Arsenic ion</t>
        </is>
      </c>
      <c r="B2237">
        <v>7.058823529411766e-12</v>
      </c>
      <c r="D2237" t="inlineStr">
        <is>
          <t>kilogram</t>
        </is>
      </c>
      <c r="E2237" t="inlineStr">
        <is>
          <t>air::urban air close to ground</t>
        </is>
      </c>
      <c r="F2237" t="inlineStr">
        <is>
          <t>biosphere</t>
        </is>
      </c>
      <c r="H2237" t="inlineStr">
        <is>
          <t>Arsenic</t>
        </is>
      </c>
      <c r="I2237">
        <v>0</v>
      </c>
    </row>
    <row r="2238">
      <c r="A2238" t="inlineStr">
        <is>
          <t>Selenium IV</t>
        </is>
      </c>
      <c r="B2238">
        <v>4.705882352941177e-12</v>
      </c>
      <c r="D2238" t="inlineStr">
        <is>
          <t>kilogram</t>
        </is>
      </c>
      <c r="E2238" t="inlineStr">
        <is>
          <t>air::urban air close to ground</t>
        </is>
      </c>
      <c r="F2238" t="inlineStr">
        <is>
          <t>biosphere</t>
        </is>
      </c>
      <c r="H2238" t="inlineStr">
        <is>
          <t>Selenium</t>
        </is>
      </c>
      <c r="I2238">
        <v>0</v>
      </c>
    </row>
    <row r="2239">
      <c r="A2239" t="inlineStr">
        <is>
          <t>Zinc II</t>
        </is>
      </c>
      <c r="B2239">
        <v>5.082352941176471e-08</v>
      </c>
      <c r="D2239" t="inlineStr">
        <is>
          <t>kilogram</t>
        </is>
      </c>
      <c r="E2239" t="inlineStr">
        <is>
          <t>air::urban air close to ground</t>
        </is>
      </c>
      <c r="F2239" t="inlineStr">
        <is>
          <t>biosphere</t>
        </is>
      </c>
      <c r="H2239" t="inlineStr">
        <is>
          <t>Zinc</t>
        </is>
      </c>
      <c r="I2239">
        <v>0</v>
      </c>
    </row>
    <row r="2240">
      <c r="A2240" t="inlineStr">
        <is>
          <t>Copper ion</t>
        </is>
      </c>
      <c r="B2240">
        <v>9.88235294117647e-10</v>
      </c>
      <c r="D2240" t="inlineStr">
        <is>
          <t>kilogram</t>
        </is>
      </c>
      <c r="E2240" t="inlineStr">
        <is>
          <t>air::urban air close to ground</t>
        </is>
      </c>
      <c r="F2240" t="inlineStr">
        <is>
          <t>biosphere</t>
        </is>
      </c>
      <c r="H2240" t="inlineStr">
        <is>
          <t>Copper</t>
        </is>
      </c>
      <c r="I2240">
        <v>0</v>
      </c>
    </row>
    <row r="2241">
      <c r="A2241" t="inlineStr">
        <is>
          <t>Nickel II</t>
        </is>
      </c>
      <c r="B2241">
        <v>3.058823529411765e-10</v>
      </c>
      <c r="D2241" t="inlineStr">
        <is>
          <t>kilogram</t>
        </is>
      </c>
      <c r="E2241" t="inlineStr">
        <is>
          <t>air::urban air close to ground</t>
        </is>
      </c>
      <c r="F2241" t="inlineStr">
        <is>
          <t>biosphere</t>
        </is>
      </c>
      <c r="H2241" t="inlineStr">
        <is>
          <t>Nickel</t>
        </is>
      </c>
      <c r="I2241">
        <v>0</v>
      </c>
    </row>
    <row r="2242">
      <c r="A2242" t="inlineStr">
        <is>
          <t>Chromium III</t>
        </is>
      </c>
      <c r="B2242">
        <v>3.7647058823529416e-10</v>
      </c>
      <c r="D2242" t="inlineStr">
        <is>
          <t>kilogram</t>
        </is>
      </c>
      <c r="E2242" t="inlineStr">
        <is>
          <t>air::urban air close to ground</t>
        </is>
      </c>
      <c r="F2242" t="inlineStr">
        <is>
          <t>biosphere</t>
        </is>
      </c>
      <c r="H2242" t="inlineStr">
        <is>
          <t>Chromium</t>
        </is>
      </c>
      <c r="I2242">
        <v>0</v>
      </c>
    </row>
    <row r="2243">
      <c r="A2243" t="inlineStr">
        <is>
          <t>Chromium VI</t>
        </is>
      </c>
      <c r="B2243">
        <v>7.529411764705882e-13</v>
      </c>
      <c r="D2243" t="inlineStr">
        <is>
          <t>kilogram</t>
        </is>
      </c>
      <c r="E2243" t="inlineStr">
        <is>
          <t>air::urban air close to ground</t>
        </is>
      </c>
      <c r="F2243" t="inlineStr">
        <is>
          <t>biosphere</t>
        </is>
      </c>
      <c r="H2243" t="inlineStr">
        <is>
          <t>Chromium VI</t>
        </is>
      </c>
      <c r="I2243">
        <v>0</v>
      </c>
    </row>
    <row r="2244">
      <c r="A2244" t="inlineStr">
        <is>
          <t>Mercury II</t>
        </is>
      </c>
      <c r="B2244">
        <v>2.047058823529412e-10</v>
      </c>
      <c r="D2244" t="inlineStr">
        <is>
          <t>kilogram</t>
        </is>
      </c>
      <c r="E2244" t="inlineStr">
        <is>
          <t>air::urban air close to ground</t>
        </is>
      </c>
      <c r="F2244" t="inlineStr">
        <is>
          <t>biosphere</t>
        </is>
      </c>
      <c r="H2244" t="inlineStr">
        <is>
          <t>Mercury</t>
        </is>
      </c>
      <c r="I2244">
        <v>0</v>
      </c>
    </row>
    <row r="2245">
      <c r="A2245" t="inlineStr">
        <is>
          <t>Cadmium II</t>
        </is>
      </c>
      <c r="B2245">
        <v>2.541176470588236e-10</v>
      </c>
      <c r="D2245" t="inlineStr">
        <is>
          <t>kilogram</t>
        </is>
      </c>
      <c r="E2245" t="inlineStr">
        <is>
          <t>air::urban air close to ground</t>
        </is>
      </c>
      <c r="F2245" t="inlineStr">
        <is>
          <t>biosphere</t>
        </is>
      </c>
      <c r="H2245" t="inlineStr">
        <is>
          <t>Cadmium</t>
        </is>
      </c>
      <c r="I2245">
        <v>0</v>
      </c>
    </row>
    <row r="2246">
      <c r="A2246" t="inlineStr">
        <is>
          <t>treatment of road wear emissions, passenger car</t>
        </is>
      </c>
      <c r="B2246">
        <v>-5.857039126012582e-06</v>
      </c>
      <c r="C2246" t="inlineStr">
        <is>
          <t>RER</t>
        </is>
      </c>
      <c r="D2246" t="inlineStr">
        <is>
          <t>kilogram</t>
        </is>
      </c>
      <c r="F2246" t="inlineStr">
        <is>
          <t>technosphere</t>
        </is>
      </c>
      <c r="G2246" t="inlineStr">
        <is>
          <t>road wear emissions, passenger car</t>
        </is>
      </c>
      <c r="H2246" t="inlineStr">
        <is>
          <t>Road wear [kg/km]</t>
        </is>
      </c>
      <c r="I2246">
        <v>0</v>
      </c>
    </row>
    <row r="2247">
      <c r="A2247" t="inlineStr">
        <is>
          <t>treatment of tyre wear emissions, passenger car</t>
        </is>
      </c>
      <c r="B2247">
        <v>-3.886222117725553e-06</v>
      </c>
      <c r="C2247" t="inlineStr">
        <is>
          <t>RER</t>
        </is>
      </c>
      <c r="D2247" t="inlineStr">
        <is>
          <t>kilogram</t>
        </is>
      </c>
      <c r="F2247" t="inlineStr">
        <is>
          <t>technosphere</t>
        </is>
      </c>
      <c r="G2247" t="inlineStr">
        <is>
          <t>tyre wear emissions, passenger car</t>
        </is>
      </c>
      <c r="H2247" t="inlineStr">
        <is>
          <t>Tire wear [kg/km]</t>
        </is>
      </c>
      <c r="I2247">
        <v>0</v>
      </c>
    </row>
    <row r="2248">
      <c r="A2248" t="inlineStr">
        <is>
          <t>treatment of brake wear emissions, passenger car</t>
        </is>
      </c>
      <c r="B2248">
        <v>-2.1569214522274334e-06</v>
      </c>
      <c r="C2248" t="inlineStr">
        <is>
          <t>RER</t>
        </is>
      </c>
      <c r="D2248" t="inlineStr">
        <is>
          <t>kilogram</t>
        </is>
      </c>
      <c r="F2248" t="inlineStr">
        <is>
          <t>technosphere</t>
        </is>
      </c>
      <c r="G2248" t="inlineStr">
        <is>
          <t>brake wear emissions, passenger car</t>
        </is>
      </c>
      <c r="H2248" t="inlineStr">
        <is>
          <t>Brake wear [kg/km]</t>
        </is>
      </c>
      <c r="I2248">
        <v>0</v>
      </c>
    </row>
    <row r="2249">
      <c r="A2249" t="inlineStr">
        <is>
          <t>Carbon dioxide, non-fossil</t>
        </is>
      </c>
      <c r="B2249">
        <v>0.07351181066138031</v>
      </c>
      <c r="D2249" t="inlineStr">
        <is>
          <t>kilogram</t>
        </is>
      </c>
      <c r="E2249" t="inlineStr">
        <is>
          <t>air::urban air close to ground</t>
        </is>
      </c>
      <c r="F2249" t="inlineStr">
        <is>
          <t>biosphere</t>
        </is>
      </c>
      <c r="H2249" t="inlineStr">
        <is>
          <t>1.91 kgCO2/kg ethanol combusted.</t>
        </is>
      </c>
      <c r="I2249">
        <v>0</v>
      </c>
    </row>
    <row r="2250">
      <c r="A2250" t="inlineStr">
        <is>
          <t>Carbon dioxide, from soil or biomass stock</t>
        </is>
      </c>
      <c r="B2250">
        <v>0.0003881893386196917</v>
      </c>
      <c r="D2250" t="inlineStr">
        <is>
          <t>kilogram</t>
        </is>
      </c>
      <c r="E2250" t="inlineStr">
        <is>
          <t>air::urban air close to ground</t>
        </is>
      </c>
      <c r="F2250" t="inlineStr">
        <is>
          <t>biosphere</t>
        </is>
      </c>
      <c r="I2250">
        <v>0</v>
      </c>
    </row>
    <row r="2251"/>
    <row r="2252">
      <c r="A2252" t="inlineStr">
        <is>
          <t>Activity</t>
        </is>
      </c>
      <c r="B2252" t="inlineStr">
        <is>
          <t>bioethanol, from eucalyptus, burned in motorcycle</t>
        </is>
      </c>
    </row>
    <row r="2253">
      <c r="A2253" t="inlineStr">
        <is>
          <t>location</t>
        </is>
      </c>
      <c r="B2253" t="inlineStr">
        <is>
          <t>RER</t>
        </is>
      </c>
    </row>
    <row r="2254">
      <c r="A2254" t="inlineStr">
        <is>
          <t>production amount</t>
        </is>
      </c>
      <c r="B2254">
        <v>1</v>
      </c>
    </row>
    <row r="2255">
      <c r="A2255" t="inlineStr">
        <is>
          <t>reference product</t>
        </is>
      </c>
      <c r="B2255" t="inlineStr">
        <is>
          <t>heat</t>
        </is>
      </c>
    </row>
    <row r="2256">
      <c r="A2256" t="inlineStr">
        <is>
          <t>type</t>
        </is>
      </c>
      <c r="B2256" t="inlineStr">
        <is>
          <t>process</t>
        </is>
      </c>
    </row>
    <row r="2257">
      <c r="A2257" t="inlineStr">
        <is>
          <t>unit</t>
        </is>
      </c>
      <c r="B2257" t="inlineStr">
        <is>
          <t>megajoule</t>
        </is>
      </c>
    </row>
    <row r="2258">
      <c r="A2258" t="inlineStr">
        <is>
          <t>Power, mean</t>
        </is>
      </c>
      <c r="B2258">
        <v>20</v>
      </c>
    </row>
    <row r="2259">
      <c r="A2259" t="inlineStr">
        <is>
          <t>Power, min</t>
        </is>
      </c>
      <c r="B2259">
        <v>9</v>
      </c>
    </row>
    <row r="2260">
      <c r="A2260" t="inlineStr">
        <is>
          <t>Power, max</t>
        </is>
      </c>
      <c r="B2260">
        <v>92</v>
      </c>
    </row>
    <row r="2261">
      <c r="A2261" t="inlineStr">
        <is>
          <t>Lifetime, mean</t>
        </is>
      </c>
      <c r="B2261">
        <v>100000</v>
      </c>
    </row>
    <row r="2262">
      <c r="A2262" t="inlineStr">
        <is>
          <t>Lifetime, min</t>
        </is>
      </c>
      <c r="B2262">
        <v>50000</v>
      </c>
    </row>
    <row r="2263">
      <c r="A2263" t="inlineStr">
        <is>
          <t>Lifetime, max</t>
        </is>
      </c>
      <c r="B2263">
        <v>200000</v>
      </c>
    </row>
    <row r="2264">
      <c r="A2264" t="inlineStr">
        <is>
          <t>Energy use, mean</t>
        </is>
      </c>
      <c r="B2264">
        <v>1300</v>
      </c>
    </row>
    <row r="2265">
      <c r="A2265" t="inlineStr">
        <is>
          <t>Energy use, min</t>
        </is>
      </c>
      <c r="B2265">
        <v>800</v>
      </c>
    </row>
    <row r="2266">
      <c r="A2266" t="inlineStr">
        <is>
          <t>Energy use, max</t>
        </is>
      </c>
      <c r="B2266">
        <v>1530</v>
      </c>
    </row>
    <row r="2267">
      <c r="A2267" t="inlineStr">
        <is>
          <t>Combustion engine, mean</t>
        </is>
      </c>
      <c r="B2267">
        <v>14</v>
      </c>
    </row>
    <row r="2268">
      <c r="A2268" t="inlineStr">
        <is>
          <t>Combustion engine, min</t>
        </is>
      </c>
      <c r="B2268">
        <v>6</v>
      </c>
    </row>
    <row r="2269">
      <c r="A2269" t="inlineStr">
        <is>
          <t>Combustion engine, max</t>
        </is>
      </c>
      <c r="B2269">
        <v>65</v>
      </c>
    </row>
    <row r="2270">
      <c r="A2270" t="inlineStr">
        <is>
          <t>Fuel tank, mean</t>
        </is>
      </c>
      <c r="B2270">
        <v>10</v>
      </c>
    </row>
    <row r="2271">
      <c r="A2271" t="inlineStr">
        <is>
          <t>Fuel tank, min</t>
        </is>
      </c>
      <c r="B2271">
        <v>6</v>
      </c>
    </row>
    <row r="2272">
      <c r="A2272" t="inlineStr">
        <is>
          <t>Fuel tank, max</t>
        </is>
      </c>
      <c r="B2272">
        <v>12</v>
      </c>
    </row>
    <row r="2273">
      <c r="A2273" t="inlineStr">
        <is>
          <t>NOx</t>
        </is>
      </c>
      <c r="B2273">
        <v>0.007581145</v>
      </c>
    </row>
    <row r="2274">
      <c r="A2274" t="inlineStr">
        <is>
          <t>PM 2.5</t>
        </is>
      </c>
      <c r="B2274">
        <v>0.000565099</v>
      </c>
    </row>
    <row r="2275">
      <c r="A2275" t="inlineStr">
        <is>
          <t>energy use source</t>
        </is>
      </c>
      <c r="B2275"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76">
      <c r="A2276" t="inlineStr">
        <is>
          <t>comment</t>
        </is>
      </c>
      <c r="B2276"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77">
      <c r="A2277" t="inlineStr">
        <is>
          <t>Exchanges</t>
        </is>
      </c>
    </row>
    <row r="2278">
      <c r="A2278" t="inlineStr">
        <is>
          <t>name</t>
        </is>
      </c>
      <c r="B2278" t="inlineStr">
        <is>
          <t>amount</t>
        </is>
      </c>
      <c r="C2278" t="inlineStr">
        <is>
          <t>location</t>
        </is>
      </c>
      <c r="D2278" t="inlineStr">
        <is>
          <t>unit</t>
        </is>
      </c>
      <c r="E2278" t="inlineStr">
        <is>
          <t>categories</t>
        </is>
      </c>
      <c r="F2278" t="inlineStr">
        <is>
          <t>type</t>
        </is>
      </c>
      <c r="G2278" t="inlineStr">
        <is>
          <t>reference product</t>
        </is>
      </c>
      <c r="H2278" t="inlineStr">
        <is>
          <t>comment</t>
        </is>
      </c>
      <c r="I2278" t="inlineStr">
        <is>
          <t>uncertainty type</t>
        </is>
      </c>
    </row>
    <row r="2279">
      <c r="A2279" t="inlineStr">
        <is>
          <t>bioethanol, from eucalyptus, burned in motorcycle</t>
        </is>
      </c>
      <c r="B2279">
        <v>1.0</v>
      </c>
      <c r="C2279" t="inlineStr">
        <is>
          <t>RER</t>
        </is>
      </c>
      <c r="D2279" t="inlineStr">
        <is>
          <t>megajoule</t>
        </is>
      </c>
      <c r="F2279" t="inlineStr">
        <is>
          <t>production</t>
        </is>
      </c>
      <c r="G2279" t="inlineStr">
        <is>
          <t>heat</t>
        </is>
      </c>
      <c r="I2279">
        <v>0</v>
      </c>
    </row>
    <row r="2280">
      <c r="A2280" t="inlineStr">
        <is>
          <t>ethanol production, via fermentation, from eucalyptus</t>
        </is>
      </c>
      <c r="B2280">
        <v>0.03773584905660377</v>
      </c>
      <c r="C2280" t="inlineStr">
        <is>
          <t>ES</t>
        </is>
      </c>
      <c r="D2280" t="inlineStr">
        <is>
          <t>kilogram</t>
        </is>
      </c>
      <c r="F2280" t="inlineStr">
        <is>
          <t>technosphere</t>
        </is>
      </c>
      <c r="G2280" t="inlineStr">
        <is>
          <t>ethanol, from eucalyptus</t>
        </is>
      </c>
      <c r="I2280">
        <v>0</v>
      </c>
    </row>
    <row r="2281">
      <c r="A2281" t="inlineStr">
        <is>
          <t>polyethylene production, high density, granulate</t>
        </is>
      </c>
      <c r="B2281">
        <v>3.004649931974593e-05</v>
      </c>
      <c r="C2281" t="inlineStr">
        <is>
          <t>RER</t>
        </is>
      </c>
      <c r="D2281" t="inlineStr">
        <is>
          <t>kilogram</t>
        </is>
      </c>
      <c r="F2281" t="inlineStr">
        <is>
          <t>technosphere</t>
        </is>
      </c>
      <c r="G2281" t="inlineStr">
        <is>
          <t>polyethylene, high density, granulate</t>
        </is>
      </c>
      <c r="H2281" t="inlineStr">
        <is>
          <t>Fuel tank mass [kg] Energy-use allocation: 1.6875 * 2.5974025974025975e-05 / 1.4587778883899432 MJ per kilometer.</t>
        </is>
      </c>
      <c r="I2281">
        <v>0</v>
      </c>
    </row>
    <row r="2282">
      <c r="A2282" t="inlineStr">
        <is>
          <t>Sulfur dioxide</t>
        </is>
      </c>
      <c r="B2282">
        <v>3.755868544600939e-07</v>
      </c>
      <c r="D2282" t="inlineStr">
        <is>
          <t>kilogram</t>
        </is>
      </c>
      <c r="E2282" t="inlineStr">
        <is>
          <t>air::urban air close to ground</t>
        </is>
      </c>
      <c r="F2282" t="inlineStr">
        <is>
          <t>biosphere</t>
        </is>
      </c>
      <c r="H2282" t="inlineStr">
        <is>
          <t>SO2</t>
        </is>
      </c>
      <c r="I2282">
        <v>0</v>
      </c>
    </row>
    <row r="2283">
      <c r="A2283" t="inlineStr">
        <is>
          <t>Benzene</t>
        </is>
      </c>
      <c r="B2283">
        <v>7.62340991328562e-07</v>
      </c>
      <c r="D2283" t="inlineStr">
        <is>
          <t>kilogram</t>
        </is>
      </c>
      <c r="E2283" t="inlineStr">
        <is>
          <t>air::urban air close to ground</t>
        </is>
      </c>
      <c r="F2283" t="inlineStr">
        <is>
          <t>biosphere</t>
        </is>
      </c>
      <c r="H2283" t="inlineStr">
        <is>
          <t>Benzene</t>
        </is>
      </c>
      <c r="I2283">
        <v>0</v>
      </c>
    </row>
    <row r="2284">
      <c r="A2284" t="inlineStr">
        <is>
          <t>Methane, fossil</t>
        </is>
      </c>
      <c r="B2284">
        <v>1.8797075715851682e-05</v>
      </c>
      <c r="D2284" t="inlineStr">
        <is>
          <t>kilogram</t>
        </is>
      </c>
      <c r="E2284" t="inlineStr">
        <is>
          <t>air::urban air close to ground</t>
        </is>
      </c>
      <c r="F2284" t="inlineStr">
        <is>
          <t>biosphere</t>
        </is>
      </c>
      <c r="H2284" t="inlineStr">
        <is>
          <t>CH4</t>
        </is>
      </c>
      <c r="I2284">
        <v>0</v>
      </c>
    </row>
    <row r="2285">
      <c r="A2285" t="inlineStr">
        <is>
          <t>Carbon monoxide, fossil</t>
        </is>
      </c>
      <c r="B2285">
        <v>8.345515188546348e-05</v>
      </c>
      <c r="D2285" t="inlineStr">
        <is>
          <t>kilogram</t>
        </is>
      </c>
      <c r="E2285" t="inlineStr">
        <is>
          <t>air::urban air close to ground</t>
        </is>
      </c>
      <c r="F2285" t="inlineStr">
        <is>
          <t>biosphere</t>
        </is>
      </c>
      <c r="H2285" t="inlineStr">
        <is>
          <t>CO</t>
        </is>
      </c>
      <c r="I2285">
        <v>0</v>
      </c>
    </row>
    <row r="2286">
      <c r="A2286" t="inlineStr">
        <is>
          <t>Dinitrogen monoxide</t>
        </is>
      </c>
      <c r="B2286">
        <v>5.653255854391483e-07</v>
      </c>
      <c r="D2286" t="inlineStr">
        <is>
          <t>kilogram</t>
        </is>
      </c>
      <c r="E2286" t="inlineStr">
        <is>
          <t>air::urban air close to ground</t>
        </is>
      </c>
      <c r="F2286" t="inlineStr">
        <is>
          <t>biosphere</t>
        </is>
      </c>
      <c r="H2286" t="inlineStr">
        <is>
          <t>N2O</t>
        </is>
      </c>
      <c r="I2286">
        <v>0</v>
      </c>
    </row>
    <row r="2287">
      <c r="A2287" t="inlineStr">
        <is>
          <t>Ammonia</t>
        </is>
      </c>
      <c r="B2287">
        <v>5.653255854391483e-07</v>
      </c>
      <c r="D2287" t="inlineStr">
        <is>
          <t>kilogram</t>
        </is>
      </c>
      <c r="E2287" t="inlineStr">
        <is>
          <t>air::urban air close to ground</t>
        </is>
      </c>
      <c r="F2287" t="inlineStr">
        <is>
          <t>biosphere</t>
        </is>
      </c>
      <c r="H2287" t="inlineStr">
        <is>
          <t>NH3</t>
        </is>
      </c>
      <c r="I2287">
        <v>0</v>
      </c>
    </row>
    <row r="2288">
      <c r="A2288" t="inlineStr">
        <is>
          <t>Nitrogen oxides</t>
        </is>
      </c>
      <c r="B2288">
        <v>6.162014101297245e-06</v>
      </c>
      <c r="D2288" t="inlineStr">
        <is>
          <t>kilogram</t>
        </is>
      </c>
      <c r="E2288" t="inlineStr">
        <is>
          <t>air::urban air close to ground</t>
        </is>
      </c>
      <c r="F2288" t="inlineStr">
        <is>
          <t>biosphere</t>
        </is>
      </c>
      <c r="H2288" t="inlineStr">
        <is>
          <t>NOx</t>
        </is>
      </c>
      <c r="I2288">
        <v>0</v>
      </c>
    </row>
    <row r="2289">
      <c r="A2289" t="inlineStr">
        <is>
          <t>Particulate Matter, &lt; 2.5 um</t>
        </is>
      </c>
      <c r="B2289">
        <v>1.4133139635978708e-06</v>
      </c>
      <c r="D2289" t="inlineStr">
        <is>
          <t>kilogram</t>
        </is>
      </c>
      <c r="E2289" t="inlineStr">
        <is>
          <t>air::urban air close to ground</t>
        </is>
      </c>
      <c r="F2289" t="inlineStr">
        <is>
          <t>biosphere</t>
        </is>
      </c>
      <c r="H2289" t="inlineStr">
        <is>
          <t>PM2.5</t>
        </is>
      </c>
      <c r="I2289">
        <v>0</v>
      </c>
    </row>
    <row r="2290">
      <c r="A2290" t="inlineStr">
        <is>
          <t>NMVOC, non-methane volatile organic compounds</t>
        </is>
      </c>
      <c r="B2290">
        <v>6.1476482081469075e-06</v>
      </c>
      <c r="D2290" t="inlineStr">
        <is>
          <t>kilogram</t>
        </is>
      </c>
      <c r="E2290" t="inlineStr">
        <is>
          <t>air::urban air close to ground</t>
        </is>
      </c>
      <c r="F2290" t="inlineStr">
        <is>
          <t>biosphere</t>
        </is>
      </c>
      <c r="H2290" t="inlineStr">
        <is>
          <t>NMVOC</t>
        </is>
      </c>
      <c r="I2290">
        <v>0</v>
      </c>
    </row>
    <row r="2291">
      <c r="A2291" t="inlineStr">
        <is>
          <t>Ethane</t>
        </is>
      </c>
      <c r="B2291">
        <v>4.3348801467702544e-07</v>
      </c>
      <c r="D2291" t="inlineStr">
        <is>
          <t>kilogram</t>
        </is>
      </c>
      <c r="E2291" t="inlineStr">
        <is>
          <t>air::urban air close to ground</t>
        </is>
      </c>
      <c r="F2291" t="inlineStr">
        <is>
          <t>biosphere</t>
        </is>
      </c>
      <c r="H2291" t="inlineStr">
        <is>
          <t>Ethane</t>
        </is>
      </c>
      <c r="I2291">
        <v>0</v>
      </c>
    </row>
    <row r="2292">
      <c r="A2292" t="inlineStr">
        <is>
          <t>Propane</t>
        </is>
      </c>
      <c r="B2292">
        <v>8.832827885268543e-08</v>
      </c>
      <c r="D2292" t="inlineStr">
        <is>
          <t>kilogram</t>
        </is>
      </c>
      <c r="E2292" t="inlineStr">
        <is>
          <t>air::urban air close to ground</t>
        </is>
      </c>
      <c r="F2292" t="inlineStr">
        <is>
          <t>biosphere</t>
        </is>
      </c>
      <c r="H2292" t="inlineStr">
        <is>
          <t>Propane</t>
        </is>
      </c>
      <c r="I2292">
        <v>0</v>
      </c>
    </row>
    <row r="2293">
      <c r="A2293" t="inlineStr">
        <is>
          <t>Butane</t>
        </is>
      </c>
      <c r="B2293">
        <v>7.120618172124179e-07</v>
      </c>
      <c r="D2293" t="inlineStr">
        <is>
          <t>kilogram</t>
        </is>
      </c>
      <c r="E2293" t="inlineStr">
        <is>
          <t>air::urban air close to ground</t>
        </is>
      </c>
      <c r="F2293" t="inlineStr">
        <is>
          <t>biosphere</t>
        </is>
      </c>
      <c r="H2293" t="inlineStr">
        <is>
          <t>Butane</t>
        </is>
      </c>
      <c r="I2293">
        <v>0</v>
      </c>
    </row>
    <row r="2294">
      <c r="A2294" t="inlineStr">
        <is>
          <t>Pentane</t>
        </is>
      </c>
      <c r="B2294">
        <v>2.9216276851272876e-07</v>
      </c>
      <c r="D2294" t="inlineStr">
        <is>
          <t>kilogram</t>
        </is>
      </c>
      <c r="E2294" t="inlineStr">
        <is>
          <t>air::urban air close to ground</t>
        </is>
      </c>
      <c r="F2294" t="inlineStr">
        <is>
          <t>biosphere</t>
        </is>
      </c>
      <c r="H2294" t="inlineStr">
        <is>
          <t>Pentane</t>
        </is>
      </c>
      <c r="I2294">
        <v>0</v>
      </c>
    </row>
    <row r="2295">
      <c r="A2295" t="inlineStr">
        <is>
          <t>Hexane</t>
        </is>
      </c>
      <c r="B2295">
        <v>2.1878235223511317e-07</v>
      </c>
      <c r="D2295" t="inlineStr">
        <is>
          <t>kilogram</t>
        </is>
      </c>
      <c r="E2295" t="inlineStr">
        <is>
          <t>air::urban air close to ground</t>
        </is>
      </c>
      <c r="F2295" t="inlineStr">
        <is>
          <t>biosphere</t>
        </is>
      </c>
      <c r="H2295" t="inlineStr">
        <is>
          <t>Hexane</t>
        </is>
      </c>
      <c r="I2295">
        <v>0</v>
      </c>
    </row>
    <row r="2296">
      <c r="A2296" t="inlineStr">
        <is>
          <t>Cyclohexane</t>
        </is>
      </c>
      <c r="B2296">
        <v>1.5491421214163292e-07</v>
      </c>
      <c r="D2296" t="inlineStr">
        <is>
          <t>kilogram</t>
        </is>
      </c>
      <c r="E2296" t="inlineStr">
        <is>
          <t>air::urban air close to ground</t>
        </is>
      </c>
      <c r="F2296" t="inlineStr">
        <is>
          <t>biosphere</t>
        </is>
      </c>
      <c r="H2296" t="inlineStr">
        <is>
          <t>Cyclohexane</t>
        </is>
      </c>
      <c r="I2296">
        <v>0</v>
      </c>
    </row>
    <row r="2297">
      <c r="A2297" t="inlineStr">
        <is>
          <t>Heptane</t>
        </is>
      </c>
      <c r="B2297">
        <v>1.0055834823228804e-07</v>
      </c>
      <c r="D2297" t="inlineStr">
        <is>
          <t>kilogram</t>
        </is>
      </c>
      <c r="E2297" t="inlineStr">
        <is>
          <t>air::urban air close to ground</t>
        </is>
      </c>
      <c r="F2297" t="inlineStr">
        <is>
          <t>biosphere</t>
        </is>
      </c>
      <c r="H2297" t="inlineStr">
        <is>
          <t>Heptane</t>
        </is>
      </c>
      <c r="I2297">
        <v>0</v>
      </c>
    </row>
    <row r="2298">
      <c r="A2298" t="inlineStr">
        <is>
          <t>Ethylene</t>
        </is>
      </c>
      <c r="B2298">
        <v>9.919945163455441e-07</v>
      </c>
      <c r="D2298" t="inlineStr">
        <is>
          <t>kilogram</t>
        </is>
      </c>
      <c r="E2298" t="inlineStr">
        <is>
          <t>air::urban air close to ground</t>
        </is>
      </c>
      <c r="F2298" t="inlineStr">
        <is>
          <t>biosphere</t>
        </is>
      </c>
      <c r="H2298" t="inlineStr">
        <is>
          <t>Ethene</t>
        </is>
      </c>
      <c r="I2298">
        <v>0</v>
      </c>
    </row>
    <row r="2299">
      <c r="A2299" t="inlineStr">
        <is>
          <t>Propylene</t>
        </is>
      </c>
      <c r="B2299">
        <v>5.190985003342436e-07</v>
      </c>
      <c r="D2299" t="inlineStr">
        <is>
          <t>kilogram</t>
        </is>
      </c>
      <c r="E2299" t="inlineStr">
        <is>
          <t>air::urban air close to ground</t>
        </is>
      </c>
      <c r="F2299" t="inlineStr">
        <is>
          <t>biosphere</t>
        </is>
      </c>
      <c r="H2299" t="inlineStr">
        <is>
          <t>Propene</t>
        </is>
      </c>
      <c r="I2299">
        <v>0</v>
      </c>
    </row>
    <row r="2300">
      <c r="A2300" t="inlineStr">
        <is>
          <t>1-Pentene</t>
        </is>
      </c>
      <c r="B2300">
        <v>1.4947862575069847e-08</v>
      </c>
      <c r="D2300" t="inlineStr">
        <is>
          <t>kilogram</t>
        </is>
      </c>
      <c r="E2300" t="inlineStr">
        <is>
          <t>air::urban air close to ground</t>
        </is>
      </c>
      <c r="F2300" t="inlineStr">
        <is>
          <t>biosphere</t>
        </is>
      </c>
      <c r="H2300" t="inlineStr">
        <is>
          <t>1-Pentene</t>
        </is>
      </c>
      <c r="I2300">
        <v>0</v>
      </c>
    </row>
    <row r="2301">
      <c r="A2301" t="inlineStr">
        <is>
          <t>Toluene</t>
        </is>
      </c>
      <c r="B2301">
        <v>1.4920684643115172e-06</v>
      </c>
      <c r="D2301" t="inlineStr">
        <is>
          <t>kilogram</t>
        </is>
      </c>
      <c r="E2301" t="inlineStr">
        <is>
          <t>air::urban air close to ground</t>
        </is>
      </c>
      <c r="F2301" t="inlineStr">
        <is>
          <t>biosphere</t>
        </is>
      </c>
      <c r="H2301" t="inlineStr">
        <is>
          <t>Toluene</t>
        </is>
      </c>
      <c r="I2301">
        <v>0</v>
      </c>
    </row>
    <row r="2302">
      <c r="A2302" t="inlineStr">
        <is>
          <t>m-Xylene</t>
        </is>
      </c>
      <c r="B2302">
        <v>7.37880852569357e-07</v>
      </c>
      <c r="D2302" t="inlineStr">
        <is>
          <t>kilogram</t>
        </is>
      </c>
      <c r="E2302" t="inlineStr">
        <is>
          <t>air::urban air close to ground</t>
        </is>
      </c>
      <c r="F2302" t="inlineStr">
        <is>
          <t>biosphere</t>
        </is>
      </c>
      <c r="H2302" t="inlineStr">
        <is>
          <t>m-Xylene</t>
        </is>
      </c>
      <c r="I2302">
        <v>0</v>
      </c>
    </row>
    <row r="2303">
      <c r="A2303" t="inlineStr">
        <is>
          <t>o-Xylene</t>
        </is>
      </c>
      <c r="B2303">
        <v>3.071106310877986e-07</v>
      </c>
      <c r="D2303" t="inlineStr">
        <is>
          <t>kilogram</t>
        </is>
      </c>
      <c r="E2303" t="inlineStr">
        <is>
          <t>air::urban air close to ground</t>
        </is>
      </c>
      <c r="F2303" t="inlineStr">
        <is>
          <t>biosphere</t>
        </is>
      </c>
      <c r="H2303" t="inlineStr">
        <is>
          <t>o-Xylene</t>
        </is>
      </c>
      <c r="I2303">
        <v>0</v>
      </c>
    </row>
    <row r="2304">
      <c r="A2304" t="inlineStr">
        <is>
          <t>Formaldehyde</t>
        </is>
      </c>
      <c r="B2304">
        <v>2.310124216147158e-07</v>
      </c>
      <c r="D2304" t="inlineStr">
        <is>
          <t>kilogram</t>
        </is>
      </c>
      <c r="E2304" t="inlineStr">
        <is>
          <t>air::urban air close to ground</t>
        </is>
      </c>
      <c r="F2304" t="inlineStr">
        <is>
          <t>biosphere</t>
        </is>
      </c>
      <c r="H2304" t="inlineStr">
        <is>
          <t>Formaldehyde</t>
        </is>
      </c>
      <c r="I2304">
        <v>0</v>
      </c>
    </row>
    <row r="2305">
      <c r="A2305" t="inlineStr">
        <is>
          <t>Acetaldehyde</t>
        </is>
      </c>
      <c r="B2305">
        <v>1.0191724483002165e-07</v>
      </c>
      <c r="D2305" t="inlineStr">
        <is>
          <t>kilogram</t>
        </is>
      </c>
      <c r="E2305" t="inlineStr">
        <is>
          <t>air::urban air close to ground</t>
        </is>
      </c>
      <c r="F2305" t="inlineStr">
        <is>
          <t>biosphere</t>
        </is>
      </c>
      <c r="H2305" t="inlineStr">
        <is>
          <t>Acetaldehyde</t>
        </is>
      </c>
      <c r="I2305">
        <v>0</v>
      </c>
    </row>
    <row r="2306">
      <c r="A2306" t="inlineStr">
        <is>
          <t>Benzaldehyde</t>
        </is>
      </c>
      <c r="B2306">
        <v>2.9895725150139694e-08</v>
      </c>
      <c r="D2306" t="inlineStr">
        <is>
          <t>kilogram</t>
        </is>
      </c>
      <c r="E2306" t="inlineStr">
        <is>
          <t>air::urban air close to ground</t>
        </is>
      </c>
      <c r="F2306" t="inlineStr">
        <is>
          <t>biosphere</t>
        </is>
      </c>
      <c r="H2306" t="inlineStr">
        <is>
          <t>Benzaldehyde</t>
        </is>
      </c>
      <c r="I2306">
        <v>0</v>
      </c>
    </row>
    <row r="2307">
      <c r="A2307" t="inlineStr">
        <is>
          <t>Acetone</t>
        </is>
      </c>
      <c r="B2307">
        <v>8.289269246175097e-08</v>
      </c>
      <c r="D2307" t="inlineStr">
        <is>
          <t>kilogram</t>
        </is>
      </c>
      <c r="E2307" t="inlineStr">
        <is>
          <t>air::urban air close to ground</t>
        </is>
      </c>
      <c r="F2307" t="inlineStr">
        <is>
          <t>biosphere</t>
        </is>
      </c>
      <c r="H2307" t="inlineStr">
        <is>
          <t>Acetone</t>
        </is>
      </c>
      <c r="I2307">
        <v>0</v>
      </c>
    </row>
    <row r="2308">
      <c r="A2308" t="inlineStr">
        <is>
          <t>Methyl ethyl ketone</t>
        </is>
      </c>
      <c r="B2308">
        <v>0.0</v>
      </c>
      <c r="D2308" t="inlineStr">
        <is>
          <t>kilogram</t>
        </is>
      </c>
      <c r="E2308" t="inlineStr">
        <is>
          <t>air::urban air close to ground</t>
        </is>
      </c>
      <c r="F2308" t="inlineStr">
        <is>
          <t>biosphere</t>
        </is>
      </c>
      <c r="H2308" t="inlineStr">
        <is>
          <t>Methyl ethyl ketone</t>
        </is>
      </c>
      <c r="I2308">
        <v>0</v>
      </c>
    </row>
    <row r="2309">
      <c r="A2309" t="inlineStr">
        <is>
          <t>Acrolein</t>
        </is>
      </c>
      <c r="B2309">
        <v>2.581903535693882e-08</v>
      </c>
      <c r="D2309" t="inlineStr">
        <is>
          <t>kilogram</t>
        </is>
      </c>
      <c r="E2309" t="inlineStr">
        <is>
          <t>air::urban air close to ground</t>
        </is>
      </c>
      <c r="F2309" t="inlineStr">
        <is>
          <t>biosphere</t>
        </is>
      </c>
      <c r="H2309" t="inlineStr">
        <is>
          <t>Acrolein</t>
        </is>
      </c>
      <c r="I2309">
        <v>0</v>
      </c>
    </row>
    <row r="2310">
      <c r="A2310" t="inlineStr">
        <is>
          <t>Styrene</t>
        </is>
      </c>
      <c r="B2310">
        <v>1.3724855637109585e-07</v>
      </c>
      <c r="D2310" t="inlineStr">
        <is>
          <t>kilogram</t>
        </is>
      </c>
      <c r="E2310" t="inlineStr">
        <is>
          <t>air::urban air close to ground</t>
        </is>
      </c>
      <c r="F2310" t="inlineStr">
        <is>
          <t>biosphere</t>
        </is>
      </c>
      <c r="H2310" t="inlineStr">
        <is>
          <t>Styrene</t>
        </is>
      </c>
      <c r="I2310">
        <v>0</v>
      </c>
    </row>
    <row r="2311">
      <c r="A2311" t="inlineStr">
        <is>
          <t>PAH, polycyclic aromatic hydrocarbons</t>
        </is>
      </c>
      <c r="B2311">
        <v>8.188235294117648e-10</v>
      </c>
      <c r="D2311" t="inlineStr">
        <is>
          <t>kilogram</t>
        </is>
      </c>
      <c r="E2311" t="inlineStr">
        <is>
          <t>air::urban air close to ground</t>
        </is>
      </c>
      <c r="F2311" t="inlineStr">
        <is>
          <t>biosphere</t>
        </is>
      </c>
      <c r="H2311" t="inlineStr">
        <is>
          <t>PAHs</t>
        </is>
      </c>
      <c r="I2311">
        <v>0</v>
      </c>
    </row>
    <row r="2312">
      <c r="A2312" t="inlineStr">
        <is>
          <t>Arsenic ion</t>
        </is>
      </c>
      <c r="B2312">
        <v>7.058823529411766e-12</v>
      </c>
      <c r="D2312" t="inlineStr">
        <is>
          <t>kilogram</t>
        </is>
      </c>
      <c r="E2312" t="inlineStr">
        <is>
          <t>air::urban air close to ground</t>
        </is>
      </c>
      <c r="F2312" t="inlineStr">
        <is>
          <t>biosphere</t>
        </is>
      </c>
      <c r="H2312" t="inlineStr">
        <is>
          <t>Arsenic</t>
        </is>
      </c>
      <c r="I2312">
        <v>0</v>
      </c>
    </row>
    <row r="2313">
      <c r="A2313" t="inlineStr">
        <is>
          <t>Selenium IV</t>
        </is>
      </c>
      <c r="B2313">
        <v>4.705882352941177e-12</v>
      </c>
      <c r="D2313" t="inlineStr">
        <is>
          <t>kilogram</t>
        </is>
      </c>
      <c r="E2313" t="inlineStr">
        <is>
          <t>air::urban air close to ground</t>
        </is>
      </c>
      <c r="F2313" t="inlineStr">
        <is>
          <t>biosphere</t>
        </is>
      </c>
      <c r="H2313" t="inlineStr">
        <is>
          <t>Selenium</t>
        </is>
      </c>
      <c r="I2313">
        <v>0</v>
      </c>
    </row>
    <row r="2314">
      <c r="A2314" t="inlineStr">
        <is>
          <t>Zinc II</t>
        </is>
      </c>
      <c r="B2314">
        <v>5.082352941176471e-08</v>
      </c>
      <c r="D2314" t="inlineStr">
        <is>
          <t>kilogram</t>
        </is>
      </c>
      <c r="E2314" t="inlineStr">
        <is>
          <t>air::urban air close to ground</t>
        </is>
      </c>
      <c r="F2314" t="inlineStr">
        <is>
          <t>biosphere</t>
        </is>
      </c>
      <c r="H2314" t="inlineStr">
        <is>
          <t>Zinc</t>
        </is>
      </c>
      <c r="I2314">
        <v>0</v>
      </c>
    </row>
    <row r="2315">
      <c r="A2315" t="inlineStr">
        <is>
          <t>Copper ion</t>
        </is>
      </c>
      <c r="B2315">
        <v>9.88235294117647e-10</v>
      </c>
      <c r="D2315" t="inlineStr">
        <is>
          <t>kilogram</t>
        </is>
      </c>
      <c r="E2315" t="inlineStr">
        <is>
          <t>air::urban air close to ground</t>
        </is>
      </c>
      <c r="F2315" t="inlineStr">
        <is>
          <t>biosphere</t>
        </is>
      </c>
      <c r="H2315" t="inlineStr">
        <is>
          <t>Copper</t>
        </is>
      </c>
      <c r="I2315">
        <v>0</v>
      </c>
    </row>
    <row r="2316">
      <c r="A2316" t="inlineStr">
        <is>
          <t>Nickel II</t>
        </is>
      </c>
      <c r="B2316">
        <v>3.058823529411765e-10</v>
      </c>
      <c r="D2316" t="inlineStr">
        <is>
          <t>kilogram</t>
        </is>
      </c>
      <c r="E2316" t="inlineStr">
        <is>
          <t>air::urban air close to ground</t>
        </is>
      </c>
      <c r="F2316" t="inlineStr">
        <is>
          <t>biosphere</t>
        </is>
      </c>
      <c r="H2316" t="inlineStr">
        <is>
          <t>Nickel</t>
        </is>
      </c>
      <c r="I2316">
        <v>0</v>
      </c>
    </row>
    <row r="2317">
      <c r="A2317" t="inlineStr">
        <is>
          <t>Chromium III</t>
        </is>
      </c>
      <c r="B2317">
        <v>3.7647058823529416e-10</v>
      </c>
      <c r="D2317" t="inlineStr">
        <is>
          <t>kilogram</t>
        </is>
      </c>
      <c r="E2317" t="inlineStr">
        <is>
          <t>air::urban air close to ground</t>
        </is>
      </c>
      <c r="F2317" t="inlineStr">
        <is>
          <t>biosphere</t>
        </is>
      </c>
      <c r="H2317" t="inlineStr">
        <is>
          <t>Chromium</t>
        </is>
      </c>
      <c r="I2317">
        <v>0</v>
      </c>
    </row>
    <row r="2318">
      <c r="A2318" t="inlineStr">
        <is>
          <t>Chromium VI</t>
        </is>
      </c>
      <c r="B2318">
        <v>7.529411764705882e-13</v>
      </c>
      <c r="D2318" t="inlineStr">
        <is>
          <t>kilogram</t>
        </is>
      </c>
      <c r="E2318" t="inlineStr">
        <is>
          <t>air::urban air close to ground</t>
        </is>
      </c>
      <c r="F2318" t="inlineStr">
        <is>
          <t>biosphere</t>
        </is>
      </c>
      <c r="H2318" t="inlineStr">
        <is>
          <t>Chromium VI</t>
        </is>
      </c>
      <c r="I2318">
        <v>0</v>
      </c>
    </row>
    <row r="2319">
      <c r="A2319" t="inlineStr">
        <is>
          <t>Mercury II</t>
        </is>
      </c>
      <c r="B2319">
        <v>2.047058823529412e-10</v>
      </c>
      <c r="D2319" t="inlineStr">
        <is>
          <t>kilogram</t>
        </is>
      </c>
      <c r="E2319" t="inlineStr">
        <is>
          <t>air::urban air close to ground</t>
        </is>
      </c>
      <c r="F2319" t="inlineStr">
        <is>
          <t>biosphere</t>
        </is>
      </c>
      <c r="H2319" t="inlineStr">
        <is>
          <t>Mercury</t>
        </is>
      </c>
      <c r="I2319">
        <v>0</v>
      </c>
    </row>
    <row r="2320">
      <c r="A2320" t="inlineStr">
        <is>
          <t>Cadmium II</t>
        </is>
      </c>
      <c r="B2320">
        <v>2.541176470588236e-10</v>
      </c>
      <c r="D2320" t="inlineStr">
        <is>
          <t>kilogram</t>
        </is>
      </c>
      <c r="E2320" t="inlineStr">
        <is>
          <t>air::urban air close to ground</t>
        </is>
      </c>
      <c r="F2320" t="inlineStr">
        <is>
          <t>biosphere</t>
        </is>
      </c>
      <c r="H2320" t="inlineStr">
        <is>
          <t>Cadmium</t>
        </is>
      </c>
      <c r="I2320">
        <v>0</v>
      </c>
    </row>
    <row r="2321">
      <c r="A2321" t="inlineStr">
        <is>
          <t>treatment of road wear emissions, passenger car</t>
        </is>
      </c>
      <c r="B2321">
        <v>-5.857039126012582e-06</v>
      </c>
      <c r="C2321" t="inlineStr">
        <is>
          <t>RER</t>
        </is>
      </c>
      <c r="D2321" t="inlineStr">
        <is>
          <t>kilogram</t>
        </is>
      </c>
      <c r="F2321" t="inlineStr">
        <is>
          <t>technosphere</t>
        </is>
      </c>
      <c r="G2321" t="inlineStr">
        <is>
          <t>road wear emissions, passenger car</t>
        </is>
      </c>
      <c r="H2321" t="inlineStr">
        <is>
          <t>Road wear [kg/km]</t>
        </is>
      </c>
      <c r="I2321">
        <v>0</v>
      </c>
    </row>
    <row r="2322">
      <c r="A2322" t="inlineStr">
        <is>
          <t>treatment of tyre wear emissions, passenger car</t>
        </is>
      </c>
      <c r="B2322">
        <v>-3.886222117725553e-06</v>
      </c>
      <c r="C2322" t="inlineStr">
        <is>
          <t>RER</t>
        </is>
      </c>
      <c r="D2322" t="inlineStr">
        <is>
          <t>kilogram</t>
        </is>
      </c>
      <c r="F2322" t="inlineStr">
        <is>
          <t>technosphere</t>
        </is>
      </c>
      <c r="G2322" t="inlineStr">
        <is>
          <t>tyre wear emissions, passenger car</t>
        </is>
      </c>
      <c r="H2322" t="inlineStr">
        <is>
          <t>Tire wear [kg/km]</t>
        </is>
      </c>
      <c r="I2322">
        <v>0</v>
      </c>
    </row>
    <row r="2323">
      <c r="A2323" t="inlineStr">
        <is>
          <t>treatment of brake wear emissions, passenger car</t>
        </is>
      </c>
      <c r="B2323">
        <v>-2.1569214522274334e-06</v>
      </c>
      <c r="C2323" t="inlineStr">
        <is>
          <t>RER</t>
        </is>
      </c>
      <c r="D2323" t="inlineStr">
        <is>
          <t>kilogram</t>
        </is>
      </c>
      <c r="F2323" t="inlineStr">
        <is>
          <t>technosphere</t>
        </is>
      </c>
      <c r="G2323" t="inlineStr">
        <is>
          <t>brake wear emissions, passenger car</t>
        </is>
      </c>
      <c r="H2323" t="inlineStr">
        <is>
          <t>Brake wear [kg/km]</t>
        </is>
      </c>
      <c r="I2323">
        <v>0</v>
      </c>
    </row>
    <row r="2324">
      <c r="A2324" t="inlineStr">
        <is>
          <t>Carbon dioxide, non-fossil</t>
        </is>
      </c>
      <c r="B2324">
        <v>0.07351181066138031</v>
      </c>
      <c r="D2324" t="inlineStr">
        <is>
          <t>kilogram</t>
        </is>
      </c>
      <c r="E2324" t="inlineStr">
        <is>
          <t>air::urban air close to ground</t>
        </is>
      </c>
      <c r="F2324" t="inlineStr">
        <is>
          <t>biosphere</t>
        </is>
      </c>
      <c r="H2324" t="inlineStr">
        <is>
          <t>1.91 kgCO2/kg ethanol combusted.</t>
        </is>
      </c>
      <c r="I2324">
        <v>0</v>
      </c>
    </row>
    <row r="2325">
      <c r="A2325" t="inlineStr">
        <is>
          <t>Carbon dioxide, from soil or biomass stock</t>
        </is>
      </c>
      <c r="B2325">
        <v>0.0003881893386196917</v>
      </c>
      <c r="D2325" t="inlineStr">
        <is>
          <t>kilogram</t>
        </is>
      </c>
      <c r="E2325" t="inlineStr">
        <is>
          <t>air::urban air close to ground</t>
        </is>
      </c>
      <c r="F2325" t="inlineStr">
        <is>
          <t>biosphere</t>
        </is>
      </c>
      <c r="I2325">
        <v>0</v>
      </c>
    </row>
    <row r="2326"/>
    <row r="2327">
      <c r="A2327" t="inlineStr">
        <is>
          <t>Activity</t>
        </is>
      </c>
      <c r="B2327" t="inlineStr">
        <is>
          <t>bioethanol, from residues, burned in motorcycle</t>
        </is>
      </c>
    </row>
    <row r="2328">
      <c r="A2328" t="inlineStr">
        <is>
          <t>location</t>
        </is>
      </c>
      <c r="B2328" t="inlineStr">
        <is>
          <t>RER</t>
        </is>
      </c>
    </row>
    <row r="2329">
      <c r="A2329" t="inlineStr">
        <is>
          <t>production amount</t>
        </is>
      </c>
      <c r="B2329">
        <v>1</v>
      </c>
    </row>
    <row r="2330">
      <c r="A2330" t="inlineStr">
        <is>
          <t>reference product</t>
        </is>
      </c>
      <c r="B2330" t="inlineStr">
        <is>
          <t>heat</t>
        </is>
      </c>
    </row>
    <row r="2331">
      <c r="A2331" t="inlineStr">
        <is>
          <t>type</t>
        </is>
      </c>
      <c r="B2331" t="inlineStr">
        <is>
          <t>process</t>
        </is>
      </c>
    </row>
    <row r="2332">
      <c r="A2332" t="inlineStr">
        <is>
          <t>unit</t>
        </is>
      </c>
      <c r="B2332" t="inlineStr">
        <is>
          <t>megajoule</t>
        </is>
      </c>
    </row>
    <row r="2333">
      <c r="A2333" t="inlineStr">
        <is>
          <t>Power, mean</t>
        </is>
      </c>
      <c r="B2333">
        <v>20</v>
      </c>
    </row>
    <row r="2334">
      <c r="A2334" t="inlineStr">
        <is>
          <t>Power, min</t>
        </is>
      </c>
      <c r="B2334">
        <v>9</v>
      </c>
    </row>
    <row r="2335">
      <c r="A2335" t="inlineStr">
        <is>
          <t>Power, max</t>
        </is>
      </c>
      <c r="B2335">
        <v>92</v>
      </c>
    </row>
    <row r="2336">
      <c r="A2336" t="inlineStr">
        <is>
          <t>Lifetime, mean</t>
        </is>
      </c>
      <c r="B2336">
        <v>100000</v>
      </c>
    </row>
    <row r="2337">
      <c r="A2337" t="inlineStr">
        <is>
          <t>Lifetime, min</t>
        </is>
      </c>
      <c r="B2337">
        <v>50000</v>
      </c>
    </row>
    <row r="2338">
      <c r="A2338" t="inlineStr">
        <is>
          <t>Lifetime, max</t>
        </is>
      </c>
      <c r="B2338">
        <v>200000</v>
      </c>
    </row>
    <row r="2339">
      <c r="A2339" t="inlineStr">
        <is>
          <t>Energy use, mean</t>
        </is>
      </c>
      <c r="B2339">
        <v>1300</v>
      </c>
    </row>
    <row r="2340">
      <c r="A2340" t="inlineStr">
        <is>
          <t>Energy use, min</t>
        </is>
      </c>
      <c r="B2340">
        <v>800</v>
      </c>
    </row>
    <row r="2341">
      <c r="A2341" t="inlineStr">
        <is>
          <t>Energy use, max</t>
        </is>
      </c>
      <c r="B2341">
        <v>1530</v>
      </c>
    </row>
    <row r="2342">
      <c r="A2342" t="inlineStr">
        <is>
          <t>Combustion engine, mean</t>
        </is>
      </c>
      <c r="B2342">
        <v>14</v>
      </c>
    </row>
    <row r="2343">
      <c r="A2343" t="inlineStr">
        <is>
          <t>Combustion engine, min</t>
        </is>
      </c>
      <c r="B2343">
        <v>6</v>
      </c>
    </row>
    <row r="2344">
      <c r="A2344" t="inlineStr">
        <is>
          <t>Combustion engine, max</t>
        </is>
      </c>
      <c r="B2344">
        <v>65</v>
      </c>
    </row>
    <row r="2345">
      <c r="A2345" t="inlineStr">
        <is>
          <t>Fuel tank, mean</t>
        </is>
      </c>
      <c r="B2345">
        <v>10</v>
      </c>
    </row>
    <row r="2346">
      <c r="A2346" t="inlineStr">
        <is>
          <t>Fuel tank, min</t>
        </is>
      </c>
      <c r="B2346">
        <v>6</v>
      </c>
    </row>
    <row r="2347">
      <c r="A2347" t="inlineStr">
        <is>
          <t>Fuel tank, max</t>
        </is>
      </c>
      <c r="B2347">
        <v>12</v>
      </c>
    </row>
    <row r="2348">
      <c r="A2348" t="inlineStr">
        <is>
          <t>NOx</t>
        </is>
      </c>
      <c r="B2348">
        <v>0.007581145</v>
      </c>
    </row>
    <row r="2349">
      <c r="A2349" t="inlineStr">
        <is>
          <t>PM 2.5</t>
        </is>
      </c>
      <c r="B2349">
        <v>0.000565099</v>
      </c>
    </row>
    <row r="2350">
      <c r="A2350" t="inlineStr">
        <is>
          <t>energy use source</t>
        </is>
      </c>
      <c r="B2350"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51">
      <c r="A2351" t="inlineStr">
        <is>
          <t>comment</t>
        </is>
      </c>
      <c r="B2351"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52">
      <c r="A2352" t="inlineStr">
        <is>
          <t>Exchanges</t>
        </is>
      </c>
    </row>
    <row r="2353">
      <c r="A2353" t="inlineStr">
        <is>
          <t>name</t>
        </is>
      </c>
      <c r="B2353" t="inlineStr">
        <is>
          <t>amount</t>
        </is>
      </c>
      <c r="C2353" t="inlineStr">
        <is>
          <t>location</t>
        </is>
      </c>
      <c r="D2353" t="inlineStr">
        <is>
          <t>unit</t>
        </is>
      </c>
      <c r="E2353" t="inlineStr">
        <is>
          <t>categories</t>
        </is>
      </c>
      <c r="F2353" t="inlineStr">
        <is>
          <t>type</t>
        </is>
      </c>
      <c r="G2353" t="inlineStr">
        <is>
          <t>reference product</t>
        </is>
      </c>
      <c r="H2353" t="inlineStr">
        <is>
          <t>comment</t>
        </is>
      </c>
      <c r="I2353" t="inlineStr">
        <is>
          <t>uncertainty type</t>
        </is>
      </c>
    </row>
    <row r="2354">
      <c r="A2354" t="inlineStr">
        <is>
          <t>bioethanol, from residues, burned in motorcycle</t>
        </is>
      </c>
      <c r="B2354">
        <v>1.0</v>
      </c>
      <c r="C2354" t="inlineStr">
        <is>
          <t>RER</t>
        </is>
      </c>
      <c r="D2354" t="inlineStr">
        <is>
          <t>megajoule</t>
        </is>
      </c>
      <c r="F2354" t="inlineStr">
        <is>
          <t>production</t>
        </is>
      </c>
      <c r="G2354" t="inlineStr">
        <is>
          <t>heat</t>
        </is>
      </c>
      <c r="I2354">
        <v>0</v>
      </c>
    </row>
    <row r="2355">
      <c r="A2355" t="inlineStr">
        <is>
          <t>ethanol production, via fermentation, from forest residue, economic allocation</t>
        </is>
      </c>
      <c r="B2355">
        <v>0.03773584905660377</v>
      </c>
      <c r="C2355" t="inlineStr">
        <is>
          <t>US</t>
        </is>
      </c>
      <c r="D2355" t="inlineStr">
        <is>
          <t>kilogram</t>
        </is>
      </c>
      <c r="F2355" t="inlineStr">
        <is>
          <t>technosphere</t>
        </is>
      </c>
      <c r="G2355" t="inlineStr">
        <is>
          <t>ethanol, from forest residue</t>
        </is>
      </c>
      <c r="I2355">
        <v>0</v>
      </c>
    </row>
    <row r="2356">
      <c r="A2356" t="inlineStr">
        <is>
          <t>polyethylene production, high density, granulate</t>
        </is>
      </c>
      <c r="B2356">
        <v>3.004649931974593e-05</v>
      </c>
      <c r="C2356" t="inlineStr">
        <is>
          <t>RER</t>
        </is>
      </c>
      <c r="D2356" t="inlineStr">
        <is>
          <t>kilogram</t>
        </is>
      </c>
      <c r="F2356" t="inlineStr">
        <is>
          <t>technosphere</t>
        </is>
      </c>
      <c r="G2356" t="inlineStr">
        <is>
          <t>polyethylene, high density, granulate</t>
        </is>
      </c>
      <c r="H2356" t="inlineStr">
        <is>
          <t>Fuel tank mass [kg] Energy-use allocation: 1.6875 * 2.5974025974025975e-05 / 1.4587778883899432 MJ per kilometer.</t>
        </is>
      </c>
      <c r="I2356">
        <v>0</v>
      </c>
    </row>
    <row r="2357">
      <c r="A2357" t="inlineStr">
        <is>
          <t>Sulfur dioxide</t>
        </is>
      </c>
      <c r="B2357">
        <v>3.755868544600939e-07</v>
      </c>
      <c r="D2357" t="inlineStr">
        <is>
          <t>kilogram</t>
        </is>
      </c>
      <c r="E2357" t="inlineStr">
        <is>
          <t>air::urban air close to ground</t>
        </is>
      </c>
      <c r="F2357" t="inlineStr">
        <is>
          <t>biosphere</t>
        </is>
      </c>
      <c r="H2357" t="inlineStr">
        <is>
          <t>SO2</t>
        </is>
      </c>
      <c r="I2357">
        <v>0</v>
      </c>
    </row>
    <row r="2358">
      <c r="A2358" t="inlineStr">
        <is>
          <t>Benzene</t>
        </is>
      </c>
      <c r="B2358">
        <v>7.62340991328562e-07</v>
      </c>
      <c r="D2358" t="inlineStr">
        <is>
          <t>kilogram</t>
        </is>
      </c>
      <c r="E2358" t="inlineStr">
        <is>
          <t>air::urban air close to ground</t>
        </is>
      </c>
      <c r="F2358" t="inlineStr">
        <is>
          <t>biosphere</t>
        </is>
      </c>
      <c r="H2358" t="inlineStr">
        <is>
          <t>Benzene</t>
        </is>
      </c>
      <c r="I2358">
        <v>0</v>
      </c>
    </row>
    <row r="2359">
      <c r="A2359" t="inlineStr">
        <is>
          <t>Methane, fossil</t>
        </is>
      </c>
      <c r="B2359">
        <v>1.8797075715851682e-05</v>
      </c>
      <c r="D2359" t="inlineStr">
        <is>
          <t>kilogram</t>
        </is>
      </c>
      <c r="E2359" t="inlineStr">
        <is>
          <t>air::urban air close to ground</t>
        </is>
      </c>
      <c r="F2359" t="inlineStr">
        <is>
          <t>biosphere</t>
        </is>
      </c>
      <c r="H2359" t="inlineStr">
        <is>
          <t>CH4</t>
        </is>
      </c>
      <c r="I2359">
        <v>0</v>
      </c>
    </row>
    <row r="2360">
      <c r="A2360" t="inlineStr">
        <is>
          <t>Carbon monoxide, fossil</t>
        </is>
      </c>
      <c r="B2360">
        <v>8.345515188546348e-05</v>
      </c>
      <c r="D2360" t="inlineStr">
        <is>
          <t>kilogram</t>
        </is>
      </c>
      <c r="E2360" t="inlineStr">
        <is>
          <t>air::urban air close to ground</t>
        </is>
      </c>
      <c r="F2360" t="inlineStr">
        <is>
          <t>biosphere</t>
        </is>
      </c>
      <c r="H2360" t="inlineStr">
        <is>
          <t>CO</t>
        </is>
      </c>
      <c r="I2360">
        <v>0</v>
      </c>
    </row>
    <row r="2361">
      <c r="A2361" t="inlineStr">
        <is>
          <t>Dinitrogen monoxide</t>
        </is>
      </c>
      <c r="B2361">
        <v>5.653255854391483e-07</v>
      </c>
      <c r="D2361" t="inlineStr">
        <is>
          <t>kilogram</t>
        </is>
      </c>
      <c r="E2361" t="inlineStr">
        <is>
          <t>air::urban air close to ground</t>
        </is>
      </c>
      <c r="F2361" t="inlineStr">
        <is>
          <t>biosphere</t>
        </is>
      </c>
      <c r="H2361" t="inlineStr">
        <is>
          <t>N2O</t>
        </is>
      </c>
      <c r="I2361">
        <v>0</v>
      </c>
    </row>
    <row r="2362">
      <c r="A2362" t="inlineStr">
        <is>
          <t>Ammonia</t>
        </is>
      </c>
      <c r="B2362">
        <v>5.653255854391483e-07</v>
      </c>
      <c r="D2362" t="inlineStr">
        <is>
          <t>kilogram</t>
        </is>
      </c>
      <c r="E2362" t="inlineStr">
        <is>
          <t>air::urban air close to ground</t>
        </is>
      </c>
      <c r="F2362" t="inlineStr">
        <is>
          <t>biosphere</t>
        </is>
      </c>
      <c r="H2362" t="inlineStr">
        <is>
          <t>NH3</t>
        </is>
      </c>
      <c r="I2362">
        <v>0</v>
      </c>
    </row>
    <row r="2363">
      <c r="A2363" t="inlineStr">
        <is>
          <t>Nitrogen oxides</t>
        </is>
      </c>
      <c r="B2363">
        <v>6.162014101297245e-06</v>
      </c>
      <c r="D2363" t="inlineStr">
        <is>
          <t>kilogram</t>
        </is>
      </c>
      <c r="E2363" t="inlineStr">
        <is>
          <t>air::urban air close to ground</t>
        </is>
      </c>
      <c r="F2363" t="inlineStr">
        <is>
          <t>biosphere</t>
        </is>
      </c>
      <c r="H2363" t="inlineStr">
        <is>
          <t>NOx</t>
        </is>
      </c>
      <c r="I2363">
        <v>0</v>
      </c>
    </row>
    <row r="2364">
      <c r="A2364" t="inlineStr">
        <is>
          <t>Particulate Matter, &lt; 2.5 um</t>
        </is>
      </c>
      <c r="B2364">
        <v>1.4133139635978708e-06</v>
      </c>
      <c r="D2364" t="inlineStr">
        <is>
          <t>kilogram</t>
        </is>
      </c>
      <c r="E2364" t="inlineStr">
        <is>
          <t>air::urban air close to ground</t>
        </is>
      </c>
      <c r="F2364" t="inlineStr">
        <is>
          <t>biosphere</t>
        </is>
      </c>
      <c r="H2364" t="inlineStr">
        <is>
          <t>PM2.5</t>
        </is>
      </c>
      <c r="I2364">
        <v>0</v>
      </c>
    </row>
    <row r="2365">
      <c r="A2365" t="inlineStr">
        <is>
          <t>NMVOC, non-methane volatile organic compounds</t>
        </is>
      </c>
      <c r="B2365">
        <v>6.1476482081469075e-06</v>
      </c>
      <c r="D2365" t="inlineStr">
        <is>
          <t>kilogram</t>
        </is>
      </c>
      <c r="E2365" t="inlineStr">
        <is>
          <t>air::urban air close to ground</t>
        </is>
      </c>
      <c r="F2365" t="inlineStr">
        <is>
          <t>biosphere</t>
        </is>
      </c>
      <c r="H2365" t="inlineStr">
        <is>
          <t>NMVOC</t>
        </is>
      </c>
      <c r="I2365">
        <v>0</v>
      </c>
    </row>
    <row r="2366">
      <c r="A2366" t="inlineStr">
        <is>
          <t>Ethane</t>
        </is>
      </c>
      <c r="B2366">
        <v>4.3348801467702544e-07</v>
      </c>
      <c r="D2366" t="inlineStr">
        <is>
          <t>kilogram</t>
        </is>
      </c>
      <c r="E2366" t="inlineStr">
        <is>
          <t>air::urban air close to ground</t>
        </is>
      </c>
      <c r="F2366" t="inlineStr">
        <is>
          <t>biosphere</t>
        </is>
      </c>
      <c r="H2366" t="inlineStr">
        <is>
          <t>Ethane</t>
        </is>
      </c>
      <c r="I2366">
        <v>0</v>
      </c>
    </row>
    <row r="2367">
      <c r="A2367" t="inlineStr">
        <is>
          <t>Propane</t>
        </is>
      </c>
      <c r="B2367">
        <v>8.832827885268543e-08</v>
      </c>
      <c r="D2367" t="inlineStr">
        <is>
          <t>kilogram</t>
        </is>
      </c>
      <c r="E2367" t="inlineStr">
        <is>
          <t>air::urban air close to ground</t>
        </is>
      </c>
      <c r="F2367" t="inlineStr">
        <is>
          <t>biosphere</t>
        </is>
      </c>
      <c r="H2367" t="inlineStr">
        <is>
          <t>Propane</t>
        </is>
      </c>
      <c r="I2367">
        <v>0</v>
      </c>
    </row>
    <row r="2368">
      <c r="A2368" t="inlineStr">
        <is>
          <t>Butane</t>
        </is>
      </c>
      <c r="B2368">
        <v>7.120618172124179e-07</v>
      </c>
      <c r="D2368" t="inlineStr">
        <is>
          <t>kilogram</t>
        </is>
      </c>
      <c r="E2368" t="inlineStr">
        <is>
          <t>air::urban air close to ground</t>
        </is>
      </c>
      <c r="F2368" t="inlineStr">
        <is>
          <t>biosphere</t>
        </is>
      </c>
      <c r="H2368" t="inlineStr">
        <is>
          <t>Butane</t>
        </is>
      </c>
      <c r="I2368">
        <v>0</v>
      </c>
    </row>
    <row r="2369">
      <c r="A2369" t="inlineStr">
        <is>
          <t>Pentane</t>
        </is>
      </c>
      <c r="B2369">
        <v>2.9216276851272876e-07</v>
      </c>
      <c r="D2369" t="inlineStr">
        <is>
          <t>kilogram</t>
        </is>
      </c>
      <c r="E2369" t="inlineStr">
        <is>
          <t>air::urban air close to ground</t>
        </is>
      </c>
      <c r="F2369" t="inlineStr">
        <is>
          <t>biosphere</t>
        </is>
      </c>
      <c r="H2369" t="inlineStr">
        <is>
          <t>Pentane</t>
        </is>
      </c>
      <c r="I2369">
        <v>0</v>
      </c>
    </row>
    <row r="2370">
      <c r="A2370" t="inlineStr">
        <is>
          <t>Hexane</t>
        </is>
      </c>
      <c r="B2370">
        <v>2.1878235223511317e-07</v>
      </c>
      <c r="D2370" t="inlineStr">
        <is>
          <t>kilogram</t>
        </is>
      </c>
      <c r="E2370" t="inlineStr">
        <is>
          <t>air::urban air close to ground</t>
        </is>
      </c>
      <c r="F2370" t="inlineStr">
        <is>
          <t>biosphere</t>
        </is>
      </c>
      <c r="H2370" t="inlineStr">
        <is>
          <t>Hexane</t>
        </is>
      </c>
      <c r="I2370">
        <v>0</v>
      </c>
    </row>
    <row r="2371">
      <c r="A2371" t="inlineStr">
        <is>
          <t>Cyclohexane</t>
        </is>
      </c>
      <c r="B2371">
        <v>1.5491421214163292e-07</v>
      </c>
      <c r="D2371" t="inlineStr">
        <is>
          <t>kilogram</t>
        </is>
      </c>
      <c r="E2371" t="inlineStr">
        <is>
          <t>air::urban air close to ground</t>
        </is>
      </c>
      <c r="F2371" t="inlineStr">
        <is>
          <t>biosphere</t>
        </is>
      </c>
      <c r="H2371" t="inlineStr">
        <is>
          <t>Cyclohexane</t>
        </is>
      </c>
      <c r="I2371">
        <v>0</v>
      </c>
    </row>
    <row r="2372">
      <c r="A2372" t="inlineStr">
        <is>
          <t>Heptane</t>
        </is>
      </c>
      <c r="B2372">
        <v>1.0055834823228804e-07</v>
      </c>
      <c r="D2372" t="inlineStr">
        <is>
          <t>kilogram</t>
        </is>
      </c>
      <c r="E2372" t="inlineStr">
        <is>
          <t>air::urban air close to ground</t>
        </is>
      </c>
      <c r="F2372" t="inlineStr">
        <is>
          <t>biosphere</t>
        </is>
      </c>
      <c r="H2372" t="inlineStr">
        <is>
          <t>Heptane</t>
        </is>
      </c>
      <c r="I2372">
        <v>0</v>
      </c>
    </row>
    <row r="2373">
      <c r="A2373" t="inlineStr">
        <is>
          <t>Ethylene</t>
        </is>
      </c>
      <c r="B2373">
        <v>9.919945163455441e-07</v>
      </c>
      <c r="D2373" t="inlineStr">
        <is>
          <t>kilogram</t>
        </is>
      </c>
      <c r="E2373" t="inlineStr">
        <is>
          <t>air::urban air close to ground</t>
        </is>
      </c>
      <c r="F2373" t="inlineStr">
        <is>
          <t>biosphere</t>
        </is>
      </c>
      <c r="H2373" t="inlineStr">
        <is>
          <t>Ethene</t>
        </is>
      </c>
      <c r="I2373">
        <v>0</v>
      </c>
    </row>
    <row r="2374">
      <c r="A2374" t="inlineStr">
        <is>
          <t>Propylene</t>
        </is>
      </c>
      <c r="B2374">
        <v>5.190985003342436e-07</v>
      </c>
      <c r="D2374" t="inlineStr">
        <is>
          <t>kilogram</t>
        </is>
      </c>
      <c r="E2374" t="inlineStr">
        <is>
          <t>air::urban air close to ground</t>
        </is>
      </c>
      <c r="F2374" t="inlineStr">
        <is>
          <t>biosphere</t>
        </is>
      </c>
      <c r="H2374" t="inlineStr">
        <is>
          <t>Propene</t>
        </is>
      </c>
      <c r="I2374">
        <v>0</v>
      </c>
    </row>
    <row r="2375">
      <c r="A2375" t="inlineStr">
        <is>
          <t>1-Pentene</t>
        </is>
      </c>
      <c r="B2375">
        <v>1.4947862575069847e-08</v>
      </c>
      <c r="D2375" t="inlineStr">
        <is>
          <t>kilogram</t>
        </is>
      </c>
      <c r="E2375" t="inlineStr">
        <is>
          <t>air::urban air close to ground</t>
        </is>
      </c>
      <c r="F2375" t="inlineStr">
        <is>
          <t>biosphere</t>
        </is>
      </c>
      <c r="H2375" t="inlineStr">
        <is>
          <t>1-Pentene</t>
        </is>
      </c>
      <c r="I2375">
        <v>0</v>
      </c>
    </row>
    <row r="2376">
      <c r="A2376" t="inlineStr">
        <is>
          <t>Toluene</t>
        </is>
      </c>
      <c r="B2376">
        <v>1.4920684643115172e-06</v>
      </c>
      <c r="D2376" t="inlineStr">
        <is>
          <t>kilogram</t>
        </is>
      </c>
      <c r="E2376" t="inlineStr">
        <is>
          <t>air::urban air close to ground</t>
        </is>
      </c>
      <c r="F2376" t="inlineStr">
        <is>
          <t>biosphere</t>
        </is>
      </c>
      <c r="H2376" t="inlineStr">
        <is>
          <t>Toluene</t>
        </is>
      </c>
      <c r="I2376">
        <v>0</v>
      </c>
    </row>
    <row r="2377">
      <c r="A2377" t="inlineStr">
        <is>
          <t>m-Xylene</t>
        </is>
      </c>
      <c r="B2377">
        <v>7.37880852569357e-07</v>
      </c>
      <c r="D2377" t="inlineStr">
        <is>
          <t>kilogram</t>
        </is>
      </c>
      <c r="E2377" t="inlineStr">
        <is>
          <t>air::urban air close to ground</t>
        </is>
      </c>
      <c r="F2377" t="inlineStr">
        <is>
          <t>biosphere</t>
        </is>
      </c>
      <c r="H2377" t="inlineStr">
        <is>
          <t>m-Xylene</t>
        </is>
      </c>
      <c r="I2377">
        <v>0</v>
      </c>
    </row>
    <row r="2378">
      <c r="A2378" t="inlineStr">
        <is>
          <t>o-Xylene</t>
        </is>
      </c>
      <c r="B2378">
        <v>3.071106310877986e-07</v>
      </c>
      <c r="D2378" t="inlineStr">
        <is>
          <t>kilogram</t>
        </is>
      </c>
      <c r="E2378" t="inlineStr">
        <is>
          <t>air::urban air close to ground</t>
        </is>
      </c>
      <c r="F2378" t="inlineStr">
        <is>
          <t>biosphere</t>
        </is>
      </c>
      <c r="H2378" t="inlineStr">
        <is>
          <t>o-Xylene</t>
        </is>
      </c>
      <c r="I2378">
        <v>0</v>
      </c>
    </row>
    <row r="2379">
      <c r="A2379" t="inlineStr">
        <is>
          <t>Formaldehyde</t>
        </is>
      </c>
      <c r="B2379">
        <v>2.310124216147158e-07</v>
      </c>
      <c r="D2379" t="inlineStr">
        <is>
          <t>kilogram</t>
        </is>
      </c>
      <c r="E2379" t="inlineStr">
        <is>
          <t>air::urban air close to ground</t>
        </is>
      </c>
      <c r="F2379" t="inlineStr">
        <is>
          <t>biosphere</t>
        </is>
      </c>
      <c r="H2379" t="inlineStr">
        <is>
          <t>Formaldehyde</t>
        </is>
      </c>
      <c r="I2379">
        <v>0</v>
      </c>
    </row>
    <row r="2380">
      <c r="A2380" t="inlineStr">
        <is>
          <t>Acetaldehyde</t>
        </is>
      </c>
      <c r="B2380">
        <v>1.0191724483002165e-07</v>
      </c>
      <c r="D2380" t="inlineStr">
        <is>
          <t>kilogram</t>
        </is>
      </c>
      <c r="E2380" t="inlineStr">
        <is>
          <t>air::urban air close to ground</t>
        </is>
      </c>
      <c r="F2380" t="inlineStr">
        <is>
          <t>biosphere</t>
        </is>
      </c>
      <c r="H2380" t="inlineStr">
        <is>
          <t>Acetaldehyde</t>
        </is>
      </c>
      <c r="I2380">
        <v>0</v>
      </c>
    </row>
    <row r="2381">
      <c r="A2381" t="inlineStr">
        <is>
          <t>Benzaldehyde</t>
        </is>
      </c>
      <c r="B2381">
        <v>2.9895725150139694e-08</v>
      </c>
      <c r="D2381" t="inlineStr">
        <is>
          <t>kilogram</t>
        </is>
      </c>
      <c r="E2381" t="inlineStr">
        <is>
          <t>air::urban air close to ground</t>
        </is>
      </c>
      <c r="F2381" t="inlineStr">
        <is>
          <t>biosphere</t>
        </is>
      </c>
      <c r="H2381" t="inlineStr">
        <is>
          <t>Benzaldehyde</t>
        </is>
      </c>
      <c r="I2381">
        <v>0</v>
      </c>
    </row>
    <row r="2382">
      <c r="A2382" t="inlineStr">
        <is>
          <t>Acetone</t>
        </is>
      </c>
      <c r="B2382">
        <v>8.289269246175097e-08</v>
      </c>
      <c r="D2382" t="inlineStr">
        <is>
          <t>kilogram</t>
        </is>
      </c>
      <c r="E2382" t="inlineStr">
        <is>
          <t>air::urban air close to ground</t>
        </is>
      </c>
      <c r="F2382" t="inlineStr">
        <is>
          <t>biosphere</t>
        </is>
      </c>
      <c r="H2382" t="inlineStr">
        <is>
          <t>Acetone</t>
        </is>
      </c>
      <c r="I2382">
        <v>0</v>
      </c>
    </row>
    <row r="2383">
      <c r="A2383" t="inlineStr">
        <is>
          <t>Methyl ethyl ketone</t>
        </is>
      </c>
      <c r="B2383">
        <v>0.0</v>
      </c>
      <c r="D2383" t="inlineStr">
        <is>
          <t>kilogram</t>
        </is>
      </c>
      <c r="E2383" t="inlineStr">
        <is>
          <t>air::urban air close to ground</t>
        </is>
      </c>
      <c r="F2383" t="inlineStr">
        <is>
          <t>biosphere</t>
        </is>
      </c>
      <c r="H2383" t="inlineStr">
        <is>
          <t>Methyl ethyl ketone</t>
        </is>
      </c>
      <c r="I2383">
        <v>0</v>
      </c>
    </row>
    <row r="2384">
      <c r="A2384" t="inlineStr">
        <is>
          <t>Acrolein</t>
        </is>
      </c>
      <c r="B2384">
        <v>2.581903535693882e-08</v>
      </c>
      <c r="D2384" t="inlineStr">
        <is>
          <t>kilogram</t>
        </is>
      </c>
      <c r="E2384" t="inlineStr">
        <is>
          <t>air::urban air close to ground</t>
        </is>
      </c>
      <c r="F2384" t="inlineStr">
        <is>
          <t>biosphere</t>
        </is>
      </c>
      <c r="H2384" t="inlineStr">
        <is>
          <t>Acrolein</t>
        </is>
      </c>
      <c r="I2384">
        <v>0</v>
      </c>
    </row>
    <row r="2385">
      <c r="A2385" t="inlineStr">
        <is>
          <t>Styrene</t>
        </is>
      </c>
      <c r="B2385">
        <v>1.3724855637109585e-07</v>
      </c>
      <c r="D2385" t="inlineStr">
        <is>
          <t>kilogram</t>
        </is>
      </c>
      <c r="E2385" t="inlineStr">
        <is>
          <t>air::urban air close to ground</t>
        </is>
      </c>
      <c r="F2385" t="inlineStr">
        <is>
          <t>biosphere</t>
        </is>
      </c>
      <c r="H2385" t="inlineStr">
        <is>
          <t>Styrene</t>
        </is>
      </c>
      <c r="I2385">
        <v>0</v>
      </c>
    </row>
    <row r="2386">
      <c r="A2386" t="inlineStr">
        <is>
          <t>PAH, polycyclic aromatic hydrocarbons</t>
        </is>
      </c>
      <c r="B2386">
        <v>8.188235294117648e-10</v>
      </c>
      <c r="D2386" t="inlineStr">
        <is>
          <t>kilogram</t>
        </is>
      </c>
      <c r="E2386" t="inlineStr">
        <is>
          <t>air::urban air close to ground</t>
        </is>
      </c>
      <c r="F2386" t="inlineStr">
        <is>
          <t>biosphere</t>
        </is>
      </c>
      <c r="H2386" t="inlineStr">
        <is>
          <t>PAHs</t>
        </is>
      </c>
      <c r="I2386">
        <v>0</v>
      </c>
    </row>
    <row r="2387">
      <c r="A2387" t="inlineStr">
        <is>
          <t>Arsenic ion</t>
        </is>
      </c>
      <c r="B2387">
        <v>7.058823529411766e-12</v>
      </c>
      <c r="D2387" t="inlineStr">
        <is>
          <t>kilogram</t>
        </is>
      </c>
      <c r="E2387" t="inlineStr">
        <is>
          <t>air::urban air close to ground</t>
        </is>
      </c>
      <c r="F2387" t="inlineStr">
        <is>
          <t>biosphere</t>
        </is>
      </c>
      <c r="H2387" t="inlineStr">
        <is>
          <t>Arsenic</t>
        </is>
      </c>
      <c r="I2387">
        <v>0</v>
      </c>
    </row>
    <row r="2388">
      <c r="A2388" t="inlineStr">
        <is>
          <t>Selenium IV</t>
        </is>
      </c>
      <c r="B2388">
        <v>4.705882352941177e-12</v>
      </c>
      <c r="D2388" t="inlineStr">
        <is>
          <t>kilogram</t>
        </is>
      </c>
      <c r="E2388" t="inlineStr">
        <is>
          <t>air::urban air close to ground</t>
        </is>
      </c>
      <c r="F2388" t="inlineStr">
        <is>
          <t>biosphere</t>
        </is>
      </c>
      <c r="H2388" t="inlineStr">
        <is>
          <t>Selenium</t>
        </is>
      </c>
      <c r="I2388">
        <v>0</v>
      </c>
    </row>
    <row r="2389">
      <c r="A2389" t="inlineStr">
        <is>
          <t>Zinc II</t>
        </is>
      </c>
      <c r="B2389">
        <v>5.082352941176471e-08</v>
      </c>
      <c r="D2389" t="inlineStr">
        <is>
          <t>kilogram</t>
        </is>
      </c>
      <c r="E2389" t="inlineStr">
        <is>
          <t>air::urban air close to ground</t>
        </is>
      </c>
      <c r="F2389" t="inlineStr">
        <is>
          <t>biosphere</t>
        </is>
      </c>
      <c r="H2389" t="inlineStr">
        <is>
          <t>Zinc</t>
        </is>
      </c>
      <c r="I2389">
        <v>0</v>
      </c>
    </row>
    <row r="2390">
      <c r="A2390" t="inlineStr">
        <is>
          <t>Copper ion</t>
        </is>
      </c>
      <c r="B2390">
        <v>9.88235294117647e-10</v>
      </c>
      <c r="D2390" t="inlineStr">
        <is>
          <t>kilogram</t>
        </is>
      </c>
      <c r="E2390" t="inlineStr">
        <is>
          <t>air::urban air close to ground</t>
        </is>
      </c>
      <c r="F2390" t="inlineStr">
        <is>
          <t>biosphere</t>
        </is>
      </c>
      <c r="H2390" t="inlineStr">
        <is>
          <t>Copper</t>
        </is>
      </c>
      <c r="I2390">
        <v>0</v>
      </c>
    </row>
    <row r="2391">
      <c r="A2391" t="inlineStr">
        <is>
          <t>Nickel II</t>
        </is>
      </c>
      <c r="B2391">
        <v>3.058823529411765e-10</v>
      </c>
      <c r="D2391" t="inlineStr">
        <is>
          <t>kilogram</t>
        </is>
      </c>
      <c r="E2391" t="inlineStr">
        <is>
          <t>air::urban air close to ground</t>
        </is>
      </c>
      <c r="F2391" t="inlineStr">
        <is>
          <t>biosphere</t>
        </is>
      </c>
      <c r="H2391" t="inlineStr">
        <is>
          <t>Nickel</t>
        </is>
      </c>
      <c r="I2391">
        <v>0</v>
      </c>
    </row>
    <row r="2392">
      <c r="A2392" t="inlineStr">
        <is>
          <t>Chromium III</t>
        </is>
      </c>
      <c r="B2392">
        <v>3.7647058823529416e-10</v>
      </c>
      <c r="D2392" t="inlineStr">
        <is>
          <t>kilogram</t>
        </is>
      </c>
      <c r="E2392" t="inlineStr">
        <is>
          <t>air::urban air close to ground</t>
        </is>
      </c>
      <c r="F2392" t="inlineStr">
        <is>
          <t>biosphere</t>
        </is>
      </c>
      <c r="H2392" t="inlineStr">
        <is>
          <t>Chromium</t>
        </is>
      </c>
      <c r="I2392">
        <v>0</v>
      </c>
    </row>
    <row r="2393">
      <c r="A2393" t="inlineStr">
        <is>
          <t>Chromium VI</t>
        </is>
      </c>
      <c r="B2393">
        <v>7.529411764705882e-13</v>
      </c>
      <c r="D2393" t="inlineStr">
        <is>
          <t>kilogram</t>
        </is>
      </c>
      <c r="E2393" t="inlineStr">
        <is>
          <t>air::urban air close to ground</t>
        </is>
      </c>
      <c r="F2393" t="inlineStr">
        <is>
          <t>biosphere</t>
        </is>
      </c>
      <c r="H2393" t="inlineStr">
        <is>
          <t>Chromium VI</t>
        </is>
      </c>
      <c r="I2393">
        <v>0</v>
      </c>
    </row>
    <row r="2394">
      <c r="A2394" t="inlineStr">
        <is>
          <t>Mercury II</t>
        </is>
      </c>
      <c r="B2394">
        <v>2.047058823529412e-10</v>
      </c>
      <c r="D2394" t="inlineStr">
        <is>
          <t>kilogram</t>
        </is>
      </c>
      <c r="E2394" t="inlineStr">
        <is>
          <t>air::urban air close to ground</t>
        </is>
      </c>
      <c r="F2394" t="inlineStr">
        <is>
          <t>biosphere</t>
        </is>
      </c>
      <c r="H2394" t="inlineStr">
        <is>
          <t>Mercury</t>
        </is>
      </c>
      <c r="I2394">
        <v>0</v>
      </c>
    </row>
    <row r="2395">
      <c r="A2395" t="inlineStr">
        <is>
          <t>Cadmium II</t>
        </is>
      </c>
      <c r="B2395">
        <v>2.541176470588236e-10</v>
      </c>
      <c r="D2395" t="inlineStr">
        <is>
          <t>kilogram</t>
        </is>
      </c>
      <c r="E2395" t="inlineStr">
        <is>
          <t>air::urban air close to ground</t>
        </is>
      </c>
      <c r="F2395" t="inlineStr">
        <is>
          <t>biosphere</t>
        </is>
      </c>
      <c r="H2395" t="inlineStr">
        <is>
          <t>Cadmium</t>
        </is>
      </c>
      <c r="I2395">
        <v>0</v>
      </c>
    </row>
    <row r="2396">
      <c r="A2396" t="inlineStr">
        <is>
          <t>treatment of road wear emissions, passenger car</t>
        </is>
      </c>
      <c r="B2396">
        <v>-5.857039126012582e-06</v>
      </c>
      <c r="C2396" t="inlineStr">
        <is>
          <t>RER</t>
        </is>
      </c>
      <c r="D2396" t="inlineStr">
        <is>
          <t>kilogram</t>
        </is>
      </c>
      <c r="F2396" t="inlineStr">
        <is>
          <t>technosphere</t>
        </is>
      </c>
      <c r="G2396" t="inlineStr">
        <is>
          <t>road wear emissions, passenger car</t>
        </is>
      </c>
      <c r="H2396" t="inlineStr">
        <is>
          <t>Road wear [kg/km]</t>
        </is>
      </c>
      <c r="I2396">
        <v>0</v>
      </c>
    </row>
    <row r="2397">
      <c r="A2397" t="inlineStr">
        <is>
          <t>treatment of tyre wear emissions, passenger car</t>
        </is>
      </c>
      <c r="B2397">
        <v>-3.886222117725553e-06</v>
      </c>
      <c r="C2397" t="inlineStr">
        <is>
          <t>RER</t>
        </is>
      </c>
      <c r="D2397" t="inlineStr">
        <is>
          <t>kilogram</t>
        </is>
      </c>
      <c r="F2397" t="inlineStr">
        <is>
          <t>technosphere</t>
        </is>
      </c>
      <c r="G2397" t="inlineStr">
        <is>
          <t>tyre wear emissions, passenger car</t>
        </is>
      </c>
      <c r="H2397" t="inlineStr">
        <is>
          <t>Tire wear [kg/km]</t>
        </is>
      </c>
      <c r="I2397">
        <v>0</v>
      </c>
    </row>
    <row r="2398">
      <c r="A2398" t="inlineStr">
        <is>
          <t>treatment of brake wear emissions, passenger car</t>
        </is>
      </c>
      <c r="B2398">
        <v>-2.1569214522274334e-06</v>
      </c>
      <c r="C2398" t="inlineStr">
        <is>
          <t>RER</t>
        </is>
      </c>
      <c r="D2398" t="inlineStr">
        <is>
          <t>kilogram</t>
        </is>
      </c>
      <c r="F2398" t="inlineStr">
        <is>
          <t>technosphere</t>
        </is>
      </c>
      <c r="G2398" t="inlineStr">
        <is>
          <t>brake wear emissions, passenger car</t>
        </is>
      </c>
      <c r="H2398" t="inlineStr">
        <is>
          <t>Brake wear [kg/km]</t>
        </is>
      </c>
      <c r="I2398">
        <v>0</v>
      </c>
    </row>
    <row r="2399">
      <c r="A2399" t="inlineStr">
        <is>
          <t>Carbon dioxide, non-fossil</t>
        </is>
      </c>
      <c r="B2399">
        <v>0.07351181066138031</v>
      </c>
      <c r="D2399" t="inlineStr">
        <is>
          <t>kilogram</t>
        </is>
      </c>
      <c r="E2399" t="inlineStr">
        <is>
          <t>air::urban air close to ground</t>
        </is>
      </c>
      <c r="F2399" t="inlineStr">
        <is>
          <t>biosphere</t>
        </is>
      </c>
      <c r="H2399" t="inlineStr">
        <is>
          <t>1.91 kgCO2/kg ethanol combusted.</t>
        </is>
      </c>
      <c r="I2399">
        <v>0</v>
      </c>
    </row>
    <row r="2400">
      <c r="A2400" t="inlineStr">
        <is>
          <t>Carbon dioxide, from soil or biomass stock</t>
        </is>
      </c>
      <c r="B2400">
        <v>0.0003881893386196917</v>
      </c>
      <c r="D2400" t="inlineStr">
        <is>
          <t>kilogram</t>
        </is>
      </c>
      <c r="E2400" t="inlineStr">
        <is>
          <t>air::urban air close to ground</t>
        </is>
      </c>
      <c r="F2400" t="inlineStr">
        <is>
          <t>biosphere</t>
        </is>
      </c>
      <c r="I2400">
        <v>0</v>
      </c>
    </row>
    <row r="2401"/>
    <row r="2402">
      <c r="A2402" t="inlineStr">
        <is>
          <t>Activity</t>
        </is>
      </c>
      <c r="B2402" t="inlineStr">
        <is>
          <t>bioethanol, from sugar crops, burned in motorcycle</t>
        </is>
      </c>
    </row>
    <row r="2403">
      <c r="A2403" t="inlineStr">
        <is>
          <t>location</t>
        </is>
      </c>
      <c r="B2403" t="inlineStr">
        <is>
          <t>RER</t>
        </is>
      </c>
    </row>
    <row r="2404">
      <c r="A2404" t="inlineStr">
        <is>
          <t>production amount</t>
        </is>
      </c>
      <c r="B2404">
        <v>1</v>
      </c>
    </row>
    <row r="2405">
      <c r="A2405" t="inlineStr">
        <is>
          <t>reference product</t>
        </is>
      </c>
      <c r="B2405" t="inlineStr">
        <is>
          <t>heat</t>
        </is>
      </c>
    </row>
    <row r="2406">
      <c r="A2406" t="inlineStr">
        <is>
          <t>type</t>
        </is>
      </c>
      <c r="B2406" t="inlineStr">
        <is>
          <t>process</t>
        </is>
      </c>
    </row>
    <row r="2407">
      <c r="A2407" t="inlineStr">
        <is>
          <t>unit</t>
        </is>
      </c>
      <c r="B2407" t="inlineStr">
        <is>
          <t>megajoule</t>
        </is>
      </c>
    </row>
    <row r="2408">
      <c r="A2408" t="inlineStr">
        <is>
          <t>Power, mean</t>
        </is>
      </c>
      <c r="B2408">
        <v>20</v>
      </c>
    </row>
    <row r="2409">
      <c r="A2409" t="inlineStr">
        <is>
          <t>Power, min</t>
        </is>
      </c>
      <c r="B2409">
        <v>9</v>
      </c>
    </row>
    <row r="2410">
      <c r="A2410" t="inlineStr">
        <is>
          <t>Power, max</t>
        </is>
      </c>
      <c r="B2410">
        <v>92</v>
      </c>
    </row>
    <row r="2411">
      <c r="A2411" t="inlineStr">
        <is>
          <t>Lifetime, mean</t>
        </is>
      </c>
      <c r="B2411">
        <v>100000</v>
      </c>
    </row>
    <row r="2412">
      <c r="A2412" t="inlineStr">
        <is>
          <t>Lifetime, min</t>
        </is>
      </c>
      <c r="B2412">
        <v>50000</v>
      </c>
    </row>
    <row r="2413">
      <c r="A2413" t="inlineStr">
        <is>
          <t>Lifetime, max</t>
        </is>
      </c>
      <c r="B2413">
        <v>200000</v>
      </c>
    </row>
    <row r="2414">
      <c r="A2414" t="inlineStr">
        <is>
          <t>Energy use, mean</t>
        </is>
      </c>
      <c r="B2414">
        <v>1300</v>
      </c>
    </row>
    <row r="2415">
      <c r="A2415" t="inlineStr">
        <is>
          <t>Energy use, min</t>
        </is>
      </c>
      <c r="B2415">
        <v>800</v>
      </c>
    </row>
    <row r="2416">
      <c r="A2416" t="inlineStr">
        <is>
          <t>Energy use, max</t>
        </is>
      </c>
      <c r="B2416">
        <v>1530</v>
      </c>
    </row>
    <row r="2417">
      <c r="A2417" t="inlineStr">
        <is>
          <t>Combustion engine, mean</t>
        </is>
      </c>
      <c r="B2417">
        <v>14</v>
      </c>
    </row>
    <row r="2418">
      <c r="A2418" t="inlineStr">
        <is>
          <t>Combustion engine, min</t>
        </is>
      </c>
      <c r="B2418">
        <v>6</v>
      </c>
    </row>
    <row r="2419">
      <c r="A2419" t="inlineStr">
        <is>
          <t>Combustion engine, max</t>
        </is>
      </c>
      <c r="B2419">
        <v>65</v>
      </c>
    </row>
    <row r="2420">
      <c r="A2420" t="inlineStr">
        <is>
          <t>Fuel tank, mean</t>
        </is>
      </c>
      <c r="B2420">
        <v>10</v>
      </c>
    </row>
    <row r="2421">
      <c r="A2421" t="inlineStr">
        <is>
          <t>Fuel tank, min</t>
        </is>
      </c>
      <c r="B2421">
        <v>6</v>
      </c>
    </row>
    <row r="2422">
      <c r="A2422" t="inlineStr">
        <is>
          <t>Fuel tank, max</t>
        </is>
      </c>
      <c r="B2422">
        <v>12</v>
      </c>
    </row>
    <row r="2423">
      <c r="A2423" t="inlineStr">
        <is>
          <t>NOx</t>
        </is>
      </c>
      <c r="B2423">
        <v>0.007581145</v>
      </c>
    </row>
    <row r="2424">
      <c r="A2424" t="inlineStr">
        <is>
          <t>PM 2.5</t>
        </is>
      </c>
      <c r="B2424">
        <v>0.000565099</v>
      </c>
    </row>
    <row r="2425">
      <c r="A2425" t="inlineStr">
        <is>
          <t>energy use source</t>
        </is>
      </c>
      <c r="B2425"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26">
      <c r="A2426" t="inlineStr">
        <is>
          <t>comment</t>
        </is>
      </c>
      <c r="B2426"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27">
      <c r="A2427" t="inlineStr">
        <is>
          <t>Exchanges</t>
        </is>
      </c>
    </row>
    <row r="2428">
      <c r="A2428" t="inlineStr">
        <is>
          <t>name</t>
        </is>
      </c>
      <c r="B2428" t="inlineStr">
        <is>
          <t>amount</t>
        </is>
      </c>
      <c r="C2428" t="inlineStr">
        <is>
          <t>location</t>
        </is>
      </c>
      <c r="D2428" t="inlineStr">
        <is>
          <t>unit</t>
        </is>
      </c>
      <c r="E2428" t="inlineStr">
        <is>
          <t>categories</t>
        </is>
      </c>
      <c r="F2428" t="inlineStr">
        <is>
          <t>type</t>
        </is>
      </c>
      <c r="G2428" t="inlineStr">
        <is>
          <t>reference product</t>
        </is>
      </c>
      <c r="H2428" t="inlineStr">
        <is>
          <t>comment</t>
        </is>
      </c>
      <c r="I2428" t="inlineStr">
        <is>
          <t>uncertainty type</t>
        </is>
      </c>
    </row>
    <row r="2429">
      <c r="A2429" t="inlineStr">
        <is>
          <t>bioethanol, from sugar crops, burned in motorcycle</t>
        </is>
      </c>
      <c r="B2429">
        <v>1.0</v>
      </c>
      <c r="C2429" t="inlineStr">
        <is>
          <t>RER</t>
        </is>
      </c>
      <c r="D2429" t="inlineStr">
        <is>
          <t>megajoule</t>
        </is>
      </c>
      <c r="F2429" t="inlineStr">
        <is>
          <t>production</t>
        </is>
      </c>
      <c r="G2429" t="inlineStr">
        <is>
          <t>heat</t>
        </is>
      </c>
      <c r="I2429">
        <v>0</v>
      </c>
    </row>
    <row r="2430">
      <c r="A2430" t="inlineStr">
        <is>
          <t>ethanol production, via fermentation, from sugarbeet, energy allocation</t>
        </is>
      </c>
      <c r="B2430">
        <v>0.03773584905660377</v>
      </c>
      <c r="C2430" t="inlineStr">
        <is>
          <t>RER</t>
        </is>
      </c>
      <c r="D2430" t="inlineStr">
        <is>
          <t>kilogram</t>
        </is>
      </c>
      <c r="F2430" t="inlineStr">
        <is>
          <t>technosphere</t>
        </is>
      </c>
      <c r="G2430" t="inlineStr">
        <is>
          <t>ethanol, from sugarbeet</t>
        </is>
      </c>
      <c r="I2430">
        <v>0</v>
      </c>
    </row>
    <row r="2431">
      <c r="A2431" t="inlineStr">
        <is>
          <t>polyethylene production, high density, granulate</t>
        </is>
      </c>
      <c r="B2431">
        <v>3.004649931974593e-05</v>
      </c>
      <c r="C2431" t="inlineStr">
        <is>
          <t>RER</t>
        </is>
      </c>
      <c r="D2431" t="inlineStr">
        <is>
          <t>kilogram</t>
        </is>
      </c>
      <c r="F2431" t="inlineStr">
        <is>
          <t>technosphere</t>
        </is>
      </c>
      <c r="G2431" t="inlineStr">
        <is>
          <t>polyethylene, high density, granulate</t>
        </is>
      </c>
      <c r="H2431" t="inlineStr">
        <is>
          <t>Fuel tank mass [kg] Energy-use allocation: 1.6875 * 2.5974025974025975e-05 / 1.4587778883899432 MJ per kilometer.</t>
        </is>
      </c>
      <c r="I2431">
        <v>0</v>
      </c>
    </row>
    <row r="2432">
      <c r="A2432" t="inlineStr">
        <is>
          <t>Sulfur dioxide</t>
        </is>
      </c>
      <c r="B2432">
        <v>3.755868544600939e-07</v>
      </c>
      <c r="D2432" t="inlineStr">
        <is>
          <t>kilogram</t>
        </is>
      </c>
      <c r="E2432" t="inlineStr">
        <is>
          <t>air::urban air close to ground</t>
        </is>
      </c>
      <c r="F2432" t="inlineStr">
        <is>
          <t>biosphere</t>
        </is>
      </c>
      <c r="H2432" t="inlineStr">
        <is>
          <t>SO2</t>
        </is>
      </c>
      <c r="I2432">
        <v>0</v>
      </c>
    </row>
    <row r="2433">
      <c r="A2433" t="inlineStr">
        <is>
          <t>Benzene</t>
        </is>
      </c>
      <c r="B2433">
        <v>7.62340991328562e-07</v>
      </c>
      <c r="D2433" t="inlineStr">
        <is>
          <t>kilogram</t>
        </is>
      </c>
      <c r="E2433" t="inlineStr">
        <is>
          <t>air::urban air close to ground</t>
        </is>
      </c>
      <c r="F2433" t="inlineStr">
        <is>
          <t>biosphere</t>
        </is>
      </c>
      <c r="H2433" t="inlineStr">
        <is>
          <t>Benzene</t>
        </is>
      </c>
      <c r="I2433">
        <v>0</v>
      </c>
    </row>
    <row r="2434">
      <c r="A2434" t="inlineStr">
        <is>
          <t>Methane, fossil</t>
        </is>
      </c>
      <c r="B2434">
        <v>1.8797075715851682e-05</v>
      </c>
      <c r="D2434" t="inlineStr">
        <is>
          <t>kilogram</t>
        </is>
      </c>
      <c r="E2434" t="inlineStr">
        <is>
          <t>air::urban air close to ground</t>
        </is>
      </c>
      <c r="F2434" t="inlineStr">
        <is>
          <t>biosphere</t>
        </is>
      </c>
      <c r="H2434" t="inlineStr">
        <is>
          <t>CH4</t>
        </is>
      </c>
      <c r="I2434">
        <v>0</v>
      </c>
    </row>
    <row r="2435">
      <c r="A2435" t="inlineStr">
        <is>
          <t>Carbon monoxide, fossil</t>
        </is>
      </c>
      <c r="B2435">
        <v>8.345515188546348e-05</v>
      </c>
      <c r="D2435" t="inlineStr">
        <is>
          <t>kilogram</t>
        </is>
      </c>
      <c r="E2435" t="inlineStr">
        <is>
          <t>air::urban air close to ground</t>
        </is>
      </c>
      <c r="F2435" t="inlineStr">
        <is>
          <t>biosphere</t>
        </is>
      </c>
      <c r="H2435" t="inlineStr">
        <is>
          <t>CO</t>
        </is>
      </c>
      <c r="I2435">
        <v>0</v>
      </c>
    </row>
    <row r="2436">
      <c r="A2436" t="inlineStr">
        <is>
          <t>Dinitrogen monoxide</t>
        </is>
      </c>
      <c r="B2436">
        <v>5.653255854391483e-07</v>
      </c>
      <c r="D2436" t="inlineStr">
        <is>
          <t>kilogram</t>
        </is>
      </c>
      <c r="E2436" t="inlineStr">
        <is>
          <t>air::urban air close to ground</t>
        </is>
      </c>
      <c r="F2436" t="inlineStr">
        <is>
          <t>biosphere</t>
        </is>
      </c>
      <c r="H2436" t="inlineStr">
        <is>
          <t>N2O</t>
        </is>
      </c>
      <c r="I2436">
        <v>0</v>
      </c>
    </row>
    <row r="2437">
      <c r="A2437" t="inlineStr">
        <is>
          <t>Ammonia</t>
        </is>
      </c>
      <c r="B2437">
        <v>5.653255854391483e-07</v>
      </c>
      <c r="D2437" t="inlineStr">
        <is>
          <t>kilogram</t>
        </is>
      </c>
      <c r="E2437" t="inlineStr">
        <is>
          <t>air::urban air close to ground</t>
        </is>
      </c>
      <c r="F2437" t="inlineStr">
        <is>
          <t>biosphere</t>
        </is>
      </c>
      <c r="H2437" t="inlineStr">
        <is>
          <t>NH3</t>
        </is>
      </c>
      <c r="I2437">
        <v>0</v>
      </c>
    </row>
    <row r="2438">
      <c r="A2438" t="inlineStr">
        <is>
          <t>Nitrogen oxides</t>
        </is>
      </c>
      <c r="B2438">
        <v>6.162014101297245e-06</v>
      </c>
      <c r="D2438" t="inlineStr">
        <is>
          <t>kilogram</t>
        </is>
      </c>
      <c r="E2438" t="inlineStr">
        <is>
          <t>air::urban air close to ground</t>
        </is>
      </c>
      <c r="F2438" t="inlineStr">
        <is>
          <t>biosphere</t>
        </is>
      </c>
      <c r="H2438" t="inlineStr">
        <is>
          <t>NOx</t>
        </is>
      </c>
      <c r="I2438">
        <v>0</v>
      </c>
    </row>
    <row r="2439">
      <c r="A2439" t="inlineStr">
        <is>
          <t>Particulate Matter, &lt; 2.5 um</t>
        </is>
      </c>
      <c r="B2439">
        <v>1.4133139635978708e-06</v>
      </c>
      <c r="D2439" t="inlineStr">
        <is>
          <t>kilogram</t>
        </is>
      </c>
      <c r="E2439" t="inlineStr">
        <is>
          <t>air::urban air close to ground</t>
        </is>
      </c>
      <c r="F2439" t="inlineStr">
        <is>
          <t>biosphere</t>
        </is>
      </c>
      <c r="H2439" t="inlineStr">
        <is>
          <t>PM2.5</t>
        </is>
      </c>
      <c r="I2439">
        <v>0</v>
      </c>
    </row>
    <row r="2440">
      <c r="A2440" t="inlineStr">
        <is>
          <t>NMVOC, non-methane volatile organic compounds</t>
        </is>
      </c>
      <c r="B2440">
        <v>6.1476482081469075e-06</v>
      </c>
      <c r="D2440" t="inlineStr">
        <is>
          <t>kilogram</t>
        </is>
      </c>
      <c r="E2440" t="inlineStr">
        <is>
          <t>air::urban air close to ground</t>
        </is>
      </c>
      <c r="F2440" t="inlineStr">
        <is>
          <t>biosphere</t>
        </is>
      </c>
      <c r="H2440" t="inlineStr">
        <is>
          <t>NMVOC</t>
        </is>
      </c>
      <c r="I2440">
        <v>0</v>
      </c>
    </row>
    <row r="2441">
      <c r="A2441" t="inlineStr">
        <is>
          <t>Ethane</t>
        </is>
      </c>
      <c r="B2441">
        <v>4.3348801467702544e-07</v>
      </c>
      <c r="D2441" t="inlineStr">
        <is>
          <t>kilogram</t>
        </is>
      </c>
      <c r="E2441" t="inlineStr">
        <is>
          <t>air::urban air close to ground</t>
        </is>
      </c>
      <c r="F2441" t="inlineStr">
        <is>
          <t>biosphere</t>
        </is>
      </c>
      <c r="H2441" t="inlineStr">
        <is>
          <t>Ethane</t>
        </is>
      </c>
      <c r="I2441">
        <v>0</v>
      </c>
    </row>
    <row r="2442">
      <c r="A2442" t="inlineStr">
        <is>
          <t>Propane</t>
        </is>
      </c>
      <c r="B2442">
        <v>8.832827885268543e-08</v>
      </c>
      <c r="D2442" t="inlineStr">
        <is>
          <t>kilogram</t>
        </is>
      </c>
      <c r="E2442" t="inlineStr">
        <is>
          <t>air::urban air close to ground</t>
        </is>
      </c>
      <c r="F2442" t="inlineStr">
        <is>
          <t>biosphere</t>
        </is>
      </c>
      <c r="H2442" t="inlineStr">
        <is>
          <t>Propane</t>
        </is>
      </c>
      <c r="I2442">
        <v>0</v>
      </c>
    </row>
    <row r="2443">
      <c r="A2443" t="inlineStr">
        <is>
          <t>Butane</t>
        </is>
      </c>
      <c r="B2443">
        <v>7.120618172124179e-07</v>
      </c>
      <c r="D2443" t="inlineStr">
        <is>
          <t>kilogram</t>
        </is>
      </c>
      <c r="E2443" t="inlineStr">
        <is>
          <t>air::urban air close to ground</t>
        </is>
      </c>
      <c r="F2443" t="inlineStr">
        <is>
          <t>biosphere</t>
        </is>
      </c>
      <c r="H2443" t="inlineStr">
        <is>
          <t>Butane</t>
        </is>
      </c>
      <c r="I2443">
        <v>0</v>
      </c>
    </row>
    <row r="2444">
      <c r="A2444" t="inlineStr">
        <is>
          <t>Pentane</t>
        </is>
      </c>
      <c r="B2444">
        <v>2.9216276851272876e-07</v>
      </c>
      <c r="D2444" t="inlineStr">
        <is>
          <t>kilogram</t>
        </is>
      </c>
      <c r="E2444" t="inlineStr">
        <is>
          <t>air::urban air close to ground</t>
        </is>
      </c>
      <c r="F2444" t="inlineStr">
        <is>
          <t>biosphere</t>
        </is>
      </c>
      <c r="H2444" t="inlineStr">
        <is>
          <t>Pentane</t>
        </is>
      </c>
      <c r="I2444">
        <v>0</v>
      </c>
    </row>
    <row r="2445">
      <c r="A2445" t="inlineStr">
        <is>
          <t>Hexane</t>
        </is>
      </c>
      <c r="B2445">
        <v>2.1878235223511317e-07</v>
      </c>
      <c r="D2445" t="inlineStr">
        <is>
          <t>kilogram</t>
        </is>
      </c>
      <c r="E2445" t="inlineStr">
        <is>
          <t>air::urban air close to ground</t>
        </is>
      </c>
      <c r="F2445" t="inlineStr">
        <is>
          <t>biosphere</t>
        </is>
      </c>
      <c r="H2445" t="inlineStr">
        <is>
          <t>Hexane</t>
        </is>
      </c>
      <c r="I2445">
        <v>0</v>
      </c>
    </row>
    <row r="2446">
      <c r="A2446" t="inlineStr">
        <is>
          <t>Cyclohexane</t>
        </is>
      </c>
      <c r="B2446">
        <v>1.5491421214163292e-07</v>
      </c>
      <c r="D2446" t="inlineStr">
        <is>
          <t>kilogram</t>
        </is>
      </c>
      <c r="E2446" t="inlineStr">
        <is>
          <t>air::urban air close to ground</t>
        </is>
      </c>
      <c r="F2446" t="inlineStr">
        <is>
          <t>biosphere</t>
        </is>
      </c>
      <c r="H2446" t="inlineStr">
        <is>
          <t>Cyclohexane</t>
        </is>
      </c>
      <c r="I2446">
        <v>0</v>
      </c>
    </row>
    <row r="2447">
      <c r="A2447" t="inlineStr">
        <is>
          <t>Heptane</t>
        </is>
      </c>
      <c r="B2447">
        <v>1.0055834823228804e-07</v>
      </c>
      <c r="D2447" t="inlineStr">
        <is>
          <t>kilogram</t>
        </is>
      </c>
      <c r="E2447" t="inlineStr">
        <is>
          <t>air::urban air close to ground</t>
        </is>
      </c>
      <c r="F2447" t="inlineStr">
        <is>
          <t>biosphere</t>
        </is>
      </c>
      <c r="H2447" t="inlineStr">
        <is>
          <t>Heptane</t>
        </is>
      </c>
      <c r="I2447">
        <v>0</v>
      </c>
    </row>
    <row r="2448">
      <c r="A2448" t="inlineStr">
        <is>
          <t>Ethylene</t>
        </is>
      </c>
      <c r="B2448">
        <v>9.919945163455441e-07</v>
      </c>
      <c r="D2448" t="inlineStr">
        <is>
          <t>kilogram</t>
        </is>
      </c>
      <c r="E2448" t="inlineStr">
        <is>
          <t>air::urban air close to ground</t>
        </is>
      </c>
      <c r="F2448" t="inlineStr">
        <is>
          <t>biosphere</t>
        </is>
      </c>
      <c r="H2448" t="inlineStr">
        <is>
          <t>Ethene</t>
        </is>
      </c>
      <c r="I2448">
        <v>0</v>
      </c>
    </row>
    <row r="2449">
      <c r="A2449" t="inlineStr">
        <is>
          <t>Propylene</t>
        </is>
      </c>
      <c r="B2449">
        <v>5.190985003342436e-07</v>
      </c>
      <c r="D2449" t="inlineStr">
        <is>
          <t>kilogram</t>
        </is>
      </c>
      <c r="E2449" t="inlineStr">
        <is>
          <t>air::urban air close to ground</t>
        </is>
      </c>
      <c r="F2449" t="inlineStr">
        <is>
          <t>biosphere</t>
        </is>
      </c>
      <c r="H2449" t="inlineStr">
        <is>
          <t>Propene</t>
        </is>
      </c>
      <c r="I2449">
        <v>0</v>
      </c>
    </row>
    <row r="2450">
      <c r="A2450" t="inlineStr">
        <is>
          <t>1-Pentene</t>
        </is>
      </c>
      <c r="B2450">
        <v>1.4947862575069847e-08</v>
      </c>
      <c r="D2450" t="inlineStr">
        <is>
          <t>kilogram</t>
        </is>
      </c>
      <c r="E2450" t="inlineStr">
        <is>
          <t>air::urban air close to ground</t>
        </is>
      </c>
      <c r="F2450" t="inlineStr">
        <is>
          <t>biosphere</t>
        </is>
      </c>
      <c r="H2450" t="inlineStr">
        <is>
          <t>1-Pentene</t>
        </is>
      </c>
      <c r="I2450">
        <v>0</v>
      </c>
    </row>
    <row r="2451">
      <c r="A2451" t="inlineStr">
        <is>
          <t>Toluene</t>
        </is>
      </c>
      <c r="B2451">
        <v>1.4920684643115172e-06</v>
      </c>
      <c r="D2451" t="inlineStr">
        <is>
          <t>kilogram</t>
        </is>
      </c>
      <c r="E2451" t="inlineStr">
        <is>
          <t>air::urban air close to ground</t>
        </is>
      </c>
      <c r="F2451" t="inlineStr">
        <is>
          <t>biosphere</t>
        </is>
      </c>
      <c r="H2451" t="inlineStr">
        <is>
          <t>Toluene</t>
        </is>
      </c>
      <c r="I2451">
        <v>0</v>
      </c>
    </row>
    <row r="2452">
      <c r="A2452" t="inlineStr">
        <is>
          <t>m-Xylene</t>
        </is>
      </c>
      <c r="B2452">
        <v>7.37880852569357e-07</v>
      </c>
      <c r="D2452" t="inlineStr">
        <is>
          <t>kilogram</t>
        </is>
      </c>
      <c r="E2452" t="inlineStr">
        <is>
          <t>air::urban air close to ground</t>
        </is>
      </c>
      <c r="F2452" t="inlineStr">
        <is>
          <t>biosphere</t>
        </is>
      </c>
      <c r="H2452" t="inlineStr">
        <is>
          <t>m-Xylene</t>
        </is>
      </c>
      <c r="I2452">
        <v>0</v>
      </c>
    </row>
    <row r="2453">
      <c r="A2453" t="inlineStr">
        <is>
          <t>o-Xylene</t>
        </is>
      </c>
      <c r="B2453">
        <v>3.071106310877986e-07</v>
      </c>
      <c r="D2453" t="inlineStr">
        <is>
          <t>kilogram</t>
        </is>
      </c>
      <c r="E2453" t="inlineStr">
        <is>
          <t>air::urban air close to ground</t>
        </is>
      </c>
      <c r="F2453" t="inlineStr">
        <is>
          <t>biosphere</t>
        </is>
      </c>
      <c r="H2453" t="inlineStr">
        <is>
          <t>o-Xylene</t>
        </is>
      </c>
      <c r="I2453">
        <v>0</v>
      </c>
    </row>
    <row r="2454">
      <c r="A2454" t="inlineStr">
        <is>
          <t>Formaldehyde</t>
        </is>
      </c>
      <c r="B2454">
        <v>2.310124216147158e-07</v>
      </c>
      <c r="D2454" t="inlineStr">
        <is>
          <t>kilogram</t>
        </is>
      </c>
      <c r="E2454" t="inlineStr">
        <is>
          <t>air::urban air close to ground</t>
        </is>
      </c>
      <c r="F2454" t="inlineStr">
        <is>
          <t>biosphere</t>
        </is>
      </c>
      <c r="H2454" t="inlineStr">
        <is>
          <t>Formaldehyde</t>
        </is>
      </c>
      <c r="I2454">
        <v>0</v>
      </c>
    </row>
    <row r="2455">
      <c r="A2455" t="inlineStr">
        <is>
          <t>Acetaldehyde</t>
        </is>
      </c>
      <c r="B2455">
        <v>1.0191724483002165e-07</v>
      </c>
      <c r="D2455" t="inlineStr">
        <is>
          <t>kilogram</t>
        </is>
      </c>
      <c r="E2455" t="inlineStr">
        <is>
          <t>air::urban air close to ground</t>
        </is>
      </c>
      <c r="F2455" t="inlineStr">
        <is>
          <t>biosphere</t>
        </is>
      </c>
      <c r="H2455" t="inlineStr">
        <is>
          <t>Acetaldehyde</t>
        </is>
      </c>
      <c r="I2455">
        <v>0</v>
      </c>
    </row>
    <row r="2456">
      <c r="A2456" t="inlineStr">
        <is>
          <t>Benzaldehyde</t>
        </is>
      </c>
      <c r="B2456">
        <v>2.9895725150139694e-08</v>
      </c>
      <c r="D2456" t="inlineStr">
        <is>
          <t>kilogram</t>
        </is>
      </c>
      <c r="E2456" t="inlineStr">
        <is>
          <t>air::urban air close to ground</t>
        </is>
      </c>
      <c r="F2456" t="inlineStr">
        <is>
          <t>biosphere</t>
        </is>
      </c>
      <c r="H2456" t="inlineStr">
        <is>
          <t>Benzaldehyde</t>
        </is>
      </c>
      <c r="I2456">
        <v>0</v>
      </c>
    </row>
    <row r="2457">
      <c r="A2457" t="inlineStr">
        <is>
          <t>Acetone</t>
        </is>
      </c>
      <c r="B2457">
        <v>8.289269246175097e-08</v>
      </c>
      <c r="D2457" t="inlineStr">
        <is>
          <t>kilogram</t>
        </is>
      </c>
      <c r="E2457" t="inlineStr">
        <is>
          <t>air::urban air close to ground</t>
        </is>
      </c>
      <c r="F2457" t="inlineStr">
        <is>
          <t>biosphere</t>
        </is>
      </c>
      <c r="H2457" t="inlineStr">
        <is>
          <t>Acetone</t>
        </is>
      </c>
      <c r="I2457">
        <v>0</v>
      </c>
    </row>
    <row r="2458">
      <c r="A2458" t="inlineStr">
        <is>
          <t>Methyl ethyl ketone</t>
        </is>
      </c>
      <c r="B2458">
        <v>0.0</v>
      </c>
      <c r="D2458" t="inlineStr">
        <is>
          <t>kilogram</t>
        </is>
      </c>
      <c r="E2458" t="inlineStr">
        <is>
          <t>air::urban air close to ground</t>
        </is>
      </c>
      <c r="F2458" t="inlineStr">
        <is>
          <t>biosphere</t>
        </is>
      </c>
      <c r="H2458" t="inlineStr">
        <is>
          <t>Methyl ethyl ketone</t>
        </is>
      </c>
      <c r="I2458">
        <v>0</v>
      </c>
    </row>
    <row r="2459">
      <c r="A2459" t="inlineStr">
        <is>
          <t>Acrolein</t>
        </is>
      </c>
      <c r="B2459">
        <v>2.581903535693882e-08</v>
      </c>
      <c r="D2459" t="inlineStr">
        <is>
          <t>kilogram</t>
        </is>
      </c>
      <c r="E2459" t="inlineStr">
        <is>
          <t>air::urban air close to ground</t>
        </is>
      </c>
      <c r="F2459" t="inlineStr">
        <is>
          <t>biosphere</t>
        </is>
      </c>
      <c r="H2459" t="inlineStr">
        <is>
          <t>Acrolein</t>
        </is>
      </c>
      <c r="I2459">
        <v>0</v>
      </c>
    </row>
    <row r="2460">
      <c r="A2460" t="inlineStr">
        <is>
          <t>Styrene</t>
        </is>
      </c>
      <c r="B2460">
        <v>1.3724855637109585e-07</v>
      </c>
      <c r="D2460" t="inlineStr">
        <is>
          <t>kilogram</t>
        </is>
      </c>
      <c r="E2460" t="inlineStr">
        <is>
          <t>air::urban air close to ground</t>
        </is>
      </c>
      <c r="F2460" t="inlineStr">
        <is>
          <t>biosphere</t>
        </is>
      </c>
      <c r="H2460" t="inlineStr">
        <is>
          <t>Styrene</t>
        </is>
      </c>
      <c r="I2460">
        <v>0</v>
      </c>
    </row>
    <row r="2461">
      <c r="A2461" t="inlineStr">
        <is>
          <t>PAH, polycyclic aromatic hydrocarbons</t>
        </is>
      </c>
      <c r="B2461">
        <v>8.188235294117648e-10</v>
      </c>
      <c r="D2461" t="inlineStr">
        <is>
          <t>kilogram</t>
        </is>
      </c>
      <c r="E2461" t="inlineStr">
        <is>
          <t>air::urban air close to ground</t>
        </is>
      </c>
      <c r="F2461" t="inlineStr">
        <is>
          <t>biosphere</t>
        </is>
      </c>
      <c r="H2461" t="inlineStr">
        <is>
          <t>PAHs</t>
        </is>
      </c>
      <c r="I2461">
        <v>0</v>
      </c>
    </row>
    <row r="2462">
      <c r="A2462" t="inlineStr">
        <is>
          <t>Arsenic ion</t>
        </is>
      </c>
      <c r="B2462">
        <v>7.058823529411766e-12</v>
      </c>
      <c r="D2462" t="inlineStr">
        <is>
          <t>kilogram</t>
        </is>
      </c>
      <c r="E2462" t="inlineStr">
        <is>
          <t>air::urban air close to ground</t>
        </is>
      </c>
      <c r="F2462" t="inlineStr">
        <is>
          <t>biosphere</t>
        </is>
      </c>
      <c r="H2462" t="inlineStr">
        <is>
          <t>Arsenic</t>
        </is>
      </c>
      <c r="I2462">
        <v>0</v>
      </c>
    </row>
    <row r="2463">
      <c r="A2463" t="inlineStr">
        <is>
          <t>Selenium IV</t>
        </is>
      </c>
      <c r="B2463">
        <v>4.705882352941177e-12</v>
      </c>
      <c r="D2463" t="inlineStr">
        <is>
          <t>kilogram</t>
        </is>
      </c>
      <c r="E2463" t="inlineStr">
        <is>
          <t>air::urban air close to ground</t>
        </is>
      </c>
      <c r="F2463" t="inlineStr">
        <is>
          <t>biosphere</t>
        </is>
      </c>
      <c r="H2463" t="inlineStr">
        <is>
          <t>Selenium</t>
        </is>
      </c>
      <c r="I2463">
        <v>0</v>
      </c>
    </row>
    <row r="2464">
      <c r="A2464" t="inlineStr">
        <is>
          <t>Zinc II</t>
        </is>
      </c>
      <c r="B2464">
        <v>5.082352941176471e-08</v>
      </c>
      <c r="D2464" t="inlineStr">
        <is>
          <t>kilogram</t>
        </is>
      </c>
      <c r="E2464" t="inlineStr">
        <is>
          <t>air::urban air close to ground</t>
        </is>
      </c>
      <c r="F2464" t="inlineStr">
        <is>
          <t>biosphere</t>
        </is>
      </c>
      <c r="H2464" t="inlineStr">
        <is>
          <t>Zinc</t>
        </is>
      </c>
      <c r="I2464">
        <v>0</v>
      </c>
    </row>
    <row r="2465">
      <c r="A2465" t="inlineStr">
        <is>
          <t>Copper ion</t>
        </is>
      </c>
      <c r="B2465">
        <v>9.88235294117647e-10</v>
      </c>
      <c r="D2465" t="inlineStr">
        <is>
          <t>kilogram</t>
        </is>
      </c>
      <c r="E2465" t="inlineStr">
        <is>
          <t>air::urban air close to ground</t>
        </is>
      </c>
      <c r="F2465" t="inlineStr">
        <is>
          <t>biosphere</t>
        </is>
      </c>
      <c r="H2465" t="inlineStr">
        <is>
          <t>Copper</t>
        </is>
      </c>
      <c r="I2465">
        <v>0</v>
      </c>
    </row>
    <row r="2466">
      <c r="A2466" t="inlineStr">
        <is>
          <t>Nickel II</t>
        </is>
      </c>
      <c r="B2466">
        <v>3.058823529411765e-10</v>
      </c>
      <c r="D2466" t="inlineStr">
        <is>
          <t>kilogram</t>
        </is>
      </c>
      <c r="E2466" t="inlineStr">
        <is>
          <t>air::urban air close to ground</t>
        </is>
      </c>
      <c r="F2466" t="inlineStr">
        <is>
          <t>biosphere</t>
        </is>
      </c>
      <c r="H2466" t="inlineStr">
        <is>
          <t>Nickel</t>
        </is>
      </c>
      <c r="I2466">
        <v>0</v>
      </c>
    </row>
    <row r="2467">
      <c r="A2467" t="inlineStr">
        <is>
          <t>Chromium III</t>
        </is>
      </c>
      <c r="B2467">
        <v>3.7647058823529416e-10</v>
      </c>
      <c r="D2467" t="inlineStr">
        <is>
          <t>kilogram</t>
        </is>
      </c>
      <c r="E2467" t="inlineStr">
        <is>
          <t>air::urban air close to ground</t>
        </is>
      </c>
      <c r="F2467" t="inlineStr">
        <is>
          <t>biosphere</t>
        </is>
      </c>
      <c r="H2467" t="inlineStr">
        <is>
          <t>Chromium</t>
        </is>
      </c>
      <c r="I2467">
        <v>0</v>
      </c>
    </row>
    <row r="2468">
      <c r="A2468" t="inlineStr">
        <is>
          <t>Chromium VI</t>
        </is>
      </c>
      <c r="B2468">
        <v>7.529411764705882e-13</v>
      </c>
      <c r="D2468" t="inlineStr">
        <is>
          <t>kilogram</t>
        </is>
      </c>
      <c r="E2468" t="inlineStr">
        <is>
          <t>air::urban air close to ground</t>
        </is>
      </c>
      <c r="F2468" t="inlineStr">
        <is>
          <t>biosphere</t>
        </is>
      </c>
      <c r="H2468" t="inlineStr">
        <is>
          <t>Chromium VI</t>
        </is>
      </c>
      <c r="I2468">
        <v>0</v>
      </c>
    </row>
    <row r="2469">
      <c r="A2469" t="inlineStr">
        <is>
          <t>Mercury II</t>
        </is>
      </c>
      <c r="B2469">
        <v>2.047058823529412e-10</v>
      </c>
      <c r="D2469" t="inlineStr">
        <is>
          <t>kilogram</t>
        </is>
      </c>
      <c r="E2469" t="inlineStr">
        <is>
          <t>air::urban air close to ground</t>
        </is>
      </c>
      <c r="F2469" t="inlineStr">
        <is>
          <t>biosphere</t>
        </is>
      </c>
      <c r="H2469" t="inlineStr">
        <is>
          <t>Mercury</t>
        </is>
      </c>
      <c r="I2469">
        <v>0</v>
      </c>
    </row>
    <row r="2470">
      <c r="A2470" t="inlineStr">
        <is>
          <t>Cadmium II</t>
        </is>
      </c>
      <c r="B2470">
        <v>2.541176470588236e-10</v>
      </c>
      <c r="D2470" t="inlineStr">
        <is>
          <t>kilogram</t>
        </is>
      </c>
      <c r="E2470" t="inlineStr">
        <is>
          <t>air::urban air close to ground</t>
        </is>
      </c>
      <c r="F2470" t="inlineStr">
        <is>
          <t>biosphere</t>
        </is>
      </c>
      <c r="H2470" t="inlineStr">
        <is>
          <t>Cadmium</t>
        </is>
      </c>
      <c r="I2470">
        <v>0</v>
      </c>
    </row>
    <row r="2471">
      <c r="A2471" t="inlineStr">
        <is>
          <t>treatment of road wear emissions, passenger car</t>
        </is>
      </c>
      <c r="B2471">
        <v>-5.857039126012582e-06</v>
      </c>
      <c r="C2471" t="inlineStr">
        <is>
          <t>RER</t>
        </is>
      </c>
      <c r="D2471" t="inlineStr">
        <is>
          <t>kilogram</t>
        </is>
      </c>
      <c r="F2471" t="inlineStr">
        <is>
          <t>technosphere</t>
        </is>
      </c>
      <c r="G2471" t="inlineStr">
        <is>
          <t>road wear emissions, passenger car</t>
        </is>
      </c>
      <c r="H2471" t="inlineStr">
        <is>
          <t>Road wear [kg/km]</t>
        </is>
      </c>
      <c r="I2471">
        <v>0</v>
      </c>
    </row>
    <row r="2472">
      <c r="A2472" t="inlineStr">
        <is>
          <t>treatment of tyre wear emissions, passenger car</t>
        </is>
      </c>
      <c r="B2472">
        <v>-3.886222117725553e-06</v>
      </c>
      <c r="C2472" t="inlineStr">
        <is>
          <t>RER</t>
        </is>
      </c>
      <c r="D2472" t="inlineStr">
        <is>
          <t>kilogram</t>
        </is>
      </c>
      <c r="F2472" t="inlineStr">
        <is>
          <t>technosphere</t>
        </is>
      </c>
      <c r="G2472" t="inlineStr">
        <is>
          <t>tyre wear emissions, passenger car</t>
        </is>
      </c>
      <c r="H2472" t="inlineStr">
        <is>
          <t>Tire wear [kg/km]</t>
        </is>
      </c>
      <c r="I2472">
        <v>0</v>
      </c>
    </row>
    <row r="2473">
      <c r="A2473" t="inlineStr">
        <is>
          <t>treatment of brake wear emissions, passenger car</t>
        </is>
      </c>
      <c r="B2473">
        <v>-2.1569214522274334e-06</v>
      </c>
      <c r="C2473" t="inlineStr">
        <is>
          <t>RER</t>
        </is>
      </c>
      <c r="D2473" t="inlineStr">
        <is>
          <t>kilogram</t>
        </is>
      </c>
      <c r="F2473" t="inlineStr">
        <is>
          <t>technosphere</t>
        </is>
      </c>
      <c r="G2473" t="inlineStr">
        <is>
          <t>brake wear emissions, passenger car</t>
        </is>
      </c>
      <c r="H2473" t="inlineStr">
        <is>
          <t>Brake wear [kg/km]</t>
        </is>
      </c>
      <c r="I2473">
        <v>0</v>
      </c>
    </row>
    <row r="2474">
      <c r="A2474" t="inlineStr">
        <is>
          <t>Carbon dioxide, non-fossil</t>
        </is>
      </c>
      <c r="B2474">
        <v>0.07351181066138031</v>
      </c>
      <c r="D2474" t="inlineStr">
        <is>
          <t>kilogram</t>
        </is>
      </c>
      <c r="E2474" t="inlineStr">
        <is>
          <t>air::urban air close to ground</t>
        </is>
      </c>
      <c r="F2474" t="inlineStr">
        <is>
          <t>biosphere</t>
        </is>
      </c>
      <c r="H2474" t="inlineStr">
        <is>
          <t>1.91 kgCO2/kg ethanol combusted.</t>
        </is>
      </c>
      <c r="I2474">
        <v>0</v>
      </c>
    </row>
    <row r="2475">
      <c r="A2475" t="inlineStr">
        <is>
          <t>Carbon dioxide, from soil or biomass stock</t>
        </is>
      </c>
      <c r="B2475">
        <v>0.0003881893386196917</v>
      </c>
      <c r="D2475" t="inlineStr">
        <is>
          <t>kilogram</t>
        </is>
      </c>
      <c r="E2475" t="inlineStr">
        <is>
          <t>air::urban air close to ground</t>
        </is>
      </c>
      <c r="F2475" t="inlineStr">
        <is>
          <t>biosphere</t>
        </is>
      </c>
      <c r="I2475">
        <v>0</v>
      </c>
    </row>
    <row r="2476"/>
    <row r="2477">
      <c r="A2477" t="inlineStr">
        <is>
          <t>Activity</t>
        </is>
      </c>
      <c r="B2477" t="inlineStr">
        <is>
          <t>petrol, synthetic, burned in motorcycle</t>
        </is>
      </c>
    </row>
    <row r="2478">
      <c r="A2478" t="inlineStr">
        <is>
          <t>location</t>
        </is>
      </c>
      <c r="B2478" t="inlineStr">
        <is>
          <t>RER</t>
        </is>
      </c>
    </row>
    <row r="2479">
      <c r="A2479" t="inlineStr">
        <is>
          <t>production amount</t>
        </is>
      </c>
      <c r="B2479">
        <v>1</v>
      </c>
    </row>
    <row r="2480">
      <c r="A2480" t="inlineStr">
        <is>
          <t>reference product</t>
        </is>
      </c>
      <c r="B2480" t="inlineStr">
        <is>
          <t>heat</t>
        </is>
      </c>
    </row>
    <row r="2481">
      <c r="A2481" t="inlineStr">
        <is>
          <t>type</t>
        </is>
      </c>
      <c r="B2481" t="inlineStr">
        <is>
          <t>process</t>
        </is>
      </c>
    </row>
    <row r="2482">
      <c r="A2482" t="inlineStr">
        <is>
          <t>unit</t>
        </is>
      </c>
      <c r="B2482" t="inlineStr">
        <is>
          <t>megajoule</t>
        </is>
      </c>
    </row>
    <row r="2483">
      <c r="A2483" t="inlineStr">
        <is>
          <t>Power, mean</t>
        </is>
      </c>
      <c r="B2483">
        <v>20</v>
      </c>
    </row>
    <row r="2484">
      <c r="A2484" t="inlineStr">
        <is>
          <t>Power, min</t>
        </is>
      </c>
      <c r="B2484">
        <v>9</v>
      </c>
    </row>
    <row r="2485">
      <c r="A2485" t="inlineStr">
        <is>
          <t>Power, max</t>
        </is>
      </c>
      <c r="B2485">
        <v>92</v>
      </c>
    </row>
    <row r="2486">
      <c r="A2486" t="inlineStr">
        <is>
          <t>Lifetime, mean</t>
        </is>
      </c>
      <c r="B2486">
        <v>100000</v>
      </c>
    </row>
    <row r="2487">
      <c r="A2487" t="inlineStr">
        <is>
          <t>Lifetime, min</t>
        </is>
      </c>
      <c r="B2487">
        <v>50000</v>
      </c>
    </row>
    <row r="2488">
      <c r="A2488" t="inlineStr">
        <is>
          <t>Lifetime, max</t>
        </is>
      </c>
      <c r="B2488">
        <v>200000</v>
      </c>
    </row>
    <row r="2489">
      <c r="A2489" t="inlineStr">
        <is>
          <t>Energy use, mean</t>
        </is>
      </c>
      <c r="B2489">
        <v>1300</v>
      </c>
    </row>
    <row r="2490">
      <c r="A2490" t="inlineStr">
        <is>
          <t>Energy use, min</t>
        </is>
      </c>
      <c r="B2490">
        <v>800</v>
      </c>
    </row>
    <row r="2491">
      <c r="A2491" t="inlineStr">
        <is>
          <t>Energy use, max</t>
        </is>
      </c>
      <c r="B2491">
        <v>1530</v>
      </c>
    </row>
    <row r="2492">
      <c r="A2492" t="inlineStr">
        <is>
          <t>Combustion engine, mean</t>
        </is>
      </c>
      <c r="B2492">
        <v>14</v>
      </c>
    </row>
    <row r="2493">
      <c r="A2493" t="inlineStr">
        <is>
          <t>Combustion engine, min</t>
        </is>
      </c>
      <c r="B2493">
        <v>6</v>
      </c>
    </row>
    <row r="2494">
      <c r="A2494" t="inlineStr">
        <is>
          <t>Combustion engine, max</t>
        </is>
      </c>
      <c r="B2494">
        <v>65</v>
      </c>
    </row>
    <row r="2495">
      <c r="A2495" t="inlineStr">
        <is>
          <t>Fuel tank, mean</t>
        </is>
      </c>
      <c r="B2495">
        <v>10</v>
      </c>
    </row>
    <row r="2496">
      <c r="A2496" t="inlineStr">
        <is>
          <t>Fuel tank, min</t>
        </is>
      </c>
      <c r="B2496">
        <v>6</v>
      </c>
    </row>
    <row r="2497">
      <c r="A2497" t="inlineStr">
        <is>
          <t>Fuel tank, max</t>
        </is>
      </c>
      <c r="B2497">
        <v>12</v>
      </c>
    </row>
    <row r="2498">
      <c r="A2498" t="inlineStr">
        <is>
          <t>NOx</t>
        </is>
      </c>
      <c r="B2498">
        <v>0.007581145</v>
      </c>
    </row>
    <row r="2499">
      <c r="A2499" t="inlineStr">
        <is>
          <t>PM 2.5</t>
        </is>
      </c>
      <c r="B2499">
        <v>0.000565099</v>
      </c>
    </row>
    <row r="2500">
      <c r="A2500" t="inlineStr">
        <is>
          <t>energy use source</t>
        </is>
      </c>
      <c r="B2500"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501">
      <c r="A2501" t="inlineStr">
        <is>
          <t>comment</t>
        </is>
      </c>
      <c r="B2501"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502">
      <c r="A2502" t="inlineStr">
        <is>
          <t>Exchanges</t>
        </is>
      </c>
    </row>
    <row r="2503">
      <c r="A2503" t="inlineStr">
        <is>
          <t>name</t>
        </is>
      </c>
      <c r="B2503" t="inlineStr">
        <is>
          <t>amount</t>
        </is>
      </c>
      <c r="C2503" t="inlineStr">
        <is>
          <t>location</t>
        </is>
      </c>
      <c r="D2503" t="inlineStr">
        <is>
          <t>unit</t>
        </is>
      </c>
      <c r="E2503" t="inlineStr">
        <is>
          <t>categories</t>
        </is>
      </c>
      <c r="F2503" t="inlineStr">
        <is>
          <t>type</t>
        </is>
      </c>
      <c r="G2503" t="inlineStr">
        <is>
          <t>reference product</t>
        </is>
      </c>
      <c r="H2503" t="inlineStr">
        <is>
          <t>comment</t>
        </is>
      </c>
      <c r="I2503" t="inlineStr">
        <is>
          <t>uncertainty type</t>
        </is>
      </c>
    </row>
    <row r="2504">
      <c r="A2504" t="inlineStr">
        <is>
          <t>petrol, synthetic, burned in motorcycle</t>
        </is>
      </c>
      <c r="B2504">
        <v>1.0</v>
      </c>
      <c r="C2504" t="inlineStr">
        <is>
          <t>RER</t>
        </is>
      </c>
      <c r="D2504" t="inlineStr">
        <is>
          <t>megajoule</t>
        </is>
      </c>
      <c r="F2504" t="inlineStr">
        <is>
          <t>production</t>
        </is>
      </c>
      <c r="G2504" t="inlineStr">
        <is>
          <t>heat</t>
        </is>
      </c>
      <c r="I2504">
        <v>0</v>
      </c>
    </row>
    <row r="2505">
      <c r="A2505" t="inlineStr">
        <is>
          <t>gasoline production, from methanol, market-average hydrogen, CO2 from DAC, energy allocation</t>
        </is>
      </c>
      <c r="B2505">
        <v>0.023474178403755867</v>
      </c>
      <c r="C2505" t="inlineStr">
        <is>
          <t>RER</t>
        </is>
      </c>
      <c r="D2505" t="inlineStr">
        <is>
          <t>kilogram</t>
        </is>
      </c>
      <c r="F2505" t="inlineStr">
        <is>
          <t>technosphere</t>
        </is>
      </c>
      <c r="G2505" t="inlineStr">
        <is>
          <t>gasoline, synthetic</t>
        </is>
      </c>
      <c r="I2505">
        <v>0</v>
      </c>
    </row>
    <row r="2506">
      <c r="A2506" t="inlineStr">
        <is>
          <t>polyethylene production, high density, granulate</t>
        </is>
      </c>
      <c r="B2506">
        <v>3.004649931974593e-05</v>
      </c>
      <c r="C2506" t="inlineStr">
        <is>
          <t>RER</t>
        </is>
      </c>
      <c r="D2506" t="inlineStr">
        <is>
          <t>kilogram</t>
        </is>
      </c>
      <c r="F2506" t="inlineStr">
        <is>
          <t>technosphere</t>
        </is>
      </c>
      <c r="G2506" t="inlineStr">
        <is>
          <t>polyethylene, high density, granulate</t>
        </is>
      </c>
      <c r="H2506" t="inlineStr">
        <is>
          <t>Fuel tank mass [kg] Energy-use allocation: 1.6875 * 2.5974025974025975e-05 / 1.4587778883899432 MJ per kilometer.</t>
        </is>
      </c>
      <c r="I2506">
        <v>0</v>
      </c>
    </row>
    <row r="2507">
      <c r="A2507" t="inlineStr">
        <is>
          <t>Sulfur dioxide</t>
        </is>
      </c>
      <c r="B2507">
        <v>3.755868544600939e-07</v>
      </c>
      <c r="D2507" t="inlineStr">
        <is>
          <t>kilogram</t>
        </is>
      </c>
      <c r="E2507" t="inlineStr">
        <is>
          <t>air::urban air close to ground</t>
        </is>
      </c>
      <c r="F2507" t="inlineStr">
        <is>
          <t>biosphere</t>
        </is>
      </c>
      <c r="H2507" t="inlineStr">
        <is>
          <t>SO2</t>
        </is>
      </c>
      <c r="I2507">
        <v>0</v>
      </c>
    </row>
    <row r="2508">
      <c r="A2508" t="inlineStr">
        <is>
          <t>Benzene</t>
        </is>
      </c>
      <c r="B2508">
        <v>7.62340991328562e-07</v>
      </c>
      <c r="D2508" t="inlineStr">
        <is>
          <t>kilogram</t>
        </is>
      </c>
      <c r="E2508" t="inlineStr">
        <is>
          <t>air::urban air close to ground</t>
        </is>
      </c>
      <c r="F2508" t="inlineStr">
        <is>
          <t>biosphere</t>
        </is>
      </c>
      <c r="H2508" t="inlineStr">
        <is>
          <t>Benzene</t>
        </is>
      </c>
      <c r="I2508">
        <v>0</v>
      </c>
    </row>
    <row r="2509">
      <c r="A2509" t="inlineStr">
        <is>
          <t>Methane, fossil</t>
        </is>
      </c>
      <c r="B2509">
        <v>1.8797075715851682e-05</v>
      </c>
      <c r="D2509" t="inlineStr">
        <is>
          <t>kilogram</t>
        </is>
      </c>
      <c r="E2509" t="inlineStr">
        <is>
          <t>air::urban air close to ground</t>
        </is>
      </c>
      <c r="F2509" t="inlineStr">
        <is>
          <t>biosphere</t>
        </is>
      </c>
      <c r="H2509" t="inlineStr">
        <is>
          <t>CH4</t>
        </is>
      </c>
      <c r="I2509">
        <v>0</v>
      </c>
    </row>
    <row r="2510">
      <c r="A2510" t="inlineStr">
        <is>
          <t>Carbon monoxide, fossil</t>
        </is>
      </c>
      <c r="B2510">
        <v>8.345515188546348e-05</v>
      </c>
      <c r="D2510" t="inlineStr">
        <is>
          <t>kilogram</t>
        </is>
      </c>
      <c r="E2510" t="inlineStr">
        <is>
          <t>air::urban air close to ground</t>
        </is>
      </c>
      <c r="F2510" t="inlineStr">
        <is>
          <t>biosphere</t>
        </is>
      </c>
      <c r="H2510" t="inlineStr">
        <is>
          <t>CO</t>
        </is>
      </c>
      <c r="I2510">
        <v>0</v>
      </c>
    </row>
    <row r="2511">
      <c r="A2511" t="inlineStr">
        <is>
          <t>Dinitrogen monoxide</t>
        </is>
      </c>
      <c r="B2511">
        <v>5.653255854391483e-07</v>
      </c>
      <c r="D2511" t="inlineStr">
        <is>
          <t>kilogram</t>
        </is>
      </c>
      <c r="E2511" t="inlineStr">
        <is>
          <t>air::urban air close to ground</t>
        </is>
      </c>
      <c r="F2511" t="inlineStr">
        <is>
          <t>biosphere</t>
        </is>
      </c>
      <c r="H2511" t="inlineStr">
        <is>
          <t>N2O</t>
        </is>
      </c>
      <c r="I2511">
        <v>0</v>
      </c>
    </row>
    <row r="2512">
      <c r="A2512" t="inlineStr">
        <is>
          <t>Ammonia</t>
        </is>
      </c>
      <c r="B2512">
        <v>5.653255854391483e-07</v>
      </c>
      <c r="D2512" t="inlineStr">
        <is>
          <t>kilogram</t>
        </is>
      </c>
      <c r="E2512" t="inlineStr">
        <is>
          <t>air::urban air close to ground</t>
        </is>
      </c>
      <c r="F2512" t="inlineStr">
        <is>
          <t>biosphere</t>
        </is>
      </c>
      <c r="H2512" t="inlineStr">
        <is>
          <t>NH3</t>
        </is>
      </c>
      <c r="I2512">
        <v>0</v>
      </c>
    </row>
    <row r="2513">
      <c r="A2513" t="inlineStr">
        <is>
          <t>Nitrogen oxides</t>
        </is>
      </c>
      <c r="B2513">
        <v>6.162014101297245e-06</v>
      </c>
      <c r="D2513" t="inlineStr">
        <is>
          <t>kilogram</t>
        </is>
      </c>
      <c r="E2513" t="inlineStr">
        <is>
          <t>air::urban air close to ground</t>
        </is>
      </c>
      <c r="F2513" t="inlineStr">
        <is>
          <t>biosphere</t>
        </is>
      </c>
      <c r="H2513" t="inlineStr">
        <is>
          <t>NOx</t>
        </is>
      </c>
      <c r="I2513">
        <v>0</v>
      </c>
    </row>
    <row r="2514">
      <c r="A2514" t="inlineStr">
        <is>
          <t>Particulate Matter, &lt; 2.5 um</t>
        </is>
      </c>
      <c r="B2514">
        <v>1.4133139635978708e-06</v>
      </c>
      <c r="D2514" t="inlineStr">
        <is>
          <t>kilogram</t>
        </is>
      </c>
      <c r="E2514" t="inlineStr">
        <is>
          <t>air::urban air close to ground</t>
        </is>
      </c>
      <c r="F2514" t="inlineStr">
        <is>
          <t>biosphere</t>
        </is>
      </c>
      <c r="H2514" t="inlineStr">
        <is>
          <t>PM2.5</t>
        </is>
      </c>
      <c r="I2514">
        <v>0</v>
      </c>
    </row>
    <row r="2515">
      <c r="A2515" t="inlineStr">
        <is>
          <t>NMVOC, non-methane volatile organic compounds</t>
        </is>
      </c>
      <c r="B2515">
        <v>6.1476482081469075e-06</v>
      </c>
      <c r="D2515" t="inlineStr">
        <is>
          <t>kilogram</t>
        </is>
      </c>
      <c r="E2515" t="inlineStr">
        <is>
          <t>air::urban air close to ground</t>
        </is>
      </c>
      <c r="F2515" t="inlineStr">
        <is>
          <t>biosphere</t>
        </is>
      </c>
      <c r="H2515" t="inlineStr">
        <is>
          <t>NMVOC</t>
        </is>
      </c>
      <c r="I2515">
        <v>0</v>
      </c>
    </row>
    <row r="2516">
      <c r="A2516" t="inlineStr">
        <is>
          <t>Ethane</t>
        </is>
      </c>
      <c r="B2516">
        <v>4.3348801467702544e-07</v>
      </c>
      <c r="D2516" t="inlineStr">
        <is>
          <t>kilogram</t>
        </is>
      </c>
      <c r="E2516" t="inlineStr">
        <is>
          <t>air::urban air close to ground</t>
        </is>
      </c>
      <c r="F2516" t="inlineStr">
        <is>
          <t>biosphere</t>
        </is>
      </c>
      <c r="H2516" t="inlineStr">
        <is>
          <t>Ethane</t>
        </is>
      </c>
      <c r="I2516">
        <v>0</v>
      </c>
    </row>
    <row r="2517">
      <c r="A2517" t="inlineStr">
        <is>
          <t>Propane</t>
        </is>
      </c>
      <c r="B2517">
        <v>8.832827885268543e-08</v>
      </c>
      <c r="D2517" t="inlineStr">
        <is>
          <t>kilogram</t>
        </is>
      </c>
      <c r="E2517" t="inlineStr">
        <is>
          <t>air::urban air close to ground</t>
        </is>
      </c>
      <c r="F2517" t="inlineStr">
        <is>
          <t>biosphere</t>
        </is>
      </c>
      <c r="H2517" t="inlineStr">
        <is>
          <t>Propane</t>
        </is>
      </c>
      <c r="I2517">
        <v>0</v>
      </c>
    </row>
    <row r="2518">
      <c r="A2518" t="inlineStr">
        <is>
          <t>Butane</t>
        </is>
      </c>
      <c r="B2518">
        <v>7.120618172124179e-07</v>
      </c>
      <c r="D2518" t="inlineStr">
        <is>
          <t>kilogram</t>
        </is>
      </c>
      <c r="E2518" t="inlineStr">
        <is>
          <t>air::urban air close to ground</t>
        </is>
      </c>
      <c r="F2518" t="inlineStr">
        <is>
          <t>biosphere</t>
        </is>
      </c>
      <c r="H2518" t="inlineStr">
        <is>
          <t>Butane</t>
        </is>
      </c>
      <c r="I2518">
        <v>0</v>
      </c>
    </row>
    <row r="2519">
      <c r="A2519" t="inlineStr">
        <is>
          <t>Pentane</t>
        </is>
      </c>
      <c r="B2519">
        <v>2.9216276851272876e-07</v>
      </c>
      <c r="D2519" t="inlineStr">
        <is>
          <t>kilogram</t>
        </is>
      </c>
      <c r="E2519" t="inlineStr">
        <is>
          <t>air::urban air close to ground</t>
        </is>
      </c>
      <c r="F2519" t="inlineStr">
        <is>
          <t>biosphere</t>
        </is>
      </c>
      <c r="H2519" t="inlineStr">
        <is>
          <t>Pentane</t>
        </is>
      </c>
      <c r="I2519">
        <v>0</v>
      </c>
    </row>
    <row r="2520">
      <c r="A2520" t="inlineStr">
        <is>
          <t>Hexane</t>
        </is>
      </c>
      <c r="B2520">
        <v>2.1878235223511317e-07</v>
      </c>
      <c r="D2520" t="inlineStr">
        <is>
          <t>kilogram</t>
        </is>
      </c>
      <c r="E2520" t="inlineStr">
        <is>
          <t>air::urban air close to ground</t>
        </is>
      </c>
      <c r="F2520" t="inlineStr">
        <is>
          <t>biosphere</t>
        </is>
      </c>
      <c r="H2520" t="inlineStr">
        <is>
          <t>Hexane</t>
        </is>
      </c>
      <c r="I2520">
        <v>0</v>
      </c>
    </row>
    <row r="2521">
      <c r="A2521" t="inlineStr">
        <is>
          <t>Cyclohexane</t>
        </is>
      </c>
      <c r="B2521">
        <v>1.5491421214163292e-07</v>
      </c>
      <c r="D2521" t="inlineStr">
        <is>
          <t>kilogram</t>
        </is>
      </c>
      <c r="E2521" t="inlineStr">
        <is>
          <t>air::urban air close to ground</t>
        </is>
      </c>
      <c r="F2521" t="inlineStr">
        <is>
          <t>biosphere</t>
        </is>
      </c>
      <c r="H2521" t="inlineStr">
        <is>
          <t>Cyclohexane</t>
        </is>
      </c>
      <c r="I2521">
        <v>0</v>
      </c>
    </row>
    <row r="2522">
      <c r="A2522" t="inlineStr">
        <is>
          <t>Heptane</t>
        </is>
      </c>
      <c r="B2522">
        <v>1.0055834823228804e-07</v>
      </c>
      <c r="D2522" t="inlineStr">
        <is>
          <t>kilogram</t>
        </is>
      </c>
      <c r="E2522" t="inlineStr">
        <is>
          <t>air::urban air close to ground</t>
        </is>
      </c>
      <c r="F2522" t="inlineStr">
        <is>
          <t>biosphere</t>
        </is>
      </c>
      <c r="H2522" t="inlineStr">
        <is>
          <t>Heptane</t>
        </is>
      </c>
      <c r="I2522">
        <v>0</v>
      </c>
    </row>
    <row r="2523">
      <c r="A2523" t="inlineStr">
        <is>
          <t>Ethylene</t>
        </is>
      </c>
      <c r="B2523">
        <v>9.919945163455441e-07</v>
      </c>
      <c r="D2523" t="inlineStr">
        <is>
          <t>kilogram</t>
        </is>
      </c>
      <c r="E2523" t="inlineStr">
        <is>
          <t>air::urban air close to ground</t>
        </is>
      </c>
      <c r="F2523" t="inlineStr">
        <is>
          <t>biosphere</t>
        </is>
      </c>
      <c r="H2523" t="inlineStr">
        <is>
          <t>Ethene</t>
        </is>
      </c>
      <c r="I2523">
        <v>0</v>
      </c>
    </row>
    <row r="2524">
      <c r="A2524" t="inlineStr">
        <is>
          <t>Propylene</t>
        </is>
      </c>
      <c r="B2524">
        <v>5.190985003342436e-07</v>
      </c>
      <c r="D2524" t="inlineStr">
        <is>
          <t>kilogram</t>
        </is>
      </c>
      <c r="E2524" t="inlineStr">
        <is>
          <t>air::urban air close to ground</t>
        </is>
      </c>
      <c r="F2524" t="inlineStr">
        <is>
          <t>biosphere</t>
        </is>
      </c>
      <c r="H2524" t="inlineStr">
        <is>
          <t>Propene</t>
        </is>
      </c>
      <c r="I2524">
        <v>0</v>
      </c>
    </row>
    <row r="2525">
      <c r="A2525" t="inlineStr">
        <is>
          <t>1-Pentene</t>
        </is>
      </c>
      <c r="B2525">
        <v>1.4947862575069847e-08</v>
      </c>
      <c r="D2525" t="inlineStr">
        <is>
          <t>kilogram</t>
        </is>
      </c>
      <c r="E2525" t="inlineStr">
        <is>
          <t>air::urban air close to ground</t>
        </is>
      </c>
      <c r="F2525" t="inlineStr">
        <is>
          <t>biosphere</t>
        </is>
      </c>
      <c r="H2525" t="inlineStr">
        <is>
          <t>1-Pentene</t>
        </is>
      </c>
      <c r="I2525">
        <v>0</v>
      </c>
    </row>
    <row r="2526">
      <c r="A2526" t="inlineStr">
        <is>
          <t>Toluene</t>
        </is>
      </c>
      <c r="B2526">
        <v>1.4920684643115172e-06</v>
      </c>
      <c r="D2526" t="inlineStr">
        <is>
          <t>kilogram</t>
        </is>
      </c>
      <c r="E2526" t="inlineStr">
        <is>
          <t>air::urban air close to ground</t>
        </is>
      </c>
      <c r="F2526" t="inlineStr">
        <is>
          <t>biosphere</t>
        </is>
      </c>
      <c r="H2526" t="inlineStr">
        <is>
          <t>Toluene</t>
        </is>
      </c>
      <c r="I2526">
        <v>0</v>
      </c>
    </row>
    <row r="2527">
      <c r="A2527" t="inlineStr">
        <is>
          <t>m-Xylene</t>
        </is>
      </c>
      <c r="B2527">
        <v>7.37880852569357e-07</v>
      </c>
      <c r="D2527" t="inlineStr">
        <is>
          <t>kilogram</t>
        </is>
      </c>
      <c r="E2527" t="inlineStr">
        <is>
          <t>air::urban air close to ground</t>
        </is>
      </c>
      <c r="F2527" t="inlineStr">
        <is>
          <t>biosphere</t>
        </is>
      </c>
      <c r="H2527" t="inlineStr">
        <is>
          <t>m-Xylene</t>
        </is>
      </c>
      <c r="I2527">
        <v>0</v>
      </c>
    </row>
    <row r="2528">
      <c r="A2528" t="inlineStr">
        <is>
          <t>o-Xylene</t>
        </is>
      </c>
      <c r="B2528">
        <v>3.071106310877986e-07</v>
      </c>
      <c r="D2528" t="inlineStr">
        <is>
          <t>kilogram</t>
        </is>
      </c>
      <c r="E2528" t="inlineStr">
        <is>
          <t>air::urban air close to ground</t>
        </is>
      </c>
      <c r="F2528" t="inlineStr">
        <is>
          <t>biosphere</t>
        </is>
      </c>
      <c r="H2528" t="inlineStr">
        <is>
          <t>o-Xylene</t>
        </is>
      </c>
      <c r="I2528">
        <v>0</v>
      </c>
    </row>
    <row r="2529">
      <c r="A2529" t="inlineStr">
        <is>
          <t>Formaldehyde</t>
        </is>
      </c>
      <c r="B2529">
        <v>2.310124216147158e-07</v>
      </c>
      <c r="D2529" t="inlineStr">
        <is>
          <t>kilogram</t>
        </is>
      </c>
      <c r="E2529" t="inlineStr">
        <is>
          <t>air::urban air close to ground</t>
        </is>
      </c>
      <c r="F2529" t="inlineStr">
        <is>
          <t>biosphere</t>
        </is>
      </c>
      <c r="H2529" t="inlineStr">
        <is>
          <t>Formaldehyde</t>
        </is>
      </c>
      <c r="I2529">
        <v>0</v>
      </c>
    </row>
    <row r="2530">
      <c r="A2530" t="inlineStr">
        <is>
          <t>Acetaldehyde</t>
        </is>
      </c>
      <c r="B2530">
        <v>1.0191724483002165e-07</v>
      </c>
      <c r="D2530" t="inlineStr">
        <is>
          <t>kilogram</t>
        </is>
      </c>
      <c r="E2530" t="inlineStr">
        <is>
          <t>air::urban air close to ground</t>
        </is>
      </c>
      <c r="F2530" t="inlineStr">
        <is>
          <t>biosphere</t>
        </is>
      </c>
      <c r="H2530" t="inlineStr">
        <is>
          <t>Acetaldehyde</t>
        </is>
      </c>
      <c r="I2530">
        <v>0</v>
      </c>
    </row>
    <row r="2531">
      <c r="A2531" t="inlineStr">
        <is>
          <t>Benzaldehyde</t>
        </is>
      </c>
      <c r="B2531">
        <v>2.9895725150139694e-08</v>
      </c>
      <c r="D2531" t="inlineStr">
        <is>
          <t>kilogram</t>
        </is>
      </c>
      <c r="E2531" t="inlineStr">
        <is>
          <t>air::urban air close to ground</t>
        </is>
      </c>
      <c r="F2531" t="inlineStr">
        <is>
          <t>biosphere</t>
        </is>
      </c>
      <c r="H2531" t="inlineStr">
        <is>
          <t>Benzaldehyde</t>
        </is>
      </c>
      <c r="I2531">
        <v>0</v>
      </c>
    </row>
    <row r="2532">
      <c r="A2532" t="inlineStr">
        <is>
          <t>Acetone</t>
        </is>
      </c>
      <c r="B2532">
        <v>8.289269246175097e-08</v>
      </c>
      <c r="D2532" t="inlineStr">
        <is>
          <t>kilogram</t>
        </is>
      </c>
      <c r="E2532" t="inlineStr">
        <is>
          <t>air::urban air close to ground</t>
        </is>
      </c>
      <c r="F2532" t="inlineStr">
        <is>
          <t>biosphere</t>
        </is>
      </c>
      <c r="H2532" t="inlineStr">
        <is>
          <t>Acetone</t>
        </is>
      </c>
      <c r="I2532">
        <v>0</v>
      </c>
    </row>
    <row r="2533">
      <c r="A2533" t="inlineStr">
        <is>
          <t>Methyl ethyl ketone</t>
        </is>
      </c>
      <c r="B2533">
        <v>0.0</v>
      </c>
      <c r="D2533" t="inlineStr">
        <is>
          <t>kilogram</t>
        </is>
      </c>
      <c r="E2533" t="inlineStr">
        <is>
          <t>air::urban air close to ground</t>
        </is>
      </c>
      <c r="F2533" t="inlineStr">
        <is>
          <t>biosphere</t>
        </is>
      </c>
      <c r="H2533" t="inlineStr">
        <is>
          <t>Methyl ethyl ketone</t>
        </is>
      </c>
      <c r="I2533">
        <v>0</v>
      </c>
    </row>
    <row r="2534">
      <c r="A2534" t="inlineStr">
        <is>
          <t>Acrolein</t>
        </is>
      </c>
      <c r="B2534">
        <v>2.581903535693882e-08</v>
      </c>
      <c r="D2534" t="inlineStr">
        <is>
          <t>kilogram</t>
        </is>
      </c>
      <c r="E2534" t="inlineStr">
        <is>
          <t>air::urban air close to ground</t>
        </is>
      </c>
      <c r="F2534" t="inlineStr">
        <is>
          <t>biosphere</t>
        </is>
      </c>
      <c r="H2534" t="inlineStr">
        <is>
          <t>Acrolein</t>
        </is>
      </c>
      <c r="I2534">
        <v>0</v>
      </c>
    </row>
    <row r="2535">
      <c r="A2535" t="inlineStr">
        <is>
          <t>Styrene</t>
        </is>
      </c>
      <c r="B2535">
        <v>1.3724855637109585e-07</v>
      </c>
      <c r="D2535" t="inlineStr">
        <is>
          <t>kilogram</t>
        </is>
      </c>
      <c r="E2535" t="inlineStr">
        <is>
          <t>air::urban air close to ground</t>
        </is>
      </c>
      <c r="F2535" t="inlineStr">
        <is>
          <t>biosphere</t>
        </is>
      </c>
      <c r="H2535" t="inlineStr">
        <is>
          <t>Styrene</t>
        </is>
      </c>
      <c r="I2535">
        <v>0</v>
      </c>
    </row>
    <row r="2536">
      <c r="A2536" t="inlineStr">
        <is>
          <t>PAH, polycyclic aromatic hydrocarbons</t>
        </is>
      </c>
      <c r="B2536">
        <v>8.188235294117648e-10</v>
      </c>
      <c r="D2536" t="inlineStr">
        <is>
          <t>kilogram</t>
        </is>
      </c>
      <c r="E2536" t="inlineStr">
        <is>
          <t>air::urban air close to ground</t>
        </is>
      </c>
      <c r="F2536" t="inlineStr">
        <is>
          <t>biosphere</t>
        </is>
      </c>
      <c r="H2536" t="inlineStr">
        <is>
          <t>PAHs</t>
        </is>
      </c>
      <c r="I2536">
        <v>0</v>
      </c>
    </row>
    <row r="2537">
      <c r="A2537" t="inlineStr">
        <is>
          <t>Arsenic ion</t>
        </is>
      </c>
      <c r="B2537">
        <v>7.058823529411766e-12</v>
      </c>
      <c r="D2537" t="inlineStr">
        <is>
          <t>kilogram</t>
        </is>
      </c>
      <c r="E2537" t="inlineStr">
        <is>
          <t>air::urban air close to ground</t>
        </is>
      </c>
      <c r="F2537" t="inlineStr">
        <is>
          <t>biosphere</t>
        </is>
      </c>
      <c r="H2537" t="inlineStr">
        <is>
          <t>Arsenic</t>
        </is>
      </c>
      <c r="I2537">
        <v>0</v>
      </c>
    </row>
    <row r="2538">
      <c r="A2538" t="inlineStr">
        <is>
          <t>Selenium IV</t>
        </is>
      </c>
      <c r="B2538">
        <v>4.705882352941177e-12</v>
      </c>
      <c r="D2538" t="inlineStr">
        <is>
          <t>kilogram</t>
        </is>
      </c>
      <c r="E2538" t="inlineStr">
        <is>
          <t>air::urban air close to ground</t>
        </is>
      </c>
      <c r="F2538" t="inlineStr">
        <is>
          <t>biosphere</t>
        </is>
      </c>
      <c r="H2538" t="inlineStr">
        <is>
          <t>Selenium</t>
        </is>
      </c>
      <c r="I2538">
        <v>0</v>
      </c>
    </row>
    <row r="2539">
      <c r="A2539" t="inlineStr">
        <is>
          <t>Zinc II</t>
        </is>
      </c>
      <c r="B2539">
        <v>5.082352941176471e-08</v>
      </c>
      <c r="D2539" t="inlineStr">
        <is>
          <t>kilogram</t>
        </is>
      </c>
      <c r="E2539" t="inlineStr">
        <is>
          <t>air::urban air close to ground</t>
        </is>
      </c>
      <c r="F2539" t="inlineStr">
        <is>
          <t>biosphere</t>
        </is>
      </c>
      <c r="H2539" t="inlineStr">
        <is>
          <t>Zinc</t>
        </is>
      </c>
      <c r="I2539">
        <v>0</v>
      </c>
    </row>
    <row r="2540">
      <c r="A2540" t="inlineStr">
        <is>
          <t>Copper ion</t>
        </is>
      </c>
      <c r="B2540">
        <v>9.88235294117647e-10</v>
      </c>
      <c r="D2540" t="inlineStr">
        <is>
          <t>kilogram</t>
        </is>
      </c>
      <c r="E2540" t="inlineStr">
        <is>
          <t>air::urban air close to ground</t>
        </is>
      </c>
      <c r="F2540" t="inlineStr">
        <is>
          <t>biosphere</t>
        </is>
      </c>
      <c r="H2540" t="inlineStr">
        <is>
          <t>Copper</t>
        </is>
      </c>
      <c r="I2540">
        <v>0</v>
      </c>
    </row>
    <row r="2541">
      <c r="A2541" t="inlineStr">
        <is>
          <t>Nickel II</t>
        </is>
      </c>
      <c r="B2541">
        <v>3.058823529411765e-10</v>
      </c>
      <c r="D2541" t="inlineStr">
        <is>
          <t>kilogram</t>
        </is>
      </c>
      <c r="E2541" t="inlineStr">
        <is>
          <t>air::urban air close to ground</t>
        </is>
      </c>
      <c r="F2541" t="inlineStr">
        <is>
          <t>biosphere</t>
        </is>
      </c>
      <c r="H2541" t="inlineStr">
        <is>
          <t>Nickel</t>
        </is>
      </c>
      <c r="I2541">
        <v>0</v>
      </c>
    </row>
    <row r="2542">
      <c r="A2542" t="inlineStr">
        <is>
          <t>Chromium III</t>
        </is>
      </c>
      <c r="B2542">
        <v>3.7647058823529416e-10</v>
      </c>
      <c r="D2542" t="inlineStr">
        <is>
          <t>kilogram</t>
        </is>
      </c>
      <c r="E2542" t="inlineStr">
        <is>
          <t>air::urban air close to ground</t>
        </is>
      </c>
      <c r="F2542" t="inlineStr">
        <is>
          <t>biosphere</t>
        </is>
      </c>
      <c r="H2542" t="inlineStr">
        <is>
          <t>Chromium</t>
        </is>
      </c>
      <c r="I2542">
        <v>0</v>
      </c>
    </row>
    <row r="2543">
      <c r="A2543" t="inlineStr">
        <is>
          <t>Chromium VI</t>
        </is>
      </c>
      <c r="B2543">
        <v>7.529411764705882e-13</v>
      </c>
      <c r="D2543" t="inlineStr">
        <is>
          <t>kilogram</t>
        </is>
      </c>
      <c r="E2543" t="inlineStr">
        <is>
          <t>air::urban air close to ground</t>
        </is>
      </c>
      <c r="F2543" t="inlineStr">
        <is>
          <t>biosphere</t>
        </is>
      </c>
      <c r="H2543" t="inlineStr">
        <is>
          <t>Chromium VI</t>
        </is>
      </c>
      <c r="I2543">
        <v>0</v>
      </c>
    </row>
    <row r="2544">
      <c r="A2544" t="inlineStr">
        <is>
          <t>Mercury II</t>
        </is>
      </c>
      <c r="B2544">
        <v>2.047058823529412e-10</v>
      </c>
      <c r="D2544" t="inlineStr">
        <is>
          <t>kilogram</t>
        </is>
      </c>
      <c r="E2544" t="inlineStr">
        <is>
          <t>air::urban air close to ground</t>
        </is>
      </c>
      <c r="F2544" t="inlineStr">
        <is>
          <t>biosphere</t>
        </is>
      </c>
      <c r="H2544" t="inlineStr">
        <is>
          <t>Mercury</t>
        </is>
      </c>
      <c r="I2544">
        <v>0</v>
      </c>
    </row>
    <row r="2545">
      <c r="A2545" t="inlineStr">
        <is>
          <t>Cadmium II</t>
        </is>
      </c>
      <c r="B2545">
        <v>2.541176470588236e-10</v>
      </c>
      <c r="D2545" t="inlineStr">
        <is>
          <t>kilogram</t>
        </is>
      </c>
      <c r="E2545" t="inlineStr">
        <is>
          <t>air::urban air close to ground</t>
        </is>
      </c>
      <c r="F2545" t="inlineStr">
        <is>
          <t>biosphere</t>
        </is>
      </c>
      <c r="H2545" t="inlineStr">
        <is>
          <t>Cadmium</t>
        </is>
      </c>
      <c r="I2545">
        <v>0</v>
      </c>
    </row>
    <row r="2546">
      <c r="A2546" t="inlineStr">
        <is>
          <t>treatment of road wear emissions, passenger car</t>
        </is>
      </c>
      <c r="B2546">
        <v>-5.857039126012582e-06</v>
      </c>
      <c r="C2546" t="inlineStr">
        <is>
          <t>RER</t>
        </is>
      </c>
      <c r="D2546" t="inlineStr">
        <is>
          <t>kilogram</t>
        </is>
      </c>
      <c r="F2546" t="inlineStr">
        <is>
          <t>technosphere</t>
        </is>
      </c>
      <c r="G2546" t="inlineStr">
        <is>
          <t>road wear emissions, passenger car</t>
        </is>
      </c>
      <c r="H2546" t="inlineStr">
        <is>
          <t>Road wear [kg/km]</t>
        </is>
      </c>
      <c r="I2546">
        <v>0</v>
      </c>
    </row>
    <row r="2547">
      <c r="A2547" t="inlineStr">
        <is>
          <t>treatment of tyre wear emissions, passenger car</t>
        </is>
      </c>
      <c r="B2547">
        <v>-3.886222117725553e-06</v>
      </c>
      <c r="C2547" t="inlineStr">
        <is>
          <t>RER</t>
        </is>
      </c>
      <c r="D2547" t="inlineStr">
        <is>
          <t>kilogram</t>
        </is>
      </c>
      <c r="F2547" t="inlineStr">
        <is>
          <t>technosphere</t>
        </is>
      </c>
      <c r="G2547" t="inlineStr">
        <is>
          <t>tyre wear emissions, passenger car</t>
        </is>
      </c>
      <c r="H2547" t="inlineStr">
        <is>
          <t>Tire wear [kg/km]</t>
        </is>
      </c>
      <c r="I2547">
        <v>0</v>
      </c>
    </row>
    <row r="2548">
      <c r="A2548" t="inlineStr">
        <is>
          <t>treatment of brake wear emissions, passenger car</t>
        </is>
      </c>
      <c r="B2548">
        <v>-2.1569214522274334e-06</v>
      </c>
      <c r="C2548" t="inlineStr">
        <is>
          <t>RER</t>
        </is>
      </c>
      <c r="D2548" t="inlineStr">
        <is>
          <t>kilogram</t>
        </is>
      </c>
      <c r="F2548" t="inlineStr">
        <is>
          <t>technosphere</t>
        </is>
      </c>
      <c r="G2548" t="inlineStr">
        <is>
          <t>brake wear emissions, passenger car</t>
        </is>
      </c>
      <c r="H2548" t="inlineStr">
        <is>
          <t>Brake wear [kg/km]</t>
        </is>
      </c>
      <c r="I2548">
        <v>0</v>
      </c>
    </row>
    <row r="2549">
      <c r="A2549" t="inlineStr">
        <is>
          <t>Carbon dioxide, non-fossil</t>
        </is>
      </c>
      <c r="B2549">
        <v>0.07282074606450883</v>
      </c>
      <c r="D2549" t="inlineStr">
        <is>
          <t>kilogram</t>
        </is>
      </c>
      <c r="E2549" t="inlineStr">
        <is>
          <t>air::urban air close to ground</t>
        </is>
      </c>
      <c r="F2549" t="inlineStr">
        <is>
          <t>biosphere</t>
        </is>
      </c>
      <c r="H2549" t="inlineStr">
        <is>
          <t>3.15 kgCO2/kg synthetic gasoline combusted.</t>
        </is>
      </c>
      <c r="I2549">
        <v>0</v>
      </c>
    </row>
    <row r="2550">
      <c r="A2550" t="inlineStr">
        <is>
          <t>Carbon dioxide, from soil or biomass stock</t>
        </is>
      </c>
      <c r="B2550">
        <v>0.0008792539354911677</v>
      </c>
      <c r="D2550" t="inlineStr">
        <is>
          <t>kilogram</t>
        </is>
      </c>
      <c r="E2550" t="inlineStr">
        <is>
          <t>air::urban air close to ground</t>
        </is>
      </c>
      <c r="F2550" t="inlineStr">
        <is>
          <t>biosphere</t>
        </is>
      </c>
      <c r="I2550">
        <v>0</v>
      </c>
    </row>
    <row r="2551"/>
    <row r="2552">
      <c r="A2552" t="inlineStr">
        <is>
          <t>Activity</t>
        </is>
      </c>
      <c r="B2552" t="inlineStr">
        <is>
          <t>diesel, burned in heavy-duty vehicle</t>
        </is>
      </c>
    </row>
    <row r="2553">
      <c r="A2553" t="inlineStr">
        <is>
          <t>location</t>
        </is>
      </c>
      <c r="B2553" t="inlineStr">
        <is>
          <t>RER</t>
        </is>
      </c>
    </row>
    <row r="2554">
      <c r="A2554" t="inlineStr">
        <is>
          <t>production amount</t>
        </is>
      </c>
      <c r="B2554">
        <v>1</v>
      </c>
    </row>
    <row r="2555">
      <c r="A2555" t="inlineStr">
        <is>
          <t>reference product</t>
        </is>
      </c>
      <c r="B2555" t="inlineStr">
        <is>
          <t>heat</t>
        </is>
      </c>
    </row>
    <row r="2556">
      <c r="A2556" t="inlineStr">
        <is>
          <t>type</t>
        </is>
      </c>
      <c r="B2556" t="inlineStr">
        <is>
          <t>process</t>
        </is>
      </c>
    </row>
    <row r="2557">
      <c r="A2557" t="inlineStr">
        <is>
          <t>unit</t>
        </is>
      </c>
      <c r="B2557" t="inlineStr">
        <is>
          <t>megajoule</t>
        </is>
      </c>
    </row>
    <row r="2558">
      <c r="A2558" t="inlineStr">
        <is>
          <t>source</t>
        </is>
      </c>
      <c r="B2558" t="inlineStr">
        <is>
          <t>Sacchi, R., Bauer, C., and Cox, B. Does size matter? The influence of size, load factor, range autonomy and application type on the Life Cycle Assessment of current and future trucks. 2021. Environmental Science and Technology.</t>
        </is>
      </c>
    </row>
    <row r="2559">
      <c r="A2559" t="inlineStr">
        <is>
          <t>description</t>
        </is>
      </c>
      <c r="B255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60">
      <c r="A2560" t="inlineStr">
        <is>
          <t>comment</t>
        </is>
      </c>
      <c r="B256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61">
      <c r="A2561" t="inlineStr">
        <is>
          <t>Power, mean</t>
        </is>
      </c>
      <c r="B2561">
        <v>300</v>
      </c>
    </row>
    <row r="2562">
      <c r="A2562" t="inlineStr">
        <is>
          <t>Power, min</t>
        </is>
      </c>
      <c r="B2562">
        <v>135</v>
      </c>
    </row>
    <row r="2563">
      <c r="A2563" t="inlineStr">
        <is>
          <t>Power, max</t>
        </is>
      </c>
      <c r="B2563">
        <v>480</v>
      </c>
    </row>
    <row r="2564">
      <c r="A2564" t="inlineStr">
        <is>
          <t>Lifetime, mean</t>
        </is>
      </c>
      <c r="B2564">
        <v>1000000</v>
      </c>
    </row>
    <row r="2565">
      <c r="A2565" t="inlineStr">
        <is>
          <t>Lifetime, min</t>
        </is>
      </c>
      <c r="B2565">
        <v>500000</v>
      </c>
    </row>
    <row r="2566">
      <c r="A2566" t="inlineStr">
        <is>
          <t>Lifetime, max</t>
        </is>
      </c>
      <c r="B2566">
        <v>1200000</v>
      </c>
    </row>
    <row r="2567">
      <c r="A2567" t="inlineStr">
        <is>
          <t>Energy use, mean</t>
        </is>
      </c>
      <c r="B2567">
        <v>7500</v>
      </c>
    </row>
    <row r="2568">
      <c r="A2568" t="inlineStr">
        <is>
          <t>Energy use, min</t>
        </is>
      </c>
      <c r="B2568">
        <v>3570</v>
      </c>
    </row>
    <row r="2569">
      <c r="A2569" t="inlineStr">
        <is>
          <t>Energy use, max</t>
        </is>
      </c>
      <c r="B2569">
        <v>10165</v>
      </c>
    </row>
    <row r="2570">
      <c r="A2570" t="inlineStr">
        <is>
          <t>Electric motor, mean</t>
        </is>
      </c>
      <c r="B2570">
        <v>0</v>
      </c>
    </row>
    <row r="2571">
      <c r="A2571" t="inlineStr">
        <is>
          <t>Electric motor, min</t>
        </is>
      </c>
      <c r="B2571">
        <v>0</v>
      </c>
    </row>
    <row r="2572">
      <c r="A2572" t="inlineStr">
        <is>
          <t>Electric motor, max</t>
        </is>
      </c>
      <c r="B2572">
        <v>0</v>
      </c>
    </row>
    <row r="2573">
      <c r="A2573" t="inlineStr">
        <is>
          <t>Combustion engine, mean</t>
        </is>
      </c>
      <c r="B2573">
        <v>880</v>
      </c>
    </row>
    <row r="2574">
      <c r="A2574" t="inlineStr">
        <is>
          <t>Combustion engine, min</t>
        </is>
      </c>
      <c r="B2574">
        <v>470</v>
      </c>
    </row>
    <row r="2575">
      <c r="A2575" t="inlineStr">
        <is>
          <t>Combustion engine, max</t>
        </is>
      </c>
      <c r="B2575">
        <v>1000</v>
      </c>
    </row>
    <row r="2576">
      <c r="A2576" t="inlineStr">
        <is>
          <t>Fuel tank, mean</t>
        </is>
      </c>
      <c r="B2576">
        <v>44</v>
      </c>
    </row>
    <row r="2577">
      <c r="A2577" t="inlineStr">
        <is>
          <t>Fuel tank, min</t>
        </is>
      </c>
      <c r="B2577">
        <v>33</v>
      </c>
    </row>
    <row r="2578">
      <c r="A2578" t="inlineStr">
        <is>
          <t>Fuel tank, max</t>
        </is>
      </c>
      <c r="B2578">
        <v>51</v>
      </c>
    </row>
    <row r="2579">
      <c r="A2579" t="inlineStr">
        <is>
          <t>Battery capacity, mean</t>
        </is>
      </c>
      <c r="B2579">
        <v>0</v>
      </c>
    </row>
    <row r="2580">
      <c r="A2580" t="inlineStr">
        <is>
          <t>Battery capacity, min</t>
        </is>
      </c>
      <c r="B2580">
        <v>0</v>
      </c>
    </row>
    <row r="2581">
      <c r="A2581" t="inlineStr">
        <is>
          <t>Battery capacity, max</t>
        </is>
      </c>
      <c r="B2581">
        <v>0</v>
      </c>
    </row>
    <row r="2582">
      <c r="A2582" t="inlineStr">
        <is>
          <t>Battery replacement, mean</t>
        </is>
      </c>
      <c r="B2582">
        <v>0</v>
      </c>
    </row>
    <row r="2583">
      <c r="A2583" t="inlineStr">
        <is>
          <t>Battery replacement, min</t>
        </is>
      </c>
      <c r="B2583">
        <v>0</v>
      </c>
    </row>
    <row r="2584">
      <c r="A2584" t="inlineStr">
        <is>
          <t>Battery replacement, max</t>
        </is>
      </c>
      <c r="B2584">
        <v>0</v>
      </c>
    </row>
    <row r="2585">
      <c r="A2585" t="inlineStr">
        <is>
          <t>Fuel cell system, mean</t>
        </is>
      </c>
      <c r="B2585">
        <v>0</v>
      </c>
    </row>
    <row r="2586">
      <c r="A2586" t="inlineStr">
        <is>
          <t>Fuel cell system, min</t>
        </is>
      </c>
      <c r="B2586">
        <v>0</v>
      </c>
    </row>
    <row r="2587">
      <c r="A2587" t="inlineStr">
        <is>
          <t>Fuel cell system, max</t>
        </is>
      </c>
      <c r="B2587">
        <v>0</v>
      </c>
    </row>
    <row r="2588">
      <c r="A2588" t="inlineStr">
        <is>
          <t>Fuel cell stack replacement, mean</t>
        </is>
      </c>
      <c r="B2588">
        <v>0</v>
      </c>
    </row>
    <row r="2589">
      <c r="A2589" t="inlineStr">
        <is>
          <t>Fuel cell replacement, min</t>
        </is>
      </c>
      <c r="B2589">
        <v>0</v>
      </c>
    </row>
    <row r="2590">
      <c r="A2590" t="inlineStr">
        <is>
          <t>Fuel cell replacement, max</t>
        </is>
      </c>
      <c r="B2590">
        <v>0</v>
      </c>
    </row>
    <row r="2591">
      <c r="A2591" t="inlineStr">
        <is>
          <t>Onboard charger mass</t>
        </is>
      </c>
      <c r="B2591">
        <v>0</v>
      </c>
    </row>
    <row r="2592">
      <c r="A2592" t="inlineStr">
        <is>
          <t>Controller mass</t>
        </is>
      </c>
      <c r="B2592">
        <v>0</v>
      </c>
    </row>
    <row r="2593">
      <c r="A2593" t="inlineStr">
        <is>
          <t>Converter mass</t>
        </is>
      </c>
      <c r="B2593">
        <v>0</v>
      </c>
    </row>
    <row r="2594">
      <c r="A2594" t="inlineStr">
        <is>
          <t>Electrical powertrain mass</t>
        </is>
      </c>
      <c r="B2594">
        <v>0</v>
      </c>
    </row>
    <row r="2595">
      <c r="A2595" t="inlineStr">
        <is>
          <t>Inverter mass</t>
        </is>
      </c>
      <c r="B2595">
        <v>0</v>
      </c>
    </row>
    <row r="2596">
      <c r="A2596" t="inlineStr">
        <is>
          <t>NOx</t>
        </is>
      </c>
      <c r="B2596">
        <v>0.158234892</v>
      </c>
    </row>
    <row r="2597">
      <c r="A2597" t="inlineStr">
        <is>
          <t>PM 2.5</t>
        </is>
      </c>
      <c r="B2597">
        <v>0.000655881</v>
      </c>
    </row>
    <row r="2598">
      <c r="A2598" t="inlineStr">
        <is>
          <t>energy use source</t>
        </is>
      </c>
      <c r="B2598"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599">
      <c r="A2599" t="inlineStr">
        <is>
          <t>Exchanges</t>
        </is>
      </c>
    </row>
    <row r="2600">
      <c r="A2600" t="inlineStr">
        <is>
          <t>name</t>
        </is>
      </c>
      <c r="B2600" t="inlineStr">
        <is>
          <t>amount</t>
        </is>
      </c>
      <c r="C2600" t="inlineStr">
        <is>
          <t>location</t>
        </is>
      </c>
      <c r="D2600" t="inlineStr">
        <is>
          <t>unit</t>
        </is>
      </c>
      <c r="E2600" t="inlineStr">
        <is>
          <t>categories</t>
        </is>
      </c>
      <c r="F2600" t="inlineStr">
        <is>
          <t>type</t>
        </is>
      </c>
      <c r="G2600" t="inlineStr">
        <is>
          <t>reference product</t>
        </is>
      </c>
      <c r="H2600" t="inlineStr">
        <is>
          <t>comment</t>
        </is>
      </c>
      <c r="I2600" t="inlineStr">
        <is>
          <t>uncertainty type</t>
        </is>
      </c>
    </row>
    <row r="2601">
      <c r="A2601" t="inlineStr">
        <is>
          <t>diesel, burned in heavy-duty vehicle</t>
        </is>
      </c>
      <c r="B2601">
        <v>1.0</v>
      </c>
      <c r="C2601" t="inlineStr">
        <is>
          <t>RER</t>
        </is>
      </c>
      <c r="D2601" t="inlineStr">
        <is>
          <t>megajoule</t>
        </is>
      </c>
      <c r="E2601" t="inlineStr">
        <is>
          <t/>
        </is>
      </c>
      <c r="F2601" t="inlineStr">
        <is>
          <t>production</t>
        </is>
      </c>
      <c r="G2601" t="inlineStr">
        <is>
          <t>heat</t>
        </is>
      </c>
      <c r="I2601">
        <v>0</v>
      </c>
    </row>
    <row r="2602">
      <c r="A2602" t="inlineStr">
        <is>
          <t>market for diesel, low-sulfur</t>
        </is>
      </c>
      <c r="B2602">
        <v>0.023255813953488372</v>
      </c>
      <c r="C2602" t="inlineStr">
        <is>
          <t>Europe without Switzerland</t>
        </is>
      </c>
      <c r="D2602" t="inlineStr">
        <is>
          <t>kilogram</t>
        </is>
      </c>
      <c r="F2602" t="inlineStr">
        <is>
          <t>technosphere</t>
        </is>
      </c>
      <c r="G2602" t="inlineStr">
        <is>
          <t>diesel, low-sulfur</t>
        </is>
      </c>
      <c r="H2602" t="inlineStr">
        <is>
          <t>Model fuel energy retained: 1.21344858584 MJ/tkm; reference LHV 43.0 MJ/kg. Premise determines regional blends.</t>
        </is>
      </c>
      <c r="I2602">
        <v>0</v>
      </c>
    </row>
    <row r="2603">
      <c r="A2603" t="inlineStr">
        <is>
          <t>market for tetrafluoroethane, R134a</t>
        </is>
      </c>
      <c r="B2603">
        <v>2.2988634886667227e-07</v>
      </c>
      <c r="C2603" t="inlineStr">
        <is>
          <t>GLO</t>
        </is>
      </c>
      <c r="D2603" t="inlineStr">
        <is>
          <t>kilogram</t>
        </is>
      </c>
      <c r="F2603" t="inlineStr">
        <is>
          <t>technosphere</t>
        </is>
      </c>
      <c r="G2603" t="inlineStr">
        <is>
          <t>tetrafluoroethane, R134a</t>
        </is>
      </c>
      <c r="I2603">
        <v>0</v>
      </c>
    </row>
    <row r="2604">
      <c r="A2604" t="inlineStr">
        <is>
          <t>treatment of brake wear emissions, lorry</t>
        </is>
      </c>
      <c r="B2604">
        <v>-8.332264901167272e-06</v>
      </c>
      <c r="C2604" t="inlineStr">
        <is>
          <t>RER</t>
        </is>
      </c>
      <c r="D2604" t="inlineStr">
        <is>
          <t>kilogram</t>
        </is>
      </c>
      <c r="F2604" t="inlineStr">
        <is>
          <t>technosphere</t>
        </is>
      </c>
      <c r="G2604" t="inlineStr">
        <is>
          <t>brake wear emissions, lorry</t>
        </is>
      </c>
      <c r="I2604">
        <v>0</v>
      </c>
    </row>
    <row r="2605">
      <c r="A2605" t="inlineStr">
        <is>
          <t>treatment of road wear emissions, lorry</t>
        </is>
      </c>
      <c r="B2605">
        <v>-1.0511814175882647e-05</v>
      </c>
      <c r="C2605" t="inlineStr">
        <is>
          <t>RER</t>
        </is>
      </c>
      <c r="D2605" t="inlineStr">
        <is>
          <t>kilogram</t>
        </is>
      </c>
      <c r="F2605" t="inlineStr">
        <is>
          <t>technosphere</t>
        </is>
      </c>
      <c r="G2605" t="inlineStr">
        <is>
          <t>road wear emissions, lorry</t>
        </is>
      </c>
      <c r="I2605">
        <v>0</v>
      </c>
    </row>
    <row r="2606">
      <c r="A2606" t="inlineStr">
        <is>
          <t>treatment of tyre wear emissions, lorry</t>
        </is>
      </c>
      <c r="B2606">
        <v>-8.54276405830878e-06</v>
      </c>
      <c r="C2606" t="inlineStr">
        <is>
          <t>RER</t>
        </is>
      </c>
      <c r="D2606" t="inlineStr">
        <is>
          <t>kilogram</t>
        </is>
      </c>
      <c r="F2606" t="inlineStr">
        <is>
          <t>technosphere</t>
        </is>
      </c>
      <c r="G2606" t="inlineStr">
        <is>
          <t>tyre wear emissions, lorry</t>
        </is>
      </c>
      <c r="I2606">
        <v>0</v>
      </c>
    </row>
    <row r="2607">
      <c r="A2607" t="inlineStr">
        <is>
          <t>Toluene</t>
        </is>
      </c>
      <c r="B2607">
        <v>9.72817404061121e-11</v>
      </c>
      <c r="D2607" t="inlineStr">
        <is>
          <t>kilogram</t>
        </is>
      </c>
      <c r="E2607" t="inlineStr">
        <is>
          <t>air::non-urban air or from high stacks</t>
        </is>
      </c>
      <c r="F2607" t="inlineStr">
        <is>
          <t>biosphere</t>
        </is>
      </c>
      <c r="I2607">
        <v>0</v>
      </c>
    </row>
    <row r="2608">
      <c r="A2608" t="inlineStr">
        <is>
          <t>NMVOC, non-methane volatile organic compounds</t>
        </is>
      </c>
      <c r="B2608">
        <v>7.909005533746073e-07</v>
      </c>
      <c r="D2608" t="inlineStr">
        <is>
          <t>kilogram</t>
        </is>
      </c>
      <c r="E2608" t="inlineStr">
        <is>
          <t>air::non-urban air or from high stacks</t>
        </is>
      </c>
      <c r="F2608" t="inlineStr">
        <is>
          <t>biosphere</t>
        </is>
      </c>
      <c r="I2608">
        <v>0</v>
      </c>
    </row>
    <row r="2609">
      <c r="A2609" t="inlineStr">
        <is>
          <t>Dinitrogen monoxide</t>
        </is>
      </c>
      <c r="B2609">
        <v>1.9725120204580215e-05</v>
      </c>
      <c r="D2609" t="inlineStr">
        <is>
          <t>kilogram</t>
        </is>
      </c>
      <c r="E2609" t="inlineStr">
        <is>
          <t>air::non-urban air or from high stacks</t>
        </is>
      </c>
      <c r="F2609" t="inlineStr">
        <is>
          <t>biosphere</t>
        </is>
      </c>
      <c r="I2609">
        <v>0</v>
      </c>
    </row>
    <row r="2610">
      <c r="A2610" t="inlineStr">
        <is>
          <t>Ethane</t>
        </is>
      </c>
      <c r="B2610">
        <v>1.0891786400309831e-10</v>
      </c>
      <c r="D2610" t="inlineStr">
        <is>
          <t>kilogram</t>
        </is>
      </c>
      <c r="E2610" t="inlineStr">
        <is>
          <t>air::urban air close to ground</t>
        </is>
      </c>
      <c r="F2610" t="inlineStr">
        <is>
          <t>biosphere</t>
        </is>
      </c>
      <c r="I2610">
        <v>0</v>
      </c>
    </row>
    <row r="2611">
      <c r="A2611" t="inlineStr">
        <is>
          <t>Pentane</t>
        </is>
      </c>
      <c r="B2611">
        <v>2.178357280061967e-10</v>
      </c>
      <c r="D2611" t="inlineStr">
        <is>
          <t>kilogram</t>
        </is>
      </c>
      <c r="E2611" t="inlineStr">
        <is>
          <t>air::urban air close to ground</t>
        </is>
      </c>
      <c r="F2611" t="inlineStr">
        <is>
          <t>biosphere</t>
        </is>
      </c>
      <c r="I2611">
        <v>0</v>
      </c>
    </row>
    <row r="2612">
      <c r="A2612" t="inlineStr">
        <is>
          <t>Selenium IV</t>
        </is>
      </c>
      <c r="B2612">
        <v>1.6967614759358543e-12</v>
      </c>
      <c r="D2612" t="inlineStr">
        <is>
          <t>kilogram</t>
        </is>
      </c>
      <c r="E2612" t="inlineStr">
        <is>
          <t>air::non-urban air or from high stacks</t>
        </is>
      </c>
      <c r="F2612" t="inlineStr">
        <is>
          <t>biosphere</t>
        </is>
      </c>
      <c r="I2612">
        <v>0</v>
      </c>
    </row>
    <row r="2613">
      <c r="A2613" t="inlineStr">
        <is>
          <t>Arsenic ion</t>
        </is>
      </c>
      <c r="B2613">
        <v>1.6967614759358543e-12</v>
      </c>
      <c r="D2613" t="inlineStr">
        <is>
          <t>kilogram</t>
        </is>
      </c>
      <c r="E2613" t="inlineStr">
        <is>
          <t>air::non-urban air or from high stacks</t>
        </is>
      </c>
      <c r="F2613" t="inlineStr">
        <is>
          <t>biosphere</t>
        </is>
      </c>
      <c r="I2613">
        <v>0</v>
      </c>
    </row>
    <row r="2614">
      <c r="A2614" t="inlineStr">
        <is>
          <t>Arsenic ion</t>
        </is>
      </c>
      <c r="B2614">
        <v>6.332385327245513e-13</v>
      </c>
      <c r="D2614" t="inlineStr">
        <is>
          <t>kilogram</t>
        </is>
      </c>
      <c r="E2614" t="inlineStr">
        <is>
          <t>air::urban air close to ground</t>
        </is>
      </c>
      <c r="F2614" t="inlineStr">
        <is>
          <t>biosphere</t>
        </is>
      </c>
      <c r="I2614">
        <v>0</v>
      </c>
    </row>
    <row r="2615">
      <c r="A2615" t="inlineStr">
        <is>
          <t>Particulate Matter, &lt; 2.5 um</t>
        </is>
      </c>
      <c r="B2615">
        <v>1.7825282603055566e-07</v>
      </c>
      <c r="D2615" t="inlineStr">
        <is>
          <t>kilogram</t>
        </is>
      </c>
      <c r="E2615" t="inlineStr">
        <is>
          <t>air::urban air close to ground</t>
        </is>
      </c>
      <c r="F2615" t="inlineStr">
        <is>
          <t>biosphere</t>
        </is>
      </c>
      <c r="I2615">
        <v>0</v>
      </c>
    </row>
    <row r="2616">
      <c r="A2616" t="inlineStr">
        <is>
          <t>Nickel II</t>
        </is>
      </c>
      <c r="B2616">
        <v>3.3862406923329497e-12</v>
      </c>
      <c r="D2616" t="inlineStr">
        <is>
          <t>kilogram</t>
        </is>
      </c>
      <c r="E2616" t="inlineStr">
        <is>
          <t>air::non-urban air or from high stacks</t>
        </is>
      </c>
      <c r="F2616" t="inlineStr">
        <is>
          <t>biosphere</t>
        </is>
      </c>
      <c r="I2616">
        <v>0</v>
      </c>
    </row>
    <row r="2617">
      <c r="A2617" t="inlineStr">
        <is>
          <t>Methane, fossil</t>
        </is>
      </c>
      <c r="B2617">
        <v>2.3921714073582906e-08</v>
      </c>
      <c r="D2617" t="inlineStr">
        <is>
          <t>kilogram</t>
        </is>
      </c>
      <c r="E2617" t="inlineStr">
        <is>
          <t>air::non-urban air or from high stacks</t>
        </is>
      </c>
      <c r="F2617" t="inlineStr">
        <is>
          <t>biosphere</t>
        </is>
      </c>
      <c r="I2617">
        <v>0</v>
      </c>
    </row>
    <row r="2618">
      <c r="A2618" t="inlineStr">
        <is>
          <t>Mercury II</t>
        </is>
      </c>
      <c r="B2618">
        <v>8.957152806237827e-11</v>
      </c>
      <c r="D2618" t="inlineStr">
        <is>
          <t>kilogram</t>
        </is>
      </c>
      <c r="E2618" t="inlineStr">
        <is>
          <t>air::non-urban air or from high stacks</t>
        </is>
      </c>
      <c r="F2618" t="inlineStr">
        <is>
          <t>biosphere</t>
        </is>
      </c>
      <c r="I2618">
        <v>0</v>
      </c>
    </row>
    <row r="2619">
      <c r="A2619" t="inlineStr">
        <is>
          <t>Ammonia</t>
        </is>
      </c>
      <c r="B2619">
        <v>6.894575078264757e-06</v>
      </c>
      <c r="D2619" t="inlineStr">
        <is>
          <t>kilogram</t>
        </is>
      </c>
      <c r="E2619" t="inlineStr">
        <is>
          <t>air::non-urban air or from high stacks</t>
        </is>
      </c>
      <c r="F2619" t="inlineStr">
        <is>
          <t>biosphere</t>
        </is>
      </c>
      <c r="I2619">
        <v>0</v>
      </c>
    </row>
    <row r="2620">
      <c r="A2620" t="inlineStr">
        <is>
          <t>Ethane</t>
        </is>
      </c>
      <c r="B2620">
        <v>2.918452212183362e-10</v>
      </c>
      <c r="D2620" t="inlineStr">
        <is>
          <t>kilogram</t>
        </is>
      </c>
      <c r="E2620" t="inlineStr">
        <is>
          <t>air::non-urban air or from high stacks</t>
        </is>
      </c>
      <c r="F2620" t="inlineStr">
        <is>
          <t>biosphere</t>
        </is>
      </c>
      <c r="I2620">
        <v>0</v>
      </c>
    </row>
    <row r="2621">
      <c r="A2621" t="inlineStr">
        <is>
          <t>Nickel II</t>
        </is>
      </c>
      <c r="B2621">
        <v>1.263759195389486e-12</v>
      </c>
      <c r="D2621" t="inlineStr">
        <is>
          <t>kilogram</t>
        </is>
      </c>
      <c r="E2621" t="inlineStr">
        <is>
          <t>air::urban air close to ground</t>
        </is>
      </c>
      <c r="F2621" t="inlineStr">
        <is>
          <t>biosphere</t>
        </is>
      </c>
      <c r="I2621">
        <v>0</v>
      </c>
    </row>
    <row r="2622">
      <c r="A2622" t="inlineStr">
        <is>
          <t>Cadmium II</t>
        </is>
      </c>
      <c r="B2622">
        <v>8.447396081985474e-13</v>
      </c>
      <c r="D2622" t="inlineStr">
        <is>
          <t>kilogram</t>
        </is>
      </c>
      <c r="E2622" t="inlineStr">
        <is>
          <t>air::non-urban air or from high stacks</t>
        </is>
      </c>
      <c r="F2622" t="inlineStr">
        <is>
          <t>biosphere</t>
        </is>
      </c>
      <c r="I2622">
        <v>0</v>
      </c>
    </row>
    <row r="2623">
      <c r="A2623" t="inlineStr">
        <is>
          <t>Ammonia</t>
        </is>
      </c>
      <c r="B2623">
        <v>2.573084583766733e-06</v>
      </c>
      <c r="D2623" t="inlineStr">
        <is>
          <t>kilogram</t>
        </is>
      </c>
      <c r="E2623" t="inlineStr">
        <is>
          <t>air::urban air close to ground</t>
        </is>
      </c>
      <c r="F2623" t="inlineStr">
        <is>
          <t>biosphere</t>
        </is>
      </c>
      <c r="I2623">
        <v>0</v>
      </c>
    </row>
    <row r="2624">
      <c r="A2624" t="inlineStr">
        <is>
          <t>Butane</t>
        </is>
      </c>
      <c r="B2624">
        <v>1.4592261593886937e-09</v>
      </c>
      <c r="D2624" t="inlineStr">
        <is>
          <t>kilogram</t>
        </is>
      </c>
      <c r="E2624" t="inlineStr">
        <is>
          <t>air::non-urban air or from high stacks</t>
        </is>
      </c>
      <c r="F2624" t="inlineStr">
        <is>
          <t>biosphere</t>
        </is>
      </c>
      <c r="I2624">
        <v>0</v>
      </c>
    </row>
    <row r="2625">
      <c r="A2625" t="inlineStr">
        <is>
          <t>PAH, polycyclic aromatic hydrocarbons</t>
        </is>
      </c>
      <c r="B2625">
        <v>4.946326620454795e-10</v>
      </c>
      <c r="D2625" t="inlineStr">
        <is>
          <t>kilogram</t>
        </is>
      </c>
      <c r="E2625" t="inlineStr">
        <is>
          <t>air::urban air close to ground</t>
        </is>
      </c>
      <c r="F2625" t="inlineStr">
        <is>
          <t>biosphere</t>
        </is>
      </c>
      <c r="I2625">
        <v>0</v>
      </c>
    </row>
    <row r="2626">
      <c r="A2626" t="inlineStr">
        <is>
          <t>Copper ion</t>
        </is>
      </c>
      <c r="B2626">
        <v>9.685376539404841e-11</v>
      </c>
      <c r="D2626" t="inlineStr">
        <is>
          <t>kilogram</t>
        </is>
      </c>
      <c r="E2626" t="inlineStr">
        <is>
          <t>air::non-urban air or from high stacks</t>
        </is>
      </c>
      <c r="F2626" t="inlineStr">
        <is>
          <t>biosphere</t>
        </is>
      </c>
      <c r="I2626">
        <v>0</v>
      </c>
    </row>
    <row r="2627">
      <c r="A2627" t="inlineStr">
        <is>
          <t>Nitrogen oxides</t>
        </is>
      </c>
      <c r="B2627">
        <v>0.00018753997183161043</v>
      </c>
      <c r="D2627" t="inlineStr">
        <is>
          <t>kilogram</t>
        </is>
      </c>
      <c r="E2627" t="inlineStr">
        <is>
          <t>air::non-urban air or from high stacks</t>
        </is>
      </c>
      <c r="F2627" t="inlineStr">
        <is>
          <t>biosphere</t>
        </is>
      </c>
      <c r="I2627">
        <v>0</v>
      </c>
    </row>
    <row r="2628">
      <c r="A2628" t="inlineStr">
        <is>
          <t>Butane</t>
        </is>
      </c>
      <c r="B2628">
        <v>5.445893377811625e-10</v>
      </c>
      <c r="D2628" t="inlineStr">
        <is>
          <t>kilogram</t>
        </is>
      </c>
      <c r="E2628" t="inlineStr">
        <is>
          <t>air::urban air close to ground</t>
        </is>
      </c>
      <c r="F2628" t="inlineStr">
        <is>
          <t>biosphere</t>
        </is>
      </c>
      <c r="I2628">
        <v>0</v>
      </c>
    </row>
    <row r="2629">
      <c r="A2629" t="inlineStr">
        <is>
          <t>Copper ion</t>
        </is>
      </c>
      <c r="B2629">
        <v>3.6146231663205874e-11</v>
      </c>
      <c r="D2629" t="inlineStr">
        <is>
          <t>kilogram</t>
        </is>
      </c>
      <c r="E2629" t="inlineStr">
        <is>
          <t>air::urban air close to ground</t>
        </is>
      </c>
      <c r="F2629" t="inlineStr">
        <is>
          <t>biosphere</t>
        </is>
      </c>
      <c r="I2629">
        <v>0</v>
      </c>
    </row>
    <row r="2630">
      <c r="A2630" t="inlineStr">
        <is>
          <t>Chromium III</t>
        </is>
      </c>
      <c r="B2630">
        <v>5.3811684196359975e-11</v>
      </c>
      <c r="D2630" t="inlineStr">
        <is>
          <t>kilogram</t>
        </is>
      </c>
      <c r="E2630" t="inlineStr">
        <is>
          <t>air::urban air close to ground</t>
        </is>
      </c>
      <c r="F2630" t="inlineStr">
        <is>
          <t>biosphere</t>
        </is>
      </c>
      <c r="I2630">
        <v>0</v>
      </c>
    </row>
    <row r="2631">
      <c r="A2631" t="inlineStr">
        <is>
          <t>Propane</t>
        </is>
      </c>
      <c r="B2631">
        <v>3.6305953483321385e-10</v>
      </c>
      <c r="D2631" t="inlineStr">
        <is>
          <t>kilogram</t>
        </is>
      </c>
      <c r="E2631" t="inlineStr">
        <is>
          <t>air::urban air close to ground</t>
        </is>
      </c>
      <c r="F2631" t="inlineStr">
        <is>
          <t>biosphere</t>
        </is>
      </c>
      <c r="I2631">
        <v>0</v>
      </c>
    </row>
    <row r="2632">
      <c r="A2632" t="inlineStr">
        <is>
          <t>Toluene</t>
        </is>
      </c>
      <c r="B2632">
        <v>3.6305953927463155e-11</v>
      </c>
      <c r="D2632" t="inlineStr">
        <is>
          <t>kilogram</t>
        </is>
      </c>
      <c r="E2632" t="inlineStr">
        <is>
          <t>air::urban air close to ground</t>
        </is>
      </c>
      <c r="F2632" t="inlineStr">
        <is>
          <t>biosphere</t>
        </is>
      </c>
      <c r="I2632">
        <v>0</v>
      </c>
    </row>
    <row r="2633">
      <c r="A2633" t="inlineStr">
        <is>
          <t>Dinitrogen monoxide</t>
        </is>
      </c>
      <c r="B2633">
        <v>7.361498269225741e-06</v>
      </c>
      <c r="D2633" t="inlineStr">
        <is>
          <t>kilogram</t>
        </is>
      </c>
      <c r="E2633" t="inlineStr">
        <is>
          <t>air::urban air close to ground</t>
        </is>
      </c>
      <c r="F2633" t="inlineStr">
        <is>
          <t>biosphere</t>
        </is>
      </c>
      <c r="I2633">
        <v>0</v>
      </c>
    </row>
    <row r="2634">
      <c r="A2634" t="inlineStr">
        <is>
          <t>Zinc II</t>
        </is>
      </c>
      <c r="B2634">
        <v>1.1387421970009149e-10</v>
      </c>
      <c r="D2634" t="inlineStr">
        <is>
          <t>kilogram</t>
        </is>
      </c>
      <c r="E2634" t="inlineStr">
        <is>
          <t>air::urban air close to ground</t>
        </is>
      </c>
      <c r="F2634" t="inlineStr">
        <is>
          <t>biosphere</t>
        </is>
      </c>
      <c r="I2634">
        <v>0</v>
      </c>
    </row>
    <row r="2635">
      <c r="A2635" t="inlineStr">
        <is>
          <t>Chromium VI</t>
        </is>
      </c>
      <c r="B2635">
        <v>2.876484190151482e-13</v>
      </c>
      <c r="D2635" t="inlineStr">
        <is>
          <t>kilogram</t>
        </is>
      </c>
      <c r="E2635" t="inlineStr">
        <is>
          <t>air::non-urban air or from high stacks</t>
        </is>
      </c>
      <c r="F2635" t="inlineStr">
        <is>
          <t>biosphere</t>
        </is>
      </c>
      <c r="I2635">
        <v>0</v>
      </c>
    </row>
    <row r="2636">
      <c r="A2636" t="inlineStr">
        <is>
          <t>Benzene</t>
        </is>
      </c>
      <c r="B2636">
        <v>1.6645520623154097e-08</v>
      </c>
      <c r="D2636" t="inlineStr">
        <is>
          <t>kilogram</t>
        </is>
      </c>
      <c r="E2636" t="inlineStr">
        <is>
          <t>air::non-urban air or from high stacks</t>
        </is>
      </c>
      <c r="F2636" t="inlineStr">
        <is>
          <t>biosphere</t>
        </is>
      </c>
      <c r="I2636">
        <v>0</v>
      </c>
    </row>
    <row r="2637">
      <c r="A2637" t="inlineStr">
        <is>
          <t>Carbon monoxide, fossil</t>
        </is>
      </c>
      <c r="B2637">
        <v>9.188384379664334e-06</v>
      </c>
      <c r="D2637" t="inlineStr">
        <is>
          <t>kilogram</t>
        </is>
      </c>
      <c r="E2637" t="inlineStr">
        <is>
          <t>air::non-urban air or from high stacks</t>
        </is>
      </c>
      <c r="F2637" t="inlineStr">
        <is>
          <t>biosphere</t>
        </is>
      </c>
      <c r="I2637">
        <v>0</v>
      </c>
    </row>
    <row r="2638">
      <c r="A2638" t="inlineStr">
        <is>
          <t>Chromium VI</t>
        </is>
      </c>
      <c r="B2638">
        <v>1.0735159075537383e-13</v>
      </c>
      <c r="D2638" t="inlineStr">
        <is>
          <t>kilogram</t>
        </is>
      </c>
      <c r="E2638" t="inlineStr">
        <is>
          <t>air::urban air close to ground</t>
        </is>
      </c>
      <c r="F2638" t="inlineStr">
        <is>
          <t>biosphere</t>
        </is>
      </c>
      <c r="I2638">
        <v>0</v>
      </c>
    </row>
    <row r="2639">
      <c r="A2639" t="inlineStr">
        <is>
          <t>Methane, fossil</t>
        </is>
      </c>
      <c r="B2639">
        <v>8.927684532596896e-09</v>
      </c>
      <c r="D2639" t="inlineStr">
        <is>
          <t>kilogram</t>
        </is>
      </c>
      <c r="E2639" t="inlineStr">
        <is>
          <t>air::urban air close to ground</t>
        </is>
      </c>
      <c r="F2639" t="inlineStr">
        <is>
          <t>biosphere</t>
        </is>
      </c>
      <c r="I2639">
        <v>0</v>
      </c>
    </row>
    <row r="2640">
      <c r="A2640" t="inlineStr">
        <is>
          <t>Sulfur dioxide</t>
        </is>
      </c>
      <c r="B2640">
        <v>4.6773094495270746e-07</v>
      </c>
      <c r="D2640" t="inlineStr">
        <is>
          <t>kilogram</t>
        </is>
      </c>
      <c r="E2640" t="inlineStr">
        <is>
          <t>air</t>
        </is>
      </c>
      <c r="F2640" t="inlineStr">
        <is>
          <t>biosphere</t>
        </is>
      </c>
      <c r="I2640">
        <v>0</v>
      </c>
    </row>
    <row r="2641">
      <c r="A2641" t="inlineStr">
        <is>
          <t>NMVOC, non-methane volatile organic compounds</t>
        </is>
      </c>
      <c r="B2641">
        <v>2.9516741802169465e-07</v>
      </c>
      <c r="D2641" t="inlineStr">
        <is>
          <t>kilogram</t>
        </is>
      </c>
      <c r="E2641" t="inlineStr">
        <is>
          <t>air::urban air close to ground</t>
        </is>
      </c>
      <c r="F2641" t="inlineStr">
        <is>
          <t>biosphere</t>
        </is>
      </c>
      <c r="I2641">
        <v>0</v>
      </c>
    </row>
    <row r="2642">
      <c r="A2642" t="inlineStr">
        <is>
          <t>Formaldehyde</t>
        </is>
      </c>
      <c r="B2642">
        <v>3.04970020629929e-08</v>
      </c>
      <c r="D2642" t="inlineStr">
        <is>
          <t>kilogram</t>
        </is>
      </c>
      <c r="E2642" t="inlineStr">
        <is>
          <t>air::urban air close to ground</t>
        </is>
      </c>
      <c r="F2642" t="inlineStr">
        <is>
          <t>biosphere</t>
        </is>
      </c>
      <c r="I2642">
        <v>0</v>
      </c>
    </row>
    <row r="2643">
      <c r="A2643" t="inlineStr">
        <is>
          <t>Nitrogen oxides</t>
        </is>
      </c>
      <c r="B2643">
        <v>6.99907066197852e-05</v>
      </c>
      <c r="D2643" t="inlineStr">
        <is>
          <t>kilogram</t>
        </is>
      </c>
      <c r="E2643" t="inlineStr">
        <is>
          <t>air::urban air close to ground</t>
        </is>
      </c>
      <c r="F2643" t="inlineStr">
        <is>
          <t>biosphere</t>
        </is>
      </c>
      <c r="I2643">
        <v>0</v>
      </c>
    </row>
    <row r="2644">
      <c r="A2644" t="inlineStr">
        <is>
          <t>Formaldehyde</t>
        </is>
      </c>
      <c r="B2644">
        <v>8.171666492576685e-08</v>
      </c>
      <c r="D2644" t="inlineStr">
        <is>
          <t>kilogram</t>
        </is>
      </c>
      <c r="E2644" t="inlineStr">
        <is>
          <t>air::non-urban air or from high stacks</t>
        </is>
      </c>
      <c r="F2644" t="inlineStr">
        <is>
          <t>biosphere</t>
        </is>
      </c>
      <c r="I2644">
        <v>0</v>
      </c>
    </row>
    <row r="2645">
      <c r="A2645" t="inlineStr">
        <is>
          <t>Zinc II</t>
        </is>
      </c>
      <c r="B2645">
        <v>3.051257530798148e-10</v>
      </c>
      <c r="D2645" t="inlineStr">
        <is>
          <t>kilogram</t>
        </is>
      </c>
      <c r="E2645" t="inlineStr">
        <is>
          <t>air::non-urban air or from high stacks</t>
        </is>
      </c>
      <c r="F2645" t="inlineStr">
        <is>
          <t>biosphere</t>
        </is>
      </c>
      <c r="I2645">
        <v>0</v>
      </c>
    </row>
    <row r="2646">
      <c r="A2646" t="inlineStr">
        <is>
          <t>Carbon monoxide, fossil</t>
        </is>
      </c>
      <c r="B2646">
        <v>3.4291435191313595e-06</v>
      </c>
      <c r="D2646" t="inlineStr">
        <is>
          <t>kilogram</t>
        </is>
      </c>
      <c r="E2646" t="inlineStr">
        <is>
          <t>air::urban air close to ground</t>
        </is>
      </c>
      <c r="F2646" t="inlineStr">
        <is>
          <t>biosphere</t>
        </is>
      </c>
      <c r="I2646">
        <v>0</v>
      </c>
    </row>
    <row r="2647">
      <c r="A2647" t="inlineStr">
        <is>
          <t>m-Xylene</t>
        </is>
      </c>
      <c r="B2647">
        <v>3.5579834982156424e-09</v>
      </c>
      <c r="D2647" t="inlineStr">
        <is>
          <t>kilogram</t>
        </is>
      </c>
      <c r="E2647" t="inlineStr">
        <is>
          <t>air::urban air close to ground</t>
        </is>
      </c>
      <c r="F2647" t="inlineStr">
        <is>
          <t>biosphere</t>
        </is>
      </c>
      <c r="I2647">
        <v>0</v>
      </c>
    </row>
    <row r="2648">
      <c r="A2648" t="inlineStr">
        <is>
          <t>PAH, polycyclic aromatic hydrocarbons</t>
        </is>
      </c>
      <c r="B2648">
        <v>1.3253673720206761e-09</v>
      </c>
      <c r="D2648" t="inlineStr">
        <is>
          <t>kilogram</t>
        </is>
      </c>
      <c r="E2648" t="inlineStr">
        <is>
          <t>air::non-urban air or from high stacks</t>
        </is>
      </c>
      <c r="F2648" t="inlineStr">
        <is>
          <t>biosphere</t>
        </is>
      </c>
      <c r="I2648">
        <v>0</v>
      </c>
    </row>
    <row r="2649">
      <c r="A2649" t="inlineStr">
        <is>
          <t>Particulate Matter, &lt; 2.5 um</t>
        </is>
      </c>
      <c r="B2649">
        <v>4.776281554847676e-07</v>
      </c>
      <c r="D2649" t="inlineStr">
        <is>
          <t>kilogram</t>
        </is>
      </c>
      <c r="E2649" t="inlineStr">
        <is>
          <t>air::non-urban air or from high stacks</t>
        </is>
      </c>
      <c r="F2649" t="inlineStr">
        <is>
          <t>biosphere</t>
        </is>
      </c>
      <c r="I2649">
        <v>0</v>
      </c>
    </row>
    <row r="2650">
      <c r="A2650" t="inlineStr">
        <is>
          <t>Pentane</t>
        </is>
      </c>
      <c r="B2650">
        <v>5.836904424366724e-10</v>
      </c>
      <c r="D2650" t="inlineStr">
        <is>
          <t>kilogram</t>
        </is>
      </c>
      <c r="E2650" t="inlineStr">
        <is>
          <t>air::non-urban air or from high stacks</t>
        </is>
      </c>
      <c r="F2650" t="inlineStr">
        <is>
          <t>biosphere</t>
        </is>
      </c>
      <c r="I2650">
        <v>0</v>
      </c>
    </row>
    <row r="2651">
      <c r="A2651" t="inlineStr">
        <is>
          <t>1,1,1,2-Tetrafluoroethane</t>
        </is>
      </c>
      <c r="B2651">
        <v>1.0592803277176511e-07</v>
      </c>
      <c r="D2651" t="inlineStr">
        <is>
          <t>kilogram</t>
        </is>
      </c>
      <c r="E2651" t="inlineStr">
        <is>
          <t>air</t>
        </is>
      </c>
      <c r="F2651" t="inlineStr">
        <is>
          <t>biosphere</t>
        </is>
      </c>
      <c r="I2651">
        <v>0</v>
      </c>
    </row>
    <row r="2652">
      <c r="A2652" t="inlineStr">
        <is>
          <t>Acetaldehyde</t>
        </is>
      </c>
      <c r="B2652">
        <v>1.6591821111403828e-08</v>
      </c>
      <c r="D2652" t="inlineStr">
        <is>
          <t>kilogram</t>
        </is>
      </c>
      <c r="E2652" t="inlineStr">
        <is>
          <t>air::urban air close to ground</t>
        </is>
      </c>
      <c r="F2652" t="inlineStr">
        <is>
          <t>biosphere</t>
        </is>
      </c>
      <c r="I2652">
        <v>0</v>
      </c>
    </row>
    <row r="2653">
      <c r="A2653" t="inlineStr">
        <is>
          <t>Benzene</t>
        </is>
      </c>
      <c r="B2653">
        <v>6.21217814219678e-09</v>
      </c>
      <c r="D2653" t="inlineStr">
        <is>
          <t>kilogram</t>
        </is>
      </c>
      <c r="E2653" t="inlineStr">
        <is>
          <t>air::urban air close to ground</t>
        </is>
      </c>
      <c r="F2653" t="inlineStr">
        <is>
          <t>biosphere</t>
        </is>
      </c>
      <c r="I2653">
        <v>0</v>
      </c>
    </row>
    <row r="2654">
      <c r="A2654" t="inlineStr">
        <is>
          <t>Mercury II</t>
        </is>
      </c>
      <c r="B2654">
        <v>3.342847041832335e-11</v>
      </c>
      <c r="D2654" t="inlineStr">
        <is>
          <t>kilogram</t>
        </is>
      </c>
      <c r="E2654" t="inlineStr">
        <is>
          <t>air::urban air close to ground</t>
        </is>
      </c>
      <c r="F2654" t="inlineStr">
        <is>
          <t>biosphere</t>
        </is>
      </c>
      <c r="I2654">
        <v>0</v>
      </c>
    </row>
    <row r="2655">
      <c r="A2655" t="inlineStr">
        <is>
          <t>Cadmium II</t>
        </is>
      </c>
      <c r="B2655">
        <v>3.152603660310432e-13</v>
      </c>
      <c r="D2655" t="inlineStr">
        <is>
          <t>kilogram</t>
        </is>
      </c>
      <c r="E2655" t="inlineStr">
        <is>
          <t>air::urban air close to ground</t>
        </is>
      </c>
      <c r="F2655" t="inlineStr">
        <is>
          <t>biosphere</t>
        </is>
      </c>
      <c r="I2655">
        <v>0</v>
      </c>
    </row>
    <row r="2656">
      <c r="A2656" t="inlineStr">
        <is>
          <t>Propane</t>
        </is>
      </c>
      <c r="B2656">
        <v>9.728174395924623e-10</v>
      </c>
      <c r="D2656" t="inlineStr">
        <is>
          <t>kilogram</t>
        </is>
      </c>
      <c r="E2656" t="inlineStr">
        <is>
          <t>air::non-urban air or from high stacks</t>
        </is>
      </c>
      <c r="F2656" t="inlineStr">
        <is>
          <t>biosphere</t>
        </is>
      </c>
      <c r="I2656">
        <v>0</v>
      </c>
    </row>
    <row r="2657">
      <c r="A2657" t="inlineStr">
        <is>
          <t>Chromium III</t>
        </is>
      </c>
      <c r="B2657">
        <v>1.4418831693273988e-10</v>
      </c>
      <c r="D2657" t="inlineStr">
        <is>
          <t>kilogram</t>
        </is>
      </c>
      <c r="E2657" t="inlineStr">
        <is>
          <t>air::non-urban air or from high stacks</t>
        </is>
      </c>
      <c r="F2657" t="inlineStr">
        <is>
          <t>biosphere</t>
        </is>
      </c>
      <c r="I2657">
        <v>0</v>
      </c>
    </row>
    <row r="2658">
      <c r="A2658" t="inlineStr">
        <is>
          <t>Acrolein</t>
        </is>
      </c>
      <c r="B2658">
        <v>6.42615413607384e-09</v>
      </c>
      <c r="D2658" t="inlineStr">
        <is>
          <t>kilogram</t>
        </is>
      </c>
      <c r="E2658" t="inlineStr">
        <is>
          <t>air::urban air close to ground</t>
        </is>
      </c>
      <c r="F2658" t="inlineStr">
        <is>
          <t>biosphere</t>
        </is>
      </c>
      <c r="I2658">
        <v>0</v>
      </c>
    </row>
    <row r="2659">
      <c r="A2659" t="inlineStr">
        <is>
          <t>Benzaldehyde</t>
        </is>
      </c>
      <c r="B2659">
        <v>4.9739159967409846e-09</v>
      </c>
      <c r="D2659" t="inlineStr">
        <is>
          <t>kilogram</t>
        </is>
      </c>
      <c r="E2659" t="inlineStr">
        <is>
          <t>air::urban air close to ground</t>
        </is>
      </c>
      <c r="F2659" t="inlineStr">
        <is>
          <t>biosphere</t>
        </is>
      </c>
      <c r="I2659">
        <v>0</v>
      </c>
    </row>
    <row r="2660">
      <c r="A2660" t="inlineStr">
        <is>
          <t>Heptane</t>
        </is>
      </c>
      <c r="B2660">
        <v>1.0891786755623254e-09</v>
      </c>
      <c r="D2660" t="inlineStr">
        <is>
          <t>kilogram</t>
        </is>
      </c>
      <c r="E2660" t="inlineStr">
        <is>
          <t>air::urban air close to ground</t>
        </is>
      </c>
      <c r="F2660" t="inlineStr">
        <is>
          <t>biosphere</t>
        </is>
      </c>
      <c r="I2660">
        <v>0</v>
      </c>
    </row>
    <row r="2661">
      <c r="A2661" t="inlineStr">
        <is>
          <t>o-Xylene</t>
        </is>
      </c>
      <c r="B2661">
        <v>1.452238139332855e-09</v>
      </c>
      <c r="D2661" t="inlineStr">
        <is>
          <t>kilogram</t>
        </is>
      </c>
      <c r="E2661" t="inlineStr">
        <is>
          <t>air::urban air close to ground</t>
        </is>
      </c>
      <c r="F2661" t="inlineStr">
        <is>
          <t>biosphere</t>
        </is>
      </c>
      <c r="I2661">
        <v>0</v>
      </c>
    </row>
    <row r="2662">
      <c r="A2662" t="inlineStr">
        <is>
          <t>Selenium IV</t>
        </is>
      </c>
      <c r="B2662">
        <v>6.332385327245513e-13</v>
      </c>
      <c r="D2662" t="inlineStr">
        <is>
          <t>kilogram</t>
        </is>
      </c>
      <c r="E2662" t="inlineStr">
        <is>
          <t>air::urban air close to ground</t>
        </is>
      </c>
      <c r="F2662" t="inlineStr">
        <is>
          <t>biosphere</t>
        </is>
      </c>
      <c r="I2662">
        <v>0</v>
      </c>
    </row>
    <row r="2663">
      <c r="A2663" t="inlineStr">
        <is>
          <t>Styrene</t>
        </is>
      </c>
      <c r="B2663">
        <v>2.033133508766291e-09</v>
      </c>
      <c r="D2663" t="inlineStr">
        <is>
          <t>kilogram</t>
        </is>
      </c>
      <c r="E2663" t="inlineStr">
        <is>
          <t>air::urban air close to ground</t>
        </is>
      </c>
      <c r="F2663" t="inlineStr">
        <is>
          <t>biosphere</t>
        </is>
      </c>
      <c r="I2663">
        <v>0</v>
      </c>
    </row>
    <row r="2664">
      <c r="A2664" t="inlineStr">
        <is>
          <t>Acetaldehyde</t>
        </is>
      </c>
      <c r="B2664">
        <v>4.4457756307173774e-08</v>
      </c>
      <c r="D2664" t="inlineStr">
        <is>
          <t>kilogram</t>
        </is>
      </c>
      <c r="E2664" t="inlineStr">
        <is>
          <t>air::non-urban air or from high stacks</t>
        </is>
      </c>
      <c r="F2664" t="inlineStr">
        <is>
          <t>biosphere</t>
        </is>
      </c>
      <c r="I2664">
        <v>0</v>
      </c>
    </row>
    <row r="2665">
      <c r="A2665" t="inlineStr">
        <is>
          <t>Acrolein</t>
        </is>
      </c>
      <c r="B2665">
        <v>1.7218867998584824e-08</v>
      </c>
      <c r="D2665" t="inlineStr">
        <is>
          <t>kilogram</t>
        </is>
      </c>
      <c r="E2665" t="inlineStr">
        <is>
          <t>air::non-urban air or from high stacks</t>
        </is>
      </c>
      <c r="F2665" t="inlineStr">
        <is>
          <t>biosphere</t>
        </is>
      </c>
      <c r="I2665">
        <v>0</v>
      </c>
    </row>
    <row r="2666">
      <c r="A2666" t="inlineStr">
        <is>
          <t>Benzaldehyde</t>
        </is>
      </c>
      <c r="B2666">
        <v>1.3327598240214973e-08</v>
      </c>
      <c r="D2666" t="inlineStr">
        <is>
          <t>kilogram</t>
        </is>
      </c>
      <c r="E2666" t="inlineStr">
        <is>
          <t>air::non-urban air or from high stacks</t>
        </is>
      </c>
      <c r="F2666" t="inlineStr">
        <is>
          <t>biosphere</t>
        </is>
      </c>
      <c r="I2666">
        <v>0</v>
      </c>
    </row>
    <row r="2667">
      <c r="A2667" t="inlineStr">
        <is>
          <t>Heptane</t>
        </is>
      </c>
      <c r="B2667">
        <v>2.9184523187773873e-09</v>
      </c>
      <c r="D2667" t="inlineStr">
        <is>
          <t>kilogram</t>
        </is>
      </c>
      <c r="E2667" t="inlineStr">
        <is>
          <t>air::non-urban air or from high stacks</t>
        </is>
      </c>
      <c r="F2667" t="inlineStr">
        <is>
          <t>biosphere</t>
        </is>
      </c>
      <c r="I2667">
        <v>0</v>
      </c>
    </row>
    <row r="2668">
      <c r="A2668" t="inlineStr">
        <is>
          <t>m-Xylene</t>
        </is>
      </c>
      <c r="B2668">
        <v>9.533610453204961e-09</v>
      </c>
      <c r="D2668" t="inlineStr">
        <is>
          <t>kilogram</t>
        </is>
      </c>
      <c r="E2668" t="inlineStr">
        <is>
          <t>air::non-urban air or from high stacks</t>
        </is>
      </c>
      <c r="F2668" t="inlineStr">
        <is>
          <t>biosphere</t>
        </is>
      </c>
      <c r="I2668">
        <v>0</v>
      </c>
    </row>
    <row r="2669">
      <c r="A2669" t="inlineStr">
        <is>
          <t>o-Xylene</t>
        </is>
      </c>
      <c r="B2669">
        <v>3.891269758369849e-09</v>
      </c>
      <c r="D2669" t="inlineStr">
        <is>
          <t>kilogram</t>
        </is>
      </c>
      <c r="E2669" t="inlineStr">
        <is>
          <t>air::non-urban air or from high stacks</t>
        </is>
      </c>
      <c r="F2669" t="inlineStr">
        <is>
          <t>biosphere</t>
        </is>
      </c>
      <c r="I2669">
        <v>0</v>
      </c>
    </row>
    <row r="2670">
      <c r="A2670" t="inlineStr">
        <is>
          <t>Styrene</t>
        </is>
      </c>
      <c r="B2670">
        <v>5.447777889118377e-09</v>
      </c>
      <c r="D2670" t="inlineStr">
        <is>
          <t>kilogram</t>
        </is>
      </c>
      <c r="E2670" t="inlineStr">
        <is>
          <t>air::non-urban air or from high stacks</t>
        </is>
      </c>
      <c r="F2670" t="inlineStr">
        <is>
          <t>biosphere</t>
        </is>
      </c>
      <c r="I2670">
        <v>0</v>
      </c>
    </row>
    <row r="2671">
      <c r="A2671" t="inlineStr">
        <is>
          <t>exhaust system, for lorry, carculator regional truck 2020</t>
        </is>
      </c>
      <c r="B2671">
        <v>2.4791665583947556e-05</v>
      </c>
      <c r="C2671" t="inlineStr">
        <is>
          <t>RER</t>
        </is>
      </c>
      <c r="D2671" t="inlineStr">
        <is>
          <t>kilogram</t>
        </is>
      </c>
      <c r="F2671" t="inlineStr">
        <is>
          <t>technosphere</t>
        </is>
      </c>
      <c r="G2671" t="inlineStr">
        <is>
          <t>exhaust system, for lorry</t>
        </is>
      </c>
      <c r="H2671" t="inlineStr">
        <is>
          <t> Energy-use allocation: 220 * 1.367427797431765e-07 / 1.2134485858415922 MJ per ton kilometer.</t>
        </is>
      </c>
      <c r="I2671">
        <v>0</v>
      </c>
    </row>
    <row r="2672">
      <c r="A2672" t="inlineStr">
        <is>
          <t>fuel tank, for diesel vehicle, carculator regional truck 2020</t>
        </is>
      </c>
      <c r="B2672">
        <v>6.181935329374144e-06</v>
      </c>
      <c r="C2672" t="inlineStr">
        <is>
          <t>RER</t>
        </is>
      </c>
      <c r="D2672" t="inlineStr">
        <is>
          <t>kilogram</t>
        </is>
      </c>
      <c r="F2672" t="inlineStr">
        <is>
          <t>technosphere</t>
        </is>
      </c>
      <c r="G2672" t="inlineStr">
        <is>
          <t>fuel tank</t>
        </is>
      </c>
      <c r="H2672" t="inlineStr">
        <is>
          <t> Energy-use allocation: 54.85818481445312 * 1.367427797431765e-07 / 1.2134485858415922 MJ per ton kilometer.</t>
        </is>
      </c>
      <c r="I2672">
        <v>0</v>
      </c>
    </row>
    <row r="2673">
      <c r="A2673" t="inlineStr">
        <is>
          <t>gearbox, for lorry, carculator regional truck 2020</t>
        </is>
      </c>
      <c r="B2673">
        <v>2.271818151381884e-05</v>
      </c>
      <c r="C2673" t="inlineStr">
        <is>
          <t>RER</t>
        </is>
      </c>
      <c r="D2673" t="inlineStr">
        <is>
          <t>kilogram</t>
        </is>
      </c>
      <c r="F2673" t="inlineStr">
        <is>
          <t>technosphere</t>
        </is>
      </c>
      <c r="G2673" t="inlineStr">
        <is>
          <t>gearbox, for lorry</t>
        </is>
      </c>
      <c r="H2673" t="inlineStr">
        <is>
          <t> Energy-use allocation: 201.6000061035156 * 1.367427797431765e-07 / 1.2134485858415922 MJ per ton kilometer.</t>
        </is>
      </c>
      <c r="I2673">
        <v>0</v>
      </c>
    </row>
    <row r="2674">
      <c r="A2674" t="inlineStr">
        <is>
          <t>internal combustion engine, for lorry, carculator regional truck 2020</t>
        </is>
      </c>
      <c r="B2674">
        <v>0.000121895652649343</v>
      </c>
      <c r="C2674" t="inlineStr">
        <is>
          <t>RER</t>
        </is>
      </c>
      <c r="D2674" t="inlineStr">
        <is>
          <t>kilogram</t>
        </is>
      </c>
      <c r="F2674" t="inlineStr">
        <is>
          <t>technosphere</t>
        </is>
      </c>
      <c r="G2674" t="inlineStr">
        <is>
          <t>internal combustion engine, for lorry</t>
        </is>
      </c>
      <c r="H2674" t="inlineStr">
        <is>
          <t> Energy-use allocation: 1081.695922851562 * 1.367427797431765e-07 / 1.2134485858415922 MJ per ton kilometer.</t>
        </is>
      </c>
      <c r="I2674">
        <v>0</v>
      </c>
    </row>
    <row r="2675">
      <c r="A2675" t="inlineStr">
        <is>
          <t>lead acid battery, for lorry, carculator regional truck 2020</t>
        </is>
      </c>
      <c r="B2675">
        <v>3.7651515024380753e-06</v>
      </c>
      <c r="C2675" t="inlineStr">
        <is>
          <t>RER</t>
        </is>
      </c>
      <c r="D2675" t="inlineStr">
        <is>
          <t>kilogram</t>
        </is>
      </c>
      <c r="F2675" t="inlineStr">
        <is>
          <t>technosphere</t>
        </is>
      </c>
      <c r="G2675" t="inlineStr">
        <is>
          <t>lead acid battery, for lorry</t>
        </is>
      </c>
      <c r="H2675" t="inlineStr">
        <is>
          <t> Energy-use allocation: 33.41176605224609 * 1.367427797431765e-07 / 1.2134485858415922 MJ per ton kilometer.</t>
        </is>
      </c>
      <c r="I2675">
        <v>0</v>
      </c>
    </row>
    <row r="2676">
      <c r="A2676" t="inlineStr">
        <is>
          <t>power electronics, for lorry, carculator regional truck 2020</t>
        </is>
      </c>
      <c r="B2676">
        <v>2.986268808975501e-05</v>
      </c>
      <c r="C2676" t="inlineStr">
        <is>
          <t>RER</t>
        </is>
      </c>
      <c r="D2676" t="inlineStr">
        <is>
          <t>kilogram</t>
        </is>
      </c>
      <c r="F2676" t="inlineStr">
        <is>
          <t>technosphere</t>
        </is>
      </c>
      <c r="G2676" t="inlineStr">
        <is>
          <t>power electronics, for lorry</t>
        </is>
      </c>
      <c r="H2676" t="inlineStr">
        <is>
          <t> Energy-use allocation: 265 * 1.367427797431765e-07 / 1.2134485858415922 MJ per ton kilometer.</t>
        </is>
      </c>
      <c r="I2676">
        <v>0</v>
      </c>
    </row>
    <row r="2677">
      <c r="A2677" t="inlineStr">
        <is>
          <t>retarder, for lorry, carculator regional truck 2020</t>
        </is>
      </c>
      <c r="B2677">
        <v>7.572726598105075e-06</v>
      </c>
      <c r="C2677" t="inlineStr">
        <is>
          <t>RER</t>
        </is>
      </c>
      <c r="D2677" t="inlineStr">
        <is>
          <t>kilogram</t>
        </is>
      </c>
      <c r="F2677" t="inlineStr">
        <is>
          <t>technosphere</t>
        </is>
      </c>
      <c r="G2677" t="inlineStr">
        <is>
          <t>retarder, for lorry</t>
        </is>
      </c>
      <c r="H2677" t="inlineStr">
        <is>
          <t> Energy-use allocation: 67.19999694824219 * 1.367427797431765e-07 / 1.2134485858415922 MJ per ton kilometer.</t>
        </is>
      </c>
      <c r="I2677">
        <v>0</v>
      </c>
    </row>
    <row r="2678">
      <c r="A2678" t="inlineStr">
        <is>
          <t>transmission, for lorry, carculator regional truck 2020</t>
        </is>
      </c>
      <c r="B2678">
        <v>3.281514801862079e-05</v>
      </c>
      <c r="C2678" t="inlineStr">
        <is>
          <t>RER</t>
        </is>
      </c>
      <c r="D2678" t="inlineStr">
        <is>
          <t>kilogram</t>
        </is>
      </c>
      <c r="F2678" t="inlineStr">
        <is>
          <t>technosphere</t>
        </is>
      </c>
      <c r="G2678" t="inlineStr">
        <is>
          <t>transmission, for lorry</t>
        </is>
      </c>
      <c r="H2678" t="inlineStr">
        <is>
          <t> Energy-use allocation: 291.1999816894531 * 1.367427797431765e-07 / 1.2134485858415922 MJ per ton kilometer.</t>
        </is>
      </c>
      <c r="I2678">
        <v>0</v>
      </c>
    </row>
    <row r="2679">
      <c r="A2679" t="inlineStr">
        <is>
          <t>Carbon dioxide, fossil</t>
        </is>
      </c>
      <c r="B2679">
        <v>0.0732</v>
      </c>
      <c r="D2679" t="inlineStr">
        <is>
          <t>kilogram</t>
        </is>
      </c>
      <c r="E2679" t="inlineStr">
        <is>
          <t>air</t>
        </is>
      </c>
      <c r="F2679" t="inlineStr">
        <is>
          <t>biosphere</t>
        </is>
      </c>
      <c r="H2679" t="inlineStr">
        <is>
          <t>Reference-fuel full-oxidation CO2; Premise reclassifies fossil/biogenic carbon with regional blends. Pollutants are separate model estimates, not an elemental closure.</t>
        </is>
      </c>
      <c r="I2679">
        <v>0</v>
      </c>
    </row>
    <row r="2680"/>
    <row r="2681">
      <c r="A2681" t="inlineStr">
        <is>
          <t>Activity</t>
        </is>
      </c>
      <c r="B2681" t="inlineStr">
        <is>
          <t>diesel, synthetic, burned in heavy duty vehicle</t>
        </is>
      </c>
    </row>
    <row r="2682">
      <c r="A2682" t="inlineStr">
        <is>
          <t>location</t>
        </is>
      </c>
      <c r="B2682" t="inlineStr">
        <is>
          <t>RER</t>
        </is>
      </c>
    </row>
    <row r="2683">
      <c r="A2683" t="inlineStr">
        <is>
          <t>production amount</t>
        </is>
      </c>
      <c r="B2683">
        <v>1</v>
      </c>
    </row>
    <row r="2684">
      <c r="A2684" t="inlineStr">
        <is>
          <t>reference product</t>
        </is>
      </c>
      <c r="B2684" t="inlineStr">
        <is>
          <t>heat</t>
        </is>
      </c>
    </row>
    <row r="2685">
      <c r="A2685" t="inlineStr">
        <is>
          <t>type</t>
        </is>
      </c>
      <c r="B2685" t="inlineStr">
        <is>
          <t>process</t>
        </is>
      </c>
    </row>
    <row r="2686">
      <c r="A2686" t="inlineStr">
        <is>
          <t>unit</t>
        </is>
      </c>
      <c r="B2686" t="inlineStr">
        <is>
          <t>megajoule</t>
        </is>
      </c>
    </row>
    <row r="2687">
      <c r="A2687" t="inlineStr">
        <is>
          <t>source</t>
        </is>
      </c>
      <c r="B2687" t="inlineStr">
        <is>
          <t>Sacchi, R., Bauer, C., and Cox, B. Does size matter? The influence of size, load factor, range autonomy and application type on the Life Cycle Assessment of current and future trucks. 2021. Environmental Science and Technology.</t>
        </is>
      </c>
    </row>
    <row r="2688">
      <c r="A2688" t="inlineStr">
        <is>
          <t>description</t>
        </is>
      </c>
      <c r="B2688"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89">
      <c r="A2689" t="inlineStr">
        <is>
          <t>comment</t>
        </is>
      </c>
      <c r="B2689"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90">
      <c r="A2690" t="inlineStr">
        <is>
          <t>Power, mean</t>
        </is>
      </c>
      <c r="B2690">
        <v>300</v>
      </c>
    </row>
    <row r="2691">
      <c r="A2691" t="inlineStr">
        <is>
          <t>Power, min</t>
        </is>
      </c>
      <c r="B2691">
        <v>135</v>
      </c>
    </row>
    <row r="2692">
      <c r="A2692" t="inlineStr">
        <is>
          <t>Power, max</t>
        </is>
      </c>
      <c r="B2692">
        <v>480</v>
      </c>
    </row>
    <row r="2693">
      <c r="A2693" t="inlineStr">
        <is>
          <t>Lifetime, mean</t>
        </is>
      </c>
      <c r="B2693">
        <v>1000000</v>
      </c>
    </row>
    <row r="2694">
      <c r="A2694" t="inlineStr">
        <is>
          <t>Lifetime, min</t>
        </is>
      </c>
      <c r="B2694">
        <v>500000</v>
      </c>
    </row>
    <row r="2695">
      <c r="A2695" t="inlineStr">
        <is>
          <t>Lifetime, max</t>
        </is>
      </c>
      <c r="B2695">
        <v>1200000</v>
      </c>
    </row>
    <row r="2696">
      <c r="A2696" t="inlineStr">
        <is>
          <t>Energy use, mean</t>
        </is>
      </c>
      <c r="B2696">
        <v>7500</v>
      </c>
    </row>
    <row r="2697">
      <c r="A2697" t="inlineStr">
        <is>
          <t>Energy use, min</t>
        </is>
      </c>
      <c r="B2697">
        <v>3570</v>
      </c>
    </row>
    <row r="2698">
      <c r="A2698" t="inlineStr">
        <is>
          <t>Energy use, max</t>
        </is>
      </c>
      <c r="B2698">
        <v>10165</v>
      </c>
    </row>
    <row r="2699">
      <c r="A2699" t="inlineStr">
        <is>
          <t>Electric motor, mean</t>
        </is>
      </c>
      <c r="B2699">
        <v>0</v>
      </c>
    </row>
    <row r="2700">
      <c r="A2700" t="inlineStr">
        <is>
          <t>Electric motor, min</t>
        </is>
      </c>
      <c r="B2700">
        <v>0</v>
      </c>
    </row>
    <row r="2701">
      <c r="A2701" t="inlineStr">
        <is>
          <t>Electric motor, max</t>
        </is>
      </c>
      <c r="B2701">
        <v>0</v>
      </c>
    </row>
    <row r="2702">
      <c r="A2702" t="inlineStr">
        <is>
          <t>Combustion engine, mean</t>
        </is>
      </c>
      <c r="B2702">
        <v>880</v>
      </c>
    </row>
    <row r="2703">
      <c r="A2703" t="inlineStr">
        <is>
          <t>Combustion engine, min</t>
        </is>
      </c>
      <c r="B2703">
        <v>470</v>
      </c>
    </row>
    <row r="2704">
      <c r="A2704" t="inlineStr">
        <is>
          <t>Combustion engine, max</t>
        </is>
      </c>
      <c r="B2704">
        <v>1000</v>
      </c>
    </row>
    <row r="2705">
      <c r="A2705" t="inlineStr">
        <is>
          <t>Fuel tank, mean</t>
        </is>
      </c>
      <c r="B2705">
        <v>44</v>
      </c>
    </row>
    <row r="2706">
      <c r="A2706" t="inlineStr">
        <is>
          <t>Fuel tank, min</t>
        </is>
      </c>
      <c r="B2706">
        <v>33</v>
      </c>
    </row>
    <row r="2707">
      <c r="A2707" t="inlineStr">
        <is>
          <t>Fuel tank, max</t>
        </is>
      </c>
      <c r="B2707">
        <v>51</v>
      </c>
    </row>
    <row r="2708">
      <c r="A2708" t="inlineStr">
        <is>
          <t>Battery capacity, mean</t>
        </is>
      </c>
      <c r="B2708">
        <v>0</v>
      </c>
    </row>
    <row r="2709">
      <c r="A2709" t="inlineStr">
        <is>
          <t>Battery capacity, min</t>
        </is>
      </c>
      <c r="B2709">
        <v>0</v>
      </c>
    </row>
    <row r="2710">
      <c r="A2710" t="inlineStr">
        <is>
          <t>Battery capacity, max</t>
        </is>
      </c>
      <c r="B2710">
        <v>0</v>
      </c>
    </row>
    <row r="2711">
      <c r="A2711" t="inlineStr">
        <is>
          <t>Battery replacement, mean</t>
        </is>
      </c>
      <c r="B2711">
        <v>0</v>
      </c>
    </row>
    <row r="2712">
      <c r="A2712" t="inlineStr">
        <is>
          <t>Battery replacement, min</t>
        </is>
      </c>
      <c r="B2712">
        <v>0</v>
      </c>
    </row>
    <row r="2713">
      <c r="A2713" t="inlineStr">
        <is>
          <t>Battery replacement, max</t>
        </is>
      </c>
      <c r="B2713">
        <v>0</v>
      </c>
    </row>
    <row r="2714">
      <c r="A2714" t="inlineStr">
        <is>
          <t>Fuel cell system, mean</t>
        </is>
      </c>
      <c r="B2714">
        <v>0</v>
      </c>
    </row>
    <row r="2715">
      <c r="A2715" t="inlineStr">
        <is>
          <t>Fuel cell system, min</t>
        </is>
      </c>
      <c r="B2715">
        <v>0</v>
      </c>
    </row>
    <row r="2716">
      <c r="A2716" t="inlineStr">
        <is>
          <t>Fuel cell system, max</t>
        </is>
      </c>
      <c r="B2716">
        <v>0</v>
      </c>
    </row>
    <row r="2717">
      <c r="A2717" t="inlineStr">
        <is>
          <t>Fuel cell stack replacement, mean</t>
        </is>
      </c>
      <c r="B2717">
        <v>0</v>
      </c>
    </row>
    <row r="2718">
      <c r="A2718" t="inlineStr">
        <is>
          <t>Fuel cell replacement, min</t>
        </is>
      </c>
      <c r="B2718">
        <v>0</v>
      </c>
    </row>
    <row r="2719">
      <c r="A2719" t="inlineStr">
        <is>
          <t>Fuel cell replacement, max</t>
        </is>
      </c>
      <c r="B2719">
        <v>0</v>
      </c>
    </row>
    <row r="2720">
      <c r="A2720" t="inlineStr">
        <is>
          <t>Onboard charger mass</t>
        </is>
      </c>
      <c r="B2720">
        <v>0</v>
      </c>
    </row>
    <row r="2721">
      <c r="A2721" t="inlineStr">
        <is>
          <t>Controller mass</t>
        </is>
      </c>
      <c r="B2721">
        <v>0</v>
      </c>
    </row>
    <row r="2722">
      <c r="A2722" t="inlineStr">
        <is>
          <t>Converter mass</t>
        </is>
      </c>
      <c r="B2722">
        <v>0</v>
      </c>
    </row>
    <row r="2723">
      <c r="A2723" t="inlineStr">
        <is>
          <t>Electrical powertrain mass</t>
        </is>
      </c>
      <c r="B2723">
        <v>0</v>
      </c>
    </row>
    <row r="2724">
      <c r="A2724" t="inlineStr">
        <is>
          <t>Inverter mass</t>
        </is>
      </c>
      <c r="B2724">
        <v>0</v>
      </c>
    </row>
    <row r="2725">
      <c r="A2725" t="inlineStr">
        <is>
          <t>NOx</t>
        </is>
      </c>
      <c r="B2725">
        <v>0.158234892</v>
      </c>
    </row>
    <row r="2726">
      <c r="A2726" t="inlineStr">
        <is>
          <t>PM 2.5</t>
        </is>
      </c>
      <c r="B2726">
        <v>0.000655881</v>
      </c>
    </row>
    <row r="2727">
      <c r="A2727" t="inlineStr">
        <is>
          <t>energy use source</t>
        </is>
      </c>
      <c r="B2727"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2.4791665583947556e-05}, {"supplier": ["fuel tank, for diesel vehicle, carculator regional truck 2020", "fuel tank", "RER", "kilogram"], "amount per vehicle": 54.85818481445312, "vehicle per source service": 1.367427797431765e-07, "replacement correction factor": 1.0, "amount per MJ": 6.181935329374144e-06}, {"supplier": ["gearbox, for lorry, carculator regional truck 2020", "gearbox, for lorry", "RER", "kilogram"], "amount per vehicle": 201.6000061035156, "vehicle per source service": 1.367427797431765e-07, "replacement correction factor": 1.0, "amount per MJ": 2.271818151381884e-05}, {"supplier": ["internal combustion engine, for lorry, carculator regional truck 2020", "internal combustion engine, for lorry", "RER", "kilogram"], "amount per vehicle": 1081.695922851562, "vehicle per source service": 1.367427797431765e-07, "replacement correction factor": 1.0, "amount per MJ": 0.000121895652649343}, {"supplier": ["lead acid battery, for lorry, carculator regional truck 2020", "lead acid battery, for lorry", "RER", "kilogram"], "amount per vehicle": 33.41176605224609, "vehicle per source service": 1.367427797431765e-07, "replacement correction factor": 1.0, "amount per MJ": 3.7651515024380753e-06}, {"supplier": ["power electronics, for lorry, carculator regional truck 2020", "power electronics, for lorry", "RER", "kilogram"], "amount per vehicle": 265, "vehicle per source service": 1.367427797431765e-07, "replacement correction factor": 1.0, "amount per MJ": 2.986268808975501e-05}, {"supplier": ["retarder, for lorry, carculator regional truck 2020", "retarder, for lorry", "RER", "kilogram"], "amount per vehicle": 67.19999694824219, "vehicle per source service": 1.367427797431765e-07, "replacement correction factor": 1.0, "amount per MJ": 7.572726598105075e-06}, {"supplier": ["transmission, for lorry, carculator regional truck 2020",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carculator regional truck 2020", "assembly operation, for lorry", "RER", "kilogram"], "amount per vehicle": 14738.513671875,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28">
      <c r="A2728" t="inlineStr">
        <is>
          <t>Exchanges</t>
        </is>
      </c>
    </row>
    <row r="2729">
      <c r="A2729" t="inlineStr">
        <is>
          <t>name</t>
        </is>
      </c>
      <c r="B2729" t="inlineStr">
        <is>
          <t>amount</t>
        </is>
      </c>
      <c r="C2729" t="inlineStr">
        <is>
          <t>location</t>
        </is>
      </c>
      <c r="D2729" t="inlineStr">
        <is>
          <t>unit</t>
        </is>
      </c>
      <c r="E2729" t="inlineStr">
        <is>
          <t>categories</t>
        </is>
      </c>
      <c r="F2729" t="inlineStr">
        <is>
          <t>type</t>
        </is>
      </c>
      <c r="G2729" t="inlineStr">
        <is>
          <t>reference product</t>
        </is>
      </c>
      <c r="H2729" t="inlineStr">
        <is>
          <t>comment</t>
        </is>
      </c>
      <c r="I2729" t="inlineStr">
        <is>
          <t>uncertainty type</t>
        </is>
      </c>
    </row>
    <row r="2730">
      <c r="A2730" t="inlineStr">
        <is>
          <t>diesel, synthetic, burned in heavy duty vehicle</t>
        </is>
      </c>
      <c r="B2730">
        <v>1.0</v>
      </c>
      <c r="C2730" t="inlineStr">
        <is>
          <t>RER</t>
        </is>
      </c>
      <c r="D2730" t="inlineStr">
        <is>
          <t>megajoule</t>
        </is>
      </c>
      <c r="E2730" t="inlineStr">
        <is>
          <t/>
        </is>
      </c>
      <c r="F2730" t="inlineStr">
        <is>
          <t>production</t>
        </is>
      </c>
      <c r="G2730" t="inlineStr">
        <is>
          <t>heat</t>
        </is>
      </c>
      <c r="I2730">
        <v>0</v>
      </c>
    </row>
    <row r="2731">
      <c r="A2731" t="inlineStr">
        <is>
          <t>diesel production, synthetic, from Fischer Tropsch process, market-average hydrogen, energy allocation, at fuelling station</t>
        </is>
      </c>
      <c r="B2731">
        <v>0.023255813953488372</v>
      </c>
      <c r="C2731" t="inlineStr">
        <is>
          <t>RER</t>
        </is>
      </c>
      <c r="D2731" t="inlineStr">
        <is>
          <t>kilogram</t>
        </is>
      </c>
      <c r="F2731" t="inlineStr">
        <is>
          <t>technosphere</t>
        </is>
      </c>
      <c r="G2731" t="inlineStr">
        <is>
          <t>diesel, synthetic, vehicle grade</t>
        </is>
      </c>
      <c r="I2731">
        <v>0</v>
      </c>
    </row>
    <row r="2732">
      <c r="A2732" t="inlineStr">
        <is>
          <t>market for tetrafluoroethane, R134a</t>
        </is>
      </c>
      <c r="B2732">
        <v>2.2988634886667227e-07</v>
      </c>
      <c r="C2732" t="inlineStr">
        <is>
          <t>GLO</t>
        </is>
      </c>
      <c r="D2732" t="inlineStr">
        <is>
          <t>kilogram</t>
        </is>
      </c>
      <c r="F2732" t="inlineStr">
        <is>
          <t>technosphere</t>
        </is>
      </c>
      <c r="G2732" t="inlineStr">
        <is>
          <t>tetrafluoroethane, R134a</t>
        </is>
      </c>
      <c r="I2732">
        <v>0</v>
      </c>
    </row>
    <row r="2733">
      <c r="A2733" t="inlineStr">
        <is>
          <t>treatment of brake wear emissions, lorry</t>
        </is>
      </c>
      <c r="B2733">
        <v>-8.332264901167272e-06</v>
      </c>
      <c r="C2733" t="inlineStr">
        <is>
          <t>RER</t>
        </is>
      </c>
      <c r="D2733" t="inlineStr">
        <is>
          <t>kilogram</t>
        </is>
      </c>
      <c r="F2733" t="inlineStr">
        <is>
          <t>technosphere</t>
        </is>
      </c>
      <c r="G2733" t="inlineStr">
        <is>
          <t>brake wear emissions, lorry</t>
        </is>
      </c>
      <c r="I2733">
        <v>0</v>
      </c>
    </row>
    <row r="2734">
      <c r="A2734" t="inlineStr">
        <is>
          <t>treatment of road wear emissions, lorry</t>
        </is>
      </c>
      <c r="B2734">
        <v>-1.0511814175882647e-05</v>
      </c>
      <c r="C2734" t="inlineStr">
        <is>
          <t>RER</t>
        </is>
      </c>
      <c r="D2734" t="inlineStr">
        <is>
          <t>kilogram</t>
        </is>
      </c>
      <c r="F2734" t="inlineStr">
        <is>
          <t>technosphere</t>
        </is>
      </c>
      <c r="G2734" t="inlineStr">
        <is>
          <t>road wear emissions, lorry</t>
        </is>
      </c>
      <c r="I2734">
        <v>0</v>
      </c>
    </row>
    <row r="2735">
      <c r="A2735" t="inlineStr">
        <is>
          <t>treatment of tyre wear emissions, lorry</t>
        </is>
      </c>
      <c r="B2735">
        <v>-8.54276405830878e-06</v>
      </c>
      <c r="C2735" t="inlineStr">
        <is>
          <t>RER</t>
        </is>
      </c>
      <c r="D2735" t="inlineStr">
        <is>
          <t>kilogram</t>
        </is>
      </c>
      <c r="F2735" t="inlineStr">
        <is>
          <t>technosphere</t>
        </is>
      </c>
      <c r="G2735" t="inlineStr">
        <is>
          <t>tyre wear emissions, lorry</t>
        </is>
      </c>
      <c r="I2735">
        <v>0</v>
      </c>
    </row>
    <row r="2736">
      <c r="A2736" t="inlineStr">
        <is>
          <t>Toluene</t>
        </is>
      </c>
      <c r="B2736">
        <v>9.72817404061121e-11</v>
      </c>
      <c r="D2736" t="inlineStr">
        <is>
          <t>kilogram</t>
        </is>
      </c>
      <c r="E2736" t="inlineStr">
        <is>
          <t>air::non-urban air or from high stacks</t>
        </is>
      </c>
      <c r="F2736" t="inlineStr">
        <is>
          <t>biosphere</t>
        </is>
      </c>
      <c r="I2736">
        <v>0</v>
      </c>
    </row>
    <row r="2737">
      <c r="A2737" t="inlineStr">
        <is>
          <t>NMVOC, non-methane volatile organic compounds</t>
        </is>
      </c>
      <c r="B2737">
        <v>7.909005533746073e-07</v>
      </c>
      <c r="D2737" t="inlineStr">
        <is>
          <t>kilogram</t>
        </is>
      </c>
      <c r="E2737" t="inlineStr">
        <is>
          <t>air::non-urban air or from high stacks</t>
        </is>
      </c>
      <c r="F2737" t="inlineStr">
        <is>
          <t>biosphere</t>
        </is>
      </c>
      <c r="I2737">
        <v>0</v>
      </c>
    </row>
    <row r="2738">
      <c r="A2738" t="inlineStr">
        <is>
          <t>Dinitrogen monoxide</t>
        </is>
      </c>
      <c r="B2738">
        <v>1.9725120204580215e-05</v>
      </c>
      <c r="D2738" t="inlineStr">
        <is>
          <t>kilogram</t>
        </is>
      </c>
      <c r="E2738" t="inlineStr">
        <is>
          <t>air::non-urban air or from high stacks</t>
        </is>
      </c>
      <c r="F2738" t="inlineStr">
        <is>
          <t>biosphere</t>
        </is>
      </c>
      <c r="I2738">
        <v>0</v>
      </c>
    </row>
    <row r="2739">
      <c r="A2739" t="inlineStr">
        <is>
          <t>Ethane</t>
        </is>
      </c>
      <c r="B2739">
        <v>1.0891786400309831e-10</v>
      </c>
      <c r="D2739" t="inlineStr">
        <is>
          <t>kilogram</t>
        </is>
      </c>
      <c r="E2739" t="inlineStr">
        <is>
          <t>air::urban air close to ground</t>
        </is>
      </c>
      <c r="F2739" t="inlineStr">
        <is>
          <t>biosphere</t>
        </is>
      </c>
      <c r="I2739">
        <v>0</v>
      </c>
    </row>
    <row r="2740">
      <c r="A2740" t="inlineStr">
        <is>
          <t>Pentane</t>
        </is>
      </c>
      <c r="B2740">
        <v>2.178357280061967e-10</v>
      </c>
      <c r="D2740" t="inlineStr">
        <is>
          <t>kilogram</t>
        </is>
      </c>
      <c r="E2740" t="inlineStr">
        <is>
          <t>air::urban air close to ground</t>
        </is>
      </c>
      <c r="F2740" t="inlineStr">
        <is>
          <t>biosphere</t>
        </is>
      </c>
      <c r="I2740">
        <v>0</v>
      </c>
    </row>
    <row r="2741">
      <c r="A2741" t="inlineStr">
        <is>
          <t>Selenium IV</t>
        </is>
      </c>
      <c r="B2741">
        <v>1.6967614759358543e-12</v>
      </c>
      <c r="D2741" t="inlineStr">
        <is>
          <t>kilogram</t>
        </is>
      </c>
      <c r="E2741" t="inlineStr">
        <is>
          <t>air::non-urban air or from high stacks</t>
        </is>
      </c>
      <c r="F2741" t="inlineStr">
        <is>
          <t>biosphere</t>
        </is>
      </c>
      <c r="I2741">
        <v>0</v>
      </c>
    </row>
    <row r="2742">
      <c r="A2742" t="inlineStr">
        <is>
          <t>Arsenic ion</t>
        </is>
      </c>
      <c r="B2742">
        <v>1.6967614759358543e-12</v>
      </c>
      <c r="D2742" t="inlineStr">
        <is>
          <t>kilogram</t>
        </is>
      </c>
      <c r="E2742" t="inlineStr">
        <is>
          <t>air::non-urban air or from high stacks</t>
        </is>
      </c>
      <c r="F2742" t="inlineStr">
        <is>
          <t>biosphere</t>
        </is>
      </c>
      <c r="I2742">
        <v>0</v>
      </c>
    </row>
    <row r="2743">
      <c r="A2743" t="inlineStr">
        <is>
          <t>Arsenic ion</t>
        </is>
      </c>
      <c r="B2743">
        <v>6.332385327245513e-13</v>
      </c>
      <c r="D2743" t="inlineStr">
        <is>
          <t>kilogram</t>
        </is>
      </c>
      <c r="E2743" t="inlineStr">
        <is>
          <t>air::urban air close to ground</t>
        </is>
      </c>
      <c r="F2743" t="inlineStr">
        <is>
          <t>biosphere</t>
        </is>
      </c>
      <c r="I2743">
        <v>0</v>
      </c>
    </row>
    <row r="2744">
      <c r="A2744" t="inlineStr">
        <is>
          <t>Particulate Matter, &lt; 2.5 um</t>
        </is>
      </c>
      <c r="B2744">
        <v>1.7825282603055566e-07</v>
      </c>
      <c r="D2744" t="inlineStr">
        <is>
          <t>kilogram</t>
        </is>
      </c>
      <c r="E2744" t="inlineStr">
        <is>
          <t>air::urban air close to ground</t>
        </is>
      </c>
      <c r="F2744" t="inlineStr">
        <is>
          <t>biosphere</t>
        </is>
      </c>
      <c r="I2744">
        <v>0</v>
      </c>
    </row>
    <row r="2745">
      <c r="A2745" t="inlineStr">
        <is>
          <t>Nickel II</t>
        </is>
      </c>
      <c r="B2745">
        <v>3.3862406923329497e-12</v>
      </c>
      <c r="D2745" t="inlineStr">
        <is>
          <t>kilogram</t>
        </is>
      </c>
      <c r="E2745" t="inlineStr">
        <is>
          <t>air::non-urban air or from high stacks</t>
        </is>
      </c>
      <c r="F2745" t="inlineStr">
        <is>
          <t>biosphere</t>
        </is>
      </c>
      <c r="I2745">
        <v>0</v>
      </c>
    </row>
    <row r="2746">
      <c r="A2746" t="inlineStr">
        <is>
          <t>Methane, fossil</t>
        </is>
      </c>
      <c r="B2746">
        <v>2.3921714073582906e-08</v>
      </c>
      <c r="D2746" t="inlineStr">
        <is>
          <t>kilogram</t>
        </is>
      </c>
      <c r="E2746" t="inlineStr">
        <is>
          <t>air::non-urban air or from high stacks</t>
        </is>
      </c>
      <c r="F2746" t="inlineStr">
        <is>
          <t>biosphere</t>
        </is>
      </c>
      <c r="I2746">
        <v>0</v>
      </c>
    </row>
    <row r="2747">
      <c r="A2747" t="inlineStr">
        <is>
          <t>Mercury II</t>
        </is>
      </c>
      <c r="B2747">
        <v>8.957152806237827e-11</v>
      </c>
      <c r="D2747" t="inlineStr">
        <is>
          <t>kilogram</t>
        </is>
      </c>
      <c r="E2747" t="inlineStr">
        <is>
          <t>air::non-urban air or from high stacks</t>
        </is>
      </c>
      <c r="F2747" t="inlineStr">
        <is>
          <t>biosphere</t>
        </is>
      </c>
      <c r="I2747">
        <v>0</v>
      </c>
    </row>
    <row r="2748">
      <c r="A2748" t="inlineStr">
        <is>
          <t>Ammonia</t>
        </is>
      </c>
      <c r="B2748">
        <v>6.894575078264757e-06</v>
      </c>
      <c r="D2748" t="inlineStr">
        <is>
          <t>kilogram</t>
        </is>
      </c>
      <c r="E2748" t="inlineStr">
        <is>
          <t>air::non-urban air or from high stacks</t>
        </is>
      </c>
      <c r="F2748" t="inlineStr">
        <is>
          <t>biosphere</t>
        </is>
      </c>
      <c r="I2748">
        <v>0</v>
      </c>
    </row>
    <row r="2749">
      <c r="A2749" t="inlineStr">
        <is>
          <t>Ethane</t>
        </is>
      </c>
      <c r="B2749">
        <v>2.918452212183362e-10</v>
      </c>
      <c r="D2749" t="inlineStr">
        <is>
          <t>kilogram</t>
        </is>
      </c>
      <c r="E2749" t="inlineStr">
        <is>
          <t>air::non-urban air or from high stacks</t>
        </is>
      </c>
      <c r="F2749" t="inlineStr">
        <is>
          <t>biosphere</t>
        </is>
      </c>
      <c r="I2749">
        <v>0</v>
      </c>
    </row>
    <row r="2750">
      <c r="A2750" t="inlineStr">
        <is>
          <t>Nickel II</t>
        </is>
      </c>
      <c r="B2750">
        <v>1.263759195389486e-12</v>
      </c>
      <c r="D2750" t="inlineStr">
        <is>
          <t>kilogram</t>
        </is>
      </c>
      <c r="E2750" t="inlineStr">
        <is>
          <t>air::urban air close to ground</t>
        </is>
      </c>
      <c r="F2750" t="inlineStr">
        <is>
          <t>biosphere</t>
        </is>
      </c>
      <c r="I2750">
        <v>0</v>
      </c>
    </row>
    <row r="2751">
      <c r="A2751" t="inlineStr">
        <is>
          <t>Cadmium II</t>
        </is>
      </c>
      <c r="B2751">
        <v>8.447396081985474e-13</v>
      </c>
      <c r="D2751" t="inlineStr">
        <is>
          <t>kilogram</t>
        </is>
      </c>
      <c r="E2751" t="inlineStr">
        <is>
          <t>air::non-urban air or from high stacks</t>
        </is>
      </c>
      <c r="F2751" t="inlineStr">
        <is>
          <t>biosphere</t>
        </is>
      </c>
      <c r="I2751">
        <v>0</v>
      </c>
    </row>
    <row r="2752">
      <c r="A2752" t="inlineStr">
        <is>
          <t>Ammonia</t>
        </is>
      </c>
      <c r="B2752">
        <v>2.573084583766733e-06</v>
      </c>
      <c r="D2752" t="inlineStr">
        <is>
          <t>kilogram</t>
        </is>
      </c>
      <c r="E2752" t="inlineStr">
        <is>
          <t>air::urban air close to ground</t>
        </is>
      </c>
      <c r="F2752" t="inlineStr">
        <is>
          <t>biosphere</t>
        </is>
      </c>
      <c r="I2752">
        <v>0</v>
      </c>
    </row>
    <row r="2753">
      <c r="A2753" t="inlineStr">
        <is>
          <t>Butane</t>
        </is>
      </c>
      <c r="B2753">
        <v>1.4592261593886937e-09</v>
      </c>
      <c r="D2753" t="inlineStr">
        <is>
          <t>kilogram</t>
        </is>
      </c>
      <c r="E2753" t="inlineStr">
        <is>
          <t>air::non-urban air or from high stacks</t>
        </is>
      </c>
      <c r="F2753" t="inlineStr">
        <is>
          <t>biosphere</t>
        </is>
      </c>
      <c r="I2753">
        <v>0</v>
      </c>
    </row>
    <row r="2754">
      <c r="A2754" t="inlineStr">
        <is>
          <t>PAH, polycyclic aromatic hydrocarbons</t>
        </is>
      </c>
      <c r="B2754">
        <v>4.946326620454795e-10</v>
      </c>
      <c r="D2754" t="inlineStr">
        <is>
          <t>kilogram</t>
        </is>
      </c>
      <c r="E2754" t="inlineStr">
        <is>
          <t>air::urban air close to ground</t>
        </is>
      </c>
      <c r="F2754" t="inlineStr">
        <is>
          <t>biosphere</t>
        </is>
      </c>
      <c r="I2754">
        <v>0</v>
      </c>
    </row>
    <row r="2755">
      <c r="A2755" t="inlineStr">
        <is>
          <t>Copper ion</t>
        </is>
      </c>
      <c r="B2755">
        <v>9.685376539404841e-11</v>
      </c>
      <c r="D2755" t="inlineStr">
        <is>
          <t>kilogram</t>
        </is>
      </c>
      <c r="E2755" t="inlineStr">
        <is>
          <t>air::non-urban air or from high stacks</t>
        </is>
      </c>
      <c r="F2755" t="inlineStr">
        <is>
          <t>biosphere</t>
        </is>
      </c>
      <c r="I2755">
        <v>0</v>
      </c>
    </row>
    <row r="2756">
      <c r="A2756" t="inlineStr">
        <is>
          <t>Nitrogen oxides</t>
        </is>
      </c>
      <c r="B2756">
        <v>0.00018753997183161043</v>
      </c>
      <c r="D2756" t="inlineStr">
        <is>
          <t>kilogram</t>
        </is>
      </c>
      <c r="E2756" t="inlineStr">
        <is>
          <t>air::non-urban air or from high stacks</t>
        </is>
      </c>
      <c r="F2756" t="inlineStr">
        <is>
          <t>biosphere</t>
        </is>
      </c>
      <c r="I2756">
        <v>0</v>
      </c>
    </row>
    <row r="2757">
      <c r="A2757" t="inlineStr">
        <is>
          <t>Butane</t>
        </is>
      </c>
      <c r="B2757">
        <v>5.445893377811625e-10</v>
      </c>
      <c r="D2757" t="inlineStr">
        <is>
          <t>kilogram</t>
        </is>
      </c>
      <c r="E2757" t="inlineStr">
        <is>
          <t>air::urban air close to ground</t>
        </is>
      </c>
      <c r="F2757" t="inlineStr">
        <is>
          <t>biosphere</t>
        </is>
      </c>
      <c r="I2757">
        <v>0</v>
      </c>
    </row>
    <row r="2758">
      <c r="A2758" t="inlineStr">
        <is>
          <t>Copper ion</t>
        </is>
      </c>
      <c r="B2758">
        <v>3.6146231663205874e-11</v>
      </c>
      <c r="D2758" t="inlineStr">
        <is>
          <t>kilogram</t>
        </is>
      </c>
      <c r="E2758" t="inlineStr">
        <is>
          <t>air::urban air close to ground</t>
        </is>
      </c>
      <c r="F2758" t="inlineStr">
        <is>
          <t>biosphere</t>
        </is>
      </c>
      <c r="I2758">
        <v>0</v>
      </c>
    </row>
    <row r="2759">
      <c r="A2759" t="inlineStr">
        <is>
          <t>Chromium III</t>
        </is>
      </c>
      <c r="B2759">
        <v>5.3811684196359975e-11</v>
      </c>
      <c r="D2759" t="inlineStr">
        <is>
          <t>kilogram</t>
        </is>
      </c>
      <c r="E2759" t="inlineStr">
        <is>
          <t>air::urban air close to ground</t>
        </is>
      </c>
      <c r="F2759" t="inlineStr">
        <is>
          <t>biosphere</t>
        </is>
      </c>
      <c r="I2759">
        <v>0</v>
      </c>
    </row>
    <row r="2760">
      <c r="A2760" t="inlineStr">
        <is>
          <t>Propane</t>
        </is>
      </c>
      <c r="B2760">
        <v>3.6305953483321385e-10</v>
      </c>
      <c r="D2760" t="inlineStr">
        <is>
          <t>kilogram</t>
        </is>
      </c>
      <c r="E2760" t="inlineStr">
        <is>
          <t>air::urban air close to ground</t>
        </is>
      </c>
      <c r="F2760" t="inlineStr">
        <is>
          <t>biosphere</t>
        </is>
      </c>
      <c r="I2760">
        <v>0</v>
      </c>
    </row>
    <row r="2761">
      <c r="A2761" t="inlineStr">
        <is>
          <t>Toluene</t>
        </is>
      </c>
      <c r="B2761">
        <v>3.6305953927463155e-11</v>
      </c>
      <c r="D2761" t="inlineStr">
        <is>
          <t>kilogram</t>
        </is>
      </c>
      <c r="E2761" t="inlineStr">
        <is>
          <t>air::urban air close to ground</t>
        </is>
      </c>
      <c r="F2761" t="inlineStr">
        <is>
          <t>biosphere</t>
        </is>
      </c>
      <c r="I2761">
        <v>0</v>
      </c>
    </row>
    <row r="2762">
      <c r="A2762" t="inlineStr">
        <is>
          <t>Dinitrogen monoxide</t>
        </is>
      </c>
      <c r="B2762">
        <v>7.361498269225741e-06</v>
      </c>
      <c r="D2762" t="inlineStr">
        <is>
          <t>kilogram</t>
        </is>
      </c>
      <c r="E2762" t="inlineStr">
        <is>
          <t>air::urban air close to ground</t>
        </is>
      </c>
      <c r="F2762" t="inlineStr">
        <is>
          <t>biosphere</t>
        </is>
      </c>
      <c r="I2762">
        <v>0</v>
      </c>
    </row>
    <row r="2763">
      <c r="A2763" t="inlineStr">
        <is>
          <t>Zinc II</t>
        </is>
      </c>
      <c r="B2763">
        <v>1.1387421970009149e-10</v>
      </c>
      <c r="D2763" t="inlineStr">
        <is>
          <t>kilogram</t>
        </is>
      </c>
      <c r="E2763" t="inlineStr">
        <is>
          <t>air::urban air close to ground</t>
        </is>
      </c>
      <c r="F2763" t="inlineStr">
        <is>
          <t>biosphere</t>
        </is>
      </c>
      <c r="I2763">
        <v>0</v>
      </c>
    </row>
    <row r="2764">
      <c r="A2764" t="inlineStr">
        <is>
          <t>Chromium VI</t>
        </is>
      </c>
      <c r="B2764">
        <v>2.876484190151482e-13</v>
      </c>
      <c r="D2764" t="inlineStr">
        <is>
          <t>kilogram</t>
        </is>
      </c>
      <c r="E2764" t="inlineStr">
        <is>
          <t>air::non-urban air or from high stacks</t>
        </is>
      </c>
      <c r="F2764" t="inlineStr">
        <is>
          <t>biosphere</t>
        </is>
      </c>
      <c r="I2764">
        <v>0</v>
      </c>
    </row>
    <row r="2765">
      <c r="A2765" t="inlineStr">
        <is>
          <t>Benzene</t>
        </is>
      </c>
      <c r="B2765">
        <v>1.6645520623154097e-08</v>
      </c>
      <c r="D2765" t="inlineStr">
        <is>
          <t>kilogram</t>
        </is>
      </c>
      <c r="E2765" t="inlineStr">
        <is>
          <t>air::non-urban air or from high stacks</t>
        </is>
      </c>
      <c r="F2765" t="inlineStr">
        <is>
          <t>biosphere</t>
        </is>
      </c>
      <c r="I2765">
        <v>0</v>
      </c>
    </row>
    <row r="2766">
      <c r="A2766" t="inlineStr">
        <is>
          <t>Carbon monoxide, fossil</t>
        </is>
      </c>
      <c r="B2766">
        <v>9.188384379664334e-06</v>
      </c>
      <c r="D2766" t="inlineStr">
        <is>
          <t>kilogram</t>
        </is>
      </c>
      <c r="E2766" t="inlineStr">
        <is>
          <t>air::non-urban air or from high stacks</t>
        </is>
      </c>
      <c r="F2766" t="inlineStr">
        <is>
          <t>biosphere</t>
        </is>
      </c>
      <c r="I2766">
        <v>0</v>
      </c>
    </row>
    <row r="2767">
      <c r="A2767" t="inlineStr">
        <is>
          <t>Chromium VI</t>
        </is>
      </c>
      <c r="B2767">
        <v>1.0735159075537383e-13</v>
      </c>
      <c r="D2767" t="inlineStr">
        <is>
          <t>kilogram</t>
        </is>
      </c>
      <c r="E2767" t="inlineStr">
        <is>
          <t>air::urban air close to ground</t>
        </is>
      </c>
      <c r="F2767" t="inlineStr">
        <is>
          <t>biosphere</t>
        </is>
      </c>
      <c r="I2767">
        <v>0</v>
      </c>
    </row>
    <row r="2768">
      <c r="A2768" t="inlineStr">
        <is>
          <t>Methane, fossil</t>
        </is>
      </c>
      <c r="B2768">
        <v>8.927684532596896e-09</v>
      </c>
      <c r="D2768" t="inlineStr">
        <is>
          <t>kilogram</t>
        </is>
      </c>
      <c r="E2768" t="inlineStr">
        <is>
          <t>air::urban air close to ground</t>
        </is>
      </c>
      <c r="F2768" t="inlineStr">
        <is>
          <t>biosphere</t>
        </is>
      </c>
      <c r="I2768">
        <v>0</v>
      </c>
    </row>
    <row r="2769">
      <c r="A2769" t="inlineStr">
        <is>
          <t>Sulfur dioxide</t>
        </is>
      </c>
      <c r="B2769">
        <v>4.6773094495270746e-07</v>
      </c>
      <c r="D2769" t="inlineStr">
        <is>
          <t>kilogram</t>
        </is>
      </c>
      <c r="E2769" t="inlineStr">
        <is>
          <t>air</t>
        </is>
      </c>
      <c r="F2769" t="inlineStr">
        <is>
          <t>biosphere</t>
        </is>
      </c>
      <c r="I2769">
        <v>0</v>
      </c>
    </row>
    <row r="2770">
      <c r="A2770" t="inlineStr">
        <is>
          <t>NMVOC, non-methane volatile organic compounds</t>
        </is>
      </c>
      <c r="B2770">
        <v>2.9516741802169465e-07</v>
      </c>
      <c r="D2770" t="inlineStr">
        <is>
          <t>kilogram</t>
        </is>
      </c>
      <c r="E2770" t="inlineStr">
        <is>
          <t>air::urban air close to ground</t>
        </is>
      </c>
      <c r="F2770" t="inlineStr">
        <is>
          <t>biosphere</t>
        </is>
      </c>
      <c r="I2770">
        <v>0</v>
      </c>
    </row>
    <row r="2771">
      <c r="A2771" t="inlineStr">
        <is>
          <t>Formaldehyde</t>
        </is>
      </c>
      <c r="B2771">
        <v>3.04970020629929e-08</v>
      </c>
      <c r="D2771" t="inlineStr">
        <is>
          <t>kilogram</t>
        </is>
      </c>
      <c r="E2771" t="inlineStr">
        <is>
          <t>air::urban air close to ground</t>
        </is>
      </c>
      <c r="F2771" t="inlineStr">
        <is>
          <t>biosphere</t>
        </is>
      </c>
      <c r="I2771">
        <v>0</v>
      </c>
    </row>
    <row r="2772">
      <c r="A2772" t="inlineStr">
        <is>
          <t>Nitrogen oxides</t>
        </is>
      </c>
      <c r="B2772">
        <v>6.99907066197852e-05</v>
      </c>
      <c r="D2772" t="inlineStr">
        <is>
          <t>kilogram</t>
        </is>
      </c>
      <c r="E2772" t="inlineStr">
        <is>
          <t>air::urban air close to ground</t>
        </is>
      </c>
      <c r="F2772" t="inlineStr">
        <is>
          <t>biosphere</t>
        </is>
      </c>
      <c r="I2772">
        <v>0</v>
      </c>
    </row>
    <row r="2773">
      <c r="A2773" t="inlineStr">
        <is>
          <t>Formaldehyde</t>
        </is>
      </c>
      <c r="B2773">
        <v>8.171666492576685e-08</v>
      </c>
      <c r="D2773" t="inlineStr">
        <is>
          <t>kilogram</t>
        </is>
      </c>
      <c r="E2773" t="inlineStr">
        <is>
          <t>air::non-urban air or from high stacks</t>
        </is>
      </c>
      <c r="F2773" t="inlineStr">
        <is>
          <t>biosphere</t>
        </is>
      </c>
      <c r="I2773">
        <v>0</v>
      </c>
    </row>
    <row r="2774">
      <c r="A2774" t="inlineStr">
        <is>
          <t>Zinc II</t>
        </is>
      </c>
      <c r="B2774">
        <v>3.051257530798148e-10</v>
      </c>
      <c r="D2774" t="inlineStr">
        <is>
          <t>kilogram</t>
        </is>
      </c>
      <c r="E2774" t="inlineStr">
        <is>
          <t>air::non-urban air or from high stacks</t>
        </is>
      </c>
      <c r="F2774" t="inlineStr">
        <is>
          <t>biosphere</t>
        </is>
      </c>
      <c r="I2774">
        <v>0</v>
      </c>
    </row>
    <row r="2775">
      <c r="A2775" t="inlineStr">
        <is>
          <t>Carbon monoxide, fossil</t>
        </is>
      </c>
      <c r="B2775">
        <v>3.4291435191313595e-06</v>
      </c>
      <c r="D2775" t="inlineStr">
        <is>
          <t>kilogram</t>
        </is>
      </c>
      <c r="E2775" t="inlineStr">
        <is>
          <t>air::urban air close to ground</t>
        </is>
      </c>
      <c r="F2775" t="inlineStr">
        <is>
          <t>biosphere</t>
        </is>
      </c>
      <c r="I2775">
        <v>0</v>
      </c>
    </row>
    <row r="2776">
      <c r="A2776" t="inlineStr">
        <is>
          <t>m-Xylene</t>
        </is>
      </c>
      <c r="B2776">
        <v>3.5579834982156424e-09</v>
      </c>
      <c r="D2776" t="inlineStr">
        <is>
          <t>kilogram</t>
        </is>
      </c>
      <c r="E2776" t="inlineStr">
        <is>
          <t>air::urban air close to ground</t>
        </is>
      </c>
      <c r="F2776" t="inlineStr">
        <is>
          <t>biosphere</t>
        </is>
      </c>
      <c r="I2776">
        <v>0</v>
      </c>
    </row>
    <row r="2777">
      <c r="A2777" t="inlineStr">
        <is>
          <t>PAH, polycyclic aromatic hydrocarbons</t>
        </is>
      </c>
      <c r="B2777">
        <v>1.3253673720206761e-09</v>
      </c>
      <c r="D2777" t="inlineStr">
        <is>
          <t>kilogram</t>
        </is>
      </c>
      <c r="E2777" t="inlineStr">
        <is>
          <t>air::non-urban air or from high stacks</t>
        </is>
      </c>
      <c r="F2777" t="inlineStr">
        <is>
          <t>biosphere</t>
        </is>
      </c>
      <c r="I2777">
        <v>0</v>
      </c>
    </row>
    <row r="2778">
      <c r="A2778" t="inlineStr">
        <is>
          <t>Particulate Matter, &lt; 2.5 um</t>
        </is>
      </c>
      <c r="B2778">
        <v>4.776281554847676e-07</v>
      </c>
      <c r="D2778" t="inlineStr">
        <is>
          <t>kilogram</t>
        </is>
      </c>
      <c r="E2778" t="inlineStr">
        <is>
          <t>air::non-urban air or from high stacks</t>
        </is>
      </c>
      <c r="F2778" t="inlineStr">
        <is>
          <t>biosphere</t>
        </is>
      </c>
      <c r="I2778">
        <v>0</v>
      </c>
    </row>
    <row r="2779">
      <c r="A2779" t="inlineStr">
        <is>
          <t>Pentane</t>
        </is>
      </c>
      <c r="B2779">
        <v>5.836904424366724e-10</v>
      </c>
      <c r="D2779" t="inlineStr">
        <is>
          <t>kilogram</t>
        </is>
      </c>
      <c r="E2779" t="inlineStr">
        <is>
          <t>air::non-urban air or from high stacks</t>
        </is>
      </c>
      <c r="F2779" t="inlineStr">
        <is>
          <t>biosphere</t>
        </is>
      </c>
      <c r="I2779">
        <v>0</v>
      </c>
    </row>
    <row r="2780">
      <c r="A2780" t="inlineStr">
        <is>
          <t>1,1,1,2-Tetrafluoroethane</t>
        </is>
      </c>
      <c r="B2780">
        <v>1.0592803277176511e-07</v>
      </c>
      <c r="D2780" t="inlineStr">
        <is>
          <t>kilogram</t>
        </is>
      </c>
      <c r="E2780" t="inlineStr">
        <is>
          <t>air</t>
        </is>
      </c>
      <c r="F2780" t="inlineStr">
        <is>
          <t>biosphere</t>
        </is>
      </c>
      <c r="I2780">
        <v>0</v>
      </c>
    </row>
    <row r="2781">
      <c r="A2781" t="inlineStr">
        <is>
          <t>Acetaldehyde</t>
        </is>
      </c>
      <c r="B2781">
        <v>1.6591821111403828e-08</v>
      </c>
      <c r="D2781" t="inlineStr">
        <is>
          <t>kilogram</t>
        </is>
      </c>
      <c r="E2781" t="inlineStr">
        <is>
          <t>air::urban air close to ground</t>
        </is>
      </c>
      <c r="F2781" t="inlineStr">
        <is>
          <t>biosphere</t>
        </is>
      </c>
      <c r="I2781">
        <v>0</v>
      </c>
    </row>
    <row r="2782">
      <c r="A2782" t="inlineStr">
        <is>
          <t>Benzene</t>
        </is>
      </c>
      <c r="B2782">
        <v>6.21217814219678e-09</v>
      </c>
      <c r="D2782" t="inlineStr">
        <is>
          <t>kilogram</t>
        </is>
      </c>
      <c r="E2782" t="inlineStr">
        <is>
          <t>air::urban air close to ground</t>
        </is>
      </c>
      <c r="F2782" t="inlineStr">
        <is>
          <t>biosphere</t>
        </is>
      </c>
      <c r="I2782">
        <v>0</v>
      </c>
    </row>
    <row r="2783">
      <c r="A2783" t="inlineStr">
        <is>
          <t>Mercury II</t>
        </is>
      </c>
      <c r="B2783">
        <v>3.342847041832335e-11</v>
      </c>
      <c r="D2783" t="inlineStr">
        <is>
          <t>kilogram</t>
        </is>
      </c>
      <c r="E2783" t="inlineStr">
        <is>
          <t>air::urban air close to ground</t>
        </is>
      </c>
      <c r="F2783" t="inlineStr">
        <is>
          <t>biosphere</t>
        </is>
      </c>
      <c r="I2783">
        <v>0</v>
      </c>
    </row>
    <row r="2784">
      <c r="A2784" t="inlineStr">
        <is>
          <t>Cadmium II</t>
        </is>
      </c>
      <c r="B2784">
        <v>3.152603660310432e-13</v>
      </c>
      <c r="D2784" t="inlineStr">
        <is>
          <t>kilogram</t>
        </is>
      </c>
      <c r="E2784" t="inlineStr">
        <is>
          <t>air::urban air close to ground</t>
        </is>
      </c>
      <c r="F2784" t="inlineStr">
        <is>
          <t>biosphere</t>
        </is>
      </c>
      <c r="I2784">
        <v>0</v>
      </c>
    </row>
    <row r="2785">
      <c r="A2785" t="inlineStr">
        <is>
          <t>Propane</t>
        </is>
      </c>
      <c r="B2785">
        <v>9.728174395924623e-10</v>
      </c>
      <c r="D2785" t="inlineStr">
        <is>
          <t>kilogram</t>
        </is>
      </c>
      <c r="E2785" t="inlineStr">
        <is>
          <t>air::non-urban air or from high stacks</t>
        </is>
      </c>
      <c r="F2785" t="inlineStr">
        <is>
          <t>biosphere</t>
        </is>
      </c>
      <c r="I2785">
        <v>0</v>
      </c>
    </row>
    <row r="2786">
      <c r="A2786" t="inlineStr">
        <is>
          <t>Chromium III</t>
        </is>
      </c>
      <c r="B2786">
        <v>1.4418831693273988e-10</v>
      </c>
      <c r="D2786" t="inlineStr">
        <is>
          <t>kilogram</t>
        </is>
      </c>
      <c r="E2786" t="inlineStr">
        <is>
          <t>air::non-urban air or from high stacks</t>
        </is>
      </c>
      <c r="F2786" t="inlineStr">
        <is>
          <t>biosphere</t>
        </is>
      </c>
      <c r="I2786">
        <v>0</v>
      </c>
    </row>
    <row r="2787">
      <c r="A2787" t="inlineStr">
        <is>
          <t>Acrolein</t>
        </is>
      </c>
      <c r="B2787">
        <v>6.42615413607384e-09</v>
      </c>
      <c r="D2787" t="inlineStr">
        <is>
          <t>kilogram</t>
        </is>
      </c>
      <c r="E2787" t="inlineStr">
        <is>
          <t>air::urban air close to ground</t>
        </is>
      </c>
      <c r="F2787" t="inlineStr">
        <is>
          <t>biosphere</t>
        </is>
      </c>
      <c r="I2787">
        <v>0</v>
      </c>
    </row>
    <row r="2788">
      <c r="A2788" t="inlineStr">
        <is>
          <t>Benzaldehyde</t>
        </is>
      </c>
      <c r="B2788">
        <v>4.9739159967409846e-09</v>
      </c>
      <c r="D2788" t="inlineStr">
        <is>
          <t>kilogram</t>
        </is>
      </c>
      <c r="E2788" t="inlineStr">
        <is>
          <t>air::urban air close to ground</t>
        </is>
      </c>
      <c r="F2788" t="inlineStr">
        <is>
          <t>biosphere</t>
        </is>
      </c>
      <c r="I2788">
        <v>0</v>
      </c>
    </row>
    <row r="2789">
      <c r="A2789" t="inlineStr">
        <is>
          <t>Heptane</t>
        </is>
      </c>
      <c r="B2789">
        <v>1.0891786755623254e-09</v>
      </c>
      <c r="D2789" t="inlineStr">
        <is>
          <t>kilogram</t>
        </is>
      </c>
      <c r="E2789" t="inlineStr">
        <is>
          <t>air::urban air close to ground</t>
        </is>
      </c>
      <c r="F2789" t="inlineStr">
        <is>
          <t>biosphere</t>
        </is>
      </c>
      <c r="I2789">
        <v>0</v>
      </c>
    </row>
    <row r="2790">
      <c r="A2790" t="inlineStr">
        <is>
          <t>o-Xylene</t>
        </is>
      </c>
      <c r="B2790">
        <v>1.452238139332855e-09</v>
      </c>
      <c r="D2790" t="inlineStr">
        <is>
          <t>kilogram</t>
        </is>
      </c>
      <c r="E2790" t="inlineStr">
        <is>
          <t>air::urban air close to ground</t>
        </is>
      </c>
      <c r="F2790" t="inlineStr">
        <is>
          <t>biosphere</t>
        </is>
      </c>
      <c r="I2790">
        <v>0</v>
      </c>
    </row>
    <row r="2791">
      <c r="A2791" t="inlineStr">
        <is>
          <t>Selenium IV</t>
        </is>
      </c>
      <c r="B2791">
        <v>6.332385327245513e-13</v>
      </c>
      <c r="D2791" t="inlineStr">
        <is>
          <t>kilogram</t>
        </is>
      </c>
      <c r="E2791" t="inlineStr">
        <is>
          <t>air::urban air close to ground</t>
        </is>
      </c>
      <c r="F2791" t="inlineStr">
        <is>
          <t>biosphere</t>
        </is>
      </c>
      <c r="I2791">
        <v>0</v>
      </c>
    </row>
    <row r="2792">
      <c r="A2792" t="inlineStr">
        <is>
          <t>Styrene</t>
        </is>
      </c>
      <c r="B2792">
        <v>2.033133508766291e-09</v>
      </c>
      <c r="D2792" t="inlineStr">
        <is>
          <t>kilogram</t>
        </is>
      </c>
      <c r="E2792" t="inlineStr">
        <is>
          <t>air::urban air close to ground</t>
        </is>
      </c>
      <c r="F2792" t="inlineStr">
        <is>
          <t>biosphere</t>
        </is>
      </c>
      <c r="I2792">
        <v>0</v>
      </c>
    </row>
    <row r="2793">
      <c r="A2793" t="inlineStr">
        <is>
          <t>Acetaldehyde</t>
        </is>
      </c>
      <c r="B2793">
        <v>4.4457756307173774e-08</v>
      </c>
      <c r="D2793" t="inlineStr">
        <is>
          <t>kilogram</t>
        </is>
      </c>
      <c r="E2793" t="inlineStr">
        <is>
          <t>air::non-urban air or from high stacks</t>
        </is>
      </c>
      <c r="F2793" t="inlineStr">
        <is>
          <t>biosphere</t>
        </is>
      </c>
      <c r="I2793">
        <v>0</v>
      </c>
    </row>
    <row r="2794">
      <c r="A2794" t="inlineStr">
        <is>
          <t>Acrolein</t>
        </is>
      </c>
      <c r="B2794">
        <v>1.7218867998584824e-08</v>
      </c>
      <c r="D2794" t="inlineStr">
        <is>
          <t>kilogram</t>
        </is>
      </c>
      <c r="E2794" t="inlineStr">
        <is>
          <t>air::non-urban air or from high stacks</t>
        </is>
      </c>
      <c r="F2794" t="inlineStr">
        <is>
          <t>biosphere</t>
        </is>
      </c>
      <c r="I2794">
        <v>0</v>
      </c>
    </row>
    <row r="2795">
      <c r="A2795" t="inlineStr">
        <is>
          <t>Benzaldehyde</t>
        </is>
      </c>
      <c r="B2795">
        <v>1.3327598240214973e-08</v>
      </c>
      <c r="D2795" t="inlineStr">
        <is>
          <t>kilogram</t>
        </is>
      </c>
      <c r="E2795" t="inlineStr">
        <is>
          <t>air::non-urban air or from high stacks</t>
        </is>
      </c>
      <c r="F2795" t="inlineStr">
        <is>
          <t>biosphere</t>
        </is>
      </c>
      <c r="I2795">
        <v>0</v>
      </c>
    </row>
    <row r="2796">
      <c r="A2796" t="inlineStr">
        <is>
          <t>Heptane</t>
        </is>
      </c>
      <c r="B2796">
        <v>2.9184523187773873e-09</v>
      </c>
      <c r="D2796" t="inlineStr">
        <is>
          <t>kilogram</t>
        </is>
      </c>
      <c r="E2796" t="inlineStr">
        <is>
          <t>air::non-urban air or from high stacks</t>
        </is>
      </c>
      <c r="F2796" t="inlineStr">
        <is>
          <t>biosphere</t>
        </is>
      </c>
      <c r="I2796">
        <v>0</v>
      </c>
    </row>
    <row r="2797">
      <c r="A2797" t="inlineStr">
        <is>
          <t>m-Xylene</t>
        </is>
      </c>
      <c r="B2797">
        <v>9.533610453204961e-09</v>
      </c>
      <c r="D2797" t="inlineStr">
        <is>
          <t>kilogram</t>
        </is>
      </c>
      <c r="E2797" t="inlineStr">
        <is>
          <t>air::non-urban air or from high stacks</t>
        </is>
      </c>
      <c r="F2797" t="inlineStr">
        <is>
          <t>biosphere</t>
        </is>
      </c>
      <c r="I2797">
        <v>0</v>
      </c>
    </row>
    <row r="2798">
      <c r="A2798" t="inlineStr">
        <is>
          <t>o-Xylene</t>
        </is>
      </c>
      <c r="B2798">
        <v>3.891269758369849e-09</v>
      </c>
      <c r="D2798" t="inlineStr">
        <is>
          <t>kilogram</t>
        </is>
      </c>
      <c r="E2798" t="inlineStr">
        <is>
          <t>air::non-urban air or from high stacks</t>
        </is>
      </c>
      <c r="F2798" t="inlineStr">
        <is>
          <t>biosphere</t>
        </is>
      </c>
      <c r="I2798">
        <v>0</v>
      </c>
    </row>
    <row r="2799">
      <c r="A2799" t="inlineStr">
        <is>
          <t>Styrene</t>
        </is>
      </c>
      <c r="B2799">
        <v>5.447777889118377e-09</v>
      </c>
      <c r="D2799" t="inlineStr">
        <is>
          <t>kilogram</t>
        </is>
      </c>
      <c r="E2799" t="inlineStr">
        <is>
          <t>air::non-urban air or from high stacks</t>
        </is>
      </c>
      <c r="F2799" t="inlineStr">
        <is>
          <t>biosphere</t>
        </is>
      </c>
      <c r="I2799">
        <v>0</v>
      </c>
    </row>
    <row r="2800">
      <c r="A2800" t="inlineStr">
        <is>
          <t>exhaust system, for lorry, carculator regional truck 2020</t>
        </is>
      </c>
      <c r="B2800">
        <v>2.4791665583947556e-05</v>
      </c>
      <c r="C2800" t="inlineStr">
        <is>
          <t>RER</t>
        </is>
      </c>
      <c r="D2800" t="inlineStr">
        <is>
          <t>kilogram</t>
        </is>
      </c>
      <c r="F2800" t="inlineStr">
        <is>
          <t>technosphere</t>
        </is>
      </c>
      <c r="G2800" t="inlineStr">
        <is>
          <t>exhaust system, for lorry</t>
        </is>
      </c>
      <c r="H2800" t="inlineStr">
        <is>
          <t> Energy-use allocation: 220 * 1.367427797431765e-07 / 1.2134485858415922 MJ per ton kilometer.</t>
        </is>
      </c>
      <c r="I2800">
        <v>0</v>
      </c>
    </row>
    <row r="2801">
      <c r="A2801" t="inlineStr">
        <is>
          <t>fuel tank, for diesel vehicle, carculator regional truck 2020</t>
        </is>
      </c>
      <c r="B2801">
        <v>6.181935329374144e-06</v>
      </c>
      <c r="C2801" t="inlineStr">
        <is>
          <t>RER</t>
        </is>
      </c>
      <c r="D2801" t="inlineStr">
        <is>
          <t>kilogram</t>
        </is>
      </c>
      <c r="F2801" t="inlineStr">
        <is>
          <t>technosphere</t>
        </is>
      </c>
      <c r="G2801" t="inlineStr">
        <is>
          <t>fuel tank</t>
        </is>
      </c>
      <c r="H2801" t="inlineStr">
        <is>
          <t> Energy-use allocation: 54.85818481445312 * 1.367427797431765e-07 / 1.2134485858415922 MJ per ton kilometer.</t>
        </is>
      </c>
      <c r="I2801">
        <v>0</v>
      </c>
    </row>
    <row r="2802">
      <c r="A2802" t="inlineStr">
        <is>
          <t>gearbox, for lorry, carculator regional truck 2020</t>
        </is>
      </c>
      <c r="B2802">
        <v>2.271818151381884e-05</v>
      </c>
      <c r="C2802" t="inlineStr">
        <is>
          <t>RER</t>
        </is>
      </c>
      <c r="D2802" t="inlineStr">
        <is>
          <t>kilogram</t>
        </is>
      </c>
      <c r="F2802" t="inlineStr">
        <is>
          <t>technosphere</t>
        </is>
      </c>
      <c r="G2802" t="inlineStr">
        <is>
          <t>gearbox, for lorry</t>
        </is>
      </c>
      <c r="H2802" t="inlineStr">
        <is>
          <t> Energy-use allocation: 201.6000061035156 * 1.367427797431765e-07 / 1.2134485858415922 MJ per ton kilometer.</t>
        </is>
      </c>
      <c r="I2802">
        <v>0</v>
      </c>
    </row>
    <row r="2803">
      <c r="A2803" t="inlineStr">
        <is>
          <t>internal combustion engine, for lorry, carculator regional truck 2020</t>
        </is>
      </c>
      <c r="B2803">
        <v>0.000121895652649343</v>
      </c>
      <c r="C2803" t="inlineStr">
        <is>
          <t>RER</t>
        </is>
      </c>
      <c r="D2803" t="inlineStr">
        <is>
          <t>kilogram</t>
        </is>
      </c>
      <c r="F2803" t="inlineStr">
        <is>
          <t>technosphere</t>
        </is>
      </c>
      <c r="G2803" t="inlineStr">
        <is>
          <t>internal combustion engine, for lorry</t>
        </is>
      </c>
      <c r="H2803" t="inlineStr">
        <is>
          <t> Energy-use allocation: 1081.695922851562 * 1.367427797431765e-07 / 1.2134485858415922 MJ per ton kilometer.</t>
        </is>
      </c>
      <c r="I2803">
        <v>0</v>
      </c>
    </row>
    <row r="2804">
      <c r="A2804" t="inlineStr">
        <is>
          <t>lead acid battery, for lorry, carculator regional truck 2020</t>
        </is>
      </c>
      <c r="B2804">
        <v>3.7651515024380753e-06</v>
      </c>
      <c r="C2804" t="inlineStr">
        <is>
          <t>RER</t>
        </is>
      </c>
      <c r="D2804" t="inlineStr">
        <is>
          <t>kilogram</t>
        </is>
      </c>
      <c r="F2804" t="inlineStr">
        <is>
          <t>technosphere</t>
        </is>
      </c>
      <c r="G2804" t="inlineStr">
        <is>
          <t>lead acid battery, for lorry</t>
        </is>
      </c>
      <c r="H2804" t="inlineStr">
        <is>
          <t> Energy-use allocation: 33.41176605224609 * 1.367427797431765e-07 / 1.2134485858415922 MJ per ton kilometer.</t>
        </is>
      </c>
      <c r="I2804">
        <v>0</v>
      </c>
    </row>
    <row r="2805">
      <c r="A2805" t="inlineStr">
        <is>
          <t>power electronics, for lorry, carculator regional truck 2020</t>
        </is>
      </c>
      <c r="B2805">
        <v>2.986268808975501e-05</v>
      </c>
      <c r="C2805" t="inlineStr">
        <is>
          <t>RER</t>
        </is>
      </c>
      <c r="D2805" t="inlineStr">
        <is>
          <t>kilogram</t>
        </is>
      </c>
      <c r="F2805" t="inlineStr">
        <is>
          <t>technosphere</t>
        </is>
      </c>
      <c r="G2805" t="inlineStr">
        <is>
          <t>power electronics, for lorry</t>
        </is>
      </c>
      <c r="H2805" t="inlineStr">
        <is>
          <t> Energy-use allocation: 265 * 1.367427797431765e-07 / 1.2134485858415922 MJ per ton kilometer.</t>
        </is>
      </c>
      <c r="I2805">
        <v>0</v>
      </c>
    </row>
    <row r="2806">
      <c r="A2806" t="inlineStr">
        <is>
          <t>retarder, for lorry, carculator regional truck 2020</t>
        </is>
      </c>
      <c r="B2806">
        <v>7.572726598105075e-06</v>
      </c>
      <c r="C2806" t="inlineStr">
        <is>
          <t>RER</t>
        </is>
      </c>
      <c r="D2806" t="inlineStr">
        <is>
          <t>kilogram</t>
        </is>
      </c>
      <c r="F2806" t="inlineStr">
        <is>
          <t>technosphere</t>
        </is>
      </c>
      <c r="G2806" t="inlineStr">
        <is>
          <t>retarder, for lorry</t>
        </is>
      </c>
      <c r="H2806" t="inlineStr">
        <is>
          <t> Energy-use allocation: 67.19999694824219 * 1.367427797431765e-07 / 1.2134485858415922 MJ per ton kilometer.</t>
        </is>
      </c>
      <c r="I2806">
        <v>0</v>
      </c>
    </row>
    <row r="2807">
      <c r="A2807" t="inlineStr">
        <is>
          <t>transmission, for lorry, carculator regional truck 2020</t>
        </is>
      </c>
      <c r="B2807">
        <v>3.281514801862079e-05</v>
      </c>
      <c r="C2807" t="inlineStr">
        <is>
          <t>RER</t>
        </is>
      </c>
      <c r="D2807" t="inlineStr">
        <is>
          <t>kilogram</t>
        </is>
      </c>
      <c r="F2807" t="inlineStr">
        <is>
          <t>technosphere</t>
        </is>
      </c>
      <c r="G2807" t="inlineStr">
        <is>
          <t>transmission, for lorry</t>
        </is>
      </c>
      <c r="H2807" t="inlineStr">
        <is>
          <t> Energy-use allocation: 291.1999816894531 * 1.367427797431765e-07 / 1.2134485858415922 MJ per ton kilometer.</t>
        </is>
      </c>
      <c r="I2807">
        <v>0</v>
      </c>
    </row>
    <row r="2808">
      <c r="A2808" t="inlineStr">
        <is>
          <t>Carbon dioxide, non-fossil</t>
        </is>
      </c>
      <c r="B2808">
        <v>0.0732</v>
      </c>
      <c r="D2808" t="inlineStr">
        <is>
          <t>kilogram</t>
        </is>
      </c>
      <c r="E2808" t="inlineStr">
        <is>
          <t>air</t>
        </is>
      </c>
      <c r="F2808" t="inlineStr">
        <is>
          <t>biosphere</t>
        </is>
      </c>
      <c r="I2808">
        <v>0</v>
      </c>
    </row>
    <row r="2809"/>
    <row r="2810">
      <c r="A2810" t="inlineStr">
        <is>
          <t>Activity</t>
        </is>
      </c>
      <c r="B2810" t="inlineStr">
        <is>
          <t>electricity, used in heavy-duty vehicle</t>
        </is>
      </c>
    </row>
    <row r="2811">
      <c r="A2811" t="inlineStr">
        <is>
          <t>location</t>
        </is>
      </c>
      <c r="B2811" t="inlineStr">
        <is>
          <t>RER</t>
        </is>
      </c>
    </row>
    <row r="2812">
      <c r="A2812" t="inlineStr">
        <is>
          <t>production amount</t>
        </is>
      </c>
      <c r="B2812">
        <v>1</v>
      </c>
    </row>
    <row r="2813">
      <c r="A2813" t="inlineStr">
        <is>
          <t>reference product</t>
        </is>
      </c>
      <c r="B2813" t="inlineStr">
        <is>
          <t>electricity, low voltage</t>
        </is>
      </c>
    </row>
    <row r="2814">
      <c r="A2814" t="inlineStr">
        <is>
          <t>type</t>
        </is>
      </c>
      <c r="B2814" t="inlineStr">
        <is>
          <t>process</t>
        </is>
      </c>
    </row>
    <row r="2815">
      <c r="A2815" t="inlineStr">
        <is>
          <t>unit</t>
        </is>
      </c>
      <c r="B2815" t="inlineStr">
        <is>
          <t>megajoule</t>
        </is>
      </c>
    </row>
    <row r="2816">
      <c r="A2816" t="inlineStr">
        <is>
          <t>source</t>
        </is>
      </c>
      <c r="B2816" t="inlineStr">
        <is>
          <t>Sacchi, R., Bauer, C., and Cox, B. Does size matter? The influence of size, load factor, range autonomy and application type on the Life Cycle Assessment of current and future trucks. 2021. Environmental Science and Technology.</t>
        </is>
      </c>
    </row>
    <row r="2817">
      <c r="A2817" t="inlineStr">
        <is>
          <t>description</t>
        </is>
      </c>
      <c r="B2817"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18">
      <c r="A2818" t="inlineStr">
        <is>
          <t>comment</t>
        </is>
      </c>
      <c r="B2818"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19">
      <c r="A2819" t="inlineStr">
        <is>
          <t>Power, mean</t>
        </is>
      </c>
      <c r="B2819">
        <v>323</v>
      </c>
    </row>
    <row r="2820">
      <c r="A2820" t="inlineStr">
        <is>
          <t>Power, min</t>
        </is>
      </c>
      <c r="B2820">
        <v>130</v>
      </c>
    </row>
    <row r="2821">
      <c r="A2821" t="inlineStr">
        <is>
          <t>Power, max</t>
        </is>
      </c>
      <c r="B2821">
        <v>460</v>
      </c>
    </row>
    <row r="2822">
      <c r="A2822" t="inlineStr">
        <is>
          <t>Lifetime, mean</t>
        </is>
      </c>
      <c r="B2822">
        <v>1000000</v>
      </c>
    </row>
    <row r="2823">
      <c r="A2823" t="inlineStr">
        <is>
          <t>Lifetime, min</t>
        </is>
      </c>
      <c r="B2823">
        <v>500000</v>
      </c>
    </row>
    <row r="2824">
      <c r="A2824" t="inlineStr">
        <is>
          <t>Lifetime, max</t>
        </is>
      </c>
      <c r="B2824">
        <v>1200000</v>
      </c>
    </row>
    <row r="2825">
      <c r="A2825" t="inlineStr">
        <is>
          <t>Energy use, mean</t>
        </is>
      </c>
      <c r="B2825">
        <v>3440</v>
      </c>
    </row>
    <row r="2826">
      <c r="A2826" t="inlineStr">
        <is>
          <t>Energy use, min</t>
        </is>
      </c>
      <c r="B2826">
        <v>1730</v>
      </c>
    </row>
    <row r="2827">
      <c r="A2827" t="inlineStr">
        <is>
          <t>Energy use, max</t>
        </is>
      </c>
      <c r="B2827">
        <v>4720</v>
      </c>
    </row>
    <row r="2828">
      <c r="A2828" t="inlineStr">
        <is>
          <t>Electric motor, mean</t>
        </is>
      </c>
      <c r="B2828">
        <v>360</v>
      </c>
    </row>
    <row r="2829">
      <c r="A2829" t="inlineStr">
        <is>
          <t>Electric motor, min</t>
        </is>
      </c>
      <c r="B2829">
        <v>66</v>
      </c>
    </row>
    <row r="2830">
      <c r="A2830" t="inlineStr">
        <is>
          <t>Electric motor, max</t>
        </is>
      </c>
      <c r="B2830">
        <v>350</v>
      </c>
    </row>
    <row r="2831">
      <c r="A2831" t="inlineStr">
        <is>
          <t>Combustion engine, mean</t>
        </is>
      </c>
      <c r="B2831">
        <v>0</v>
      </c>
    </row>
    <row r="2832">
      <c r="A2832" t="inlineStr">
        <is>
          <t>Combustion engine, min</t>
        </is>
      </c>
      <c r="B2832">
        <v>0</v>
      </c>
    </row>
    <row r="2833">
      <c r="A2833" t="inlineStr">
        <is>
          <t>Combustion engine, max</t>
        </is>
      </c>
      <c r="B2833">
        <v>0</v>
      </c>
    </row>
    <row r="2834">
      <c r="A2834" t="inlineStr">
        <is>
          <t>Fuel tank, mean</t>
        </is>
      </c>
      <c r="B2834">
        <v>0</v>
      </c>
    </row>
    <row r="2835">
      <c r="A2835" t="inlineStr">
        <is>
          <t>Fuel tank, min</t>
        </is>
      </c>
      <c r="B2835">
        <v>0</v>
      </c>
    </row>
    <row r="2836">
      <c r="A2836" t="inlineStr">
        <is>
          <t>Fuel tank, max</t>
        </is>
      </c>
      <c r="B2836">
        <v>0</v>
      </c>
    </row>
    <row r="2837">
      <c r="A2837" t="inlineStr">
        <is>
          <t>Battery capacity, mean</t>
        </is>
      </c>
      <c r="B2837">
        <v>480</v>
      </c>
    </row>
    <row r="2838">
      <c r="A2838" t="inlineStr">
        <is>
          <t>Battery capacity, min</t>
        </is>
      </c>
      <c r="B2838">
        <v>240</v>
      </c>
    </row>
    <row r="2839">
      <c r="A2839" t="inlineStr">
        <is>
          <t>Battery capacity, max</t>
        </is>
      </c>
      <c r="B2839">
        <v>655</v>
      </c>
    </row>
    <row r="2840">
      <c r="A2840" t="inlineStr">
        <is>
          <t>Battery replacement, mean</t>
        </is>
      </c>
      <c r="B2840">
        <v>0</v>
      </c>
    </row>
    <row r="2841">
      <c r="A2841" t="inlineStr">
        <is>
          <t>Battery replacement, min</t>
        </is>
      </c>
      <c r="B2841">
        <v>0</v>
      </c>
    </row>
    <row r="2842">
      <c r="A2842" t="inlineStr">
        <is>
          <t>Battery replacement, max</t>
        </is>
      </c>
      <c r="B2842">
        <v>0</v>
      </c>
    </row>
    <row r="2843">
      <c r="A2843" t="inlineStr">
        <is>
          <t>Fuel cell system, mean</t>
        </is>
      </c>
      <c r="B2843">
        <v>0</v>
      </c>
    </row>
    <row r="2844">
      <c r="A2844" t="inlineStr">
        <is>
          <t>Fuel cell system, min</t>
        </is>
      </c>
      <c r="B2844">
        <v>0</v>
      </c>
    </row>
    <row r="2845">
      <c r="A2845" t="inlineStr">
        <is>
          <t>Fuel cell system, max</t>
        </is>
      </c>
      <c r="B2845">
        <v>0</v>
      </c>
    </row>
    <row r="2846">
      <c r="A2846" t="inlineStr">
        <is>
          <t>Fuel cell stack replacement, mean</t>
        </is>
      </c>
      <c r="B2846">
        <v>0</v>
      </c>
    </row>
    <row r="2847">
      <c r="A2847" t="inlineStr">
        <is>
          <t>Fuel cell replacement, min</t>
        </is>
      </c>
      <c r="B2847">
        <v>0</v>
      </c>
    </row>
    <row r="2848">
      <c r="A2848" t="inlineStr">
        <is>
          <t>Fuel cell replacement, max</t>
        </is>
      </c>
      <c r="B2848">
        <v>0</v>
      </c>
    </row>
    <row r="2849">
      <c r="A2849" t="inlineStr">
        <is>
          <t>Onboard charger mass</t>
        </is>
      </c>
      <c r="B2849">
        <v>0</v>
      </c>
    </row>
    <row r="2850">
      <c r="A2850" t="inlineStr">
        <is>
          <t>Controller mass</t>
        </is>
      </c>
      <c r="B2850">
        <v>0</v>
      </c>
    </row>
    <row r="2851">
      <c r="A2851" t="inlineStr">
        <is>
          <t>Converter mass</t>
        </is>
      </c>
      <c r="B2851">
        <v>25</v>
      </c>
    </row>
    <row r="2852">
      <c r="A2852" t="inlineStr">
        <is>
          <t>Electrical powertrain mass</t>
        </is>
      </c>
      <c r="B2852">
        <v>166</v>
      </c>
    </row>
    <row r="2853">
      <c r="A2853" t="inlineStr">
        <is>
          <t>Inverter mass</t>
        </is>
      </c>
      <c r="B2853">
        <v>15</v>
      </c>
    </row>
    <row r="2854">
      <c r="A2854" t="inlineStr">
        <is>
          <t>NOx</t>
        </is>
      </c>
      <c r="B2854">
        <v>0</v>
      </c>
    </row>
    <row r="2855">
      <c r="A2855" t="inlineStr">
        <is>
          <t>PM 2.5</t>
        </is>
      </c>
      <c r="B2855">
        <v>0</v>
      </c>
    </row>
    <row r="2856">
      <c r="A2856" t="inlineStr">
        <is>
          <t>energy use source</t>
        </is>
      </c>
      <c r="B2856"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carculator regional truck 2020", "EV charger, level 3, plugin, 200 kW", "RER", "unit"], "amount per vehicle": 0.1218137145042419, "vehicle per source service": 1.367427797431765e-07, "replacement correction factor": 1.0, "amount per MJ": 3.8343213519496126e-08}, {"supplier": ["gearbox, for lorry, carculator regional truck 2020", "gearbox, for lorry", "RER", "kilogram"], "amount per vehicle": 201.6000061035156, "vehicle per source service": 1.367427797431765e-07, "replacement correction factor": 1.0, "amount per MJ": 6.34574859737131e-05}, {"supplier": ["power electronics, for lorry, carculator regional truck 2020", "power electronics, for lorry", "RER", "kilogram"], "amount per vehicle": 265, "vehicle per source service": 1.367427797431765e-07, "replacement correction factor": 1.0, "amount per MJ": 8.341385552537798e-05}, {"supplier": ["retarder, for lorry, carculator regional truck 2020", "retarder, for lorry", "RER", "kilogram"], "amount per vehicle": 67.19999694824219, "vehicle per source service": 1.367427797431765e-07, "replacement correction factor": 1.0, "amount per MJ": 2.1152493723571755e-05}, {"supplier": ["transmission, for lorry, carculator regional truck 2020",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 "vehicle per source service": 1.367427797431765e-07, "replacement correction factor": 1.0, "amount per MJ": 7.869231653337545e-06}, {"supplier": ["market for electric motor, electric passenger car", "electric motor, electric passenger car", "GLO", "kilogram"], "amount per vehicle": 600,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carculator regional truck 2020", "assembly operation, for lorry", "RER", "kilogram"], "amount per vehicle": 17140.91796875,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electric lorry, carculator regional truck 2020", "other components, for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857">
      <c r="A2857" t="inlineStr">
        <is>
          <t>Exchanges</t>
        </is>
      </c>
    </row>
    <row r="2858">
      <c r="A2858" t="inlineStr">
        <is>
          <t>name</t>
        </is>
      </c>
      <c r="B2858" t="inlineStr">
        <is>
          <t>amount</t>
        </is>
      </c>
      <c r="C2858" t="inlineStr">
        <is>
          <t>location</t>
        </is>
      </c>
      <c r="D2858" t="inlineStr">
        <is>
          <t>unit</t>
        </is>
      </c>
      <c r="E2858" t="inlineStr">
        <is>
          <t>categories</t>
        </is>
      </c>
      <c r="F2858" t="inlineStr">
        <is>
          <t>type</t>
        </is>
      </c>
      <c r="G2858" t="inlineStr">
        <is>
          <t>reference product</t>
        </is>
      </c>
      <c r="H2858" t="inlineStr">
        <is>
          <t>comment</t>
        </is>
      </c>
      <c r="I2858" t="inlineStr">
        <is>
          <t>uncertainty type</t>
        </is>
      </c>
    </row>
    <row r="2859">
      <c r="A2859" t="inlineStr">
        <is>
          <t>electricity, used in heavy-duty vehicle</t>
        </is>
      </c>
      <c r="B2859">
        <v>1.0</v>
      </c>
      <c r="C2859" t="inlineStr">
        <is>
          <t>RER</t>
        </is>
      </c>
      <c r="D2859" t="inlineStr">
        <is>
          <t>megajoule</t>
        </is>
      </c>
      <c r="E2859" t="inlineStr">
        <is>
          <t/>
        </is>
      </c>
      <c r="F2859" t="inlineStr">
        <is>
          <t>production</t>
        </is>
      </c>
      <c r="G2859" t="inlineStr">
        <is>
          <t>electricity, low voltage</t>
        </is>
      </c>
      <c r="I2859">
        <v>0</v>
      </c>
    </row>
    <row r="2860">
      <c r="A2860" t="inlineStr">
        <is>
          <t>market group for electricity, low voltage</t>
        </is>
      </c>
      <c r="B2860">
        <v>0.27777777777777773</v>
      </c>
      <c r="C2860" t="inlineStr">
        <is>
          <t>RER</t>
        </is>
      </c>
      <c r="D2860" t="inlineStr">
        <is>
          <t>kilowatt hour</t>
        </is>
      </c>
      <c r="F2860" t="inlineStr">
        <is>
          <t>technosphere</t>
        </is>
      </c>
      <c r="G2860" t="inlineStr">
        <is>
          <t>electricity, low voltage</t>
        </is>
      </c>
      <c r="H2860" t="inlineStr">
        <is>
          <t>Grid purchase including model charging losses; Premise regional electricity.</t>
        </is>
      </c>
      <c r="I2860">
        <v>0</v>
      </c>
    </row>
    <row r="2861">
      <c r="A2861" t="inlineStr">
        <is>
          <t>market for tetrafluoroethane, R134a</t>
        </is>
      </c>
      <c r="B2861">
        <v>6.421292897004757e-07</v>
      </c>
      <c r="C2861" t="inlineStr">
        <is>
          <t>GLO</t>
        </is>
      </c>
      <c r="D2861" t="inlineStr">
        <is>
          <t>kilogram</t>
        </is>
      </c>
      <c r="F2861" t="inlineStr">
        <is>
          <t>technosphere</t>
        </is>
      </c>
      <c r="G2861" t="inlineStr">
        <is>
          <t>tetrafluoroethane, R134a</t>
        </is>
      </c>
      <c r="I2861">
        <v>0</v>
      </c>
    </row>
    <row r="2862">
      <c r="A2862" t="inlineStr">
        <is>
          <t>treatment of brake wear emissions, lorry</t>
        </is>
      </c>
      <c r="B2862">
        <v>-1.6923273973174422e-05</v>
      </c>
      <c r="C2862" t="inlineStr">
        <is>
          <t>RER</t>
        </is>
      </c>
      <c r="D2862" t="inlineStr">
        <is>
          <t>kilogram</t>
        </is>
      </c>
      <c r="F2862" t="inlineStr">
        <is>
          <t>technosphere</t>
        </is>
      </c>
      <c r="G2862" t="inlineStr">
        <is>
          <t>brake wear emissions, lorry</t>
        </is>
      </c>
      <c r="I2862">
        <v>0</v>
      </c>
    </row>
    <row r="2863">
      <c r="A2863" t="inlineStr">
        <is>
          <t>treatment of road wear emissions, lorry</t>
        </is>
      </c>
      <c r="B2863">
        <v>-3.154446984763782e-05</v>
      </c>
      <c r="C2863" t="inlineStr">
        <is>
          <t>RER</t>
        </is>
      </c>
      <c r="D2863" t="inlineStr">
        <is>
          <t>kilogram</t>
        </is>
      </c>
      <c r="F2863" t="inlineStr">
        <is>
          <t>technosphere</t>
        </is>
      </c>
      <c r="G2863" t="inlineStr">
        <is>
          <t>road wear emissions, lorry</t>
        </is>
      </c>
      <c r="I2863">
        <v>0</v>
      </c>
    </row>
    <row r="2864">
      <c r="A2864" t="inlineStr">
        <is>
          <t>treatment of tyre wear emissions, lorry</t>
        </is>
      </c>
      <c r="B2864">
        <v>-2.5484250382903828e-05</v>
      </c>
      <c r="C2864" t="inlineStr">
        <is>
          <t>RER</t>
        </is>
      </c>
      <c r="D2864" t="inlineStr">
        <is>
          <t>kilogram</t>
        </is>
      </c>
      <c r="F2864" t="inlineStr">
        <is>
          <t>technosphere</t>
        </is>
      </c>
      <c r="G2864" t="inlineStr">
        <is>
          <t>tyre wear emissions, lorry</t>
        </is>
      </c>
      <c r="I2864">
        <v>0</v>
      </c>
    </row>
    <row r="2865">
      <c r="A2865" t="inlineStr">
        <is>
          <t>1,1,1,2-Tetrafluoroethane</t>
        </is>
      </c>
      <c r="B2865">
        <v>2.9588312998329307e-07</v>
      </c>
      <c r="D2865" t="inlineStr">
        <is>
          <t>kilogram</t>
        </is>
      </c>
      <c r="E2865" t="inlineStr">
        <is>
          <t>air</t>
        </is>
      </c>
      <c r="F2865" t="inlineStr">
        <is>
          <t>biosphere</t>
        </is>
      </c>
      <c r="I2865">
        <v>0</v>
      </c>
    </row>
    <row r="2866">
      <c r="A2866" t="inlineStr">
        <is>
          <t>EV charger, level 3, plugin, 200 kW, carculator regional truck 2020</t>
        </is>
      </c>
      <c r="B2866">
        <v>3.8343213519496126e-08</v>
      </c>
      <c r="C2866" t="inlineStr">
        <is>
          <t>RER</t>
        </is>
      </c>
      <c r="D2866" t="inlineStr">
        <is>
          <t>unit</t>
        </is>
      </c>
      <c r="F2866" t="inlineStr">
        <is>
          <t>technosphere</t>
        </is>
      </c>
      <c r="G2866" t="inlineStr">
        <is>
          <t>EV charger, level 3, plugin, 200 kW</t>
        </is>
      </c>
      <c r="H2866" t="inlineStr">
        <is>
          <t> Energy-use allocation: 0.1218137145042419 * 1.367427797431765e-07 / 0.4344222719799472 MJ per ton kilometer.</t>
        </is>
      </c>
      <c r="I2866">
        <v>0</v>
      </c>
    </row>
    <row r="2867">
      <c r="A2867" t="inlineStr">
        <is>
          <t>gearbox, for lorry, carculator regional truck 2020</t>
        </is>
      </c>
      <c r="B2867">
        <v>6.34574859737131e-05</v>
      </c>
      <c r="C2867" t="inlineStr">
        <is>
          <t>RER</t>
        </is>
      </c>
      <c r="D2867" t="inlineStr">
        <is>
          <t>kilogram</t>
        </is>
      </c>
      <c r="F2867" t="inlineStr">
        <is>
          <t>technosphere</t>
        </is>
      </c>
      <c r="G2867" t="inlineStr">
        <is>
          <t>gearbox, for lorry</t>
        </is>
      </c>
      <c r="H2867" t="inlineStr">
        <is>
          <t> Energy-use allocation: 201.6000061035156 * 1.367427797431765e-07 / 0.4344222719799472 MJ per ton kilometer.</t>
        </is>
      </c>
      <c r="I2867">
        <v>0</v>
      </c>
    </row>
    <row r="2868">
      <c r="A2868" t="inlineStr">
        <is>
          <t>power electronics, for lorry, carculator regional truck 2020</t>
        </is>
      </c>
      <c r="B2868">
        <v>8.341385552537798e-05</v>
      </c>
      <c r="C2868" t="inlineStr">
        <is>
          <t>RER</t>
        </is>
      </c>
      <c r="D2868" t="inlineStr">
        <is>
          <t>kilogram</t>
        </is>
      </c>
      <c r="F2868" t="inlineStr">
        <is>
          <t>technosphere</t>
        </is>
      </c>
      <c r="G2868" t="inlineStr">
        <is>
          <t>power electronics, for lorry</t>
        </is>
      </c>
      <c r="H2868" t="inlineStr">
        <is>
          <t> Energy-use allocation: 265 * 1.367427797431765e-07 / 0.4344222719799472 MJ per ton kilometer.</t>
        </is>
      </c>
      <c r="I2868">
        <v>0</v>
      </c>
    </row>
    <row r="2869">
      <c r="A2869" t="inlineStr">
        <is>
          <t>retarder, for lorry, carculator regional truck 2020</t>
        </is>
      </c>
      <c r="B2869">
        <v>2.1152493723571755e-05</v>
      </c>
      <c r="C2869" t="inlineStr">
        <is>
          <t>RER</t>
        </is>
      </c>
      <c r="D2869" t="inlineStr">
        <is>
          <t>kilogram</t>
        </is>
      </c>
      <c r="F2869" t="inlineStr">
        <is>
          <t>technosphere</t>
        </is>
      </c>
      <c r="G2869" t="inlineStr">
        <is>
          <t>retarder, for lorry</t>
        </is>
      </c>
      <c r="H2869" t="inlineStr">
        <is>
          <t> Energy-use allocation: 67.19999694824219 * 1.367427797431765e-07 / 0.4344222719799472 MJ per ton kilometer.</t>
        </is>
      </c>
      <c r="I2869">
        <v>0</v>
      </c>
    </row>
    <row r="2870">
      <c r="A2870" t="inlineStr">
        <is>
          <t>transmission, for lorry, carculator regional truck 2020</t>
        </is>
      </c>
      <c r="B2870">
        <v>9.166080453447832e-05</v>
      </c>
      <c r="C2870" t="inlineStr">
        <is>
          <t>RER</t>
        </is>
      </c>
      <c r="D2870" t="inlineStr">
        <is>
          <t>kilogram</t>
        </is>
      </c>
      <c r="F2870" t="inlineStr">
        <is>
          <t>technosphere</t>
        </is>
      </c>
      <c r="G2870" t="inlineStr">
        <is>
          <t>transmission, for lorry</t>
        </is>
      </c>
      <c r="H2870" t="inlineStr">
        <is>
          <t> Energy-use allocation: 291.1999816894531 * 1.367427797431765e-07 / 0.4344222719799472 MJ per ton kilometer.</t>
        </is>
      </c>
      <c r="I2870">
        <v>0</v>
      </c>
    </row>
    <row r="2871">
      <c r="A2871" t="inlineStr">
        <is>
          <t>market for converter, for electric passenger car</t>
        </is>
      </c>
      <c r="B2871">
        <v>7.869231653337545e-06</v>
      </c>
      <c r="C2871" t="inlineStr">
        <is>
          <t>GLO</t>
        </is>
      </c>
      <c r="D2871" t="inlineStr">
        <is>
          <t>kilogram</t>
        </is>
      </c>
      <c r="F2871" t="inlineStr">
        <is>
          <t>technosphere</t>
        </is>
      </c>
      <c r="G2871" t="inlineStr">
        <is>
          <t>converter, for electric passenger car</t>
        </is>
      </c>
      <c r="H2871" t="inlineStr">
        <is>
          <t> Energy-use allocation: 25 * 1.367427797431765e-07 / 0.4344222719799472 MJ per ton kilometer.</t>
        </is>
      </c>
      <c r="I2871">
        <v>0</v>
      </c>
    </row>
    <row r="2872">
      <c r="A2872" t="inlineStr">
        <is>
          <t>market for electric motor, electric passenger car</t>
        </is>
      </c>
      <c r="B2872">
        <v>0.00018886155968010109</v>
      </c>
      <c r="C2872" t="inlineStr">
        <is>
          <t>GLO</t>
        </is>
      </c>
      <c r="D2872" t="inlineStr">
        <is>
          <t>kilogram</t>
        </is>
      </c>
      <c r="F2872" t="inlineStr">
        <is>
          <t>technosphere</t>
        </is>
      </c>
      <c r="G2872" t="inlineStr">
        <is>
          <t>electric motor, electric passenger car</t>
        </is>
      </c>
      <c r="H2872" t="inlineStr">
        <is>
          <t> Energy-use allocation: 600 * 1.367427797431765e-07 / 0.4344222719799472 MJ per ton kilometer.</t>
        </is>
      </c>
      <c r="I2872">
        <v>0</v>
      </c>
    </row>
    <row r="2873">
      <c r="A2873" t="inlineStr">
        <is>
          <t>market for inverter, for electric passenger car</t>
        </is>
      </c>
      <c r="B2873">
        <v>8.725462677809252e-06</v>
      </c>
      <c r="C2873" t="inlineStr">
        <is>
          <t>GLO</t>
        </is>
      </c>
      <c r="D2873" t="inlineStr">
        <is>
          <t>kilogram</t>
        </is>
      </c>
      <c r="F2873" t="inlineStr">
        <is>
          <t>technosphere</t>
        </is>
      </c>
      <c r="G2873" t="inlineStr">
        <is>
          <t>inverter, for electric passenger car</t>
        </is>
      </c>
      <c r="H2873" t="inlineStr">
        <is>
          <t> Energy-use allocation: 27.72018623352051 * 1.367427797431765e-07 / 0.4344222719799472 MJ per ton kilometer.</t>
        </is>
      </c>
      <c r="I2873">
        <v>0</v>
      </c>
    </row>
    <row r="2874">
      <c r="A2874" t="inlineStr">
        <is>
          <t>market for power distribution unit, for electric passenger car</t>
        </is>
      </c>
      <c r="B2874">
        <v>1.2590770645340072e-06</v>
      </c>
      <c r="C2874" t="inlineStr">
        <is>
          <t>GLO</t>
        </is>
      </c>
      <c r="D2874" t="inlineStr">
        <is>
          <t>kilogram</t>
        </is>
      </c>
      <c r="F2874" t="inlineStr">
        <is>
          <t>technosphere</t>
        </is>
      </c>
      <c r="G2874" t="inlineStr">
        <is>
          <t>power distribution unit, for electric passenger car</t>
        </is>
      </c>
      <c r="H2874" t="inlineStr">
        <is>
          <t> Energy-use allocation: 4 * 1.367427797431765e-07 / 0.4344222719799472 MJ per ton kilometer.</t>
        </is>
      </c>
      <c r="I2874">
        <v>0</v>
      </c>
    </row>
    <row r="2875">
      <c r="A2875" t="inlineStr">
        <is>
          <t>market for battery capacity (MIX scenario)</t>
        </is>
      </c>
      <c r="B2875">
        <v>0.00017339536871471286</v>
      </c>
      <c r="C2875" t="inlineStr">
        <is>
          <t>GLO</t>
        </is>
      </c>
      <c r="D2875" t="inlineStr">
        <is>
          <t>kilowatt hour</t>
        </is>
      </c>
      <c r="F2875" t="inlineStr">
        <is>
          <t>technosphere</t>
        </is>
      </c>
      <c r="G2875" t="inlineStr">
        <is>
          <t>electricity storage capacity</t>
        </is>
      </c>
      <c r="H2875" t="inlineStr">
        <is>
          <t>550.864990234 kWh nominal * (1 + 0 replacements); capacity market includes manufacture and end of life, replacing kg pack and disposal exchanges. Energy-use allocation: 550.864990234375 * 1.367427797431765e-07 / 0.4344222719799472 MJ per ton kilometer.</t>
        </is>
      </c>
      <c r="I2875">
        <v>0</v>
      </c>
    </row>
    <row r="2876"/>
    <row r="2877">
      <c r="A2877" t="inlineStr">
        <is>
          <t>Activity</t>
        </is>
      </c>
      <c r="B2877" t="inlineStr">
        <is>
          <t>hydrogen, used in a fuel cell in a heavy duty vehicle</t>
        </is>
      </c>
    </row>
    <row r="2878">
      <c r="A2878" t="inlineStr">
        <is>
          <t>location</t>
        </is>
      </c>
      <c r="B2878" t="inlineStr">
        <is>
          <t>RER</t>
        </is>
      </c>
    </row>
    <row r="2879">
      <c r="A2879" t="inlineStr">
        <is>
          <t>production amount</t>
        </is>
      </c>
      <c r="B2879">
        <v>1</v>
      </c>
    </row>
    <row r="2880">
      <c r="A2880" t="inlineStr">
        <is>
          <t>reference product</t>
        </is>
      </c>
      <c r="B2880" t="inlineStr">
        <is>
          <t>heat</t>
        </is>
      </c>
    </row>
    <row r="2881">
      <c r="A2881" t="inlineStr">
        <is>
          <t>type</t>
        </is>
      </c>
      <c r="B2881" t="inlineStr">
        <is>
          <t>process</t>
        </is>
      </c>
    </row>
    <row r="2882">
      <c r="A2882" t="inlineStr">
        <is>
          <t>unit</t>
        </is>
      </c>
      <c r="B2882" t="inlineStr">
        <is>
          <t>megajoule</t>
        </is>
      </c>
    </row>
    <row r="2883">
      <c r="A2883" t="inlineStr">
        <is>
          <t>source</t>
        </is>
      </c>
      <c r="B2883" t="inlineStr">
        <is>
          <t>Sacchi, R., Bauer, C., and Cox, B. Does size matter? The influence of size, load factor, range autonomy and application type on the Life Cycle Assessment of current and future trucks. 2021. Environmental Science and Technology.</t>
        </is>
      </c>
    </row>
    <row r="2884">
      <c r="A2884" t="inlineStr">
        <is>
          <t>description</t>
        </is>
      </c>
      <c r="B2884"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85">
      <c r="A2885" t="inlineStr">
        <is>
          <t>comment</t>
        </is>
      </c>
      <c r="B2885"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86">
      <c r="A2886" t="inlineStr">
        <is>
          <t>Power, mean</t>
        </is>
      </c>
      <c r="B2886">
        <v>220</v>
      </c>
    </row>
    <row r="2887">
      <c r="A2887" t="inlineStr">
        <is>
          <t>Power, min</t>
        </is>
      </c>
      <c r="B2887">
        <v>100</v>
      </c>
    </row>
    <row r="2888">
      <c r="A2888" t="inlineStr">
        <is>
          <t>Power, max</t>
        </is>
      </c>
      <c r="B2888">
        <v>290</v>
      </c>
    </row>
    <row r="2889">
      <c r="A2889" t="inlineStr">
        <is>
          <t>Lifetime, mean</t>
        </is>
      </c>
      <c r="B2889">
        <v>1000000</v>
      </c>
    </row>
    <row r="2890">
      <c r="A2890" t="inlineStr">
        <is>
          <t>Lifetime, min</t>
        </is>
      </c>
      <c r="B2890">
        <v>500000</v>
      </c>
    </row>
    <row r="2891">
      <c r="A2891" t="inlineStr">
        <is>
          <t>Lifetime, max</t>
        </is>
      </c>
      <c r="B2891">
        <v>1200000</v>
      </c>
    </row>
    <row r="2892">
      <c r="A2892" t="inlineStr">
        <is>
          <t>Energy use, mean</t>
        </is>
      </c>
      <c r="B2892">
        <v>4930</v>
      </c>
    </row>
    <row r="2893">
      <c r="A2893" t="inlineStr">
        <is>
          <t>Energy use, min</t>
        </is>
      </c>
      <c r="B2893">
        <v>2360</v>
      </c>
    </row>
    <row r="2894">
      <c r="A2894" t="inlineStr">
        <is>
          <t>Energy use, max</t>
        </is>
      </c>
      <c r="B2894">
        <v>6500</v>
      </c>
    </row>
    <row r="2895">
      <c r="A2895" t="inlineStr">
        <is>
          <t>Electric motor, mean</t>
        </is>
      </c>
      <c r="B2895">
        <v>150</v>
      </c>
    </row>
    <row r="2896">
      <c r="A2896" t="inlineStr">
        <is>
          <t>Electric motor, min</t>
        </is>
      </c>
      <c r="B2896">
        <v>50</v>
      </c>
    </row>
    <row r="2897">
      <c r="A2897" t="inlineStr">
        <is>
          <t>Electric motor, max</t>
        </is>
      </c>
      <c r="B2897">
        <v>240</v>
      </c>
    </row>
    <row r="2898">
      <c r="A2898" t="inlineStr">
        <is>
          <t>Combustion engine, mean</t>
        </is>
      </c>
      <c r="B2898">
        <v>0</v>
      </c>
    </row>
    <row r="2899">
      <c r="A2899" t="inlineStr">
        <is>
          <t>Combustion engine, min</t>
        </is>
      </c>
      <c r="B2899">
        <v>0</v>
      </c>
    </row>
    <row r="2900">
      <c r="A2900" t="inlineStr">
        <is>
          <t>Combustion engine, max</t>
        </is>
      </c>
      <c r="B2900">
        <v>0</v>
      </c>
    </row>
    <row r="2901">
      <c r="A2901" t="inlineStr">
        <is>
          <t>Fuel tank, mean</t>
        </is>
      </c>
      <c r="B2901">
        <v>326</v>
      </c>
    </row>
    <row r="2902">
      <c r="A2902" t="inlineStr">
        <is>
          <t>Fuel tank, min</t>
        </is>
      </c>
      <c r="B2902">
        <v>180</v>
      </c>
    </row>
    <row r="2903">
      <c r="A2903" t="inlineStr">
        <is>
          <t>Fuel tank, max</t>
        </is>
      </c>
      <c r="B2903">
        <v>360</v>
      </c>
    </row>
    <row r="2904">
      <c r="A2904" t="inlineStr">
        <is>
          <t>Battery capacity, mean</t>
        </is>
      </c>
      <c r="B2904">
        <v>52</v>
      </c>
    </row>
    <row r="2905">
      <c r="A2905" t="inlineStr">
        <is>
          <t>Battery capacity, min</t>
        </is>
      </c>
      <c r="B2905">
        <v>35</v>
      </c>
    </row>
    <row r="2906">
      <c r="A2906" t="inlineStr">
        <is>
          <t>Battery capacity, max</t>
        </is>
      </c>
      <c r="B2906">
        <v>63</v>
      </c>
    </row>
    <row r="2907">
      <c r="A2907" t="inlineStr">
        <is>
          <t>Battery replacement, mean</t>
        </is>
      </c>
      <c r="B2907">
        <v>0</v>
      </c>
    </row>
    <row r="2908">
      <c r="A2908" t="inlineStr">
        <is>
          <t>Battery replacement, min</t>
        </is>
      </c>
      <c r="B2908">
        <v>0</v>
      </c>
    </row>
    <row r="2909">
      <c r="A2909" t="inlineStr">
        <is>
          <t>Battery replacement, max</t>
        </is>
      </c>
      <c r="B2909">
        <v>0</v>
      </c>
    </row>
    <row r="2910">
      <c r="A2910" t="inlineStr">
        <is>
          <t>Fuel cell system, mean</t>
        </is>
      </c>
      <c r="B2910">
        <v>60</v>
      </c>
    </row>
    <row r="2911">
      <c r="A2911" t="inlineStr">
        <is>
          <t>Fuel cell system, min</t>
        </is>
      </c>
      <c r="B2911">
        <v>20</v>
      </c>
    </row>
    <row r="2912">
      <c r="A2912" t="inlineStr">
        <is>
          <t>Fuel cell system, max</t>
        </is>
      </c>
      <c r="B2912">
        <v>85</v>
      </c>
    </row>
    <row r="2913">
      <c r="A2913" t="inlineStr">
        <is>
          <t>Fuel cell stack replacement, mean</t>
        </is>
      </c>
      <c r="B2913">
        <v>0</v>
      </c>
    </row>
    <row r="2914">
      <c r="A2914" t="inlineStr">
        <is>
          <t>Fuel cell replacement, min</t>
        </is>
      </c>
      <c r="B2914">
        <v>0</v>
      </c>
    </row>
    <row r="2915">
      <c r="A2915" t="inlineStr">
        <is>
          <t>Fuel cell replacement, max</t>
        </is>
      </c>
      <c r="B2915">
        <v>0</v>
      </c>
    </row>
    <row r="2916">
      <c r="A2916" t="inlineStr">
        <is>
          <t>Onboard charger mass</t>
        </is>
      </c>
      <c r="B2916">
        <v>0</v>
      </c>
    </row>
    <row r="2917">
      <c r="A2917" t="inlineStr">
        <is>
          <t>Controller mass</t>
        </is>
      </c>
      <c r="B2917">
        <v>0</v>
      </c>
    </row>
    <row r="2918">
      <c r="A2918" t="inlineStr">
        <is>
          <t>Converter mass</t>
        </is>
      </c>
      <c r="B2918">
        <v>25</v>
      </c>
    </row>
    <row r="2919">
      <c r="A2919" t="inlineStr">
        <is>
          <t>Electrical powertrain mass</t>
        </is>
      </c>
      <c r="B2919">
        <v>166</v>
      </c>
    </row>
    <row r="2920">
      <c r="A2920" t="inlineStr">
        <is>
          <t>Inverter mass</t>
        </is>
      </c>
      <c r="B2920">
        <v>15</v>
      </c>
    </row>
    <row r="2921">
      <c r="A2921" t="inlineStr">
        <is>
          <t>NOx</t>
        </is>
      </c>
      <c r="B2921">
        <v>0</v>
      </c>
    </row>
    <row r="2922">
      <c r="A2922" t="inlineStr">
        <is>
          <t>PM 2.5</t>
        </is>
      </c>
      <c r="B2922">
        <v>0</v>
      </c>
    </row>
    <row r="2923">
      <c r="A2923" t="inlineStr">
        <is>
          <t>energy use source</t>
        </is>
      </c>
      <c r="B2923"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carculator regional truck 2020", "hydrogen tank", "RER", "kilogram"], "amount per vehicle": 362.2264404296875, "vehicle per source service": 1.367427797431765e-07, "replacement correction factor": 1.0, "amount per MJ": 6.26226915252314e-05}, {"supplier": ["gearbox, for lorry, carculator regional truck 2020", "gearbox, for lorry", "RER", "kilogram"], "amount per vehicle": 201.6000061035156, "vehicle per source service": 1.367427797431765e-07, "replacement correction factor": 1.0, "amount per MJ": 3.485315698856566e-05}, {"supplier": ["power electronics, for lorry, carculator regional truck 2020", "power electronics, for lorry", "RER", "kilogram"], "amount per vehicle": 265, "vehicle per source service": 1.367427797431765e-07, "replacement correction factor": 1.0, "amount per MJ": 4.581392024972185e-05}, {"supplier": ["retarder, for lorry, carculator regional truck 2020", "retarder, for lorry", "RER", "kilogram"], "amount per vehicle": 67.19999694824219, "vehicle per source service": 1.367427797431765e-07, "replacement correction factor": 1.0, "amount per MJ": 1.1617718116861581e-05}, {"supplier": ["transmission, for lorry, carculator regional truck 2020",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carculator regional truck 2020", "assembly operation, for lorry", "RER", "kilogram"], "amount per vehicle": 14875.4716796875,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electric lorry, carculator regional truck 2020", "other components, for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2924">
      <c r="A2924" t="inlineStr">
        <is>
          <t>Exchanges</t>
        </is>
      </c>
    </row>
    <row r="2925">
      <c r="A2925" t="inlineStr">
        <is>
          <t>name</t>
        </is>
      </c>
      <c r="B2925" t="inlineStr">
        <is>
          <t>amount</t>
        </is>
      </c>
      <c r="C2925" t="inlineStr">
        <is>
          <t>location</t>
        </is>
      </c>
      <c r="D2925" t="inlineStr">
        <is>
          <t>unit</t>
        </is>
      </c>
      <c r="E2925" t="inlineStr">
        <is>
          <t>categories</t>
        </is>
      </c>
      <c r="F2925" t="inlineStr">
        <is>
          <t>type</t>
        </is>
      </c>
      <c r="G2925" t="inlineStr">
        <is>
          <t>reference product</t>
        </is>
      </c>
      <c r="H2925" t="inlineStr">
        <is>
          <t>comment</t>
        </is>
      </c>
      <c r="I2925" t="inlineStr">
        <is>
          <t>uncertainty type</t>
        </is>
      </c>
    </row>
    <row r="2926">
      <c r="A2926" t="inlineStr">
        <is>
          <t>hydrogen, used in a fuel cell in a heavy duty vehicle</t>
        </is>
      </c>
      <c r="B2926">
        <v>1.0</v>
      </c>
      <c r="C2926" t="inlineStr">
        <is>
          <t>RER</t>
        </is>
      </c>
      <c r="D2926" t="inlineStr">
        <is>
          <t>megajoule</t>
        </is>
      </c>
      <c r="E2926" t="inlineStr">
        <is>
          <t/>
        </is>
      </c>
      <c r="F2926" t="inlineStr">
        <is>
          <t>production</t>
        </is>
      </c>
      <c r="G2926" t="inlineStr">
        <is>
          <t>heat</t>
        </is>
      </c>
      <c r="I2926">
        <v>0</v>
      </c>
    </row>
    <row r="2927">
      <c r="A2927" t="inlineStr">
        <is>
          <t>market for hydrogen, gaseous, low pressure</t>
        </is>
      </c>
      <c r="B2927">
        <v>0.008333333333333333</v>
      </c>
      <c r="C2927" t="inlineStr">
        <is>
          <t>RER</t>
        </is>
      </c>
      <c r="D2927" t="inlineStr">
        <is>
          <t>kilogram</t>
        </is>
      </c>
      <c r="F2927" t="inlineStr">
        <is>
          <t>technosphere</t>
        </is>
      </c>
      <c r="G2927" t="inlineStr">
        <is>
          <t>hydrogen, gaseous, low pressure</t>
        </is>
      </c>
      <c r="H2927" t="inlineStr">
        <is>
          <t>Model fuel energy retained: 0.790956906425 MJ/tkm; reference LHV 120.0 MJ/kg. Premise determines regional blends.</t>
        </is>
      </c>
      <c r="I2927">
        <v>0</v>
      </c>
    </row>
    <row r="2928">
      <c r="A2928" t="inlineStr">
        <is>
          <t>market for tetrafluoroethane, R134a</t>
        </is>
      </c>
      <c r="B2928">
        <v>3.5268073730745854e-07</v>
      </c>
      <c r="C2928" t="inlineStr">
        <is>
          <t>GLO</t>
        </is>
      </c>
      <c r="D2928" t="inlineStr">
        <is>
          <t>kilogram</t>
        </is>
      </c>
      <c r="F2928" t="inlineStr">
        <is>
          <t>technosphere</t>
        </is>
      </c>
      <c r="G2928" t="inlineStr">
        <is>
          <t>tetrafluoroethane, R134a</t>
        </is>
      </c>
      <c r="I2928">
        <v>0</v>
      </c>
    </row>
    <row r="2929">
      <c r="A2929" t="inlineStr">
        <is>
          <t>treatment of brake wear emissions, lorry</t>
        </is>
      </c>
      <c r="B2929">
        <v>-9.34177721874287e-06</v>
      </c>
      <c r="C2929" t="inlineStr">
        <is>
          <t>RER</t>
        </is>
      </c>
      <c r="D2929" t="inlineStr">
        <is>
          <t>kilogram</t>
        </is>
      </c>
      <c r="F2929" t="inlineStr">
        <is>
          <t>technosphere</t>
        </is>
      </c>
      <c r="G2929" t="inlineStr">
        <is>
          <t>brake wear emissions, lorry</t>
        </is>
      </c>
      <c r="I2929">
        <v>0</v>
      </c>
    </row>
    <row r="2930">
      <c r="A2930" t="inlineStr">
        <is>
          <t>treatment of road wear emissions, lorry</t>
        </is>
      </c>
      <c r="B2930">
        <v>-1.6195647463338396e-05</v>
      </c>
      <c r="C2930" t="inlineStr">
        <is>
          <t>RER</t>
        </is>
      </c>
      <c r="D2930" t="inlineStr">
        <is>
          <t>kilogram</t>
        </is>
      </c>
      <c r="F2930" t="inlineStr">
        <is>
          <t>technosphere</t>
        </is>
      </c>
      <c r="G2930" t="inlineStr">
        <is>
          <t>road wear emissions, lorry</t>
        </is>
      </c>
      <c r="I2930">
        <v>0</v>
      </c>
    </row>
    <row r="2931">
      <c r="A2931" t="inlineStr">
        <is>
          <t>treatment of tyre wear emissions, lorry</t>
        </is>
      </c>
      <c r="B2931">
        <v>-1.3157154143296742e-05</v>
      </c>
      <c r="C2931" t="inlineStr">
        <is>
          <t>RER</t>
        </is>
      </c>
      <c r="D2931" t="inlineStr">
        <is>
          <t>kilogram</t>
        </is>
      </c>
      <c r="F2931" t="inlineStr">
        <is>
          <t>technosphere</t>
        </is>
      </c>
      <c r="G2931" t="inlineStr">
        <is>
          <t>tyre wear emissions, lorry</t>
        </is>
      </c>
      <c r="I2931">
        <v>0</v>
      </c>
    </row>
    <row r="2932">
      <c r="A2932" t="inlineStr">
        <is>
          <t>1,1,1,2-Tetrafluoroethane</t>
        </is>
      </c>
      <c r="B2932">
        <v>1.6250976573272652e-07</v>
      </c>
      <c r="D2932" t="inlineStr">
        <is>
          <t>kilogram</t>
        </is>
      </c>
      <c r="E2932" t="inlineStr">
        <is>
          <t>air</t>
        </is>
      </c>
      <c r="F2932" t="inlineStr">
        <is>
          <t>biosphere</t>
        </is>
      </c>
      <c r="I2932">
        <v>0</v>
      </c>
    </row>
    <row r="2933">
      <c r="A2933" t="inlineStr">
        <is>
          <t>fuel cell Balance of Plant production, 1 kWe, proton exchange membrane (PEM), carculator regional truck 2020</t>
        </is>
      </c>
      <c r="B2933">
        <v>1.0629661701777987e-05</v>
      </c>
      <c r="C2933" t="inlineStr">
        <is>
          <t>GLO</t>
        </is>
      </c>
      <c r="D2933" t="inlineStr">
        <is>
          <t>unit</t>
        </is>
      </c>
      <c r="F2933" t="inlineStr">
        <is>
          <t>technosphere</t>
        </is>
      </c>
      <c r="G2933" t="inlineStr">
        <is>
          <t>fuel cell Balance of Plant, 1 kWe, proton exchange membrane (PEM)</t>
        </is>
      </c>
      <c r="H2933" t="inlineStr">
        <is>
          <t> Energy-use allocation: 61.48481369018555 * 1.367427797431765e-07 / 0.7909569064254391 MJ per ton kilometer.</t>
        </is>
      </c>
      <c r="I2933">
        <v>0</v>
      </c>
    </row>
    <row r="2934">
      <c r="A2934" t="inlineStr">
        <is>
          <t>fuel cell stack production, 1 kWe, proton exchange membrane (PEM), carculator regional truck 2020</t>
        </is>
      </c>
      <c r="B2934">
        <v>5.011125976461462e-05</v>
      </c>
      <c r="C2934" t="inlineStr">
        <is>
          <t>GLO</t>
        </is>
      </c>
      <c r="D2934" t="inlineStr">
        <is>
          <t>unit</t>
        </is>
      </c>
      <c r="F2934" t="inlineStr">
        <is>
          <t>technosphere</t>
        </is>
      </c>
      <c r="G2934" t="inlineStr">
        <is>
          <t>fuel cell stack, 1 kWe, proton exchange membrane (PEM)</t>
        </is>
      </c>
      <c r="H2934" t="inlineStr">
        <is>
          <t> Energy-use allocation: 289.8569641113281 * 1.367427797431765e-07 / 0.7909569064254391 MJ per ton kilometer.</t>
        </is>
      </c>
      <c r="I2934">
        <v>0</v>
      </c>
    </row>
    <row r="2935">
      <c r="A2935" t="inlineStr">
        <is>
          <t>fuel tank, compressed hydrogen gas, 700bar, with HDPE liner, carculator regional truck 2020</t>
        </is>
      </c>
      <c r="B2935">
        <v>6.26226915252314e-05</v>
      </c>
      <c r="C2935" t="inlineStr">
        <is>
          <t>RER</t>
        </is>
      </c>
      <c r="D2935" t="inlineStr">
        <is>
          <t>kilogram</t>
        </is>
      </c>
      <c r="F2935" t="inlineStr">
        <is>
          <t>technosphere</t>
        </is>
      </c>
      <c r="G2935" t="inlineStr">
        <is>
          <t>hydrogen tank</t>
        </is>
      </c>
      <c r="H2935" t="inlineStr">
        <is>
          <t> Energy-use allocation: 362.2264404296875 * 1.367427797431765e-07 / 0.7909569064254391 MJ per ton kilometer.</t>
        </is>
      </c>
      <c r="I2935">
        <v>0</v>
      </c>
    </row>
    <row r="2936">
      <c r="A2936" t="inlineStr">
        <is>
          <t>gearbox, for lorry, carculator regional truck 2020</t>
        </is>
      </c>
      <c r="B2936">
        <v>3.485315698856566e-05</v>
      </c>
      <c r="C2936" t="inlineStr">
        <is>
          <t>RER</t>
        </is>
      </c>
      <c r="D2936" t="inlineStr">
        <is>
          <t>kilogram</t>
        </is>
      </c>
      <c r="F2936" t="inlineStr">
        <is>
          <t>technosphere</t>
        </is>
      </c>
      <c r="G2936" t="inlineStr">
        <is>
          <t>gearbox, for lorry</t>
        </is>
      </c>
      <c r="H2936" t="inlineStr">
        <is>
          <t> Energy-use allocation: 201.6000061035156 * 1.367427797431765e-07 / 0.7909569064254391 MJ per ton kilometer.</t>
        </is>
      </c>
      <c r="I2936">
        <v>0</v>
      </c>
    </row>
    <row r="2937">
      <c r="A2937" t="inlineStr">
        <is>
          <t>power electronics, for lorry, carculator regional truck 2020</t>
        </is>
      </c>
      <c r="B2937">
        <v>4.581392024972185e-05</v>
      </c>
      <c r="C2937" t="inlineStr">
        <is>
          <t>RER</t>
        </is>
      </c>
      <c r="D2937" t="inlineStr">
        <is>
          <t>kilogram</t>
        </is>
      </c>
      <c r="F2937" t="inlineStr">
        <is>
          <t>technosphere</t>
        </is>
      </c>
      <c r="G2937" t="inlineStr">
        <is>
          <t>power electronics, for lorry</t>
        </is>
      </c>
      <c r="H2937" t="inlineStr">
        <is>
          <t> Energy-use allocation: 265 * 1.367427797431765e-07 / 0.7909569064254391 MJ per ton kilometer.</t>
        </is>
      </c>
      <c r="I2937">
        <v>0</v>
      </c>
    </row>
    <row r="2938">
      <c r="A2938" t="inlineStr">
        <is>
          <t>retarder, for lorry, carculator regional truck 2020</t>
        </is>
      </c>
      <c r="B2938">
        <v>1.1617718116861581e-05</v>
      </c>
      <c r="C2938" t="inlineStr">
        <is>
          <t>RER</t>
        </is>
      </c>
      <c r="D2938" t="inlineStr">
        <is>
          <t>kilogram</t>
        </is>
      </c>
      <c r="F2938" t="inlineStr">
        <is>
          <t>technosphere</t>
        </is>
      </c>
      <c r="G2938" t="inlineStr">
        <is>
          <t>retarder, for lorry</t>
        </is>
      </c>
      <c r="H2938" t="inlineStr">
        <is>
          <t> Energy-use allocation: 67.19999694824219 * 1.367427797431765e-07 / 0.7909569064254391 MJ per ton kilometer.</t>
        </is>
      </c>
      <c r="I2938">
        <v>0</v>
      </c>
    </row>
    <row r="2939">
      <c r="A2939" t="inlineStr">
        <is>
          <t>transmission, for lorry, carculator regional truck 2020</t>
        </is>
      </c>
      <c r="B2939">
        <v>5.0343444293739876e-05</v>
      </c>
      <c r="C2939" t="inlineStr">
        <is>
          <t>RER</t>
        </is>
      </c>
      <c r="D2939" t="inlineStr">
        <is>
          <t>kilogram</t>
        </is>
      </c>
      <c r="F2939" t="inlineStr">
        <is>
          <t>technosphere</t>
        </is>
      </c>
      <c r="G2939" t="inlineStr">
        <is>
          <t>transmission, for lorry</t>
        </is>
      </c>
      <c r="H2939" t="inlineStr">
        <is>
          <t> Energy-use allocation: 291.1999816894531 * 1.367427797431765e-07 / 0.7909569064254391 MJ per ton kilometer.</t>
        </is>
      </c>
      <c r="I2939">
        <v>0</v>
      </c>
    </row>
    <row r="2940">
      <c r="A2940" t="inlineStr">
        <is>
          <t>market for converter, for electric passenger car</t>
        </is>
      </c>
      <c r="B2940">
        <v>4.3220679480869664e-06</v>
      </c>
      <c r="C2940" t="inlineStr">
        <is>
          <t>GLO</t>
        </is>
      </c>
      <c r="D2940" t="inlineStr">
        <is>
          <t>kilogram</t>
        </is>
      </c>
      <c r="F2940" t="inlineStr">
        <is>
          <t>technosphere</t>
        </is>
      </c>
      <c r="G2940" t="inlineStr">
        <is>
          <t>converter, for electric passenger car</t>
        </is>
      </c>
      <c r="H2940" t="inlineStr">
        <is>
          <t> Energy-use allocation: 25 * 1.367427797431765e-07 / 0.7909569064254391 MJ per ton kilometer.</t>
        </is>
      </c>
      <c r="I2940">
        <v>0</v>
      </c>
    </row>
    <row r="2941">
      <c r="A2941" t="inlineStr">
        <is>
          <t>market for electric motor, electric passenger car</t>
        </is>
      </c>
      <c r="B2941">
        <v>4.3230698532424135e-05</v>
      </c>
      <c r="C2941" t="inlineStr">
        <is>
          <t>GLO</t>
        </is>
      </c>
      <c r="D2941" t="inlineStr">
        <is>
          <t>kilogram</t>
        </is>
      </c>
      <c r="F2941" t="inlineStr">
        <is>
          <t>technosphere</t>
        </is>
      </c>
      <c r="G2941" t="inlineStr">
        <is>
          <t>electric motor, electric passenger car</t>
        </is>
      </c>
      <c r="H2941" t="inlineStr">
        <is>
          <t> Energy-use allocation: 250.0579528808594 * 1.367427797431765e-07 / 0.7909569064254391 MJ per ton kilometer.</t>
        </is>
      </c>
      <c r="I2941">
        <v>0</v>
      </c>
    </row>
    <row r="2942">
      <c r="A2942" t="inlineStr">
        <is>
          <t>market for inverter, for electric passenger car</t>
        </is>
      </c>
      <c r="B2942">
        <v>3.4348338449796365e-06</v>
      </c>
      <c r="C2942" t="inlineStr">
        <is>
          <t>GLO</t>
        </is>
      </c>
      <c r="D2942" t="inlineStr">
        <is>
          <t>kilogram</t>
        </is>
      </c>
      <c r="F2942" t="inlineStr">
        <is>
          <t>technosphere</t>
        </is>
      </c>
      <c r="G2942" t="inlineStr">
        <is>
          <t>inverter, for electric passenger car</t>
        </is>
      </c>
      <c r="H2942" t="inlineStr">
        <is>
          <t> Energy-use allocation: 19.86800003051758 * 1.367427797431765e-07 / 0.7909569064254391 MJ per ton kilometer.</t>
        </is>
      </c>
      <c r="I2942">
        <v>0</v>
      </c>
    </row>
    <row r="2943">
      <c r="A2943" t="inlineStr">
        <is>
          <t>market for power distribution unit, for electric passenger car</t>
        </is>
      </c>
      <c r="B2943">
        <v>6.915308716939146e-07</v>
      </c>
      <c r="C2943" t="inlineStr">
        <is>
          <t>GLO</t>
        </is>
      </c>
      <c r="D2943" t="inlineStr">
        <is>
          <t>kilogram</t>
        </is>
      </c>
      <c r="F2943" t="inlineStr">
        <is>
          <t>technosphere</t>
        </is>
      </c>
      <c r="G2943" t="inlineStr">
        <is>
          <t>power distribution unit, for electric passenger car</t>
        </is>
      </c>
      <c r="H2943" t="inlineStr">
        <is>
          <t> Energy-use allocation: 4 * 1.367427797431765e-07 / 0.7909569064254391 MJ per ton kilometer.</t>
        </is>
      </c>
      <c r="I2943">
        <v>0</v>
      </c>
    </row>
    <row r="2944">
      <c r="A2944" t="inlineStr">
        <is>
          <t>market for battery capacity (MIX scenario)</t>
        </is>
      </c>
      <c r="B2944">
        <v>1.2847325871841106e-05</v>
      </c>
      <c r="C2944" t="inlineStr">
        <is>
          <t>GLO</t>
        </is>
      </c>
      <c r="D2944" t="inlineStr">
        <is>
          <t>kilowatt hour</t>
        </is>
      </c>
      <c r="F2944" t="inlineStr">
        <is>
          <t>technosphere</t>
        </is>
      </c>
      <c r="G2944" t="inlineStr">
        <is>
          <t>electricity storage capacity</t>
        </is>
      </c>
      <c r="H2944" t="inlineStr">
        <is>
          <t>74.3123779297 kWh nominal * (1 + 0 replacements); capacity market includes manufacture and end of life, replacing kg pack and disposal exchanges. Energy-use allocation: 74.3123779296875 * 1.367427797431765e-07 / 0.7909569064254391 MJ per ton kilometer.</t>
        </is>
      </c>
      <c r="I2944">
        <v>0</v>
      </c>
    </row>
    <row r="2945">
      <c r="A2945" t="inlineStr">
        <is>
          <t>market group for electricity, low voltage</t>
        </is>
      </c>
      <c r="B2945">
        <v>0.020421827056420448</v>
      </c>
      <c r="C2945" t="inlineStr">
        <is>
          <t>RER</t>
        </is>
      </c>
      <c r="D2945" t="inlineStr">
        <is>
          <t>kilowatt hour</t>
        </is>
      </c>
      <c r="F2945" t="inlineStr">
        <is>
          <t>technosphere</t>
        </is>
      </c>
      <c r="G2945" t="inlineStr">
        <is>
          <t>electricity, low voltage</t>
        </is>
      </c>
      <c r="H2945" t="inlineStr">
        <is>
          <t>Hydrogen tank compression, 30 to 700 bar: 2.45061924677 kWh/kg H2; model compressor assumptions and Premise delivery pressure.</t>
        </is>
      </c>
      <c r="I2945">
        <v>0</v>
      </c>
    </row>
    <row r="2946"/>
    <row r="2947">
      <c r="A2947" t="inlineStr">
        <is>
          <t>Activity</t>
        </is>
      </c>
      <c r="B2947" t="inlineStr">
        <is>
          <t>biomethane, burned in heavy duty vehicle</t>
        </is>
      </c>
    </row>
    <row r="2948">
      <c r="A2948" t="inlineStr">
        <is>
          <t>comment</t>
        </is>
      </c>
      <c r="B2948"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49">
      <c r="A2949" t="inlineStr">
        <is>
          <t>description</t>
        </is>
      </c>
      <c r="B294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50">
      <c r="A2950" t="inlineStr">
        <is>
          <t>location</t>
        </is>
      </c>
      <c r="B2950" t="inlineStr">
        <is>
          <t>RER</t>
        </is>
      </c>
    </row>
    <row r="2951">
      <c r="A2951" t="inlineStr">
        <is>
          <t>production amount</t>
        </is>
      </c>
      <c r="B2951">
        <v>1</v>
      </c>
    </row>
    <row r="2952">
      <c r="A2952" t="inlineStr">
        <is>
          <t>reference product</t>
        </is>
      </c>
      <c r="B2952" t="inlineStr">
        <is>
          <t>heat</t>
        </is>
      </c>
    </row>
    <row r="2953">
      <c r="A2953" t="inlineStr">
        <is>
          <t>source</t>
        </is>
      </c>
      <c r="B2953" t="inlineStr">
        <is>
          <t>Sacchi, R., Bauer, C., and Cox, B. Does size matter? The influence of size, load factor, range autonomy and application type on the Life Cycle Assessment of current and future trucks. 2021. Environmental Science and Technology.</t>
        </is>
      </c>
    </row>
    <row r="2954">
      <c r="A2954" t="inlineStr">
        <is>
          <t>type</t>
        </is>
      </c>
      <c r="B2954" t="inlineStr">
        <is>
          <t>process</t>
        </is>
      </c>
    </row>
    <row r="2955">
      <c r="A2955" t="inlineStr">
        <is>
          <t>unit</t>
        </is>
      </c>
      <c r="B2955" t="inlineStr">
        <is>
          <t>megajoule</t>
        </is>
      </c>
    </row>
    <row r="2956">
      <c r="A2956" t="inlineStr">
        <is>
          <t>Power, mean</t>
        </is>
      </c>
      <c r="B2956">
        <v>308</v>
      </c>
    </row>
    <row r="2957">
      <c r="A2957" t="inlineStr">
        <is>
          <t>Power, min</t>
        </is>
      </c>
      <c r="B2957">
        <v>155</v>
      </c>
    </row>
    <row r="2958">
      <c r="A2958" t="inlineStr">
        <is>
          <t>Power, max</t>
        </is>
      </c>
      <c r="B2958">
        <v>485</v>
      </c>
    </row>
    <row r="2959">
      <c r="A2959" t="inlineStr">
        <is>
          <t>Lifetime, mean</t>
        </is>
      </c>
      <c r="B2959">
        <v>1000000</v>
      </c>
    </row>
    <row r="2960">
      <c r="A2960" t="inlineStr">
        <is>
          <t>Lifetime, min</t>
        </is>
      </c>
      <c r="B2960">
        <v>500000</v>
      </c>
    </row>
    <row r="2961">
      <c r="A2961" t="inlineStr">
        <is>
          <t>Lifetime, max</t>
        </is>
      </c>
      <c r="B2961">
        <v>1200000</v>
      </c>
    </row>
    <row r="2962">
      <c r="A2962" t="inlineStr">
        <is>
          <t>Energy use, mean</t>
        </is>
      </c>
      <c r="B2962">
        <v>7530</v>
      </c>
    </row>
    <row r="2963">
      <c r="A2963" t="inlineStr">
        <is>
          <t>Energy use, min</t>
        </is>
      </c>
      <c r="B2963">
        <v>3600</v>
      </c>
    </row>
    <row r="2964">
      <c r="A2964" t="inlineStr">
        <is>
          <t>Energy use, max</t>
        </is>
      </c>
      <c r="B2964">
        <v>10315</v>
      </c>
    </row>
    <row r="2965">
      <c r="A2965" t="inlineStr">
        <is>
          <t>Electric motor, mean</t>
        </is>
      </c>
      <c r="B2965">
        <v>0</v>
      </c>
    </row>
    <row r="2966">
      <c r="A2966" t="inlineStr">
        <is>
          <t>Electric motor, min</t>
        </is>
      </c>
      <c r="B2966">
        <v>0</v>
      </c>
    </row>
    <row r="2967">
      <c r="A2967" t="inlineStr">
        <is>
          <t>Electric motor, max</t>
        </is>
      </c>
      <c r="B2967">
        <v>0</v>
      </c>
    </row>
    <row r="2968">
      <c r="A2968" t="inlineStr">
        <is>
          <t>Combustion engine, mean</t>
        </is>
      </c>
      <c r="B2968">
        <v>1040</v>
      </c>
    </row>
    <row r="2969">
      <c r="A2969" t="inlineStr">
        <is>
          <t>Combustion engine, min</t>
        </is>
      </c>
      <c r="B2969">
        <v>610</v>
      </c>
    </row>
    <row r="2970">
      <c r="A2970" t="inlineStr">
        <is>
          <t>Combustion engine, max</t>
        </is>
      </c>
      <c r="B2970">
        <v>1230</v>
      </c>
    </row>
    <row r="2971">
      <c r="A2971" t="inlineStr">
        <is>
          <t>Fuel tank, mean</t>
        </is>
      </c>
      <c r="B2971">
        <v>123</v>
      </c>
    </row>
    <row r="2972">
      <c r="A2972" t="inlineStr">
        <is>
          <t>Fuel tank, min</t>
        </is>
      </c>
      <c r="B2972">
        <v>77</v>
      </c>
    </row>
    <row r="2973">
      <c r="A2973" t="inlineStr">
        <is>
          <t>Fuel tank, max</t>
        </is>
      </c>
      <c r="B2973">
        <v>155</v>
      </c>
    </row>
    <row r="2974">
      <c r="A2974" t="inlineStr">
        <is>
          <t>Battery capacity, mean</t>
        </is>
      </c>
      <c r="B2974">
        <v>0</v>
      </c>
    </row>
    <row r="2975">
      <c r="A2975" t="inlineStr">
        <is>
          <t>Battery capacity, min</t>
        </is>
      </c>
      <c r="B2975">
        <v>0</v>
      </c>
    </row>
    <row r="2976">
      <c r="A2976" t="inlineStr">
        <is>
          <t>Battery capacity, max</t>
        </is>
      </c>
      <c r="B2976">
        <v>0</v>
      </c>
    </row>
    <row r="2977">
      <c r="A2977" t="inlineStr">
        <is>
          <t>Battery replacement, mean</t>
        </is>
      </c>
      <c r="B2977">
        <v>0</v>
      </c>
    </row>
    <row r="2978">
      <c r="A2978" t="inlineStr">
        <is>
          <t>Battery replacement, min</t>
        </is>
      </c>
      <c r="B2978">
        <v>0</v>
      </c>
    </row>
    <row r="2979">
      <c r="A2979" t="inlineStr">
        <is>
          <t>Battery replacement, max</t>
        </is>
      </c>
      <c r="B2979">
        <v>0</v>
      </c>
    </row>
    <row r="2980">
      <c r="A2980" t="inlineStr">
        <is>
          <t>Fuel cell system, mean</t>
        </is>
      </c>
      <c r="B2980">
        <v>0</v>
      </c>
    </row>
    <row r="2981">
      <c r="A2981" t="inlineStr">
        <is>
          <t>Fuel cell system, min</t>
        </is>
      </c>
      <c r="B2981">
        <v>0</v>
      </c>
    </row>
    <row r="2982">
      <c r="A2982" t="inlineStr">
        <is>
          <t>Fuel cell system, max</t>
        </is>
      </c>
      <c r="B2982">
        <v>0</v>
      </c>
    </row>
    <row r="2983">
      <c r="A2983" t="inlineStr">
        <is>
          <t>Fuel cell stack replacement, mean</t>
        </is>
      </c>
      <c r="B2983">
        <v>0</v>
      </c>
    </row>
    <row r="2984">
      <c r="A2984" t="inlineStr">
        <is>
          <t>Fuel cell replacement, min</t>
        </is>
      </c>
      <c r="B2984">
        <v>0</v>
      </c>
    </row>
    <row r="2985">
      <c r="A2985" t="inlineStr">
        <is>
          <t>Fuel cell replacement, max</t>
        </is>
      </c>
      <c r="B2985">
        <v>0</v>
      </c>
    </row>
    <row r="2986">
      <c r="A2986" t="inlineStr">
        <is>
          <t>Onboard charger mass</t>
        </is>
      </c>
      <c r="B2986">
        <v>0</v>
      </c>
    </row>
    <row r="2987">
      <c r="A2987" t="inlineStr">
        <is>
          <t>Controller mass</t>
        </is>
      </c>
      <c r="B2987">
        <v>0</v>
      </c>
    </row>
    <row r="2988">
      <c r="A2988" t="inlineStr">
        <is>
          <t>Converter mass</t>
        </is>
      </c>
      <c r="B2988">
        <v>0</v>
      </c>
    </row>
    <row r="2989">
      <c r="A2989" t="inlineStr">
        <is>
          <t>Electrical powertrain mass</t>
        </is>
      </c>
      <c r="B2989">
        <v>0</v>
      </c>
    </row>
    <row r="2990">
      <c r="A2990" t="inlineStr">
        <is>
          <t>Inverter mass</t>
        </is>
      </c>
      <c r="B2990">
        <v>0</v>
      </c>
    </row>
    <row r="2991">
      <c r="A2991" t="inlineStr">
        <is>
          <t>NOx</t>
        </is>
      </c>
      <c r="B2991">
        <v>0.030144679</v>
      </c>
    </row>
    <row r="2992">
      <c r="A2992" t="inlineStr">
        <is>
          <t>PM 2.5</t>
        </is>
      </c>
      <c r="B2992">
        <v>0.000406425</v>
      </c>
    </row>
    <row r="2993">
      <c r="A2993" t="inlineStr">
        <is>
          <t>energy use source</t>
        </is>
      </c>
      <c r="B2993"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2.202763490831916e-05}, {"supplier": ["fuel tank assembly, compressed natural gas, 200 bar, carculator regional truck 2020", "fuel tank, compressed natural gas, 200 bar", "RER", "kilogram"], "amount per vehicle": 231.9939575195312, "vehicle per source service": 1.367427797431765e-07, "replacement correction factor": 1.0, "amount per MJ": 2.3228537259892443e-05}, {"supplier": ["gearbox, for lorry, carculator regional truck 2020", "gearbox, for lorry", "RER", "kilogram"], "amount per vehicle": 201.6000061035156, "vehicle per source service": 1.367427797431765e-07, "replacement correction factor": 1.0, "amount per MJ": 2.0185324236196164e-05}, {"supplier": ["internal combustion engine, for lorry, carculator regional truck 2020", "internal combustion engine, for lorry", "RER", "kilogram"], "amount per vehicle": 1250.9306640625, "vehicle per source service": 1.367427797431765e-07, "replacement correction factor": 1.0, "amount per MJ": 0.00012525019983449998}, {"supplier": ["lead acid battery, for lorry, carculator regional truck 2020", "lead acid battery, for lorry", "RER", "kilogram"], "amount per vehicle": 33.41176605224609, "vehicle per source service": 1.367427797431765e-07, "replacement correction factor": 1.0, "amount per MJ": 3.345373564732041e-06}, {"supplier": ["power electronics, for lorry, carculator regional truck 2020", "power electronics, for lorry", "RER", "kilogram"], "amount per vehicle": 265, "vehicle per source service": 1.367427797431765e-07, "replacement correction factor": 1.0, "amount per MJ": 2.6533287503202626e-05}, {"supplier": ["retarder, for lorry, carculator regional truck 2020", "retarder, for lorry", "RER", "kilogram"], "amount per vehicle": 67.19999694824219, "vehicle per source service": 1.367427797431765e-07, "replacement correction factor": 1.0, "amount per MJ": 6.728440902800185e-06}, {"supplier": ["transmission, for lorry, carculator regional truck 2020",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carculator regional truck 2020", "assembly operation, for lorry", "RER", "kilogram"], "amount per vehicle": 15088.69921875,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94">
      <c r="A2994" t="inlineStr">
        <is>
          <t>Exchanges</t>
        </is>
      </c>
    </row>
    <row r="2995">
      <c r="A2995" t="inlineStr">
        <is>
          <t>name</t>
        </is>
      </c>
      <c r="B2995" t="inlineStr">
        <is>
          <t>amount</t>
        </is>
      </c>
      <c r="C2995" t="inlineStr">
        <is>
          <t>location</t>
        </is>
      </c>
      <c r="D2995" t="inlineStr">
        <is>
          <t>unit</t>
        </is>
      </c>
      <c r="E2995" t="inlineStr">
        <is>
          <t>categories</t>
        </is>
      </c>
      <c r="F2995" t="inlineStr">
        <is>
          <t>type</t>
        </is>
      </c>
      <c r="G2995" t="inlineStr">
        <is>
          <t>reference product</t>
        </is>
      </c>
      <c r="H2995" t="inlineStr">
        <is>
          <t>comment</t>
        </is>
      </c>
      <c r="I2995" t="inlineStr">
        <is>
          <t>uncertainty type</t>
        </is>
      </c>
    </row>
    <row r="2996">
      <c r="A2996" t="inlineStr">
        <is>
          <t>biomethane, burned in heavy duty vehicle</t>
        </is>
      </c>
      <c r="B2996">
        <v>1.0</v>
      </c>
      <c r="C2996" t="inlineStr">
        <is>
          <t>RER</t>
        </is>
      </c>
      <c r="D2996" t="inlineStr">
        <is>
          <t>megajoule</t>
        </is>
      </c>
      <c r="F2996" t="inlineStr">
        <is>
          <t>production</t>
        </is>
      </c>
      <c r="G2996" t="inlineStr">
        <is>
          <t>heat</t>
        </is>
      </c>
      <c r="I2996">
        <v>0</v>
      </c>
    </row>
    <row r="2997">
      <c r="A2997" t="inlineStr">
        <is>
          <t>biomethane, gaseous, 5 bar, from sewage sludge fermentation, at fuelling station</t>
        </is>
      </c>
      <c r="B2997">
        <v>0.021052631578947368</v>
      </c>
      <c r="C2997" t="inlineStr">
        <is>
          <t>RER</t>
        </is>
      </c>
      <c r="D2997" t="inlineStr">
        <is>
          <t>kilogram</t>
        </is>
      </c>
      <c r="F2997" t="inlineStr">
        <is>
          <t>technosphere</t>
        </is>
      </c>
      <c r="G2997" t="inlineStr">
        <is>
          <t>biomethane, high pressure</t>
        </is>
      </c>
      <c r="I2997">
        <v>0</v>
      </c>
    </row>
    <row r="2998">
      <c r="A2998" t="inlineStr">
        <is>
          <t>market for tetrafluoroethane, R134a</t>
        </is>
      </c>
      <c r="B2998">
        <v>2.0425624676545975e-07</v>
      </c>
      <c r="C2998" t="inlineStr">
        <is>
          <t>GLO</t>
        </is>
      </c>
      <c r="D2998" t="inlineStr">
        <is>
          <t>kilogram</t>
        </is>
      </c>
      <c r="F2998" t="inlineStr">
        <is>
          <t>technosphere</t>
        </is>
      </c>
      <c r="G2998" t="inlineStr">
        <is>
          <t>tetrafluoroethane, R134a</t>
        </is>
      </c>
      <c r="I2998">
        <v>0</v>
      </c>
    </row>
    <row r="2999">
      <c r="A2999" t="inlineStr">
        <is>
          <t>treatment of brake wear emissions, lorry</t>
        </is>
      </c>
      <c r="B2999">
        <v>-7.486271918383526e-06</v>
      </c>
      <c r="C2999" t="inlineStr">
        <is>
          <t>RER</t>
        </is>
      </c>
      <c r="D2999" t="inlineStr">
        <is>
          <t>kilogram</t>
        </is>
      </c>
      <c r="F2999" t="inlineStr">
        <is>
          <t>technosphere</t>
        </is>
      </c>
      <c r="G2999" t="inlineStr">
        <is>
          <t>brake wear emissions, lorry</t>
        </is>
      </c>
      <c r="I2999">
        <v>0</v>
      </c>
    </row>
    <row r="3000">
      <c r="A3000" t="inlineStr">
        <is>
          <t>treatment of road wear emissions, lorry</t>
        </is>
      </c>
      <c r="B3000">
        <v>-9.441824985264776e-06</v>
      </c>
      <c r="C3000" t="inlineStr">
        <is>
          <t>RER</t>
        </is>
      </c>
      <c r="D3000" t="inlineStr">
        <is>
          <t>kilogram</t>
        </is>
      </c>
      <c r="F3000" t="inlineStr">
        <is>
          <t>technosphere</t>
        </is>
      </c>
      <c r="G3000" t="inlineStr">
        <is>
          <t>road wear emissions, lorry</t>
        </is>
      </c>
      <c r="I3000">
        <v>0</v>
      </c>
    </row>
    <row r="3001">
      <c r="A3001" t="inlineStr">
        <is>
          <t>treatment of tyre wear emissions, lorry</t>
        </is>
      </c>
      <c r="B3001">
        <v>-7.66615520878379e-06</v>
      </c>
      <c r="C3001" t="inlineStr">
        <is>
          <t>RER</t>
        </is>
      </c>
      <c r="D3001" t="inlineStr">
        <is>
          <t>kilogram</t>
        </is>
      </c>
      <c r="F3001" t="inlineStr">
        <is>
          <t>technosphere</t>
        </is>
      </c>
      <c r="G3001" t="inlineStr">
        <is>
          <t>tyre wear emissions, lorry</t>
        </is>
      </c>
      <c r="I3001">
        <v>0</v>
      </c>
    </row>
    <row r="3002">
      <c r="A3002" t="inlineStr">
        <is>
          <t>NMVOC, non-methane volatile organic compounds</t>
        </is>
      </c>
      <c r="B3002">
        <v>7.002805122814972e-07</v>
      </c>
      <c r="D3002" t="inlineStr">
        <is>
          <t>kilogram</t>
        </is>
      </c>
      <c r="E3002" t="inlineStr">
        <is>
          <t>air::non-urban air or from high stacks</t>
        </is>
      </c>
      <c r="F3002" t="inlineStr">
        <is>
          <t>biosphere</t>
        </is>
      </c>
      <c r="I3002">
        <v>0</v>
      </c>
    </row>
    <row r="3003">
      <c r="A3003" t="inlineStr">
        <is>
          <t>Particulate Matter, &lt; 2.5 um</t>
        </is>
      </c>
      <c r="B3003">
        <v>1.107539405371624e-07</v>
      </c>
      <c r="D3003" t="inlineStr">
        <is>
          <t>kilogram</t>
        </is>
      </c>
      <c r="E3003" t="inlineStr">
        <is>
          <t>air::urban air close to ground</t>
        </is>
      </c>
      <c r="F3003" t="inlineStr">
        <is>
          <t>biosphere</t>
        </is>
      </c>
      <c r="I3003">
        <v>0</v>
      </c>
    </row>
    <row r="3004">
      <c r="A3004" t="inlineStr">
        <is>
          <t>Methane, fossil</t>
        </is>
      </c>
      <c r="B3004">
        <v>8.05322854210204e-06</v>
      </c>
      <c r="D3004" t="inlineStr">
        <is>
          <t>kilogram</t>
        </is>
      </c>
      <c r="E3004" t="inlineStr">
        <is>
          <t>air::non-urban air or from high stacks</t>
        </is>
      </c>
      <c r="F3004" t="inlineStr">
        <is>
          <t>biosphere</t>
        </is>
      </c>
      <c r="I3004">
        <v>0</v>
      </c>
    </row>
    <row r="3005">
      <c r="A3005" t="inlineStr">
        <is>
          <t>Nitrogen oxides</t>
        </is>
      </c>
      <c r="B3005">
        <v>2.1930022791785066e-05</v>
      </c>
      <c r="D3005" t="inlineStr">
        <is>
          <t>kilogram</t>
        </is>
      </c>
      <c r="E3005" t="inlineStr">
        <is>
          <t>air::non-urban air or from high stacks</t>
        </is>
      </c>
      <c r="F3005" t="inlineStr">
        <is>
          <t>biosphere</t>
        </is>
      </c>
      <c r="I3005">
        <v>0</v>
      </c>
    </row>
    <row r="3006">
      <c r="A3006" t="inlineStr">
        <is>
          <t>Carbon monoxide, fossil</t>
        </is>
      </c>
      <c r="B3006">
        <v>3.3035310195534865e-05</v>
      </c>
      <c r="D3006" t="inlineStr">
        <is>
          <t>kilogram</t>
        </is>
      </c>
      <c r="E3006" t="inlineStr">
        <is>
          <t>air::non-urban air or from high stacks</t>
        </is>
      </c>
      <c r="F3006" t="inlineStr">
        <is>
          <t>biosphere</t>
        </is>
      </c>
      <c r="I3006">
        <v>0</v>
      </c>
    </row>
    <row r="3007">
      <c r="A3007" t="inlineStr">
        <is>
          <t>Methane, fossil</t>
        </is>
      </c>
      <c r="B3007">
        <v>3.0166182213661613e-06</v>
      </c>
      <c r="D3007" t="inlineStr">
        <is>
          <t>kilogram</t>
        </is>
      </c>
      <c r="E3007" t="inlineStr">
        <is>
          <t>air::urban air close to ground</t>
        </is>
      </c>
      <c r="F3007" t="inlineStr">
        <is>
          <t>biosphere</t>
        </is>
      </c>
      <c r="I3007">
        <v>0</v>
      </c>
    </row>
    <row r="3008">
      <c r="A3008" t="inlineStr">
        <is>
          <t>NMVOC, non-methane volatile organic compounds</t>
        </is>
      </c>
      <c r="B3008">
        <v>2.623145506397058e-07</v>
      </c>
      <c r="D3008" t="inlineStr">
        <is>
          <t>kilogram</t>
        </is>
      </c>
      <c r="E3008" t="inlineStr">
        <is>
          <t>air::urban air close to ground</t>
        </is>
      </c>
      <c r="F3008" t="inlineStr">
        <is>
          <t>biosphere</t>
        </is>
      </c>
      <c r="I3008">
        <v>0</v>
      </c>
    </row>
    <row r="3009">
      <c r="A3009" t="inlineStr">
        <is>
          <t>Nitrogen oxides</t>
        </is>
      </c>
      <c r="B3009">
        <v>8.21465715815002e-06</v>
      </c>
      <c r="D3009" t="inlineStr">
        <is>
          <t>kilogram</t>
        </is>
      </c>
      <c r="E3009" t="inlineStr">
        <is>
          <t>air::urban air close to ground</t>
        </is>
      </c>
      <c r="F3009" t="inlineStr">
        <is>
          <t>biosphere</t>
        </is>
      </c>
      <c r="I3009">
        <v>0</v>
      </c>
    </row>
    <row r="3010">
      <c r="A3010" t="inlineStr">
        <is>
          <t>Carbon monoxide, fossil</t>
        </is>
      </c>
      <c r="B3010">
        <v>1.2374529757351063e-05</v>
      </c>
      <c r="D3010" t="inlineStr">
        <is>
          <t>kilogram</t>
        </is>
      </c>
      <c r="E3010" t="inlineStr">
        <is>
          <t>air::urban air close to ground</t>
        </is>
      </c>
      <c r="F3010" t="inlineStr">
        <is>
          <t>biosphere</t>
        </is>
      </c>
      <c r="I3010">
        <v>0</v>
      </c>
    </row>
    <row r="3011">
      <c r="A3011" t="inlineStr">
        <is>
          <t>Particulate Matter, &lt; 2.5 um</t>
        </is>
      </c>
      <c r="B3011">
        <v>2.9567109392771765e-07</v>
      </c>
      <c r="D3011" t="inlineStr">
        <is>
          <t>kilogram</t>
        </is>
      </c>
      <c r="E3011" t="inlineStr">
        <is>
          <t>air::non-urban air or from high stacks</t>
        </is>
      </c>
      <c r="F3011" t="inlineStr">
        <is>
          <t>biosphere</t>
        </is>
      </c>
      <c r="I3011">
        <v>0</v>
      </c>
    </row>
    <row r="3012">
      <c r="A3012" t="inlineStr">
        <is>
          <t>1,1,1,2-Tetrafluoroethane</t>
        </is>
      </c>
      <c r="B3012">
        <v>9.411808273034042e-08</v>
      </c>
      <c r="D3012" t="inlineStr">
        <is>
          <t>kilogram</t>
        </is>
      </c>
      <c r="E3012" t="inlineStr">
        <is>
          <t>air</t>
        </is>
      </c>
      <c r="F3012" t="inlineStr">
        <is>
          <t>biosphere</t>
        </is>
      </c>
      <c r="I3012">
        <v>0</v>
      </c>
    </row>
    <row r="3013">
      <c r="A3013" t="inlineStr">
        <is>
          <t>exhaust system, for lorry, carculator regional truck 2020</t>
        </is>
      </c>
      <c r="B3013">
        <v>2.202763490831916e-05</v>
      </c>
      <c r="C3013" t="inlineStr">
        <is>
          <t>RER</t>
        </is>
      </c>
      <c r="D3013" t="inlineStr">
        <is>
          <t>kilogram</t>
        </is>
      </c>
      <c r="F3013" t="inlineStr">
        <is>
          <t>technosphere</t>
        </is>
      </c>
      <c r="G3013" t="inlineStr">
        <is>
          <t>exhaust system, for lorry</t>
        </is>
      </c>
      <c r="H3013" t="inlineStr">
        <is>
          <t> Energy-use allocation: 220 * 1.367427797431765e-07 / 1.3657122822630972 MJ per ton kilometer.</t>
        </is>
      </c>
      <c r="I3013">
        <v>0</v>
      </c>
    </row>
    <row r="3014">
      <c r="A3014" t="inlineStr">
        <is>
          <t>fuel tank assembly, compressed natural gas, 200 bar, carculator regional truck 2020</t>
        </is>
      </c>
      <c r="B3014">
        <v>2.3228537259892443e-05</v>
      </c>
      <c r="C3014" t="inlineStr">
        <is>
          <t>RER</t>
        </is>
      </c>
      <c r="D3014" t="inlineStr">
        <is>
          <t>kilogram</t>
        </is>
      </c>
      <c r="F3014" t="inlineStr">
        <is>
          <t>technosphere</t>
        </is>
      </c>
      <c r="G3014" t="inlineStr">
        <is>
          <t>fuel tank, compressed natural gas, 200 bar</t>
        </is>
      </c>
      <c r="H3014" t="inlineStr">
        <is>
          <t> Energy-use allocation: 231.9939575195312 * 1.367427797431765e-07 / 1.3657122822630972 MJ per ton kilometer.</t>
        </is>
      </c>
      <c r="I3014">
        <v>0</v>
      </c>
    </row>
    <row r="3015">
      <c r="A3015" t="inlineStr">
        <is>
          <t>gearbox, for lorry, carculator regional truck 2020</t>
        </is>
      </c>
      <c r="B3015">
        <v>2.0185324236196164e-05</v>
      </c>
      <c r="C3015" t="inlineStr">
        <is>
          <t>RER</t>
        </is>
      </c>
      <c r="D3015" t="inlineStr">
        <is>
          <t>kilogram</t>
        </is>
      </c>
      <c r="F3015" t="inlineStr">
        <is>
          <t>technosphere</t>
        </is>
      </c>
      <c r="G3015" t="inlineStr">
        <is>
          <t>gearbox, for lorry</t>
        </is>
      </c>
      <c r="H3015" t="inlineStr">
        <is>
          <t> Energy-use allocation: 201.6000061035156 * 1.367427797431765e-07 / 1.3657122822630972 MJ per ton kilometer.</t>
        </is>
      </c>
      <c r="I3015">
        <v>0</v>
      </c>
    </row>
    <row r="3016">
      <c r="A3016" t="inlineStr">
        <is>
          <t>internal combustion engine, for lorry, carculator regional truck 2020</t>
        </is>
      </c>
      <c r="B3016">
        <v>0.00012525019983449998</v>
      </c>
      <c r="C3016" t="inlineStr">
        <is>
          <t>RER</t>
        </is>
      </c>
      <c r="D3016" t="inlineStr">
        <is>
          <t>kilogram</t>
        </is>
      </c>
      <c r="F3016" t="inlineStr">
        <is>
          <t>technosphere</t>
        </is>
      </c>
      <c r="G3016" t="inlineStr">
        <is>
          <t>internal combustion engine, for lorry</t>
        </is>
      </c>
      <c r="H3016" t="inlineStr">
        <is>
          <t> Energy-use allocation: 1250.9306640625 * 1.367427797431765e-07 / 1.3657122822630972 MJ per ton kilometer.</t>
        </is>
      </c>
      <c r="I3016">
        <v>0</v>
      </c>
    </row>
    <row r="3017">
      <c r="A3017" t="inlineStr">
        <is>
          <t>lead acid battery, for lorry, carculator regional truck 2020</t>
        </is>
      </c>
      <c r="B3017">
        <v>3.345373564732041e-06</v>
      </c>
      <c r="C3017" t="inlineStr">
        <is>
          <t>RER</t>
        </is>
      </c>
      <c r="D3017" t="inlineStr">
        <is>
          <t>kilogram</t>
        </is>
      </c>
      <c r="F3017" t="inlineStr">
        <is>
          <t>technosphere</t>
        </is>
      </c>
      <c r="G3017" t="inlineStr">
        <is>
          <t>lead acid battery, for lorry</t>
        </is>
      </c>
      <c r="H3017" t="inlineStr">
        <is>
          <t> Energy-use allocation: 33.41176605224609 * 1.367427797431765e-07 / 1.3657122822630972 MJ per ton kilometer.</t>
        </is>
      </c>
      <c r="I3017">
        <v>0</v>
      </c>
    </row>
    <row r="3018">
      <c r="A3018" t="inlineStr">
        <is>
          <t>power electronics, for lorry, carculator regional truck 2020</t>
        </is>
      </c>
      <c r="B3018">
        <v>2.6533287503202626e-05</v>
      </c>
      <c r="C3018" t="inlineStr">
        <is>
          <t>RER</t>
        </is>
      </c>
      <c r="D3018" t="inlineStr">
        <is>
          <t>kilogram</t>
        </is>
      </c>
      <c r="F3018" t="inlineStr">
        <is>
          <t>technosphere</t>
        </is>
      </c>
      <c r="G3018" t="inlineStr">
        <is>
          <t>power electronics, for lorry</t>
        </is>
      </c>
      <c r="H3018" t="inlineStr">
        <is>
          <t> Energy-use allocation: 265 * 1.367427797431765e-07 / 1.3657122822630972 MJ per ton kilometer.</t>
        </is>
      </c>
      <c r="I3018">
        <v>0</v>
      </c>
    </row>
    <row r="3019">
      <c r="A3019" t="inlineStr">
        <is>
          <t>retarder, for lorry, carculator regional truck 2020</t>
        </is>
      </c>
      <c r="B3019">
        <v>6.728440902800185e-06</v>
      </c>
      <c r="C3019" t="inlineStr">
        <is>
          <t>RER</t>
        </is>
      </c>
      <c r="D3019" t="inlineStr">
        <is>
          <t>kilogram</t>
        </is>
      </c>
      <c r="F3019" t="inlineStr">
        <is>
          <t>technosphere</t>
        </is>
      </c>
      <c r="G3019" t="inlineStr">
        <is>
          <t>retarder, for lorry</t>
        </is>
      </c>
      <c r="H3019" t="inlineStr">
        <is>
          <t> Energy-use allocation: 67.19999694824219 * 1.367427797431765e-07 / 1.3657122822630972 MJ per ton kilometer.</t>
        </is>
      </c>
      <c r="I3019">
        <v>0</v>
      </c>
    </row>
    <row r="3020">
      <c r="A3020" t="inlineStr">
        <is>
          <t>transmission, for lorry, carculator regional truck 2020</t>
        </is>
      </c>
      <c r="B3020">
        <v>2.9156576736202266e-05</v>
      </c>
      <c r="C3020" t="inlineStr">
        <is>
          <t>RER</t>
        </is>
      </c>
      <c r="D3020" t="inlineStr">
        <is>
          <t>kilogram</t>
        </is>
      </c>
      <c r="F3020" t="inlineStr">
        <is>
          <t>technosphere</t>
        </is>
      </c>
      <c r="G3020" t="inlineStr">
        <is>
          <t>transmission, for lorry</t>
        </is>
      </c>
      <c r="H3020" t="inlineStr">
        <is>
          <t> Energy-use allocation: 291.1999816894531 * 1.367427797431765e-07 / 1.3657122822630972 MJ per ton kilometer.</t>
        </is>
      </c>
      <c r="I3020">
        <v>0</v>
      </c>
    </row>
    <row r="3021">
      <c r="A3021" t="inlineStr">
        <is>
          <t>Carbon dioxide, non-fossil</t>
        </is>
      </c>
      <c r="B3021">
        <v>0.06</v>
      </c>
      <c r="D3021" t="inlineStr">
        <is>
          <t>kilogram</t>
        </is>
      </c>
      <c r="E3021" t="inlineStr">
        <is>
          <t>air</t>
        </is>
      </c>
      <c r="F3021" t="inlineStr">
        <is>
          <t>biosphere</t>
        </is>
      </c>
      <c r="I3021">
        <v>0</v>
      </c>
    </row>
    <row r="3022"/>
    <row r="3023">
      <c r="A3023" t="inlineStr">
        <is>
          <t>Activity</t>
        </is>
      </c>
      <c r="B3023" t="inlineStr">
        <is>
          <t>compressed gas, burned in heavy duty vehicle</t>
        </is>
      </c>
    </row>
    <row r="3024">
      <c r="A3024" t="inlineStr">
        <is>
          <t>comment</t>
        </is>
      </c>
      <c r="B3024"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25">
      <c r="A3025" t="inlineStr">
        <is>
          <t>description</t>
        </is>
      </c>
      <c r="B302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26">
      <c r="A3026" t="inlineStr">
        <is>
          <t>location</t>
        </is>
      </c>
      <c r="B3026" t="inlineStr">
        <is>
          <t>RER</t>
        </is>
      </c>
    </row>
    <row r="3027">
      <c r="A3027" t="inlineStr">
        <is>
          <t>production amount</t>
        </is>
      </c>
      <c r="B3027">
        <v>1</v>
      </c>
    </row>
    <row r="3028">
      <c r="A3028" t="inlineStr">
        <is>
          <t>reference product</t>
        </is>
      </c>
      <c r="B3028" t="inlineStr">
        <is>
          <t>heat</t>
        </is>
      </c>
    </row>
    <row r="3029">
      <c r="A3029" t="inlineStr">
        <is>
          <t>source</t>
        </is>
      </c>
      <c r="B3029" t="inlineStr">
        <is>
          <t>Sacchi, R., Bauer, C., and Cox, B. Does size matter? The influence of size, load factor, range autonomy and application type on the Life Cycle Assessment of current and future trucks. 2021. Environmental Science and Technology.</t>
        </is>
      </c>
    </row>
    <row r="3030">
      <c r="A3030" t="inlineStr">
        <is>
          <t>type</t>
        </is>
      </c>
      <c r="B3030" t="inlineStr">
        <is>
          <t>process</t>
        </is>
      </c>
    </row>
    <row r="3031">
      <c r="A3031" t="inlineStr">
        <is>
          <t>unit</t>
        </is>
      </c>
      <c r="B3031" t="inlineStr">
        <is>
          <t>megajoule</t>
        </is>
      </c>
    </row>
    <row r="3032">
      <c r="A3032" t="inlineStr">
        <is>
          <t>Power, mean</t>
        </is>
      </c>
      <c r="B3032">
        <v>308</v>
      </c>
    </row>
    <row r="3033">
      <c r="A3033" t="inlineStr">
        <is>
          <t>Power, min</t>
        </is>
      </c>
      <c r="B3033">
        <v>155</v>
      </c>
    </row>
    <row r="3034">
      <c r="A3034" t="inlineStr">
        <is>
          <t>Power, max</t>
        </is>
      </c>
      <c r="B3034">
        <v>485</v>
      </c>
    </row>
    <row r="3035">
      <c r="A3035" t="inlineStr">
        <is>
          <t>Lifetime, mean</t>
        </is>
      </c>
      <c r="B3035">
        <v>1000000</v>
      </c>
    </row>
    <row r="3036">
      <c r="A3036" t="inlineStr">
        <is>
          <t>Lifetime, min</t>
        </is>
      </c>
      <c r="B3036">
        <v>500000</v>
      </c>
    </row>
    <row r="3037">
      <c r="A3037" t="inlineStr">
        <is>
          <t>Lifetime, max</t>
        </is>
      </c>
      <c r="B3037">
        <v>1200000</v>
      </c>
    </row>
    <row r="3038">
      <c r="A3038" t="inlineStr">
        <is>
          <t>Energy use, mean</t>
        </is>
      </c>
      <c r="B3038">
        <v>7530</v>
      </c>
    </row>
    <row r="3039">
      <c r="A3039" t="inlineStr">
        <is>
          <t>Energy use, min</t>
        </is>
      </c>
      <c r="B3039">
        <v>3600</v>
      </c>
    </row>
    <row r="3040">
      <c r="A3040" t="inlineStr">
        <is>
          <t>Energy use, max</t>
        </is>
      </c>
      <c r="B3040">
        <v>10315</v>
      </c>
    </row>
    <row r="3041">
      <c r="A3041" t="inlineStr">
        <is>
          <t>Electric motor, mean</t>
        </is>
      </c>
      <c r="B3041">
        <v>0</v>
      </c>
    </row>
    <row r="3042">
      <c r="A3042" t="inlineStr">
        <is>
          <t>Electric motor, min</t>
        </is>
      </c>
      <c r="B3042">
        <v>0</v>
      </c>
    </row>
    <row r="3043">
      <c r="A3043" t="inlineStr">
        <is>
          <t>Electric motor, max</t>
        </is>
      </c>
      <c r="B3043">
        <v>0</v>
      </c>
    </row>
    <row r="3044">
      <c r="A3044" t="inlineStr">
        <is>
          <t>Combustion engine, mean</t>
        </is>
      </c>
      <c r="B3044">
        <v>1040</v>
      </c>
    </row>
    <row r="3045">
      <c r="A3045" t="inlineStr">
        <is>
          <t>Combustion engine, min</t>
        </is>
      </c>
      <c r="B3045">
        <v>610</v>
      </c>
    </row>
    <row r="3046">
      <c r="A3046" t="inlineStr">
        <is>
          <t>Combustion engine, max</t>
        </is>
      </c>
      <c r="B3046">
        <v>1230</v>
      </c>
    </row>
    <row r="3047">
      <c r="A3047" t="inlineStr">
        <is>
          <t>Fuel tank, mean</t>
        </is>
      </c>
      <c r="B3047">
        <v>123</v>
      </c>
    </row>
    <row r="3048">
      <c r="A3048" t="inlineStr">
        <is>
          <t>Fuel tank, min</t>
        </is>
      </c>
      <c r="B3048">
        <v>77</v>
      </c>
    </row>
    <row r="3049">
      <c r="A3049" t="inlineStr">
        <is>
          <t>Fuel tank, max</t>
        </is>
      </c>
      <c r="B3049">
        <v>155</v>
      </c>
    </row>
    <row r="3050">
      <c r="A3050" t="inlineStr">
        <is>
          <t>Battery capacity, mean</t>
        </is>
      </c>
      <c r="B3050">
        <v>0</v>
      </c>
    </row>
    <row r="3051">
      <c r="A3051" t="inlineStr">
        <is>
          <t>Battery capacity, min</t>
        </is>
      </c>
      <c r="B3051">
        <v>0</v>
      </c>
    </row>
    <row r="3052">
      <c r="A3052" t="inlineStr">
        <is>
          <t>Battery capacity, max</t>
        </is>
      </c>
      <c r="B3052">
        <v>0</v>
      </c>
    </row>
    <row r="3053">
      <c r="A3053" t="inlineStr">
        <is>
          <t>Battery replacement, mean</t>
        </is>
      </c>
      <c r="B3053">
        <v>0</v>
      </c>
    </row>
    <row r="3054">
      <c r="A3054" t="inlineStr">
        <is>
          <t>Battery replacement, min</t>
        </is>
      </c>
      <c r="B3054">
        <v>0</v>
      </c>
    </row>
    <row r="3055">
      <c r="A3055" t="inlineStr">
        <is>
          <t>Battery replacement, max</t>
        </is>
      </c>
      <c r="B3055">
        <v>0</v>
      </c>
    </row>
    <row r="3056">
      <c r="A3056" t="inlineStr">
        <is>
          <t>Fuel cell system, mean</t>
        </is>
      </c>
      <c r="B3056">
        <v>0</v>
      </c>
    </row>
    <row r="3057">
      <c r="A3057" t="inlineStr">
        <is>
          <t>Fuel cell system, min</t>
        </is>
      </c>
      <c r="B3057">
        <v>0</v>
      </c>
    </row>
    <row r="3058">
      <c r="A3058" t="inlineStr">
        <is>
          <t>Fuel cell system, max</t>
        </is>
      </c>
      <c r="B3058">
        <v>0</v>
      </c>
    </row>
    <row r="3059">
      <c r="A3059" t="inlineStr">
        <is>
          <t>Fuel cell stack replacement, mean</t>
        </is>
      </c>
      <c r="B3059">
        <v>0</v>
      </c>
    </row>
    <row r="3060">
      <c r="A3060" t="inlineStr">
        <is>
          <t>Fuel cell replacement, min</t>
        </is>
      </c>
      <c r="B3060">
        <v>0</v>
      </c>
    </row>
    <row r="3061">
      <c r="A3061" t="inlineStr">
        <is>
          <t>Fuel cell replacement, max</t>
        </is>
      </c>
      <c r="B3061">
        <v>0</v>
      </c>
    </row>
    <row r="3062">
      <c r="A3062" t="inlineStr">
        <is>
          <t>Onboard charger mass</t>
        </is>
      </c>
      <c r="B3062">
        <v>0</v>
      </c>
    </row>
    <row r="3063">
      <c r="A3063" t="inlineStr">
        <is>
          <t>Controller mass</t>
        </is>
      </c>
      <c r="B3063">
        <v>0</v>
      </c>
    </row>
    <row r="3064">
      <c r="A3064" t="inlineStr">
        <is>
          <t>Converter mass</t>
        </is>
      </c>
      <c r="B3064">
        <v>0</v>
      </c>
    </row>
    <row r="3065">
      <c r="A3065" t="inlineStr">
        <is>
          <t>Electrical powertrain mass</t>
        </is>
      </c>
      <c r="B3065">
        <v>0</v>
      </c>
    </row>
    <row r="3066">
      <c r="A3066" t="inlineStr">
        <is>
          <t>Inverter mass</t>
        </is>
      </c>
      <c r="B3066">
        <v>0</v>
      </c>
    </row>
    <row r="3067">
      <c r="A3067" t="inlineStr">
        <is>
          <t>NOx</t>
        </is>
      </c>
      <c r="B3067">
        <v>0.030144679</v>
      </c>
    </row>
    <row r="3068">
      <c r="A3068" t="inlineStr">
        <is>
          <t>PM 2.5</t>
        </is>
      </c>
      <c r="B3068">
        <v>0.000406425</v>
      </c>
    </row>
    <row r="3069">
      <c r="A3069" t="inlineStr">
        <is>
          <t>energy use source</t>
        </is>
      </c>
      <c r="B3069"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2.202763490831916e-05}, {"supplier": ["fuel tank assembly, compressed natural gas, 200 bar, carculator regional truck 2020", "fuel tank, compressed natural gas, 200 bar", "RER", "kilogram"], "amount per vehicle": 231.9939575195312, "vehicle per source service": 1.367427797431765e-07, "replacement correction factor": 1.0, "amount per MJ": 2.3228537259892443e-05}, {"supplier": ["gearbox, for lorry, carculator regional truck 2020", "gearbox, for lorry", "RER", "kilogram"], "amount per vehicle": 201.6000061035156, "vehicle per source service": 1.367427797431765e-07, "replacement correction factor": 1.0, "amount per MJ": 2.0185324236196164e-05}, {"supplier": ["internal combustion engine, for lorry, carculator regional truck 2020", "internal combustion engine, for lorry", "RER", "kilogram"], "amount per vehicle": 1250.9306640625, "vehicle per source service": 1.367427797431765e-07, "replacement correction factor": 1.0, "amount per MJ": 0.00012525019983449998}, {"supplier": ["lead acid battery, for lorry, carculator regional truck 2020", "lead acid battery, for lorry", "RER", "kilogram"], "amount per vehicle": 33.41176605224609, "vehicle per source service": 1.367427797431765e-07, "replacement correction factor": 1.0, "amount per MJ": 3.345373564732041e-06}, {"supplier": ["power electronics, for lorry, carculator regional truck 2020", "power electronics, for lorry", "RER", "kilogram"], "amount per vehicle": 265, "vehicle per source service": 1.367427797431765e-07, "replacement correction factor": 1.0, "amount per MJ": 2.6533287503202626e-05}, {"supplier": ["retarder, for lorry, carculator regional truck 2020", "retarder, for lorry", "RER", "kilogram"], "amount per vehicle": 67.19999694824219, "vehicle per source service": 1.367427797431765e-07, "replacement correction factor": 1.0, "amount per MJ": 6.728440902800185e-06}, {"supplier": ["transmission, for lorry, carculator regional truck 2020",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carculator regional truck 2020", "assembly operation, for lorry", "RER", "kilogram"], "amount per vehicle": 15088.69921875,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false}</t>
        </is>
      </c>
    </row>
    <row r="3070">
      <c r="A3070" t="inlineStr">
        <is>
          <t>Exchanges</t>
        </is>
      </c>
    </row>
    <row r="3071">
      <c r="A3071" t="inlineStr">
        <is>
          <t>name</t>
        </is>
      </c>
      <c r="B3071" t="inlineStr">
        <is>
          <t>amount</t>
        </is>
      </c>
      <c r="C3071" t="inlineStr">
        <is>
          <t>location</t>
        </is>
      </c>
      <c r="D3071" t="inlineStr">
        <is>
          <t>unit</t>
        </is>
      </c>
      <c r="E3071" t="inlineStr">
        <is>
          <t>categories</t>
        </is>
      </c>
      <c r="F3071" t="inlineStr">
        <is>
          <t>type</t>
        </is>
      </c>
      <c r="G3071" t="inlineStr">
        <is>
          <t>reference product</t>
        </is>
      </c>
      <c r="H3071" t="inlineStr">
        <is>
          <t>comment</t>
        </is>
      </c>
      <c r="I3071" t="inlineStr">
        <is>
          <t>uncertainty type</t>
        </is>
      </c>
    </row>
    <row r="3072">
      <c r="A3072" t="inlineStr">
        <is>
          <t>compressed gas, burned in heavy duty vehicle</t>
        </is>
      </c>
      <c r="B3072">
        <v>1.0</v>
      </c>
      <c r="C3072" t="inlineStr">
        <is>
          <t>RER</t>
        </is>
      </c>
      <c r="D3072" t="inlineStr">
        <is>
          <t>megajoule</t>
        </is>
      </c>
      <c r="F3072" t="inlineStr">
        <is>
          <t>production</t>
        </is>
      </c>
      <c r="G3072" t="inlineStr">
        <is>
          <t>heat</t>
        </is>
      </c>
      <c r="I3072">
        <v>0</v>
      </c>
    </row>
    <row r="3073">
      <c r="A3073" t="inlineStr">
        <is>
          <t>market for natural gas, medium pressure, vehicle grade</t>
        </is>
      </c>
      <c r="B3073">
        <v>0.021505376344086023</v>
      </c>
      <c r="C3073" t="inlineStr">
        <is>
          <t>GLO</t>
        </is>
      </c>
      <c r="D3073" t="inlineStr">
        <is>
          <t>kilogram</t>
        </is>
      </c>
      <c r="F3073" t="inlineStr">
        <is>
          <t>technosphere</t>
        </is>
      </c>
      <c r="G3073" t="inlineStr">
        <is>
          <t>natural gas, medium pressure, vehicle grade</t>
        </is>
      </c>
      <c r="H3073" t="inlineStr">
        <is>
          <t>Model fuel energy retained: 1.36571228226 MJ/tkm; reference LHV 46.5 MJ/kg. Premise determines regional blends.</t>
        </is>
      </c>
      <c r="I3073">
        <v>0</v>
      </c>
    </row>
    <row r="3074">
      <c r="A3074" t="inlineStr">
        <is>
          <t>market for tetrafluoroethane, R134a</t>
        </is>
      </c>
      <c r="B3074">
        <v>2.0425624676545975e-07</v>
      </c>
      <c r="C3074" t="inlineStr">
        <is>
          <t>GLO</t>
        </is>
      </c>
      <c r="D3074" t="inlineStr">
        <is>
          <t>kilogram</t>
        </is>
      </c>
      <c r="F3074" t="inlineStr">
        <is>
          <t>technosphere</t>
        </is>
      </c>
      <c r="G3074" t="inlineStr">
        <is>
          <t>tetrafluoroethane, R134a</t>
        </is>
      </c>
      <c r="I3074">
        <v>0</v>
      </c>
    </row>
    <row r="3075">
      <c r="A3075" t="inlineStr">
        <is>
          <t>treatment of brake wear emissions, lorry</t>
        </is>
      </c>
      <c r="B3075">
        <v>-7.486271918383526e-06</v>
      </c>
      <c r="C3075" t="inlineStr">
        <is>
          <t>RER</t>
        </is>
      </c>
      <c r="D3075" t="inlineStr">
        <is>
          <t>kilogram</t>
        </is>
      </c>
      <c r="F3075" t="inlineStr">
        <is>
          <t>technosphere</t>
        </is>
      </c>
      <c r="G3075" t="inlineStr">
        <is>
          <t>brake wear emissions, lorry</t>
        </is>
      </c>
      <c r="I3075">
        <v>0</v>
      </c>
    </row>
    <row r="3076">
      <c r="A3076" t="inlineStr">
        <is>
          <t>treatment of road wear emissions, lorry</t>
        </is>
      </c>
      <c r="B3076">
        <v>-9.441824985264776e-06</v>
      </c>
      <c r="C3076" t="inlineStr">
        <is>
          <t>RER</t>
        </is>
      </c>
      <c r="D3076" t="inlineStr">
        <is>
          <t>kilogram</t>
        </is>
      </c>
      <c r="F3076" t="inlineStr">
        <is>
          <t>technosphere</t>
        </is>
      </c>
      <c r="G3076" t="inlineStr">
        <is>
          <t>road wear emissions, lorry</t>
        </is>
      </c>
      <c r="I3076">
        <v>0</v>
      </c>
    </row>
    <row r="3077">
      <c r="A3077" t="inlineStr">
        <is>
          <t>treatment of tyre wear emissions, lorry</t>
        </is>
      </c>
      <c r="B3077">
        <v>-7.66615520878379e-06</v>
      </c>
      <c r="C3077" t="inlineStr">
        <is>
          <t>RER</t>
        </is>
      </c>
      <c r="D3077" t="inlineStr">
        <is>
          <t>kilogram</t>
        </is>
      </c>
      <c r="F3077" t="inlineStr">
        <is>
          <t>technosphere</t>
        </is>
      </c>
      <c r="G3077" t="inlineStr">
        <is>
          <t>tyre wear emissions, lorry</t>
        </is>
      </c>
      <c r="I3077">
        <v>0</v>
      </c>
    </row>
    <row r="3078">
      <c r="A3078" t="inlineStr">
        <is>
          <t>NMVOC, non-methane volatile organic compounds</t>
        </is>
      </c>
      <c r="B3078">
        <v>7.002805122814972e-07</v>
      </c>
      <c r="D3078" t="inlineStr">
        <is>
          <t>kilogram</t>
        </is>
      </c>
      <c r="E3078" t="inlineStr">
        <is>
          <t>air::non-urban air or from high stacks</t>
        </is>
      </c>
      <c r="F3078" t="inlineStr">
        <is>
          <t>biosphere</t>
        </is>
      </c>
      <c r="I3078">
        <v>0</v>
      </c>
    </row>
    <row r="3079">
      <c r="A3079" t="inlineStr">
        <is>
          <t>Particulate Matter, &lt; 2.5 um</t>
        </is>
      </c>
      <c r="B3079">
        <v>1.107539405371624e-07</v>
      </c>
      <c r="D3079" t="inlineStr">
        <is>
          <t>kilogram</t>
        </is>
      </c>
      <c r="E3079" t="inlineStr">
        <is>
          <t>air::urban air close to ground</t>
        </is>
      </c>
      <c r="F3079" t="inlineStr">
        <is>
          <t>biosphere</t>
        </is>
      </c>
      <c r="I3079">
        <v>0</v>
      </c>
    </row>
    <row r="3080">
      <c r="A3080" t="inlineStr">
        <is>
          <t>Methane, fossil</t>
        </is>
      </c>
      <c r="B3080">
        <v>8.05322854210204e-06</v>
      </c>
      <c r="D3080" t="inlineStr">
        <is>
          <t>kilogram</t>
        </is>
      </c>
      <c r="E3080" t="inlineStr">
        <is>
          <t>air::non-urban air or from high stacks</t>
        </is>
      </c>
      <c r="F3080" t="inlineStr">
        <is>
          <t>biosphere</t>
        </is>
      </c>
      <c r="I3080">
        <v>0</v>
      </c>
    </row>
    <row r="3081">
      <c r="A3081" t="inlineStr">
        <is>
          <t>Nitrogen oxides</t>
        </is>
      </c>
      <c r="B3081">
        <v>2.1930022791785066e-05</v>
      </c>
      <c r="D3081" t="inlineStr">
        <is>
          <t>kilogram</t>
        </is>
      </c>
      <c r="E3081" t="inlineStr">
        <is>
          <t>air::non-urban air or from high stacks</t>
        </is>
      </c>
      <c r="F3081" t="inlineStr">
        <is>
          <t>biosphere</t>
        </is>
      </c>
      <c r="I3081">
        <v>0</v>
      </c>
    </row>
    <row r="3082">
      <c r="A3082" t="inlineStr">
        <is>
          <t>Carbon monoxide, fossil</t>
        </is>
      </c>
      <c r="B3082">
        <v>3.3035310195534865e-05</v>
      </c>
      <c r="D3082" t="inlineStr">
        <is>
          <t>kilogram</t>
        </is>
      </c>
      <c r="E3082" t="inlineStr">
        <is>
          <t>air::non-urban air or from high stacks</t>
        </is>
      </c>
      <c r="F3082" t="inlineStr">
        <is>
          <t>biosphere</t>
        </is>
      </c>
      <c r="I3082">
        <v>0</v>
      </c>
    </row>
    <row r="3083">
      <c r="A3083" t="inlineStr">
        <is>
          <t>Methane, fossil</t>
        </is>
      </c>
      <c r="B3083">
        <v>3.0166182213661613e-06</v>
      </c>
      <c r="D3083" t="inlineStr">
        <is>
          <t>kilogram</t>
        </is>
      </c>
      <c r="E3083" t="inlineStr">
        <is>
          <t>air::urban air close to ground</t>
        </is>
      </c>
      <c r="F3083" t="inlineStr">
        <is>
          <t>biosphere</t>
        </is>
      </c>
      <c r="I3083">
        <v>0</v>
      </c>
    </row>
    <row r="3084">
      <c r="A3084" t="inlineStr">
        <is>
          <t>NMVOC, non-methane volatile organic compounds</t>
        </is>
      </c>
      <c r="B3084">
        <v>2.623145506397058e-07</v>
      </c>
      <c r="D3084" t="inlineStr">
        <is>
          <t>kilogram</t>
        </is>
      </c>
      <c r="E3084" t="inlineStr">
        <is>
          <t>air::urban air close to ground</t>
        </is>
      </c>
      <c r="F3084" t="inlineStr">
        <is>
          <t>biosphere</t>
        </is>
      </c>
      <c r="I3084">
        <v>0</v>
      </c>
    </row>
    <row r="3085">
      <c r="A3085" t="inlineStr">
        <is>
          <t>Nitrogen oxides</t>
        </is>
      </c>
      <c r="B3085">
        <v>8.21465715815002e-06</v>
      </c>
      <c r="D3085" t="inlineStr">
        <is>
          <t>kilogram</t>
        </is>
      </c>
      <c r="E3085" t="inlineStr">
        <is>
          <t>air::urban air close to ground</t>
        </is>
      </c>
      <c r="F3085" t="inlineStr">
        <is>
          <t>biosphere</t>
        </is>
      </c>
      <c r="I3085">
        <v>0</v>
      </c>
    </row>
    <row r="3086">
      <c r="A3086" t="inlineStr">
        <is>
          <t>Carbon monoxide, fossil</t>
        </is>
      </c>
      <c r="B3086">
        <v>1.2374529757351063e-05</v>
      </c>
      <c r="D3086" t="inlineStr">
        <is>
          <t>kilogram</t>
        </is>
      </c>
      <c r="E3086" t="inlineStr">
        <is>
          <t>air::urban air close to ground</t>
        </is>
      </c>
      <c r="F3086" t="inlineStr">
        <is>
          <t>biosphere</t>
        </is>
      </c>
      <c r="I3086">
        <v>0</v>
      </c>
    </row>
    <row r="3087">
      <c r="A3087" t="inlineStr">
        <is>
          <t>Particulate Matter, &lt; 2.5 um</t>
        </is>
      </c>
      <c r="B3087">
        <v>2.9567109392771765e-07</v>
      </c>
      <c r="D3087" t="inlineStr">
        <is>
          <t>kilogram</t>
        </is>
      </c>
      <c r="E3087" t="inlineStr">
        <is>
          <t>air::non-urban air or from high stacks</t>
        </is>
      </c>
      <c r="F3087" t="inlineStr">
        <is>
          <t>biosphere</t>
        </is>
      </c>
      <c r="I3087">
        <v>0</v>
      </c>
    </row>
    <row r="3088">
      <c r="A3088" t="inlineStr">
        <is>
          <t>1,1,1,2-Tetrafluoroethane</t>
        </is>
      </c>
      <c r="B3088">
        <v>9.411808273034042e-08</v>
      </c>
      <c r="D3088" t="inlineStr">
        <is>
          <t>kilogram</t>
        </is>
      </c>
      <c r="E3088" t="inlineStr">
        <is>
          <t>air</t>
        </is>
      </c>
      <c r="F3088" t="inlineStr">
        <is>
          <t>biosphere</t>
        </is>
      </c>
      <c r="I3088">
        <v>0</v>
      </c>
    </row>
    <row r="3089">
      <c r="A3089" t="inlineStr">
        <is>
          <t>exhaust system, for lorry, carculator regional truck 2020</t>
        </is>
      </c>
      <c r="B3089">
        <v>2.202763490831916e-05</v>
      </c>
      <c r="C3089" t="inlineStr">
        <is>
          <t>RER</t>
        </is>
      </c>
      <c r="D3089" t="inlineStr">
        <is>
          <t>kilogram</t>
        </is>
      </c>
      <c r="F3089" t="inlineStr">
        <is>
          <t>technosphere</t>
        </is>
      </c>
      <c r="G3089" t="inlineStr">
        <is>
          <t>exhaust system, for lorry</t>
        </is>
      </c>
      <c r="H3089" t="inlineStr">
        <is>
          <t> Energy-use allocation: 220 * 1.367427797431765e-07 / 1.3657122822630972 MJ per ton kilometer.</t>
        </is>
      </c>
      <c r="I3089">
        <v>0</v>
      </c>
    </row>
    <row r="3090">
      <c r="A3090" t="inlineStr">
        <is>
          <t>fuel tank assembly, compressed natural gas, 200 bar, carculator regional truck 2020</t>
        </is>
      </c>
      <c r="B3090">
        <v>2.3228537259892443e-05</v>
      </c>
      <c r="C3090" t="inlineStr">
        <is>
          <t>RER</t>
        </is>
      </c>
      <c r="D3090" t="inlineStr">
        <is>
          <t>kilogram</t>
        </is>
      </c>
      <c r="F3090" t="inlineStr">
        <is>
          <t>technosphere</t>
        </is>
      </c>
      <c r="G3090" t="inlineStr">
        <is>
          <t>fuel tank, compressed natural gas, 200 bar</t>
        </is>
      </c>
      <c r="H3090" t="inlineStr">
        <is>
          <t> Energy-use allocation: 231.9939575195312 * 1.367427797431765e-07 / 1.3657122822630972 MJ per ton kilometer.</t>
        </is>
      </c>
      <c r="I3090">
        <v>0</v>
      </c>
    </row>
    <row r="3091">
      <c r="A3091" t="inlineStr">
        <is>
          <t>gearbox, for lorry, carculator regional truck 2020</t>
        </is>
      </c>
      <c r="B3091">
        <v>2.0185324236196164e-05</v>
      </c>
      <c r="C3091" t="inlineStr">
        <is>
          <t>RER</t>
        </is>
      </c>
      <c r="D3091" t="inlineStr">
        <is>
          <t>kilogram</t>
        </is>
      </c>
      <c r="F3091" t="inlineStr">
        <is>
          <t>technosphere</t>
        </is>
      </c>
      <c r="G3091" t="inlineStr">
        <is>
          <t>gearbox, for lorry</t>
        </is>
      </c>
      <c r="H3091" t="inlineStr">
        <is>
          <t> Energy-use allocation: 201.6000061035156 * 1.367427797431765e-07 / 1.3657122822630972 MJ per ton kilometer.</t>
        </is>
      </c>
      <c r="I3091">
        <v>0</v>
      </c>
    </row>
    <row r="3092">
      <c r="A3092" t="inlineStr">
        <is>
          <t>internal combustion engine, for lorry, carculator regional truck 2020</t>
        </is>
      </c>
      <c r="B3092">
        <v>0.00012525019983449998</v>
      </c>
      <c r="C3092" t="inlineStr">
        <is>
          <t>RER</t>
        </is>
      </c>
      <c r="D3092" t="inlineStr">
        <is>
          <t>kilogram</t>
        </is>
      </c>
      <c r="F3092" t="inlineStr">
        <is>
          <t>technosphere</t>
        </is>
      </c>
      <c r="G3092" t="inlineStr">
        <is>
          <t>internal combustion engine, for lorry</t>
        </is>
      </c>
      <c r="H3092" t="inlineStr">
        <is>
          <t> Energy-use allocation: 1250.9306640625 * 1.367427797431765e-07 / 1.3657122822630972 MJ per ton kilometer.</t>
        </is>
      </c>
      <c r="I3092">
        <v>0</v>
      </c>
    </row>
    <row r="3093">
      <c r="A3093" t="inlineStr">
        <is>
          <t>lead acid battery, for lorry, carculator regional truck 2020</t>
        </is>
      </c>
      <c r="B3093">
        <v>3.345373564732041e-06</v>
      </c>
      <c r="C3093" t="inlineStr">
        <is>
          <t>RER</t>
        </is>
      </c>
      <c r="D3093" t="inlineStr">
        <is>
          <t>kilogram</t>
        </is>
      </c>
      <c r="F3093" t="inlineStr">
        <is>
          <t>technosphere</t>
        </is>
      </c>
      <c r="G3093" t="inlineStr">
        <is>
          <t>lead acid battery, for lorry</t>
        </is>
      </c>
      <c r="H3093" t="inlineStr">
        <is>
          <t> Energy-use allocation: 33.41176605224609 * 1.367427797431765e-07 / 1.3657122822630972 MJ per ton kilometer.</t>
        </is>
      </c>
      <c r="I3093">
        <v>0</v>
      </c>
    </row>
    <row r="3094">
      <c r="A3094" t="inlineStr">
        <is>
          <t>power electronics, for lorry, carculator regional truck 2020</t>
        </is>
      </c>
      <c r="B3094">
        <v>2.6533287503202626e-05</v>
      </c>
      <c r="C3094" t="inlineStr">
        <is>
          <t>RER</t>
        </is>
      </c>
      <c r="D3094" t="inlineStr">
        <is>
          <t>kilogram</t>
        </is>
      </c>
      <c r="F3094" t="inlineStr">
        <is>
          <t>technosphere</t>
        </is>
      </c>
      <c r="G3094" t="inlineStr">
        <is>
          <t>power electronics, for lorry</t>
        </is>
      </c>
      <c r="H3094" t="inlineStr">
        <is>
          <t> Energy-use allocation: 265 * 1.367427797431765e-07 / 1.3657122822630972 MJ per ton kilometer.</t>
        </is>
      </c>
      <c r="I3094">
        <v>0</v>
      </c>
    </row>
    <row r="3095">
      <c r="A3095" t="inlineStr">
        <is>
          <t>retarder, for lorry, carculator regional truck 2020</t>
        </is>
      </c>
      <c r="B3095">
        <v>6.728440902800185e-06</v>
      </c>
      <c r="C3095" t="inlineStr">
        <is>
          <t>RER</t>
        </is>
      </c>
      <c r="D3095" t="inlineStr">
        <is>
          <t>kilogram</t>
        </is>
      </c>
      <c r="F3095" t="inlineStr">
        <is>
          <t>technosphere</t>
        </is>
      </c>
      <c r="G3095" t="inlineStr">
        <is>
          <t>retarder, for lorry</t>
        </is>
      </c>
      <c r="H3095" t="inlineStr">
        <is>
          <t> Energy-use allocation: 67.19999694824219 * 1.367427797431765e-07 / 1.3657122822630972 MJ per ton kilometer.</t>
        </is>
      </c>
      <c r="I3095">
        <v>0</v>
      </c>
    </row>
    <row r="3096">
      <c r="A3096" t="inlineStr">
        <is>
          <t>transmission, for lorry, carculator regional truck 2020</t>
        </is>
      </c>
      <c r="B3096">
        <v>2.9156576736202266e-05</v>
      </c>
      <c r="C3096" t="inlineStr">
        <is>
          <t>RER</t>
        </is>
      </c>
      <c r="D3096" t="inlineStr">
        <is>
          <t>kilogram</t>
        </is>
      </c>
      <c r="F3096" t="inlineStr">
        <is>
          <t>technosphere</t>
        </is>
      </c>
      <c r="G3096" t="inlineStr">
        <is>
          <t>transmission, for lorry</t>
        </is>
      </c>
      <c r="H3096" t="inlineStr">
        <is>
          <t> Energy-use allocation: 291.1999816894531 * 1.367427797431765e-07 / 1.3657122822630972 MJ per ton kilometer.</t>
        </is>
      </c>
      <c r="I3096">
        <v>0</v>
      </c>
    </row>
    <row r="3097">
      <c r="A3097" t="inlineStr">
        <is>
          <t>Carbon dioxide, fossil</t>
        </is>
      </c>
      <c r="B3097">
        <v>0.06</v>
      </c>
      <c r="D3097" t="inlineStr">
        <is>
          <t>kilogram</t>
        </is>
      </c>
      <c r="E3097" t="inlineStr">
        <is>
          <t>air</t>
        </is>
      </c>
      <c r="F3097" t="inlineStr">
        <is>
          <t>biosphere</t>
        </is>
      </c>
      <c r="H3097" t="inlineStr">
        <is>
          <t>Reference-fuel full-oxidation CO2; Premise reclassifies fossil/biogenic carbon with regional blends. Pollutants are separate model estimates, not an elemental closure.</t>
        </is>
      </c>
      <c r="I3097">
        <v>0</v>
      </c>
    </row>
    <row r="3098"/>
    <row r="3099">
      <c r="A3099" t="inlineStr">
        <is>
          <t>Activity</t>
        </is>
      </c>
      <c r="B3099" t="inlineStr">
        <is>
          <t>compressed gas, synthetic, burned in heavy duty vehicle</t>
        </is>
      </c>
    </row>
    <row r="3100">
      <c r="A3100" t="inlineStr">
        <is>
          <t>comment</t>
        </is>
      </c>
      <c r="B310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101">
      <c r="A3101" t="inlineStr">
        <is>
          <t>description</t>
        </is>
      </c>
      <c r="B310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102">
      <c r="A3102" t="inlineStr">
        <is>
          <t>location</t>
        </is>
      </c>
      <c r="B3102" t="inlineStr">
        <is>
          <t>RER</t>
        </is>
      </c>
    </row>
    <row r="3103">
      <c r="A3103" t="inlineStr">
        <is>
          <t>production amount</t>
        </is>
      </c>
      <c r="B3103">
        <v>1</v>
      </c>
    </row>
    <row r="3104">
      <c r="A3104" t="inlineStr">
        <is>
          <t>reference product</t>
        </is>
      </c>
      <c r="B3104" t="inlineStr">
        <is>
          <t>heat</t>
        </is>
      </c>
    </row>
    <row r="3105">
      <c r="A3105" t="inlineStr">
        <is>
          <t>source</t>
        </is>
      </c>
      <c r="B3105" t="inlineStr">
        <is>
          <t>Sacchi, R., Bauer, C., and Cox, B. Does size matter? The influence of size, load factor, range autonomy and application type on the Life Cycle Assessment of current and future trucks. 2021. Environmental Science and Technology.</t>
        </is>
      </c>
    </row>
    <row r="3106">
      <c r="A3106" t="inlineStr">
        <is>
          <t>type</t>
        </is>
      </c>
      <c r="B3106" t="inlineStr">
        <is>
          <t>process</t>
        </is>
      </c>
    </row>
    <row r="3107">
      <c r="A3107" t="inlineStr">
        <is>
          <t>unit</t>
        </is>
      </c>
      <c r="B3107" t="inlineStr">
        <is>
          <t>megajoule</t>
        </is>
      </c>
    </row>
    <row r="3108">
      <c r="A3108" t="inlineStr">
        <is>
          <t>Power, mean</t>
        </is>
      </c>
      <c r="B3108">
        <v>308</v>
      </c>
    </row>
    <row r="3109">
      <c r="A3109" t="inlineStr">
        <is>
          <t>Power, min</t>
        </is>
      </c>
      <c r="B3109">
        <v>155</v>
      </c>
    </row>
    <row r="3110">
      <c r="A3110" t="inlineStr">
        <is>
          <t>Power, max</t>
        </is>
      </c>
      <c r="B3110">
        <v>485</v>
      </c>
    </row>
    <row r="3111">
      <c r="A3111" t="inlineStr">
        <is>
          <t>Lifetime, mean</t>
        </is>
      </c>
      <c r="B3111">
        <v>1000000</v>
      </c>
    </row>
    <row r="3112">
      <c r="A3112" t="inlineStr">
        <is>
          <t>Lifetime, min</t>
        </is>
      </c>
      <c r="B3112">
        <v>500000</v>
      </c>
    </row>
    <row r="3113">
      <c r="A3113" t="inlineStr">
        <is>
          <t>Lifetime, max</t>
        </is>
      </c>
      <c r="B3113">
        <v>1200000</v>
      </c>
    </row>
    <row r="3114">
      <c r="A3114" t="inlineStr">
        <is>
          <t>Energy use, mean</t>
        </is>
      </c>
      <c r="B3114">
        <v>7530</v>
      </c>
    </row>
    <row r="3115">
      <c r="A3115" t="inlineStr">
        <is>
          <t>Energy use, min</t>
        </is>
      </c>
      <c r="B3115">
        <v>3600</v>
      </c>
    </row>
    <row r="3116">
      <c r="A3116" t="inlineStr">
        <is>
          <t>Energy use, max</t>
        </is>
      </c>
      <c r="B3116">
        <v>10315</v>
      </c>
    </row>
    <row r="3117">
      <c r="A3117" t="inlineStr">
        <is>
          <t>Electric motor, mean</t>
        </is>
      </c>
      <c r="B3117">
        <v>0</v>
      </c>
    </row>
    <row r="3118">
      <c r="A3118" t="inlineStr">
        <is>
          <t>Electric motor, min</t>
        </is>
      </c>
      <c r="B3118">
        <v>0</v>
      </c>
    </row>
    <row r="3119">
      <c r="A3119" t="inlineStr">
        <is>
          <t>Electric motor, max</t>
        </is>
      </c>
      <c r="B3119">
        <v>0</v>
      </c>
    </row>
    <row r="3120">
      <c r="A3120" t="inlineStr">
        <is>
          <t>Combustion engine, mean</t>
        </is>
      </c>
      <c r="B3120">
        <v>1040</v>
      </c>
    </row>
    <row r="3121">
      <c r="A3121" t="inlineStr">
        <is>
          <t>Combustion engine, min</t>
        </is>
      </c>
      <c r="B3121">
        <v>610</v>
      </c>
    </row>
    <row r="3122">
      <c r="A3122" t="inlineStr">
        <is>
          <t>Combustion engine, max</t>
        </is>
      </c>
      <c r="B3122">
        <v>1230</v>
      </c>
    </row>
    <row r="3123">
      <c r="A3123" t="inlineStr">
        <is>
          <t>Fuel tank, mean</t>
        </is>
      </c>
      <c r="B3123">
        <v>123</v>
      </c>
    </row>
    <row r="3124">
      <c r="A3124" t="inlineStr">
        <is>
          <t>Fuel tank, min</t>
        </is>
      </c>
      <c r="B3124">
        <v>77</v>
      </c>
    </row>
    <row r="3125">
      <c r="A3125" t="inlineStr">
        <is>
          <t>Fuel tank, max</t>
        </is>
      </c>
      <c r="B3125">
        <v>155</v>
      </c>
    </row>
    <row r="3126">
      <c r="A3126" t="inlineStr">
        <is>
          <t>Battery capacity, mean</t>
        </is>
      </c>
      <c r="B3126">
        <v>0</v>
      </c>
    </row>
    <row r="3127">
      <c r="A3127" t="inlineStr">
        <is>
          <t>Battery capacity, min</t>
        </is>
      </c>
      <c r="B3127">
        <v>0</v>
      </c>
    </row>
    <row r="3128">
      <c r="A3128" t="inlineStr">
        <is>
          <t>Battery capacity, max</t>
        </is>
      </c>
      <c r="B3128">
        <v>0</v>
      </c>
    </row>
    <row r="3129">
      <c r="A3129" t="inlineStr">
        <is>
          <t>Battery replacement, mean</t>
        </is>
      </c>
      <c r="B3129">
        <v>0</v>
      </c>
    </row>
    <row r="3130">
      <c r="A3130" t="inlineStr">
        <is>
          <t>Battery replacement, min</t>
        </is>
      </c>
      <c r="B3130">
        <v>0</v>
      </c>
    </row>
    <row r="3131">
      <c r="A3131" t="inlineStr">
        <is>
          <t>Battery replacement, max</t>
        </is>
      </c>
      <c r="B3131">
        <v>0</v>
      </c>
    </row>
    <row r="3132">
      <c r="A3132" t="inlineStr">
        <is>
          <t>Fuel cell system, mean</t>
        </is>
      </c>
      <c r="B3132">
        <v>0</v>
      </c>
    </row>
    <row r="3133">
      <c r="A3133" t="inlineStr">
        <is>
          <t>Fuel cell system, min</t>
        </is>
      </c>
      <c r="B3133">
        <v>0</v>
      </c>
    </row>
    <row r="3134">
      <c r="A3134" t="inlineStr">
        <is>
          <t>Fuel cell system, max</t>
        </is>
      </c>
      <c r="B3134">
        <v>0</v>
      </c>
    </row>
    <row r="3135">
      <c r="A3135" t="inlineStr">
        <is>
          <t>Fuel cell stack replacement, mean</t>
        </is>
      </c>
      <c r="B3135">
        <v>0</v>
      </c>
    </row>
    <row r="3136">
      <c r="A3136" t="inlineStr">
        <is>
          <t>Fuel cell replacement, min</t>
        </is>
      </c>
      <c r="B3136">
        <v>0</v>
      </c>
    </row>
    <row r="3137">
      <c r="A3137" t="inlineStr">
        <is>
          <t>Fuel cell replacement, max</t>
        </is>
      </c>
      <c r="B3137">
        <v>0</v>
      </c>
    </row>
    <row r="3138">
      <c r="A3138" t="inlineStr">
        <is>
          <t>Onboard charger mass</t>
        </is>
      </c>
      <c r="B3138">
        <v>0</v>
      </c>
    </row>
    <row r="3139">
      <c r="A3139" t="inlineStr">
        <is>
          <t>Controller mass</t>
        </is>
      </c>
      <c r="B3139">
        <v>0</v>
      </c>
    </row>
    <row r="3140">
      <c r="A3140" t="inlineStr">
        <is>
          <t>Converter mass</t>
        </is>
      </c>
      <c r="B3140">
        <v>0</v>
      </c>
    </row>
    <row r="3141">
      <c r="A3141" t="inlineStr">
        <is>
          <t>Electrical powertrain mass</t>
        </is>
      </c>
      <c r="B3141">
        <v>0</v>
      </c>
    </row>
    <row r="3142">
      <c r="A3142" t="inlineStr">
        <is>
          <t>Inverter mass</t>
        </is>
      </c>
      <c r="B3142">
        <v>0</v>
      </c>
    </row>
    <row r="3143">
      <c r="A3143" t="inlineStr">
        <is>
          <t>NOx</t>
        </is>
      </c>
      <c r="B3143">
        <v>0.030144679</v>
      </c>
    </row>
    <row r="3144">
      <c r="A3144" t="inlineStr">
        <is>
          <t>PM 2.5</t>
        </is>
      </c>
      <c r="B3144">
        <v>0.000406425</v>
      </c>
    </row>
    <row r="3145">
      <c r="A3145" t="inlineStr">
        <is>
          <t>energy use source</t>
        </is>
      </c>
      <c r="B314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carculator regional truck 2020", "exhaust system, for lorry", "RER", "kilogram"], "amount per vehicle": 220, "vehicle per source service": 1.367427797431765e-07, "replacement correction factor": 1.0, "amount per MJ": 2.202763490831916e-05}, {"supplier": ["fuel tank assembly, compressed natural gas, 200 bar, carculator regional truck 2020", "fuel tank, compressed natural gas, 200 bar", "RER", "kilogram"], "amount per vehicle": 231.9939575195312, "vehicle per source service": 1.367427797431765e-07, "replacement correction factor": 1.0, "amount per MJ": 2.3228537259892443e-05}, {"supplier": ["gearbox, for lorry, carculator regional truck 2020", "gearbox, for lorry", "RER", "kilogram"], "amount per vehicle": 201.6000061035156, "vehicle per source service": 1.367427797431765e-07, "replacement correction factor": 1.0, "amount per MJ": 2.0185324236196164e-05}, {"supplier": ["internal combustion engine, for lorry, carculator regional truck 2020", "internal combustion engine, for lorry", "RER", "kilogram"], "amount per vehicle": 1250.9306640625, "vehicle per source service": 1.367427797431765e-07, "replacement correction factor": 1.0, "amount per MJ": 0.00012525019983449998}, {"supplier": ["lead acid battery, for lorry, carculator regional truck 2020", "lead acid battery, for lorry", "RER", "kilogram"], "amount per vehicle": 33.41176605224609, "vehicle per source service": 1.367427797431765e-07, "replacement correction factor": 1.0, "amount per MJ": 3.345373564732041e-06}, {"supplier": ["power electronics, for lorry, carculator regional truck 2020", "power electronics, for lorry", "RER", "kilogram"], "amount per vehicle": 265, "vehicle per source service": 1.367427797431765e-07, "replacement correction factor": 1.0, "amount per MJ": 2.6533287503202626e-05}, {"supplier": ["retarder, for lorry, carculator regional truck 2020", "retarder, for lorry", "RER", "kilogram"], "amount per vehicle": 67.19999694824219, "vehicle per source service": 1.367427797431765e-07, "replacement correction factor": 1.0, "amount per MJ": 6.728440902800185e-06}, {"supplier": ["transmission, for lorry, carculator regional truck 2020",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carculator regional truck 2020", "assembly operation, for lorry", "RER", "kilogram"], "amount per vehicle": 15088.69921875, "vehicle per source service": 1.367427797431765e-07}, {"supplier": ["frame, blanks and saddle, for lorry, carculator regional truck 2020", "frame, blanks and saddle, for lorry", "RER", "kilogram"], "amount per vehicle": 5539,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carculator regional truck 2020", "other components, for hybrid electric lorry", "RER", "kilogram"], "amount per vehicle": 1059, "vehicle per source service": 1.367427797431765e-07}, {"supplier": ["suspension, for lorry, carculator regional truck 2020", "suspension, for lorry", "RER", "kilogram"], "amount per vehicle": 3440, "vehicle per source service": 1.367427797431765e-07}, {"supplier": ["tires and wheels, for lorry, carculator regional truck 2020", "tires and wheels, for lorry", "RER", "kilogram"], "amount per vehicle": 1422, "vehicle per source service": 1.367427797431765e-07}, {"supplier": ["maintenance, lorry 40 metric ton", "maintenance, lorry 40 metric ton", "CH", "unit"], "amount per vehicle": 1, "vehicle per source service": 1.367427797431765e-07}, {"supplier": ["treatment of used lorry, 40 metric ton", "used lorry, 40 metric ton", "CH", "unit"], "amount per vehicle": -1,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46">
      <c r="A3146" t="inlineStr">
        <is>
          <t>Exchanges</t>
        </is>
      </c>
    </row>
    <row r="3147">
      <c r="A3147" t="inlineStr">
        <is>
          <t>name</t>
        </is>
      </c>
      <c r="B3147" t="inlineStr">
        <is>
          <t>amount</t>
        </is>
      </c>
      <c r="C3147" t="inlineStr">
        <is>
          <t>location</t>
        </is>
      </c>
      <c r="D3147" t="inlineStr">
        <is>
          <t>unit</t>
        </is>
      </c>
      <c r="E3147" t="inlineStr">
        <is>
          <t>categories</t>
        </is>
      </c>
      <c r="F3147" t="inlineStr">
        <is>
          <t>type</t>
        </is>
      </c>
      <c r="G3147" t="inlineStr">
        <is>
          <t>reference product</t>
        </is>
      </c>
      <c r="H3147" t="inlineStr">
        <is>
          <t>comment</t>
        </is>
      </c>
      <c r="I3147" t="inlineStr">
        <is>
          <t>uncertainty type</t>
        </is>
      </c>
    </row>
    <row r="3148">
      <c r="A3148" t="inlineStr">
        <is>
          <t>compressed gas, synthetic, burned in heavy duty vehicle</t>
        </is>
      </c>
      <c r="B3148">
        <v>1.0</v>
      </c>
      <c r="C3148" t="inlineStr">
        <is>
          <t>RER</t>
        </is>
      </c>
      <c r="D3148" t="inlineStr">
        <is>
          <t>megajoule</t>
        </is>
      </c>
      <c r="F3148" t="inlineStr">
        <is>
          <t>production</t>
        </is>
      </c>
      <c r="G3148" t="inlineStr">
        <is>
          <t>heat</t>
        </is>
      </c>
      <c r="I3148">
        <v>0</v>
      </c>
    </row>
    <row r="3149">
      <c r="A3149" t="inlineStr">
        <is>
          <t>methane, from electrochemical methanation, with carbon from atmosphere, using heat pump heat</t>
        </is>
      </c>
      <c r="B3149">
        <v>0.021052631578947368</v>
      </c>
      <c r="C3149" t="inlineStr">
        <is>
          <t>RER</t>
        </is>
      </c>
      <c r="D3149" t="inlineStr">
        <is>
          <t>kilogram</t>
        </is>
      </c>
      <c r="F3149" t="inlineStr">
        <is>
          <t>technosphere</t>
        </is>
      </c>
      <c r="G3149" t="inlineStr">
        <is>
          <t>methane, from electrochemical methanation</t>
        </is>
      </c>
      <c r="I3149">
        <v>0</v>
      </c>
    </row>
    <row r="3150">
      <c r="A3150" t="inlineStr">
        <is>
          <t>market for tetrafluoroethane, R134a</t>
        </is>
      </c>
      <c r="B3150">
        <v>2.0425624676545975e-07</v>
      </c>
      <c r="C3150" t="inlineStr">
        <is>
          <t>GLO</t>
        </is>
      </c>
      <c r="D3150" t="inlineStr">
        <is>
          <t>kilogram</t>
        </is>
      </c>
      <c r="F3150" t="inlineStr">
        <is>
          <t>technosphere</t>
        </is>
      </c>
      <c r="G3150" t="inlineStr">
        <is>
          <t>tetrafluoroethane, R134a</t>
        </is>
      </c>
      <c r="I3150">
        <v>0</v>
      </c>
    </row>
    <row r="3151">
      <c r="A3151" t="inlineStr">
        <is>
          <t>treatment of brake wear emissions, lorry</t>
        </is>
      </c>
      <c r="B3151">
        <v>-7.486271918383526e-06</v>
      </c>
      <c r="C3151" t="inlineStr">
        <is>
          <t>RER</t>
        </is>
      </c>
      <c r="D3151" t="inlineStr">
        <is>
          <t>kilogram</t>
        </is>
      </c>
      <c r="F3151" t="inlineStr">
        <is>
          <t>technosphere</t>
        </is>
      </c>
      <c r="G3151" t="inlineStr">
        <is>
          <t>brake wear emissions, lorry</t>
        </is>
      </c>
      <c r="I3151">
        <v>0</v>
      </c>
    </row>
    <row r="3152">
      <c r="A3152" t="inlineStr">
        <is>
          <t>treatment of road wear emissions, lorry</t>
        </is>
      </c>
      <c r="B3152">
        <v>-9.441824985264776e-06</v>
      </c>
      <c r="C3152" t="inlineStr">
        <is>
          <t>RER</t>
        </is>
      </c>
      <c r="D3152" t="inlineStr">
        <is>
          <t>kilogram</t>
        </is>
      </c>
      <c r="F3152" t="inlineStr">
        <is>
          <t>technosphere</t>
        </is>
      </c>
      <c r="G3152" t="inlineStr">
        <is>
          <t>road wear emissions, lorry</t>
        </is>
      </c>
      <c r="I3152">
        <v>0</v>
      </c>
    </row>
    <row r="3153">
      <c r="A3153" t="inlineStr">
        <is>
          <t>treatment of tyre wear emissions, lorry</t>
        </is>
      </c>
      <c r="B3153">
        <v>-7.66615520878379e-06</v>
      </c>
      <c r="C3153" t="inlineStr">
        <is>
          <t>RER</t>
        </is>
      </c>
      <c r="D3153" t="inlineStr">
        <is>
          <t>kilogram</t>
        </is>
      </c>
      <c r="F3153" t="inlineStr">
        <is>
          <t>technosphere</t>
        </is>
      </c>
      <c r="G3153" t="inlineStr">
        <is>
          <t>tyre wear emissions, lorry</t>
        </is>
      </c>
      <c r="I3153">
        <v>0</v>
      </c>
    </row>
    <row r="3154">
      <c r="A3154" t="inlineStr">
        <is>
          <t>NMVOC, non-methane volatile organic compounds</t>
        </is>
      </c>
      <c r="B3154">
        <v>7.002805122814972e-07</v>
      </c>
      <c r="D3154" t="inlineStr">
        <is>
          <t>kilogram</t>
        </is>
      </c>
      <c r="E3154" t="inlineStr">
        <is>
          <t>air::non-urban air or from high stacks</t>
        </is>
      </c>
      <c r="F3154" t="inlineStr">
        <is>
          <t>biosphere</t>
        </is>
      </c>
      <c r="I3154">
        <v>0</v>
      </c>
    </row>
    <row r="3155">
      <c r="A3155" t="inlineStr">
        <is>
          <t>Particulate Matter, &lt; 2.5 um</t>
        </is>
      </c>
      <c r="B3155">
        <v>1.107539405371624e-07</v>
      </c>
      <c r="D3155" t="inlineStr">
        <is>
          <t>kilogram</t>
        </is>
      </c>
      <c r="E3155" t="inlineStr">
        <is>
          <t>air::urban air close to ground</t>
        </is>
      </c>
      <c r="F3155" t="inlineStr">
        <is>
          <t>biosphere</t>
        </is>
      </c>
      <c r="I3155">
        <v>0</v>
      </c>
    </row>
    <row r="3156">
      <c r="A3156" t="inlineStr">
        <is>
          <t>Methane, fossil</t>
        </is>
      </c>
      <c r="B3156">
        <v>8.05322854210204e-06</v>
      </c>
      <c r="D3156" t="inlineStr">
        <is>
          <t>kilogram</t>
        </is>
      </c>
      <c r="E3156" t="inlineStr">
        <is>
          <t>air::non-urban air or from high stacks</t>
        </is>
      </c>
      <c r="F3156" t="inlineStr">
        <is>
          <t>biosphere</t>
        </is>
      </c>
      <c r="I3156">
        <v>0</v>
      </c>
    </row>
    <row r="3157">
      <c r="A3157" t="inlineStr">
        <is>
          <t>Nitrogen oxides</t>
        </is>
      </c>
      <c r="B3157">
        <v>2.1930022791785066e-05</v>
      </c>
      <c r="D3157" t="inlineStr">
        <is>
          <t>kilogram</t>
        </is>
      </c>
      <c r="E3157" t="inlineStr">
        <is>
          <t>air::non-urban air or from high stacks</t>
        </is>
      </c>
      <c r="F3157" t="inlineStr">
        <is>
          <t>biosphere</t>
        </is>
      </c>
      <c r="I3157">
        <v>0</v>
      </c>
    </row>
    <row r="3158">
      <c r="A3158" t="inlineStr">
        <is>
          <t>Carbon monoxide, fossil</t>
        </is>
      </c>
      <c r="B3158">
        <v>3.3035310195534865e-05</v>
      </c>
      <c r="D3158" t="inlineStr">
        <is>
          <t>kilogram</t>
        </is>
      </c>
      <c r="E3158" t="inlineStr">
        <is>
          <t>air::non-urban air or from high stacks</t>
        </is>
      </c>
      <c r="F3158" t="inlineStr">
        <is>
          <t>biosphere</t>
        </is>
      </c>
      <c r="I3158">
        <v>0</v>
      </c>
    </row>
    <row r="3159">
      <c r="A3159" t="inlineStr">
        <is>
          <t>Methane, fossil</t>
        </is>
      </c>
      <c r="B3159">
        <v>3.0166182213661613e-06</v>
      </c>
      <c r="D3159" t="inlineStr">
        <is>
          <t>kilogram</t>
        </is>
      </c>
      <c r="E3159" t="inlineStr">
        <is>
          <t>air::urban air close to ground</t>
        </is>
      </c>
      <c r="F3159" t="inlineStr">
        <is>
          <t>biosphere</t>
        </is>
      </c>
      <c r="I3159">
        <v>0</v>
      </c>
    </row>
    <row r="3160">
      <c r="A3160" t="inlineStr">
        <is>
          <t>NMVOC, non-methane volatile organic compounds</t>
        </is>
      </c>
      <c r="B3160">
        <v>2.623145506397058e-07</v>
      </c>
      <c r="D3160" t="inlineStr">
        <is>
          <t>kilogram</t>
        </is>
      </c>
      <c r="E3160" t="inlineStr">
        <is>
          <t>air::urban air close to ground</t>
        </is>
      </c>
      <c r="F3160" t="inlineStr">
        <is>
          <t>biosphere</t>
        </is>
      </c>
      <c r="I3160">
        <v>0</v>
      </c>
    </row>
    <row r="3161">
      <c r="A3161" t="inlineStr">
        <is>
          <t>Nitrogen oxides</t>
        </is>
      </c>
      <c r="B3161">
        <v>8.21465715815002e-06</v>
      </c>
      <c r="D3161" t="inlineStr">
        <is>
          <t>kilogram</t>
        </is>
      </c>
      <c r="E3161" t="inlineStr">
        <is>
          <t>air::urban air close to ground</t>
        </is>
      </c>
      <c r="F3161" t="inlineStr">
        <is>
          <t>biosphere</t>
        </is>
      </c>
      <c r="I3161">
        <v>0</v>
      </c>
    </row>
    <row r="3162">
      <c r="A3162" t="inlineStr">
        <is>
          <t>Carbon monoxide, fossil</t>
        </is>
      </c>
      <c r="B3162">
        <v>1.2374529757351063e-05</v>
      </c>
      <c r="D3162" t="inlineStr">
        <is>
          <t>kilogram</t>
        </is>
      </c>
      <c r="E3162" t="inlineStr">
        <is>
          <t>air::urban air close to ground</t>
        </is>
      </c>
      <c r="F3162" t="inlineStr">
        <is>
          <t>biosphere</t>
        </is>
      </c>
      <c r="I3162">
        <v>0</v>
      </c>
    </row>
    <row r="3163">
      <c r="A3163" t="inlineStr">
        <is>
          <t>Particulate Matter, &lt; 2.5 um</t>
        </is>
      </c>
      <c r="B3163">
        <v>2.9567109392771765e-07</v>
      </c>
      <c r="D3163" t="inlineStr">
        <is>
          <t>kilogram</t>
        </is>
      </c>
      <c r="E3163" t="inlineStr">
        <is>
          <t>air::non-urban air or from high stacks</t>
        </is>
      </c>
      <c r="F3163" t="inlineStr">
        <is>
          <t>biosphere</t>
        </is>
      </c>
      <c r="I3163">
        <v>0</v>
      </c>
    </row>
    <row r="3164">
      <c r="A3164" t="inlineStr">
        <is>
          <t>1,1,1,2-Tetrafluoroethane</t>
        </is>
      </c>
      <c r="B3164">
        <v>9.411808273034042e-08</v>
      </c>
      <c r="D3164" t="inlineStr">
        <is>
          <t>kilogram</t>
        </is>
      </c>
      <c r="E3164" t="inlineStr">
        <is>
          <t>air</t>
        </is>
      </c>
      <c r="F3164" t="inlineStr">
        <is>
          <t>biosphere</t>
        </is>
      </c>
      <c r="I3164">
        <v>0</v>
      </c>
    </row>
    <row r="3165">
      <c r="A3165" t="inlineStr">
        <is>
          <t>exhaust system, for lorry, carculator regional truck 2020</t>
        </is>
      </c>
      <c r="B3165">
        <v>2.202763490831916e-05</v>
      </c>
      <c r="C3165" t="inlineStr">
        <is>
          <t>RER</t>
        </is>
      </c>
      <c r="D3165" t="inlineStr">
        <is>
          <t>kilogram</t>
        </is>
      </c>
      <c r="F3165" t="inlineStr">
        <is>
          <t>technosphere</t>
        </is>
      </c>
      <c r="G3165" t="inlineStr">
        <is>
          <t>exhaust system, for lorry</t>
        </is>
      </c>
      <c r="H3165" t="inlineStr">
        <is>
          <t> Energy-use allocation: 220 * 1.367427797431765e-07 / 1.3657122822630972 MJ per ton kilometer.</t>
        </is>
      </c>
      <c r="I3165">
        <v>0</v>
      </c>
    </row>
    <row r="3166">
      <c r="A3166" t="inlineStr">
        <is>
          <t>fuel tank assembly, compressed natural gas, 200 bar, carculator regional truck 2020</t>
        </is>
      </c>
      <c r="B3166">
        <v>2.3228537259892443e-05</v>
      </c>
      <c r="C3166" t="inlineStr">
        <is>
          <t>RER</t>
        </is>
      </c>
      <c r="D3166" t="inlineStr">
        <is>
          <t>kilogram</t>
        </is>
      </c>
      <c r="F3166" t="inlineStr">
        <is>
          <t>technosphere</t>
        </is>
      </c>
      <c r="G3166" t="inlineStr">
        <is>
          <t>fuel tank, compressed natural gas, 200 bar</t>
        </is>
      </c>
      <c r="H3166" t="inlineStr">
        <is>
          <t> Energy-use allocation: 231.9939575195312 * 1.367427797431765e-07 / 1.3657122822630972 MJ per ton kilometer.</t>
        </is>
      </c>
      <c r="I3166">
        <v>0</v>
      </c>
    </row>
    <row r="3167">
      <c r="A3167" t="inlineStr">
        <is>
          <t>gearbox, for lorry, carculator regional truck 2020</t>
        </is>
      </c>
      <c r="B3167">
        <v>2.0185324236196164e-05</v>
      </c>
      <c r="C3167" t="inlineStr">
        <is>
          <t>RER</t>
        </is>
      </c>
      <c r="D3167" t="inlineStr">
        <is>
          <t>kilogram</t>
        </is>
      </c>
      <c r="F3167" t="inlineStr">
        <is>
          <t>technosphere</t>
        </is>
      </c>
      <c r="G3167" t="inlineStr">
        <is>
          <t>gearbox, for lorry</t>
        </is>
      </c>
      <c r="H3167" t="inlineStr">
        <is>
          <t> Energy-use allocation: 201.6000061035156 * 1.367427797431765e-07 / 1.3657122822630972 MJ per ton kilometer.</t>
        </is>
      </c>
      <c r="I3167">
        <v>0</v>
      </c>
    </row>
    <row r="3168">
      <c r="A3168" t="inlineStr">
        <is>
          <t>internal combustion engine, for lorry, carculator regional truck 2020</t>
        </is>
      </c>
      <c r="B3168">
        <v>0.00012525019983449998</v>
      </c>
      <c r="C3168" t="inlineStr">
        <is>
          <t>RER</t>
        </is>
      </c>
      <c r="D3168" t="inlineStr">
        <is>
          <t>kilogram</t>
        </is>
      </c>
      <c r="F3168" t="inlineStr">
        <is>
          <t>technosphere</t>
        </is>
      </c>
      <c r="G3168" t="inlineStr">
        <is>
          <t>internal combustion engine, for lorry</t>
        </is>
      </c>
      <c r="H3168" t="inlineStr">
        <is>
          <t> Energy-use allocation: 1250.9306640625 * 1.367427797431765e-07 / 1.3657122822630972 MJ per ton kilometer.</t>
        </is>
      </c>
      <c r="I3168">
        <v>0</v>
      </c>
    </row>
    <row r="3169">
      <c r="A3169" t="inlineStr">
        <is>
          <t>lead acid battery, for lorry, carculator regional truck 2020</t>
        </is>
      </c>
      <c r="B3169">
        <v>3.345373564732041e-06</v>
      </c>
      <c r="C3169" t="inlineStr">
        <is>
          <t>RER</t>
        </is>
      </c>
      <c r="D3169" t="inlineStr">
        <is>
          <t>kilogram</t>
        </is>
      </c>
      <c r="F3169" t="inlineStr">
        <is>
          <t>technosphere</t>
        </is>
      </c>
      <c r="G3169" t="inlineStr">
        <is>
          <t>lead acid battery, for lorry</t>
        </is>
      </c>
      <c r="H3169" t="inlineStr">
        <is>
          <t> Energy-use allocation: 33.41176605224609 * 1.367427797431765e-07 / 1.3657122822630972 MJ per ton kilometer.</t>
        </is>
      </c>
      <c r="I3169">
        <v>0</v>
      </c>
    </row>
    <row r="3170">
      <c r="A3170" t="inlineStr">
        <is>
          <t>power electronics, for lorry, carculator regional truck 2020</t>
        </is>
      </c>
      <c r="B3170">
        <v>2.6533287503202626e-05</v>
      </c>
      <c r="C3170" t="inlineStr">
        <is>
          <t>RER</t>
        </is>
      </c>
      <c r="D3170" t="inlineStr">
        <is>
          <t>kilogram</t>
        </is>
      </c>
      <c r="F3170" t="inlineStr">
        <is>
          <t>technosphere</t>
        </is>
      </c>
      <c r="G3170" t="inlineStr">
        <is>
          <t>power electronics, for lorry</t>
        </is>
      </c>
      <c r="H3170" t="inlineStr">
        <is>
          <t> Energy-use allocation: 265 * 1.367427797431765e-07 / 1.3657122822630972 MJ per ton kilometer.</t>
        </is>
      </c>
      <c r="I3170">
        <v>0</v>
      </c>
    </row>
    <row r="3171">
      <c r="A3171" t="inlineStr">
        <is>
          <t>retarder, for lorry, carculator regional truck 2020</t>
        </is>
      </c>
      <c r="B3171">
        <v>6.728440902800185e-06</v>
      </c>
      <c r="C3171" t="inlineStr">
        <is>
          <t>RER</t>
        </is>
      </c>
      <c r="D3171" t="inlineStr">
        <is>
          <t>kilogram</t>
        </is>
      </c>
      <c r="F3171" t="inlineStr">
        <is>
          <t>technosphere</t>
        </is>
      </c>
      <c r="G3171" t="inlineStr">
        <is>
          <t>retarder, for lorry</t>
        </is>
      </c>
      <c r="H3171" t="inlineStr">
        <is>
          <t> Energy-use allocation: 67.19999694824219 * 1.367427797431765e-07 / 1.3657122822630972 MJ per ton kilometer.</t>
        </is>
      </c>
      <c r="I3171">
        <v>0</v>
      </c>
    </row>
    <row r="3172">
      <c r="A3172" t="inlineStr">
        <is>
          <t>transmission, for lorry, carculator regional truck 2020</t>
        </is>
      </c>
      <c r="B3172">
        <v>2.9156576736202266e-05</v>
      </c>
      <c r="C3172" t="inlineStr">
        <is>
          <t>RER</t>
        </is>
      </c>
      <c r="D3172" t="inlineStr">
        <is>
          <t>kilogram</t>
        </is>
      </c>
      <c r="F3172" t="inlineStr">
        <is>
          <t>technosphere</t>
        </is>
      </c>
      <c r="G3172" t="inlineStr">
        <is>
          <t>transmission, for lorry</t>
        </is>
      </c>
      <c r="H3172" t="inlineStr">
        <is>
          <t> Energy-use allocation: 291.1999816894531 * 1.367427797431765e-07 / 1.3657122822630972 MJ per ton kilometer.</t>
        </is>
      </c>
      <c r="I3172">
        <v>0</v>
      </c>
    </row>
    <row r="3173">
      <c r="A3173" t="inlineStr">
        <is>
          <t>Carbon dioxide, non-fossil</t>
        </is>
      </c>
      <c r="B3173">
        <v>0.06</v>
      </c>
      <c r="D3173" t="inlineStr">
        <is>
          <t>kilogram</t>
        </is>
      </c>
      <c r="E3173" t="inlineStr">
        <is>
          <t>air</t>
        </is>
      </c>
      <c r="F3173" t="inlineStr">
        <is>
          <t>biosphere</t>
        </is>
      </c>
      <c r="I3173">
        <v>0</v>
      </c>
    </row>
    <row r="3174"/>
    <row r="3175" spans="1:12" ns3:dyDescent="0.2">
      <c r="A3175" s="17" t="s">
        <v>2</v>
      </c>
      <c r="B3175" s="17" t="s">
        <v>95</v>
      </c>
    </row>
    <row r="3176" spans="1:12" customFormat="1" ht="16" ns3:dyDescent="0.2">
      <c r="A3176" s="2" t="s">
        <v>3</v>
      </c>
      <c r="B3176" s="2" t="s">
        <v>18</v>
      </c>
      <c r="C3176" s="2"/>
      <c r="D3176" s="2"/>
      <c r="E3176" s="2"/>
      <c r="F3176" s="2"/>
      <c r="G3176" s="2"/>
      <c r="H3176" s="2"/>
      <c r="I3176" s="2"/>
      <c r="J3176" s="2"/>
      <c r="K3176" s="2"/>
      <c r="L3176" s="2"/>
    </row>
    <row r="3177" spans="1:12" customFormat="1" ht="16" ns3:dyDescent="0.2">
      <c r="A3177" s="2" t="s">
        <v>4</v>
      </c>
      <c r="B3177" s="2">
        <v>1</v>
      </c>
      <c r="C3177" s="2"/>
      <c r="D3177" s="2"/>
      <c r="E3177" s="2"/>
      <c r="F3177" s="2"/>
      <c r="G3177" s="2"/>
      <c r="H3177" s="2"/>
      <c r="I3177" s="2"/>
      <c r="J3177" s="2"/>
      <c r="K3177" s="2"/>
      <c r="L3177" s="2"/>
    </row>
    <row r="3178" spans="1:12" customFormat="1" ht="16" ns3:dyDescent="0.2">
      <c r="A3178" s="2" t="s">
        <v>5</v>
      </c>
      <c r="B3178" s="2" t="s">
        <v>1</v>
      </c>
      <c r="C3178" s="2"/>
      <c r="D3178" s="2"/>
      <c r="E3178" s="2"/>
      <c r="F3178" s="2"/>
      <c r="G3178" s="2"/>
      <c r="H3178" s="2"/>
      <c r="I3178" s="2"/>
      <c r="J3178" s="2"/>
    </row>
    <row r="3179" spans="1:12" customFormat="1" ht="16" ns3:dyDescent="0.2">
      <c r="A3179" s="2" t="s">
        <v>6</v>
      </c>
      <c r="B3179" s="2" t="s">
        <v>7</v>
      </c>
      <c r="C3179" s="2"/>
      <c r="D3179" s="2"/>
      <c r="E3179" s="2"/>
      <c r="F3179" s="2"/>
      <c r="G3179" s="2"/>
      <c r="H3179" s="2"/>
      <c r="I3179" s="2"/>
      <c r="J3179" s="2"/>
      <c r="K3179" s="2"/>
      <c r="L3179" s="2"/>
    </row>
    <row r="3180" spans="1:12" customFormat="1" ht="16" ns3:dyDescent="0.2">
      <c r="A3180" s="2" t="s">
        <v>8</v>
      </c>
      <c r="B3180" s="2" t="s">
        <v>17</v>
      </c>
      <c r="C3180" s="2"/>
      <c r="D3180" s="2"/>
      <c r="E3180" s="2"/>
      <c r="F3180" s="2"/>
      <c r="G3180" s="2"/>
      <c r="H3180" s="2"/>
      <c r="I3180" s="2"/>
      <c r="J3180" s="2"/>
      <c r="K3180" s="2"/>
      <c r="L3180" s="2"/>
    </row>
    <row r="3181" spans="1:12" customFormat="1" ht="16" ns3:dyDescent="0.2">
      <c r="A3181" s="1" t="s">
        <v>10</v>
      </c>
      <c r="B3181" s="2"/>
      <c r="C3181" s="2"/>
      <c r="D3181" s="2"/>
      <c r="E3181" s="2"/>
      <c r="F3181" s="2"/>
      <c r="G3181" s="2"/>
      <c r="H3181" s="2"/>
      <c r="I3181" s="2"/>
      <c r="J3181" s="2"/>
      <c r="K3181" s="2"/>
      <c r="L3181" s="2"/>
    </row>
    <row r="3182" spans="1:12" ns3:dyDescent="0.2">
      <c r="A3182" s="17" t="s">
        <v>11</v>
      </c>
      <c r="B3182" s="17" t="s">
        <v>12</v>
      </c>
      <c r="C3182" s="17" t="s">
        <v>3</v>
      </c>
      <c r="D3182" s="17" t="s">
        <v>13</v>
      </c>
      <c r="E3182" s="17" t="s">
        <v>8</v>
      </c>
      <c r="F3182" s="17" t="s">
        <v>6</v>
      </c>
      <c r="G3182" s="17" t="s">
        <v>5</v>
      </c>
      <c r="H3182" s="17"/>
      <c r="J3182" s="17"/>
      <c r="K3182" s="17"/>
    </row>
    <row r="3183" spans="1:12" customFormat="1" ht="16" ns3:dyDescent="0.2">
      <c r="A3183" s="2" t="str">
        <f>B3175</f>
        <v>kerosene, burned in aircraft</v>
      </c>
      <c r="B3183" s="2">
        <v>1</v>
      </c>
      <c r="C3183" s="2" t="str">
        <f>B3176</f>
        <v>RER</v>
      </c>
      <c r="D3183" s="2"/>
      <c r="E3183" s="2" t="str">
        <f>B3180</f>
        <v>megajoule</v>
      </c>
      <c r="F3183" s="2" t="s">
        <v>19</v>
      </c>
      <c r="G3183" s="2" t="str">
        <f>B3178</f>
        <v>heat</v>
      </c>
      <c r="H3183" s="2"/>
      <c r="I3183" s="2"/>
      <c r="J3183" s="2"/>
      <c r="K3183" s="2"/>
      <c r="L3183" s="2"/>
    </row>
    <row r="3184" spans="1:12" customFormat="1" ht="16" ns3:dyDescent="0.2">
      <c r="A3184" t="s">
        <v>96</v>
      </c>
      <c r="B3184">
        <f>1/43</f>
        <v>2.3255813953488372E-2</v>
      </c>
      <c r="C3184" t="s">
        <v>27</v>
      </c>
      <c r="E3184" t="s">
        <v>9</v>
      </c>
      <c r="F3184" t="s">
        <v>23</v>
      </c>
      <c r="G3184" t="s">
        <v>97</v>
      </c>
      <c r="I3184" s="2"/>
    </row>
    <row r="3185" spans="1:12" customFormat="1" ht="16" ns3:dyDescent="0.2">
      <c r="A3185" t="s">
        <v>52</v>
      </c>
      <c r="B3185" s="3">
        <v>2.1198518564846293E-10</v>
      </c>
      <c r="D3185" t="s">
        <v>99</v>
      </c>
      <c r="E3185" t="s">
        <v>9</v>
      </c>
      <c r="F3185" s="2" t="s">
        <v>15</v>
      </c>
      <c r="I3185" s="2"/>
    </row>
    <row r="3186" spans="1:12" customFormat="1" ht="16" ns3:dyDescent="0.2">
      <c r="A3186" t="s">
        <v>52</v>
      </c>
      <c r="B3186" s="3">
        <v>2.0573376279857471E-11</v>
      </c>
      <c r="D3186" t="s">
        <v>100</v>
      </c>
      <c r="E3186" t="s">
        <v>9</v>
      </c>
      <c r="F3186" s="2" t="s">
        <v>15</v>
      </c>
      <c r="I3186" s="2"/>
    </row>
    <row r="3187" spans="1:12" customFormat="1" ht="16" ns3:dyDescent="0.2">
      <c r="A3187" t="s">
        <v>53</v>
      </c>
      <c r="B3187" s="30">
        <v>6.6068583902493483E-2</v>
      </c>
      <c r="D3187" t="s">
        <v>99</v>
      </c>
      <c r="E3187" t="s">
        <v>9</v>
      </c>
      <c r="F3187" s="2" t="s">
        <v>15</v>
      </c>
      <c r="I3187" s="2"/>
    </row>
    <row r="3188" spans="1:12" customFormat="1" ht="16" ns3:dyDescent="0.2">
      <c r="A3188" t="s">
        <v>53</v>
      </c>
      <c r="B3188" s="30">
        <v>6.4120361938797945E-3</v>
      </c>
      <c r="D3188" t="s">
        <v>100</v>
      </c>
      <c r="E3188" t="s">
        <v>9</v>
      </c>
      <c r="F3188" s="2" t="s">
        <v>15</v>
      </c>
      <c r="I3188" s="2"/>
    </row>
    <row r="3189" spans="1:12" customFormat="1" ht="16" ns3:dyDescent="0.2">
      <c r="A3189" t="s">
        <v>54</v>
      </c>
      <c r="B3189" s="3">
        <v>4.9620580872355555E-5</v>
      </c>
      <c r="D3189" t="s">
        <v>99</v>
      </c>
      <c r="E3189" t="s">
        <v>9</v>
      </c>
      <c r="F3189" s="2" t="s">
        <v>15</v>
      </c>
      <c r="I3189" s="2"/>
    </row>
    <row r="3190" spans="1:9" customFormat="1" ht="16" ns3:dyDescent="0.2">
      <c r="A3190" t="s">
        <v>54</v>
      </c>
      <c r="B3190" s="3">
        <v>4.8157339611827094E-6</v>
      </c>
      <c r="D3190" t="s">
        <v>100</v>
      </c>
      <c r="E3190" t="s">
        <v>9</v>
      </c>
      <c r="F3190" s="2" t="s">
        <v>15</v>
      </c>
      <c r="I3190" s="2"/>
    </row>
    <row r="3191" spans="1:9" customFormat="1" ht="16" ns3:dyDescent="0.2">
      <c r="A3191" t="s">
        <v>55</v>
      </c>
      <c r="B3191" s="3">
        <v>1.0599259282423148E-9</v>
      </c>
      <c r="D3191" t="s">
        <v>99</v>
      </c>
      <c r="E3191" t="s">
        <v>9</v>
      </c>
      <c r="F3191" s="2" t="s">
        <v>15</v>
      </c>
      <c r="I3191" s="2"/>
    </row>
    <row r="3192" spans="1:9" customFormat="1" ht="16" ns3:dyDescent="0.2">
      <c r="A3192" t="s">
        <v>55</v>
      </c>
      <c r="B3192" s="3">
        <v>1.0286688139928735E-10</v>
      </c>
      <c r="D3192" t="s">
        <v>100</v>
      </c>
      <c r="E3192" t="s">
        <v>9</v>
      </c>
      <c r="F3192" s="2" t="s">
        <v>15</v>
      </c>
      <c r="I3192" s="2"/>
    </row>
    <row r="3193" spans="1:9" customFormat="1" ht="16" ns3:dyDescent="0.2">
      <c r="A3193" t="s">
        <v>57</v>
      </c>
      <c r="B3193" s="3">
        <v>3.6037375961879753E-8</v>
      </c>
      <c r="D3193" t="s">
        <v>99</v>
      </c>
      <c r="E3193" t="s">
        <v>9</v>
      </c>
      <c r="F3193" s="2" t="s">
        <v>15</v>
      </c>
      <c r="I3193" s="2"/>
    </row>
    <row r="3194" spans="1:9" customFormat="1" ht="16" ns3:dyDescent="0.2">
      <c r="A3194" t="s">
        <v>57</v>
      </c>
      <c r="B3194" s="3">
        <v>3.4974704476304713E-9</v>
      </c>
      <c r="D3194" t="s">
        <v>100</v>
      </c>
      <c r="E3194" t="s">
        <v>9</v>
      </c>
      <c r="F3194" s="2" t="s">
        <v>15</v>
      </c>
      <c r="I3194" s="2"/>
    </row>
    <row r="3195" spans="1:9" customFormat="1" ht="16" ns3:dyDescent="0.2">
      <c r="A3195" t="s">
        <v>63</v>
      </c>
      <c r="B3195" s="3">
        <v>4.2396949131060127E-7</v>
      </c>
      <c r="D3195" t="s">
        <v>99</v>
      </c>
      <c r="E3195" t="s">
        <v>9</v>
      </c>
      <c r="F3195" s="2" t="s">
        <v>15</v>
      </c>
      <c r="I3195" s="2"/>
    </row>
    <row r="3196" spans="1:9" customFormat="1" ht="16" ns3:dyDescent="0.2">
      <c r="A3196" t="s">
        <v>63</v>
      </c>
      <c r="B3196" s="3">
        <v>4.1146752559714943E-8</v>
      </c>
      <c r="D3196" t="s">
        <v>100</v>
      </c>
      <c r="E3196" t="s">
        <v>9</v>
      </c>
      <c r="F3196" s="2" t="s">
        <v>15</v>
      </c>
      <c r="I3196" s="2"/>
    </row>
    <row r="3197" spans="1:9" customFormat="1" ht="16" ns3:dyDescent="0.2">
      <c r="A3197" t="s">
        <v>64</v>
      </c>
      <c r="B3197" s="3">
        <v>1.4838945395665915E-12</v>
      </c>
      <c r="D3197" t="s">
        <v>99</v>
      </c>
      <c r="E3197" t="s">
        <v>9</v>
      </c>
      <c r="F3197" s="2" t="s">
        <v>15</v>
      </c>
      <c r="I3197" s="2"/>
    </row>
    <row r="3198" spans="1:9" customFormat="1" ht="16" ns3:dyDescent="0.2">
      <c r="A3198" t="s">
        <v>64</v>
      </c>
      <c r="B3198" s="3">
        <v>1.4401328196447244E-13</v>
      </c>
      <c r="D3198" t="s">
        <v>100</v>
      </c>
      <c r="E3198" t="s">
        <v>9</v>
      </c>
      <c r="F3198" s="2" t="s">
        <v>15</v>
      </c>
      <c r="I3198" s="2"/>
    </row>
    <row r="3199" spans="1:9" customFormat="1" ht="16" ns3:dyDescent="0.2">
      <c r="A3199" t="s">
        <v>67</v>
      </c>
      <c r="B3199" s="3">
        <v>4.9290146007471967E-6</v>
      </c>
      <c r="D3199" t="s">
        <v>99</v>
      </c>
      <c r="E3199" t="s">
        <v>9</v>
      </c>
      <c r="F3199" s="2" t="s">
        <v>15</v>
      </c>
      <c r="I3199" s="2"/>
    </row>
    <row r="3200" spans="1:9" customFormat="1" ht="16" ns3:dyDescent="0.2">
      <c r="A3200" t="s">
        <v>67</v>
      </c>
      <c r="B3200" s="3">
        <v>4.7836672595146453E-7</v>
      </c>
      <c r="D3200" t="s">
        <v>100</v>
      </c>
      <c r="E3200" t="s">
        <v>9</v>
      </c>
      <c r="F3200" s="2" t="s">
        <v>15</v>
      </c>
      <c r="I3200" s="2"/>
    </row>
    <row r="3201" spans="1:9" customFormat="1" ht="16" ns3:dyDescent="0.2">
      <c r="A3201" t="s">
        <v>68</v>
      </c>
      <c r="B3201" s="3">
        <v>1.4838945395665916E-9</v>
      </c>
      <c r="D3201" t="s">
        <v>99</v>
      </c>
      <c r="E3201" t="s">
        <v>9</v>
      </c>
      <c r="F3201" s="2" t="s">
        <v>15</v>
      </c>
      <c r="I3201" s="2"/>
    </row>
    <row r="3202" spans="1:9" customFormat="1" ht="16" ns3:dyDescent="0.2">
      <c r="A3202" t="s">
        <v>68</v>
      </c>
      <c r="B3202" s="3">
        <v>1.4401328196447246E-10</v>
      </c>
      <c r="D3202" t="s">
        <v>100</v>
      </c>
      <c r="E3202" t="s">
        <v>9</v>
      </c>
      <c r="F3202" s="2" t="s">
        <v>15</v>
      </c>
      <c r="I3202" s="2"/>
    </row>
    <row r="3203" spans="1:9" customFormat="1" ht="16" ns3:dyDescent="0.2">
      <c r="A3203" t="s">
        <v>69</v>
      </c>
      <c r="B3203" s="9">
        <v>3.0006653682198702E-4</v>
      </c>
      <c r="D3203" t="s">
        <v>99</v>
      </c>
      <c r="E3203" t="s">
        <v>9</v>
      </c>
      <c r="F3203" s="2" t="s">
        <v>15</v>
      </c>
      <c r="I3203" s="2"/>
    </row>
    <row r="3204" spans="1:9" customFormat="1" ht="16" ns3:dyDescent="0.2">
      <c r="A3204" t="s">
        <v>69</v>
      </c>
      <c r="B3204" s="3">
        <v>2.9121827432823326E-5</v>
      </c>
      <c r="D3204" t="s">
        <v>100</v>
      </c>
      <c r="E3204" t="s">
        <v>9</v>
      </c>
      <c r="F3204" s="2" t="s">
        <v>15</v>
      </c>
      <c r="I3204" s="2"/>
    </row>
    <row r="3205" spans="1:9" customFormat="1" ht="16" ns3:dyDescent="0.2">
      <c r="A3205" t="s">
        <v>71</v>
      </c>
      <c r="B3205" s="3">
        <v>3.8963858482936672E-6</v>
      </c>
      <c r="D3205" t="s">
        <v>99</v>
      </c>
      <c r="E3205" t="s">
        <v>9</v>
      </c>
      <c r="F3205" s="2" t="s">
        <v>15</v>
      </c>
      <c r="I3205" s="2"/>
    </row>
    <row r="3206" spans="1:12" customFormat="1" ht="16" ns3:dyDescent="0.2">
      <c r="A3206" t="s">
        <v>71</v>
      </c>
      <c r="B3206" s="3">
        <v>3.7814860338919342E-7</v>
      </c>
      <c r="D3206" t="s">
        <v>100</v>
      </c>
      <c r="E3206" t="s">
        <v>9</v>
      </c>
      <c r="F3206" s="2" t="s">
        <v>15</v>
      </c>
      <c r="I3206" s="2"/>
    </row>
    <row r="3207" spans="1:12" customFormat="1" ht="16" ns3:dyDescent="0.2">
      <c r="A3207" t="s">
        <v>75</v>
      </c>
      <c r="B3207" s="3">
        <v>2.1198518564846293E-10</v>
      </c>
      <c r="D3207" t="s">
        <v>99</v>
      </c>
      <c r="E3207" t="s">
        <v>9</v>
      </c>
      <c r="F3207" s="2" t="s">
        <v>15</v>
      </c>
      <c r="I3207" s="2"/>
    </row>
    <row r="3208" spans="1:12" customFormat="1" ht="16" ns3:dyDescent="0.2">
      <c r="A3208" t="s">
        <v>75</v>
      </c>
      <c r="B3208" s="3">
        <v>2.0573376279857471E-11</v>
      </c>
      <c r="D3208" t="s">
        <v>100</v>
      </c>
      <c r="E3208" t="s">
        <v>9</v>
      </c>
      <c r="F3208" s="2" t="s">
        <v>15</v>
      </c>
      <c r="I3208" s="2"/>
    </row>
    <row r="3209" spans="1:12" customFormat="1" ht="16" ns3:dyDescent="0.2">
      <c r="A3209" t="s">
        <v>77</v>
      </c>
      <c r="B3209" s="3">
        <v>1.7806699275346112E-5</v>
      </c>
      <c r="D3209" t="s">
        <v>99</v>
      </c>
      <c r="E3209" t="s">
        <v>9</v>
      </c>
      <c r="F3209" s="2" t="s">
        <v>15</v>
      </c>
      <c r="I3209" s="2"/>
    </row>
    <row r="3210" spans="1:12" customFormat="1" ht="16" ns3:dyDescent="0.2">
      <c r="A3210" t="s">
        <v>77</v>
      </c>
      <c r="B3210" s="3">
        <v>1.7281611435463185E-6</v>
      </c>
      <c r="D3210" t="s">
        <v>100</v>
      </c>
      <c r="E3210" t="s">
        <v>9</v>
      </c>
      <c r="F3210" s="2" t="s">
        <v>15</v>
      </c>
      <c r="I3210" s="2"/>
    </row>
    <row r="3211" spans="1:12" customFormat="1" ht="16" ns3:dyDescent="0.2">
      <c r="A3211" t="s">
        <v>98</v>
      </c>
      <c r="B3211" s="3">
        <v>1.6219731937580282E-7</v>
      </c>
      <c r="D3211" t="s">
        <v>99</v>
      </c>
      <c r="E3211" s="2" t="s">
        <v>94</v>
      </c>
      <c r="F3211" s="2" t="s">
        <v>15</v>
      </c>
      <c r="I3211" s="2"/>
    </row>
    <row r="3212" spans="1:12" customFormat="1" ht="16" ns3:dyDescent="0.2">
      <c r="A3212" t="s">
        <v>98</v>
      </c>
      <c r="B3212" s="3">
        <v>1.574145937016555E-8</v>
      </c>
      <c r="D3212" t="s">
        <v>100</v>
      </c>
      <c r="E3212" s="2" t="s">
        <v>94</v>
      </c>
      <c r="F3212" s="2" t="s">
        <v>15</v>
      </c>
      <c r="I3212" s="2"/>
    </row>
    <row r="3213" spans="1:12" customFormat="1" ht="16" ns3:dyDescent="0.2">
      <c r="A3213" t="s">
        <v>79</v>
      </c>
      <c r="B3213" s="3">
        <v>2.1198518564846295E-7</v>
      </c>
      <c r="D3213" t="s">
        <v>99</v>
      </c>
      <c r="E3213" t="s">
        <v>9</v>
      </c>
      <c r="F3213" s="2" t="s">
        <v>15</v>
      </c>
      <c r="I3213" s="2"/>
    </row>
    <row r="3214" spans="1:12" customFormat="1" ht="16" ns3:dyDescent="0.2">
      <c r="A3214" t="s">
        <v>79</v>
      </c>
      <c r="B3214" s="3">
        <v>2.0573376279857471E-8</v>
      </c>
      <c r="D3214" t="s">
        <v>100</v>
      </c>
      <c r="E3214" t="s">
        <v>9</v>
      </c>
      <c r="F3214" s="2" t="s">
        <v>15</v>
      </c>
      <c r="I3214" s="2"/>
    </row>
    <row r="3215" spans="1:12" customFormat="1" ht="16" ns3:dyDescent="0.2"/>
    <row r="3216" spans="1:12" ns3:dyDescent="0.2">
      <c r="A3216" s="17" t="s">
        <v>2</v>
      </c>
      <c r="B3216" s="17" t="s">
        <v>301</v>
      </c>
    </row>
    <row r="3217" spans="1:12" customFormat="1" ht="16" ns3:dyDescent="0.2">
      <c r="A3217" s="2" t="s">
        <v>3</v>
      </c>
      <c r="B3217" s="2" t="s">
        <v>18</v>
      </c>
      <c r="C3217" s="2"/>
      <c r="D3217" s="2"/>
      <c r="E3217" s="2"/>
      <c r="F3217" s="2"/>
      <c r="G3217" s="2"/>
      <c r="H3217" s="2"/>
      <c r="I3217" s="2"/>
      <c r="J3217" s="2"/>
      <c r="K3217" s="2"/>
      <c r="L3217" s="2"/>
    </row>
    <row r="3218" spans="1:12" customFormat="1" ht="16" ns3:dyDescent="0.2">
      <c r="A3218" s="2" t="s">
        <v>4</v>
      </c>
      <c r="B3218" s="2">
        <v>1</v>
      </c>
      <c r="C3218" s="2"/>
      <c r="D3218" s="2"/>
      <c r="E3218" s="2"/>
      <c r="F3218" s="2"/>
      <c r="G3218" s="2"/>
      <c r="H3218" s="2"/>
      <c r="I3218" s="2"/>
      <c r="J3218" s="2"/>
      <c r="K3218" s="2"/>
      <c r="L3218" s="2"/>
    </row>
    <row r="3219" spans="1:12" customFormat="1" ht="16" ns3:dyDescent="0.2">
      <c r="A3219" s="2" t="s">
        <v>5</v>
      </c>
      <c r="B3219" s="2" t="s">
        <v>1</v>
      </c>
      <c r="C3219" s="2"/>
      <c r="D3219" s="2"/>
      <c r="E3219" s="2"/>
      <c r="F3219" s="2"/>
      <c r="G3219" s="2"/>
      <c r="H3219" s="2"/>
      <c r="I3219" s="2"/>
      <c r="J3219" s="2"/>
    </row>
    <row r="3220" spans="1:12" customFormat="1" ht="16" ns3:dyDescent="0.2">
      <c r="A3220" s="2" t="s">
        <v>6</v>
      </c>
      <c r="B3220" s="2" t="s">
        <v>7</v>
      </c>
      <c r="C3220" s="2"/>
      <c r="D3220" s="2"/>
      <c r="E3220" s="2"/>
      <c r="F3220" s="2"/>
      <c r="G3220" s="2"/>
      <c r="H3220" s="2"/>
      <c r="I3220" s="2"/>
      <c r="J3220" s="2"/>
      <c r="K3220" s="2"/>
      <c r="L3220" s="2"/>
    </row>
    <row r="3221" spans="1:12" customFormat="1" ht="16" ns3:dyDescent="0.2">
      <c r="A3221" s="2" t="s">
        <v>8</v>
      </c>
      <c r="B3221" s="2" t="s">
        <v>17</v>
      </c>
      <c r="C3221" s="2"/>
      <c r="D3221" s="2"/>
      <c r="E3221" s="2"/>
      <c r="F3221" s="2"/>
      <c r="G3221" s="2"/>
      <c r="H3221" s="2"/>
      <c r="I3221" s="2"/>
      <c r="J3221" s="2"/>
      <c r="K3221" s="2"/>
      <c r="L3221" s="2"/>
    </row>
    <row r="3222" spans="1:12" customFormat="1" ht="16" ns3:dyDescent="0.2">
      <c r="A3222" s="1" t="s">
        <v>10</v>
      </c>
      <c r="B3222" s="2"/>
      <c r="C3222" s="2"/>
      <c r="D3222" s="2"/>
      <c r="E3222" s="2"/>
      <c r="F3222" s="2"/>
      <c r="G3222" s="2"/>
      <c r="H3222" s="2"/>
      <c r="I3222" s="2"/>
      <c r="J3222" s="2"/>
      <c r="K3222" s="2"/>
      <c r="L3222" s="2"/>
    </row>
    <row r="3223" spans="1:12" ns3:dyDescent="0.2">
      <c r="A3223" s="17" t="s">
        <v>11</v>
      </c>
      <c r="B3223" s="17" t="s">
        <v>12</v>
      </c>
      <c r="C3223" s="17" t="s">
        <v>3</v>
      </c>
      <c r="D3223" s="17" t="s">
        <v>13</v>
      </c>
      <c r="E3223" s="17" t="s">
        <v>8</v>
      </c>
      <c r="F3223" s="17" t="s">
        <v>6</v>
      </c>
      <c r="G3223" s="17" t="s">
        <v>5</v>
      </c>
      <c r="H3223" s="17"/>
      <c r="J3223" s="17"/>
      <c r="K3223" s="17"/>
    </row>
    <row r="3224" spans="1:12" customFormat="1" ht="16" ns3:dyDescent="0.2">
      <c r="A3224" s="2" t="str">
        <f>B3216</f>
        <v>kerosene, from biomass, burned in aircraft</v>
      </c>
      <c r="B3224" s="2">
        <v>1</v>
      </c>
      <c r="C3224" s="2" t="str">
        <f>B3217</f>
        <v>RER</v>
      </c>
      <c r="D3224" s="2"/>
      <c r="E3224" s="2" t="str">
        <f>B3221</f>
        <v>megajoule</v>
      </c>
      <c r="F3224" s="2" t="s">
        <v>19</v>
      </c>
      <c r="G3224" s="2" t="str">
        <f>B3219</f>
        <v>heat</v>
      </c>
      <c r="H3224" s="2"/>
      <c r="I3224" s="2"/>
      <c r="J3224" s="2"/>
      <c r="K3224" s="2"/>
      <c r="L3224" s="2"/>
    </row>
    <row r="3225" spans="1:12" customFormat="1" ht="16" ns3:dyDescent="0.2">
      <c r="A3225" t="s">
        <v>129</v>
      </c>
      <c r="B3225">
        <f>1/43</f>
        <v>2.3255813953488372E-2</v>
      </c>
      <c r="C3225" t="s">
        <v>18</v>
      </c>
      <c r="E3225" t="s">
        <v>9</v>
      </c>
      <c r="F3225" t="s">
        <v>23</v>
      </c>
      <c r="G3225" t="s">
        <v>130</v>
      </c>
      <c r="I3225" s="2"/>
    </row>
    <row r="3226" spans="1:12" customFormat="1" ht="16" ns3:dyDescent="0.2">
      <c r="A3226" t="s">
        <v>52</v>
      </c>
      <c r="B3226" s="3">
        <v>2.1198518564846293E-10</v>
      </c>
      <c r="D3226" t="s">
        <v>99</v>
      </c>
      <c r="E3226" t="s">
        <v>9</v>
      </c>
      <c r="F3226" s="2" t="s">
        <v>15</v>
      </c>
      <c r="I3226" s="2"/>
    </row>
    <row r="3227" spans="1:12" customFormat="1" ht="16" ns3:dyDescent="0.2">
      <c r="A3227" t="s">
        <v>52</v>
      </c>
      <c r="B3227" s="3">
        <v>2.0573376279857471E-11</v>
      </c>
      <c r="D3227" t="s">
        <v>100</v>
      </c>
      <c r="E3227" t="s">
        <v>9</v>
      </c>
      <c r="F3227" s="2" t="s">
        <v>15</v>
      </c>
      <c r="I3227" s="2"/>
    </row>
    <row r="3228" spans="1:12" customFormat="1" ht="16" ns3:dyDescent="0.2">
      <c r="A3228" t="s">
        <v>122</v>
      </c>
      <c r="B3228" s="25">
        <f>0.0660685839024935+0.00641203619387979</f>
        <v>7.2480620096373294E-2</v>
      </c>
      <c r="D3228" t="s">
        <v>116</v>
      </c>
      <c r="E3228" t="s">
        <v>9</v>
      </c>
      <c r="F3228" s="2" t="s">
        <v>15</v>
      </c>
      <c r="I3228" s="2"/>
    </row>
    <row r="3229" spans="1:12" customFormat="1" ht="16" ns3:dyDescent="0.2">
      <c r="A3229" t="s">
        <v>123</v>
      </c>
      <c r="B3229" s="3">
        <f>0.0000496205808723556+4.81573396118271E-06</f>
        <v>5.4436314833538314E-5</v>
      </c>
      <c r="D3229" t="s">
        <v>116</v>
      </c>
      <c r="E3229" t="s">
        <v>9</v>
      </c>
      <c r="F3229" s="2" t="s">
        <v>15</v>
      </c>
      <c r="I3229" s="2"/>
    </row>
    <row r="3230" spans="1:12" customFormat="1" ht="16" ns3:dyDescent="0.2">
      <c r="A3230" t="s">
        <v>55</v>
      </c>
      <c r="B3230" s="3">
        <v>1.0599259282423148E-9</v>
      </c>
      <c r="D3230" t="s">
        <v>99</v>
      </c>
      <c r="E3230" t="s">
        <v>9</v>
      </c>
      <c r="F3230" s="2" t="s">
        <v>15</v>
      </c>
      <c r="I3230" s="2"/>
    </row>
    <row r="3231" spans="1:12" customFormat="1" ht="16" ns3:dyDescent="0.2">
      <c r="A3231" t="s">
        <v>55</v>
      </c>
      <c r="B3231" s="3">
        <v>1.0286688139928735E-10</v>
      </c>
      <c r="D3231" t="s">
        <v>100</v>
      </c>
      <c r="E3231" t="s">
        <v>9</v>
      </c>
      <c r="F3231" s="2" t="s">
        <v>15</v>
      </c>
      <c r="I3231" s="2"/>
    </row>
    <row r="3232" spans="1:12" customFormat="1" ht="16" ns3:dyDescent="0.2">
      <c r="A3232" t="s">
        <v>57</v>
      </c>
      <c r="B3232" s="3">
        <v>3.6037375961879753E-8</v>
      </c>
      <c r="D3232" t="s">
        <v>99</v>
      </c>
      <c r="E3232" t="s">
        <v>9</v>
      </c>
      <c r="F3232" s="2" t="s">
        <v>15</v>
      </c>
      <c r="I3232" s="2"/>
    </row>
    <row r="3233" spans="1:12" customFormat="1" ht="16" ns3:dyDescent="0.2">
      <c r="A3233" t="s">
        <v>57</v>
      </c>
      <c r="B3233" s="3">
        <v>3.4974704476304713E-9</v>
      </c>
      <c r="D3233" t="s">
        <v>100</v>
      </c>
      <c r="E3233" t="s">
        <v>9</v>
      </c>
      <c r="F3233" s="2" t="s">
        <v>15</v>
      </c>
      <c r="I3233" s="2"/>
    </row>
    <row r="3234" spans="1:12" customFormat="1" ht="16" ns3:dyDescent="0.2">
      <c r="A3234" t="s">
        <v>63</v>
      </c>
      <c r="B3234" s="3">
        <v>4.2396949131060127E-7</v>
      </c>
      <c r="D3234" t="s">
        <v>99</v>
      </c>
      <c r="E3234" t="s">
        <v>9</v>
      </c>
      <c r="F3234" s="2" t="s">
        <v>15</v>
      </c>
      <c r="I3234" s="2"/>
    </row>
    <row r="3235" spans="1:12" customFormat="1" ht="16" ns3:dyDescent="0.2">
      <c r="A3235" t="s">
        <v>63</v>
      </c>
      <c r="B3235" s="3">
        <v>4.1146752559714943E-8</v>
      </c>
      <c r="D3235" t="s">
        <v>100</v>
      </c>
      <c r="E3235" t="s">
        <v>9</v>
      </c>
      <c r="F3235" s="2" t="s">
        <v>15</v>
      </c>
      <c r="I3235" s="2"/>
    </row>
    <row r="3236" spans="1:12" customFormat="1" ht="16" ns3:dyDescent="0.2">
      <c r="A3236" t="s">
        <v>64</v>
      </c>
      <c r="B3236" s="3">
        <v>1.4838945395665915E-12</v>
      </c>
      <c r="D3236" t="s">
        <v>99</v>
      </c>
      <c r="E3236" t="s">
        <v>9</v>
      </c>
      <c r="F3236" s="2" t="s">
        <v>15</v>
      </c>
      <c r="I3236" s="2"/>
    </row>
    <row r="3237" spans="1:12" customFormat="1" ht="16" ns3:dyDescent="0.2">
      <c r="A3237" t="s">
        <v>64</v>
      </c>
      <c r="B3237" s="3">
        <v>1.4401328196447244E-13</v>
      </c>
      <c r="D3237" t="s">
        <v>100</v>
      </c>
      <c r="E3237" t="s">
        <v>9</v>
      </c>
      <c r="F3237" s="2" t="s">
        <v>15</v>
      </c>
      <c r="I3237" s="2"/>
    </row>
    <row r="3238" spans="1:9" customFormat="1" ht="16" ns3:dyDescent="0.2">
      <c r="A3238" t="s">
        <v>67</v>
      </c>
      <c r="B3238" s="3">
        <v>4.9290146007471967E-6</v>
      </c>
      <c r="D3238" t="s">
        <v>99</v>
      </c>
      <c r="E3238" t="s">
        <v>9</v>
      </c>
      <c r="F3238" s="2" t="s">
        <v>15</v>
      </c>
      <c r="I3238" s="2"/>
    </row>
    <row r="3239" spans="1:9" customFormat="1" ht="16" ns3:dyDescent="0.2">
      <c r="A3239" t="s">
        <v>67</v>
      </c>
      <c r="B3239" s="3">
        <v>4.7836672595146453E-7</v>
      </c>
      <c r="D3239" t="s">
        <v>100</v>
      </c>
      <c r="E3239" t="s">
        <v>9</v>
      </c>
      <c r="F3239" s="2" t="s">
        <v>15</v>
      </c>
      <c r="I3239" s="2"/>
    </row>
    <row r="3240" spans="1:9" customFormat="1" ht="16" ns3:dyDescent="0.2">
      <c r="A3240" t="s">
        <v>68</v>
      </c>
      <c r="B3240" s="3">
        <v>1.4838945395665916E-9</v>
      </c>
      <c r="D3240" t="s">
        <v>99</v>
      </c>
      <c r="E3240" t="s">
        <v>9</v>
      </c>
      <c r="F3240" s="2" t="s">
        <v>15</v>
      </c>
      <c r="I3240" s="2"/>
    </row>
    <row r="3241" spans="1:9" customFormat="1" ht="16" ns3:dyDescent="0.2">
      <c r="A3241" t="s">
        <v>68</v>
      </c>
      <c r="B3241" s="3">
        <v>1.4401328196447246E-10</v>
      </c>
      <c r="D3241" t="s">
        <v>100</v>
      </c>
      <c r="E3241" t="s">
        <v>9</v>
      </c>
      <c r="F3241" s="2" t="s">
        <v>15</v>
      </c>
      <c r="I3241" s="2"/>
    </row>
    <row r="3242" spans="1:9" customFormat="1" ht="16" ns3:dyDescent="0.2">
      <c r="A3242" t="s">
        <v>69</v>
      </c>
      <c r="B3242" s="25">
        <v>3.0006653682198702E-4</v>
      </c>
      <c r="D3242" t="s">
        <v>99</v>
      </c>
      <c r="E3242" t="s">
        <v>9</v>
      </c>
      <c r="F3242" s="2" t="s">
        <v>15</v>
      </c>
      <c r="I3242" s="2"/>
    </row>
    <row r="3243" spans="1:9" customFormat="1" ht="16" ns3:dyDescent="0.2">
      <c r="A3243" t="s">
        <v>69</v>
      </c>
      <c r="B3243" s="3">
        <v>2.9121827432823326E-5</v>
      </c>
      <c r="D3243" t="s">
        <v>100</v>
      </c>
      <c r="E3243" t="s">
        <v>9</v>
      </c>
      <c r="F3243" s="2" t="s">
        <v>15</v>
      </c>
      <c r="I3243" s="2"/>
    </row>
    <row r="3244" spans="1:9" customFormat="1" ht="16" ns3:dyDescent="0.2">
      <c r="A3244" t="s">
        <v>71</v>
      </c>
      <c r="B3244" s="3">
        <v>3.8963858482936672E-6</v>
      </c>
      <c r="D3244" t="s">
        <v>99</v>
      </c>
      <c r="E3244" t="s">
        <v>9</v>
      </c>
      <c r="F3244" s="2" t="s">
        <v>15</v>
      </c>
      <c r="I3244" s="2"/>
    </row>
    <row r="3245" spans="1:9" customFormat="1" ht="16" ns3:dyDescent="0.2">
      <c r="A3245" t="s">
        <v>71</v>
      </c>
      <c r="B3245" s="3">
        <v>3.7814860338919342E-7</v>
      </c>
      <c r="D3245" t="s">
        <v>100</v>
      </c>
      <c r="E3245" t="s">
        <v>9</v>
      </c>
      <c r="F3245" s="2" t="s">
        <v>15</v>
      </c>
      <c r="I3245" s="2"/>
    </row>
    <row r="3246" spans="1:9" customFormat="1" ht="16" ns3:dyDescent="0.2">
      <c r="A3246" t="s">
        <v>75</v>
      </c>
      <c r="B3246" s="3">
        <v>2.1198518564846293E-10</v>
      </c>
      <c r="D3246" t="s">
        <v>99</v>
      </c>
      <c r="E3246" t="s">
        <v>9</v>
      </c>
      <c r="F3246" s="2" t="s">
        <v>15</v>
      </c>
      <c r="I3246" s="2"/>
    </row>
    <row r="3247" spans="1:9" customFormat="1" ht="16" ns3:dyDescent="0.2">
      <c r="A3247" t="s">
        <v>75</v>
      </c>
      <c r="B3247" s="3">
        <v>2.0573376279857471E-11</v>
      </c>
      <c r="D3247" t="s">
        <v>100</v>
      </c>
      <c r="E3247" t="s">
        <v>9</v>
      </c>
      <c r="F3247" s="2" t="s">
        <v>15</v>
      </c>
      <c r="I3247" s="2"/>
    </row>
    <row r="3248" spans="1:9" customFormat="1" ht="16" ns3:dyDescent="0.2">
      <c r="A3248" t="s">
        <v>77</v>
      </c>
      <c r="B3248" s="3">
        <v>1.7806699275346112E-5</v>
      </c>
      <c r="D3248" t="s">
        <v>99</v>
      </c>
      <c r="E3248" t="s">
        <v>9</v>
      </c>
      <c r="F3248" s="2" t="s">
        <v>15</v>
      </c>
      <c r="I3248" s="2"/>
    </row>
    <row r="3249" spans="1:9" customFormat="1" ht="16" ns3:dyDescent="0.2">
      <c r="A3249" t="s">
        <v>77</v>
      </c>
      <c r="B3249" s="3">
        <v>1.7281611435463185E-6</v>
      </c>
      <c r="D3249" t="s">
        <v>100</v>
      </c>
      <c r="E3249" t="s">
        <v>9</v>
      </c>
      <c r="F3249" s="2" t="s">
        <v>15</v>
      </c>
      <c r="I3249" s="2"/>
    </row>
    <row r="3250" spans="1:9" customFormat="1" ht="16" ns3:dyDescent="0.2">
      <c r="A3250" t="s">
        <v>98</v>
      </c>
      <c r="B3250" s="3">
        <v>1.6219731937580282E-7</v>
      </c>
      <c r="D3250" t="s">
        <v>99</v>
      </c>
      <c r="E3250" s="2" t="s">
        <v>94</v>
      </c>
      <c r="F3250" s="2" t="s">
        <v>15</v>
      </c>
      <c r="I3250" s="2"/>
    </row>
    <row r="3251" spans="1:9" customFormat="1" ht="16" ns3:dyDescent="0.2">
      <c r="A3251" t="s">
        <v>98</v>
      </c>
      <c r="B3251" s="3">
        <v>1.574145937016555E-8</v>
      </c>
      <c r="D3251" t="s">
        <v>100</v>
      </c>
      <c r="E3251" s="2" t="s">
        <v>94</v>
      </c>
      <c r="F3251" s="2" t="s">
        <v>15</v>
      </c>
      <c r="I3251" s="2"/>
    </row>
    <row r="3252" spans="1:9" customFormat="1" ht="16" ns3:dyDescent="0.2">
      <c r="A3252" t="s">
        <v>79</v>
      </c>
      <c r="B3252" s="3">
        <v>2.1198518564846295E-7</v>
      </c>
      <c r="D3252" t="s">
        <v>99</v>
      </c>
      <c r="E3252" t="s">
        <v>9</v>
      </c>
      <c r="F3252" s="2" t="s">
        <v>15</v>
      </c>
      <c r="I3252" s="2"/>
    </row>
    <row r="3253" spans="1:9" customFormat="1" ht="16" ns3:dyDescent="0.2">
      <c r="A3253" t="s">
        <v>79</v>
      </c>
      <c r="B3253" s="3">
        <v>2.0573376279857471E-8</v>
      </c>
      <c r="D3253" t="s">
        <v>100</v>
      </c>
      <c r="E3253" t="s">
        <v>9</v>
      </c>
      <c r="F3253" s="2" t="s">
        <v>15</v>
      </c>
      <c r="I3253" s="2"/>
    </row>
    <row r="3254" spans="1:12" customFormat="1" ht="16" ns3:dyDescent="0.2"/>
    <row r="3255" spans="1:12" ns3:dyDescent="0.2">
      <c r="A3255" s="17" t="s">
        <v>2</v>
      </c>
      <c r="B3255" s="17" t="s">
        <v>491</v>
      </c>
    </row>
    <row r="3256" spans="1:12" customFormat="1" ht="16" ns3:dyDescent="0.2">
      <c r="A3256" s="2" t="s">
        <v>3</v>
      </c>
      <c r="B3256" s="2" t="s">
        <v>18</v>
      </c>
      <c r="C3256" s="2"/>
      <c r="D3256" s="2"/>
      <c r="E3256" s="2"/>
      <c r="F3256" s="2"/>
      <c r="G3256" s="2"/>
      <c r="H3256" s="2"/>
      <c r="I3256" s="2"/>
      <c r="J3256" s="2"/>
      <c r="K3256" s="2"/>
      <c r="L3256" s="2"/>
    </row>
    <row r="3257" spans="1:12" customFormat="1" ht="16" ns3:dyDescent="0.2">
      <c r="A3257" s="2" t="s">
        <v>4</v>
      </c>
      <c r="B3257" s="2">
        <v>1</v>
      </c>
      <c r="C3257" s="2"/>
      <c r="D3257" s="2"/>
      <c r="E3257" s="2"/>
      <c r="F3257" s="2"/>
      <c r="G3257" s="2"/>
      <c r="H3257" s="2"/>
      <c r="I3257" s="2"/>
      <c r="J3257" s="2"/>
      <c r="K3257" s="2"/>
      <c r="L3257" s="2"/>
    </row>
    <row r="3258" spans="1:12" customFormat="1" ht="16" ns3:dyDescent="0.2">
      <c r="A3258" s="2" t="s">
        <v>5</v>
      </c>
      <c r="B3258" s="2" t="s">
        <v>1</v>
      </c>
      <c r="C3258" s="2"/>
      <c r="D3258" s="2"/>
      <c r="E3258" s="2"/>
      <c r="F3258" s="2"/>
      <c r="G3258" s="2"/>
      <c r="H3258" s="2"/>
      <c r="I3258" s="2"/>
      <c r="J3258" s="2"/>
    </row>
    <row r="3259" spans="1:12" customFormat="1" ht="16" ns3:dyDescent="0.2">
      <c r="A3259" s="2" t="s">
        <v>6</v>
      </c>
      <c r="B3259" s="2" t="s">
        <v>7</v>
      </c>
      <c r="C3259" s="2"/>
      <c r="D3259" s="2"/>
      <c r="E3259" s="2"/>
      <c r="F3259" s="2"/>
      <c r="G3259" s="2"/>
      <c r="H3259" s="2"/>
      <c r="I3259" s="2"/>
      <c r="J3259" s="2"/>
      <c r="K3259" s="2"/>
      <c r="L3259" s="2"/>
    </row>
    <row r="3260" spans="1:12" customFormat="1" ht="16" ns3:dyDescent="0.2">
      <c r="A3260" s="2" t="s">
        <v>8</v>
      </c>
      <c r="B3260" s="2" t="s">
        <v>17</v>
      </c>
      <c r="C3260" s="2"/>
      <c r="D3260" s="2"/>
      <c r="E3260" s="2"/>
      <c r="F3260" s="2"/>
      <c r="G3260" s="2"/>
      <c r="H3260" s="2"/>
      <c r="I3260" s="2"/>
      <c r="J3260" s="2"/>
      <c r="K3260" s="2"/>
      <c r="L3260" s="2"/>
    </row>
    <row r="3261" spans="1:12" customFormat="1" ht="16" ns3:dyDescent="0.2">
      <c r="A3261" s="1" t="s">
        <v>10</v>
      </c>
      <c r="B3261" s="2"/>
      <c r="C3261" s="2"/>
      <c r="D3261" s="2"/>
      <c r="E3261" s="2"/>
      <c r="F3261" s="2"/>
      <c r="G3261" s="2"/>
      <c r="H3261" s="2"/>
      <c r="I3261" s="2"/>
      <c r="J3261" s="2"/>
      <c r="K3261" s="2"/>
      <c r="L3261" s="2"/>
    </row>
    <row r="3262" spans="1:12" ns3:dyDescent="0.2">
      <c r="A3262" s="17" t="s">
        <v>11</v>
      </c>
      <c r="B3262" s="17" t="s">
        <v>12</v>
      </c>
      <c r="C3262" s="17" t="s">
        <v>3</v>
      </c>
      <c r="D3262" s="17" t="s">
        <v>13</v>
      </c>
      <c r="E3262" s="17" t="s">
        <v>8</v>
      </c>
      <c r="F3262" s="17" t="s">
        <v>6</v>
      </c>
      <c r="G3262" s="17" t="s">
        <v>5</v>
      </c>
      <c r="H3262" s="17"/>
      <c r="J3262" s="17"/>
      <c r="K3262" s="17"/>
    </row>
    <row r="3263" spans="1:12" customFormat="1" ht="16" ns3:dyDescent="0.2">
      <c r="A3263" s="2" t="str">
        <f>B3255</f>
        <v>kerosene, from cellulosic non-residual biomass, burned in aircraft</v>
      </c>
      <c r="B3263" s="2">
        <v>1</v>
      </c>
      <c r="C3263" s="2" t="str">
        <f>B3256</f>
        <v>RER</v>
      </c>
      <c r="D3263" s="2"/>
      <c r="E3263" s="2" t="str">
        <f>B3260</f>
        <v>megajoule</v>
      </c>
      <c r="F3263" s="2" t="s">
        <v>19</v>
      </c>
      <c r="G3263" s="2" t="str">
        <f>B3258</f>
        <v>heat</v>
      </c>
      <c r="H3263" s="2"/>
      <c r="I3263" s="2"/>
      <c r="J3263" s="2"/>
      <c r="K3263" s="2"/>
      <c r="L3263" s="2"/>
    </row>
    <row r="3264" spans="1:12" customFormat="1" ht="16" ns3:dyDescent="0.2">
      <c r="A3264" t="s">
        <v>129</v>
      </c>
      <c r="B3264">
        <f>1/43</f>
        <v>2.3255813953488372E-2</v>
      </c>
      <c r="C3264" t="s">
        <v>18</v>
      </c>
      <c r="E3264" t="s">
        <v>9</v>
      </c>
      <c r="F3264" t="s">
        <v>23</v>
      </c>
      <c r="G3264" t="s">
        <v>130</v>
      </c>
      <c r="I3264" s="2"/>
    </row>
    <row r="3265" spans="1:12" customFormat="1" ht="16" ns3:dyDescent="0.2">
      <c r="A3265" t="s">
        <v>52</v>
      </c>
      <c r="B3265" s="3">
        <v>2.1198518564846293E-10</v>
      </c>
      <c r="D3265" t="s">
        <v>99</v>
      </c>
      <c r="E3265" t="s">
        <v>9</v>
      </c>
      <c r="F3265" s="2" t="s">
        <v>15</v>
      </c>
      <c r="I3265" s="2"/>
    </row>
    <row r="3266" spans="1:12" customFormat="1" ht="16" ns3:dyDescent="0.2">
      <c r="A3266" t="s">
        <v>52</v>
      </c>
      <c r="B3266" s="3">
        <v>2.0573376279857471E-11</v>
      </c>
      <c r="D3266" t="s">
        <v>100</v>
      </c>
      <c r="E3266" t="s">
        <v>9</v>
      </c>
      <c r="F3266" s="2" t="s">
        <v>15</v>
      </c>
      <c r="I3266" s="2"/>
    </row>
    <row r="3267" spans="1:12" customFormat="1" ht="16" ns3:dyDescent="0.2">
      <c r="A3267" t="s">
        <v>122</v>
      </c>
      <c r="B3267" s="25">
        <f>0.0660685839024935+0.00641203619387979</f>
        <v>7.2480620096373294E-2</v>
      </c>
      <c r="D3267" t="s">
        <v>116</v>
      </c>
      <c r="E3267" t="s">
        <v>9</v>
      </c>
      <c r="F3267" s="2" t="s">
        <v>15</v>
      </c>
      <c r="I3267" s="2"/>
    </row>
    <row r="3268" spans="1:12" customFormat="1" ht="16" ns3:dyDescent="0.2">
      <c r="A3268" t="s">
        <v>123</v>
      </c>
      <c r="B3268" s="3">
        <f>0.0000496205808723556+4.81573396118271E-06</f>
        <v>5.4436314833538314E-5</v>
      </c>
      <c r="D3268" t="s">
        <v>116</v>
      </c>
      <c r="E3268" t="s">
        <v>9</v>
      </c>
      <c r="F3268" s="2" t="s">
        <v>15</v>
      </c>
      <c r="I3268" s="2"/>
    </row>
    <row r="3269" spans="1:12" customFormat="1" ht="16" ns3:dyDescent="0.2">
      <c r="A3269" t="s">
        <v>55</v>
      </c>
      <c r="B3269" s="3">
        <v>1.0599259282423148E-9</v>
      </c>
      <c r="D3269" t="s">
        <v>99</v>
      </c>
      <c r="E3269" t="s">
        <v>9</v>
      </c>
      <c r="F3269" s="2" t="s">
        <v>15</v>
      </c>
      <c r="I3269" s="2"/>
    </row>
    <row r="3270" spans="1:9" customFormat="1" ht="16" ns3:dyDescent="0.2">
      <c r="A3270" t="s">
        <v>55</v>
      </c>
      <c r="B3270" s="3">
        <v>1.0286688139928735E-10</v>
      </c>
      <c r="D3270" t="s">
        <v>100</v>
      </c>
      <c r="E3270" t="s">
        <v>9</v>
      </c>
      <c r="F3270" s="2" t="s">
        <v>15</v>
      </c>
      <c r="I3270" s="2"/>
    </row>
    <row r="3271" spans="1:9" customFormat="1" ht="16" ns3:dyDescent="0.2">
      <c r="A3271" t="s">
        <v>57</v>
      </c>
      <c r="B3271" s="3">
        <v>3.6037375961879753E-8</v>
      </c>
      <c r="D3271" t="s">
        <v>99</v>
      </c>
      <c r="E3271" t="s">
        <v>9</v>
      </c>
      <c r="F3271" s="2" t="s">
        <v>15</v>
      </c>
      <c r="I3271" s="2"/>
    </row>
    <row r="3272" spans="1:9" customFormat="1" ht="16" ns3:dyDescent="0.2">
      <c r="A3272" t="s">
        <v>57</v>
      </c>
      <c r="B3272" s="3">
        <v>3.4974704476304713E-9</v>
      </c>
      <c r="D3272" t="s">
        <v>100</v>
      </c>
      <c r="E3272" t="s">
        <v>9</v>
      </c>
      <c r="F3272" s="2" t="s">
        <v>15</v>
      </c>
      <c r="I3272" s="2"/>
    </row>
    <row r="3273" spans="1:9" customFormat="1" ht="16" ns3:dyDescent="0.2">
      <c r="A3273" t="s">
        <v>63</v>
      </c>
      <c r="B3273" s="3">
        <v>4.2396949131060127E-7</v>
      </c>
      <c r="D3273" t="s">
        <v>99</v>
      </c>
      <c r="E3273" t="s">
        <v>9</v>
      </c>
      <c r="F3273" s="2" t="s">
        <v>15</v>
      </c>
      <c r="I3273" s="2"/>
    </row>
    <row r="3274" spans="1:9" customFormat="1" ht="16" ns3:dyDescent="0.2">
      <c r="A3274" t="s">
        <v>63</v>
      </c>
      <c r="B3274" s="3">
        <v>4.1146752559714943E-8</v>
      </c>
      <c r="D3274" t="s">
        <v>100</v>
      </c>
      <c r="E3274" t="s">
        <v>9</v>
      </c>
      <c r="F3274" s="2" t="s">
        <v>15</v>
      </c>
      <c r="I3274" s="2"/>
    </row>
    <row r="3275" spans="1:9" customFormat="1" ht="16" ns3:dyDescent="0.2">
      <c r="A3275" t="s">
        <v>64</v>
      </c>
      <c r="B3275" s="3">
        <v>1.4838945395665915E-12</v>
      </c>
      <c r="D3275" t="s">
        <v>99</v>
      </c>
      <c r="E3275" t="s">
        <v>9</v>
      </c>
      <c r="F3275" s="2" t="s">
        <v>15</v>
      </c>
      <c r="I3275" s="2"/>
    </row>
    <row r="3276" spans="1:9" customFormat="1" ht="16" ns3:dyDescent="0.2">
      <c r="A3276" t="s">
        <v>64</v>
      </c>
      <c r="B3276" s="3">
        <v>1.4401328196447244E-13</v>
      </c>
      <c r="D3276" t="s">
        <v>100</v>
      </c>
      <c r="E3276" t="s">
        <v>9</v>
      </c>
      <c r="F3276" s="2" t="s">
        <v>15</v>
      </c>
      <c r="I3276" s="2"/>
    </row>
    <row r="3277" spans="1:9" customFormat="1" ht="16" ns3:dyDescent="0.2">
      <c r="A3277" t="s">
        <v>67</v>
      </c>
      <c r="B3277" s="3">
        <v>4.9290146007471967E-6</v>
      </c>
      <c r="D3277" t="s">
        <v>99</v>
      </c>
      <c r="E3277" t="s">
        <v>9</v>
      </c>
      <c r="F3277" s="2" t="s">
        <v>15</v>
      </c>
      <c r="I3277" s="2"/>
    </row>
    <row r="3278" spans="1:9" customFormat="1" ht="16" ns3:dyDescent="0.2">
      <c r="A3278" t="s">
        <v>67</v>
      </c>
      <c r="B3278" s="3">
        <v>4.7836672595146453E-7</v>
      </c>
      <c r="D3278" t="s">
        <v>100</v>
      </c>
      <c r="E3278" t="s">
        <v>9</v>
      </c>
      <c r="F3278" s="2" t="s">
        <v>15</v>
      </c>
      <c r="I3278" s="2"/>
    </row>
    <row r="3279" spans="1:9" customFormat="1" ht="16" ns3:dyDescent="0.2">
      <c r="A3279" t="s">
        <v>68</v>
      </c>
      <c r="B3279" s="3">
        <v>1.4838945395665916E-9</v>
      </c>
      <c r="D3279" t="s">
        <v>99</v>
      </c>
      <c r="E3279" t="s">
        <v>9</v>
      </c>
      <c r="F3279" s="2" t="s">
        <v>15</v>
      </c>
      <c r="I3279" s="2"/>
    </row>
    <row r="3280" spans="1:9" customFormat="1" ht="16" ns3:dyDescent="0.2">
      <c r="A3280" t="s">
        <v>68</v>
      </c>
      <c r="B3280" s="3">
        <v>1.4401328196447246E-10</v>
      </c>
      <c r="D3280" t="s">
        <v>100</v>
      </c>
      <c r="E3280" t="s">
        <v>9</v>
      </c>
      <c r="F3280" s="2" t="s">
        <v>15</v>
      </c>
      <c r="I3280" s="2"/>
    </row>
    <row r="3281" spans="1:9" customFormat="1" ht="16" ns3:dyDescent="0.2">
      <c r="A3281" t="s">
        <v>69</v>
      </c>
      <c r="B3281" s="25">
        <v>3.0006653682198702E-4</v>
      </c>
      <c r="D3281" t="s">
        <v>99</v>
      </c>
      <c r="E3281" t="s">
        <v>9</v>
      </c>
      <c r="F3281" s="2" t="s">
        <v>15</v>
      </c>
      <c r="I3281" s="2"/>
    </row>
    <row r="3282" spans="1:9" customFormat="1" ht="16" ns3:dyDescent="0.2">
      <c r="A3282" t="s">
        <v>69</v>
      </c>
      <c r="B3282" s="3">
        <v>2.9121827432823326E-5</v>
      </c>
      <c r="D3282" t="s">
        <v>100</v>
      </c>
      <c r="E3282" t="s">
        <v>9</v>
      </c>
      <c r="F3282" s="2" t="s">
        <v>15</v>
      </c>
      <c r="I3282" s="2"/>
    </row>
    <row r="3283" spans="1:9" customFormat="1" ht="16" ns3:dyDescent="0.2">
      <c r="A3283" t="s">
        <v>71</v>
      </c>
      <c r="B3283" s="3">
        <v>3.8963858482936672E-6</v>
      </c>
      <c r="D3283" t="s">
        <v>99</v>
      </c>
      <c r="E3283" t="s">
        <v>9</v>
      </c>
      <c r="F3283" s="2" t="s">
        <v>15</v>
      </c>
      <c r="I3283" s="2"/>
    </row>
    <row r="3284" spans="1:9" customFormat="1" ht="16" ns3:dyDescent="0.2">
      <c r="A3284" t="s">
        <v>71</v>
      </c>
      <c r="B3284" s="3">
        <v>3.7814860338919342E-7</v>
      </c>
      <c r="D3284" t="s">
        <v>100</v>
      </c>
      <c r="E3284" t="s">
        <v>9</v>
      </c>
      <c r="F3284" s="2" t="s">
        <v>15</v>
      </c>
      <c r="I3284" s="2"/>
    </row>
    <row r="3285" spans="1:9" customFormat="1" ht="16" ns3:dyDescent="0.2">
      <c r="A3285" t="s">
        <v>75</v>
      </c>
      <c r="B3285" s="3">
        <v>2.1198518564846293E-10</v>
      </c>
      <c r="D3285" t="s">
        <v>99</v>
      </c>
      <c r="E3285" t="s">
        <v>9</v>
      </c>
      <c r="F3285" s="2" t="s">
        <v>15</v>
      </c>
      <c r="I3285" s="2"/>
    </row>
    <row r="3286" spans="1:12" customFormat="1" ht="16" ns3:dyDescent="0.2">
      <c r="A3286" t="s">
        <v>75</v>
      </c>
      <c r="B3286" s="3">
        <v>2.0573376279857471E-11</v>
      </c>
      <c r="D3286" t="s">
        <v>100</v>
      </c>
      <c r="E3286" t="s">
        <v>9</v>
      </c>
      <c r="F3286" s="2" t="s">
        <v>15</v>
      </c>
      <c r="I3286" s="2"/>
    </row>
    <row r="3287" spans="1:12" customFormat="1" ht="16" ns3:dyDescent="0.2">
      <c r="A3287" t="s">
        <v>77</v>
      </c>
      <c r="B3287" s="3">
        <v>1.7806699275346112E-5</v>
      </c>
      <c r="D3287" t="s">
        <v>99</v>
      </c>
      <c r="E3287" t="s">
        <v>9</v>
      </c>
      <c r="F3287" s="2" t="s">
        <v>15</v>
      </c>
      <c r="I3287" s="2"/>
    </row>
    <row r="3288" spans="1:12" customFormat="1" ht="16" ns3:dyDescent="0.2">
      <c r="A3288" t="s">
        <v>77</v>
      </c>
      <c r="B3288" s="3">
        <v>1.7281611435463185E-6</v>
      </c>
      <c r="D3288" t="s">
        <v>100</v>
      </c>
      <c r="E3288" t="s">
        <v>9</v>
      </c>
      <c r="F3288" s="2" t="s">
        <v>15</v>
      </c>
      <c r="I3288" s="2"/>
    </row>
    <row r="3289" spans="1:12" customFormat="1" ht="16" ns3:dyDescent="0.2">
      <c r="A3289" t="s">
        <v>98</v>
      </c>
      <c r="B3289" s="3">
        <v>1.6219731937580282E-7</v>
      </c>
      <c r="D3289" t="s">
        <v>99</v>
      </c>
      <c r="E3289" s="2" t="s">
        <v>94</v>
      </c>
      <c r="F3289" s="2" t="s">
        <v>15</v>
      </c>
      <c r="I3289" s="2"/>
    </row>
    <row r="3290" spans="1:12" customFormat="1" ht="16" ns3:dyDescent="0.2">
      <c r="A3290" t="s">
        <v>98</v>
      </c>
      <c r="B3290" s="3">
        <v>1.574145937016555E-8</v>
      </c>
      <c r="D3290" t="s">
        <v>100</v>
      </c>
      <c r="E3290" s="2" t="s">
        <v>94</v>
      </c>
      <c r="F3290" s="2" t="s">
        <v>15</v>
      </c>
      <c r="I3290" s="2"/>
    </row>
    <row r="3291" spans="1:12" customFormat="1" ht="16" ns3:dyDescent="0.2">
      <c r="A3291" t="s">
        <v>79</v>
      </c>
      <c r="B3291" s="3">
        <v>2.1198518564846295E-7</v>
      </c>
      <c r="D3291" t="s">
        <v>99</v>
      </c>
      <c r="E3291" t="s">
        <v>9</v>
      </c>
      <c r="F3291" s="2" t="s">
        <v>15</v>
      </c>
      <c r="I3291" s="2"/>
    </row>
    <row r="3292" spans="1:12" customFormat="1" ht="16" ns3:dyDescent="0.2">
      <c r="A3292" t="s">
        <v>79</v>
      </c>
      <c r="B3292" s="3">
        <v>2.0573376279857471E-8</v>
      </c>
      <c r="D3292" t="s">
        <v>100</v>
      </c>
      <c r="E3292" t="s">
        <v>9</v>
      </c>
      <c r="F3292" s="2" t="s">
        <v>15</v>
      </c>
      <c r="I3292" s="2"/>
    </row>
    <row r="3293" spans="1:12" customFormat="1" ht="16" ns3:dyDescent="0.2"/>
    <row r="3294" spans="1:12" ns3:dyDescent="0.2">
      <c r="A3294" s="17" t="s">
        <v>2</v>
      </c>
      <c r="B3294" s="17" t="s">
        <v>492</v>
      </c>
    </row>
    <row r="3295" spans="1:12" customFormat="1" ht="16" ns3:dyDescent="0.2">
      <c r="A3295" s="2" t="s">
        <v>3</v>
      </c>
      <c r="B3295" s="2" t="s">
        <v>18</v>
      </c>
      <c r="C3295" s="2"/>
      <c r="D3295" s="2"/>
      <c r="E3295" s="2"/>
      <c r="F3295" s="2"/>
      <c r="G3295" s="2"/>
      <c r="H3295" s="2"/>
      <c r="I3295" s="2"/>
      <c r="J3295" s="2"/>
      <c r="K3295" s="2"/>
      <c r="L3295" s="2"/>
    </row>
    <row r="3296" spans="1:12" customFormat="1" ht="16" ns3:dyDescent="0.2">
      <c r="A3296" s="2" t="s">
        <v>4</v>
      </c>
      <c r="B3296" s="2">
        <v>1</v>
      </c>
      <c r="C3296" s="2"/>
      <c r="D3296" s="2"/>
      <c r="E3296" s="2"/>
      <c r="F3296" s="2"/>
      <c r="G3296" s="2"/>
      <c r="H3296" s="2"/>
      <c r="I3296" s="2"/>
      <c r="J3296" s="2"/>
      <c r="K3296" s="2"/>
      <c r="L3296" s="2"/>
    </row>
    <row r="3297" spans="1:12" customFormat="1" ht="16" ns3:dyDescent="0.2">
      <c r="A3297" s="2" t="s">
        <v>5</v>
      </c>
      <c r="B3297" s="2" t="s">
        <v>1</v>
      </c>
      <c r="C3297" s="2"/>
      <c r="D3297" s="2"/>
      <c r="E3297" s="2"/>
      <c r="F3297" s="2"/>
      <c r="G3297" s="2"/>
      <c r="H3297" s="2"/>
      <c r="I3297" s="2"/>
      <c r="J3297" s="2"/>
    </row>
    <row r="3298" spans="1:12" customFormat="1" ht="16" ns3:dyDescent="0.2">
      <c r="A3298" s="2" t="s">
        <v>6</v>
      </c>
      <c r="B3298" s="2" t="s">
        <v>7</v>
      </c>
      <c r="C3298" s="2"/>
      <c r="D3298" s="2"/>
      <c r="E3298" s="2"/>
      <c r="F3298" s="2"/>
      <c r="G3298" s="2"/>
      <c r="H3298" s="2"/>
      <c r="I3298" s="2"/>
      <c r="J3298" s="2"/>
      <c r="K3298" s="2"/>
      <c r="L3298" s="2"/>
    </row>
    <row r="3299" spans="1:12" customFormat="1" ht="16" ns3:dyDescent="0.2">
      <c r="A3299" s="2" t="s">
        <v>8</v>
      </c>
      <c r="B3299" s="2" t="s">
        <v>17</v>
      </c>
      <c r="C3299" s="2"/>
      <c r="D3299" s="2"/>
      <c r="E3299" s="2"/>
      <c r="F3299" s="2"/>
      <c r="G3299" s="2"/>
      <c r="H3299" s="2"/>
      <c r="I3299" s="2"/>
      <c r="J3299" s="2"/>
      <c r="K3299" s="2"/>
      <c r="L3299" s="2"/>
    </row>
    <row r="3300" spans="1:12" customFormat="1" ht="16" ns3:dyDescent="0.2">
      <c r="A3300" s="1" t="s">
        <v>10</v>
      </c>
      <c r="B3300" s="2"/>
      <c r="C3300" s="2"/>
      <c r="D3300" s="2"/>
      <c r="E3300" s="2"/>
      <c r="F3300" s="2"/>
      <c r="G3300" s="2"/>
      <c r="H3300" s="2"/>
      <c r="I3300" s="2"/>
      <c r="J3300" s="2"/>
      <c r="K3300" s="2"/>
      <c r="L3300" s="2"/>
    </row>
    <row r="3301" spans="1:12" ns3:dyDescent="0.2">
      <c r="A3301" s="17" t="s">
        <v>11</v>
      </c>
      <c r="B3301" s="17" t="s">
        <v>12</v>
      </c>
      <c r="C3301" s="17" t="s">
        <v>3</v>
      </c>
      <c r="D3301" s="17" t="s">
        <v>13</v>
      </c>
      <c r="E3301" s="17" t="s">
        <v>8</v>
      </c>
      <c r="F3301" s="17" t="s">
        <v>6</v>
      </c>
      <c r="G3301" s="17" t="s">
        <v>5</v>
      </c>
      <c r="H3301" s="17"/>
      <c r="J3301" s="17"/>
      <c r="K3301" s="17"/>
    </row>
    <row r="3302" spans="1:12" customFormat="1" ht="16" ns3:dyDescent="0.2">
      <c r="A3302" s="2" t="str">
        <f>B3294</f>
        <v>kerosene, from cellulosic residual biomass, burned in aircraft</v>
      </c>
      <c r="B3302" s="2">
        <v>1</v>
      </c>
      <c r="C3302" s="2" t="str">
        <f>B3295</f>
        <v>RER</v>
      </c>
      <c r="D3302" s="2"/>
      <c r="E3302" s="2" t="str">
        <f>B3299</f>
        <v>megajoule</v>
      </c>
      <c r="F3302" s="2" t="s">
        <v>19</v>
      </c>
      <c r="G3302" s="2" t="str">
        <f>B3297</f>
        <v>heat</v>
      </c>
      <c r="H3302" s="2"/>
      <c r="I3302" s="2"/>
      <c r="J3302" s="2"/>
      <c r="K3302" s="2"/>
      <c r="L3302" s="2"/>
    </row>
    <row r="3303" spans="1:12" customFormat="1" ht="16" ns3:dyDescent="0.2">
      <c r="A3303" t="s">
        <v>493</v>
      </c>
      <c r="B3303">
        <f>1/43</f>
        <v>2.3255813953488372E-2</v>
      </c>
      <c r="C3303" t="s">
        <v>18</v>
      </c>
      <c r="E3303" t="s">
        <v>9</v>
      </c>
      <c r="F3303" t="s">
        <v>23</v>
      </c>
      <c r="G3303" t="s">
        <v>130</v>
      </c>
      <c r="I3303" s="2"/>
    </row>
    <row r="3304" spans="1:12" customFormat="1" ht="16" ns3:dyDescent="0.2">
      <c r="A3304" t="s">
        <v>52</v>
      </c>
      <c r="B3304" s="3">
        <v>2.1198518564846293E-10</v>
      </c>
      <c r="D3304" t="s">
        <v>99</v>
      </c>
      <c r="E3304" t="s">
        <v>9</v>
      </c>
      <c r="F3304" s="2" t="s">
        <v>15</v>
      </c>
      <c r="I3304" s="2"/>
    </row>
    <row r="3305" spans="1:12" customFormat="1" ht="16" ns3:dyDescent="0.2">
      <c r="A3305" t="s">
        <v>52</v>
      </c>
      <c r="B3305" s="3">
        <v>2.0573376279857471E-11</v>
      </c>
      <c r="D3305" t="s">
        <v>100</v>
      </c>
      <c r="E3305" t="s">
        <v>9</v>
      </c>
      <c r="F3305" s="2" t="s">
        <v>15</v>
      </c>
      <c r="I3305" s="2"/>
    </row>
    <row r="3306" spans="1:12" customFormat="1" ht="16" ns3:dyDescent="0.2">
      <c r="A3306" t="s">
        <v>122</v>
      </c>
      <c r="B3306" s="25">
        <f>0.0660685839024935+0.00641203619387979</f>
        <v>7.2480620096373294E-2</v>
      </c>
      <c r="D3306" t="s">
        <v>116</v>
      </c>
      <c r="E3306" t="s">
        <v>9</v>
      </c>
      <c r="F3306" s="2" t="s">
        <v>15</v>
      </c>
      <c r="I3306" s="2"/>
    </row>
    <row r="3307" spans="1:12" customFormat="1" ht="16" ns3:dyDescent="0.2">
      <c r="A3307" t="s">
        <v>123</v>
      </c>
      <c r="B3307" s="3">
        <f>0.0000496205808723556+4.81573396118271E-06</f>
        <v>5.4436314833538314E-5</v>
      </c>
      <c r="D3307" t="s">
        <v>116</v>
      </c>
      <c r="E3307" t="s">
        <v>9</v>
      </c>
      <c r="F3307" s="2" t="s">
        <v>15</v>
      </c>
      <c r="I3307" s="2"/>
    </row>
    <row r="3308" spans="1:12" customFormat="1" ht="16" ns3:dyDescent="0.2">
      <c r="A3308" t="s">
        <v>55</v>
      </c>
      <c r="B3308" s="3">
        <v>1.0599259282423148E-9</v>
      </c>
      <c r="D3308" t="s">
        <v>99</v>
      </c>
      <c r="E3308" t="s">
        <v>9</v>
      </c>
      <c r="F3308" s="2" t="s">
        <v>15</v>
      </c>
      <c r="I3308" s="2"/>
    </row>
    <row r="3309" spans="1:12" customFormat="1" ht="16" ns3:dyDescent="0.2">
      <c r="A3309" t="s">
        <v>55</v>
      </c>
      <c r="B3309" s="3">
        <v>1.0286688139928735E-10</v>
      </c>
      <c r="D3309" t="s">
        <v>100</v>
      </c>
      <c r="E3309" t="s">
        <v>9</v>
      </c>
      <c r="F3309" s="2" t="s">
        <v>15</v>
      </c>
      <c r="I3309" s="2"/>
    </row>
    <row r="3310" spans="1:12" customFormat="1" ht="16" ns3:dyDescent="0.2">
      <c r="A3310" t="s">
        <v>57</v>
      </c>
      <c r="B3310" s="3">
        <v>3.6037375961879753E-8</v>
      </c>
      <c r="D3310" t="s">
        <v>99</v>
      </c>
      <c r="E3310" t="s">
        <v>9</v>
      </c>
      <c r="F3310" s="2" t="s">
        <v>15</v>
      </c>
      <c r="I3310" s="2"/>
    </row>
    <row r="3311" spans="1:12" customFormat="1" ht="16" ns3:dyDescent="0.2">
      <c r="A3311" t="s">
        <v>57</v>
      </c>
      <c r="B3311" s="3">
        <v>3.4974704476304713E-9</v>
      </c>
      <c r="D3311" t="s">
        <v>100</v>
      </c>
      <c r="E3311" t="s">
        <v>9</v>
      </c>
      <c r="F3311" s="2" t="s">
        <v>15</v>
      </c>
      <c r="I3311" s="2"/>
    </row>
    <row r="3312" spans="1:12" customFormat="1" ht="16" ns3:dyDescent="0.2">
      <c r="A3312" t="s">
        <v>63</v>
      </c>
      <c r="B3312" s="3">
        <v>4.2396949131060127E-7</v>
      </c>
      <c r="D3312" t="s">
        <v>99</v>
      </c>
      <c r="E3312" t="s">
        <v>9</v>
      </c>
      <c r="F3312" s="2" t="s">
        <v>15</v>
      </c>
      <c r="I3312" s="2"/>
    </row>
    <row r="3313" spans="1:12" customFormat="1" ht="16" ns3:dyDescent="0.2">
      <c r="A3313" t="s">
        <v>63</v>
      </c>
      <c r="B3313" s="3">
        <v>4.1146752559714943E-8</v>
      </c>
      <c r="D3313" t="s">
        <v>100</v>
      </c>
      <c r="E3313" t="s">
        <v>9</v>
      </c>
      <c r="F3313" s="2" t="s">
        <v>15</v>
      </c>
      <c r="I3313" s="2"/>
    </row>
    <row r="3314" spans="1:12" customFormat="1" ht="16" ns3:dyDescent="0.2">
      <c r="A3314" t="s">
        <v>64</v>
      </c>
      <c r="B3314" s="3">
        <v>1.4838945395665915E-12</v>
      </c>
      <c r="D3314" t="s">
        <v>99</v>
      </c>
      <c r="E3314" t="s">
        <v>9</v>
      </c>
      <c r="F3314" s="2" t="s">
        <v>15</v>
      </c>
      <c r="I3314" s="2"/>
    </row>
    <row r="3315" spans="1:12" customFormat="1" ht="16" ns3:dyDescent="0.2">
      <c r="A3315" t="s">
        <v>64</v>
      </c>
      <c r="B3315" s="3">
        <v>1.4401328196447244E-13</v>
      </c>
      <c r="D3315" t="s">
        <v>100</v>
      </c>
      <c r="E3315" t="s">
        <v>9</v>
      </c>
      <c r="F3315" s="2" t="s">
        <v>15</v>
      </c>
      <c r="I3315" s="2"/>
    </row>
    <row r="3316" spans="1:12" customFormat="1" ht="16" ns3:dyDescent="0.2">
      <c r="A3316" t="s">
        <v>67</v>
      </c>
      <c r="B3316" s="3">
        <v>4.9290146007471967E-6</v>
      </c>
      <c r="D3316" t="s">
        <v>99</v>
      </c>
      <c r="E3316" t="s">
        <v>9</v>
      </c>
      <c r="F3316" s="2" t="s">
        <v>15</v>
      </c>
      <c r="I3316" s="2"/>
    </row>
    <row r="3317" spans="1:12" customFormat="1" ht="16" ns3:dyDescent="0.2">
      <c r="A3317" t="s">
        <v>67</v>
      </c>
      <c r="B3317" s="3">
        <v>4.7836672595146453E-7</v>
      </c>
      <c r="D3317" t="s">
        <v>100</v>
      </c>
      <c r="E3317" t="s">
        <v>9</v>
      </c>
      <c r="F3317" s="2" t="s">
        <v>15</v>
      </c>
      <c r="I3317" s="2"/>
    </row>
    <row r="3318" spans="1:9" customFormat="1" ht="16" ns3:dyDescent="0.2">
      <c r="A3318" t="s">
        <v>68</v>
      </c>
      <c r="B3318" s="3">
        <v>1.4838945395665916E-9</v>
      </c>
      <c r="D3318" t="s">
        <v>99</v>
      </c>
      <c r="E3318" t="s">
        <v>9</v>
      </c>
      <c r="F3318" s="2" t="s">
        <v>15</v>
      </c>
      <c r="I3318" s="2"/>
    </row>
    <row r="3319" spans="1:9" customFormat="1" ht="16" ns3:dyDescent="0.2">
      <c r="A3319" t="s">
        <v>68</v>
      </c>
      <c r="B3319" s="3">
        <v>1.4401328196447246E-10</v>
      </c>
      <c r="D3319" t="s">
        <v>100</v>
      </c>
      <c r="E3319" t="s">
        <v>9</v>
      </c>
      <c r="F3319" s="2" t="s">
        <v>15</v>
      </c>
      <c r="I3319" s="2"/>
    </row>
    <row r="3320" spans="1:9" customFormat="1" ht="16" ns3:dyDescent="0.2">
      <c r="A3320" t="s">
        <v>69</v>
      </c>
      <c r="B3320" s="25">
        <v>3.0006653682198702E-4</v>
      </c>
      <c r="D3320" t="s">
        <v>99</v>
      </c>
      <c r="E3320" t="s">
        <v>9</v>
      </c>
      <c r="F3320" s="2" t="s">
        <v>15</v>
      </c>
      <c r="I3320" s="2"/>
    </row>
    <row r="3321" spans="1:9" customFormat="1" ht="16" ns3:dyDescent="0.2">
      <c r="A3321" t="s">
        <v>69</v>
      </c>
      <c r="B3321" s="3">
        <v>2.9121827432823326E-5</v>
      </c>
      <c r="D3321" t="s">
        <v>100</v>
      </c>
      <c r="E3321" t="s">
        <v>9</v>
      </c>
      <c r="F3321" s="2" t="s">
        <v>15</v>
      </c>
      <c r="I3321" s="2"/>
    </row>
    <row r="3322" spans="1:9" customFormat="1" ht="16" ns3:dyDescent="0.2">
      <c r="A3322" t="s">
        <v>71</v>
      </c>
      <c r="B3322" s="3">
        <v>3.8963858482936672E-6</v>
      </c>
      <c r="D3322" t="s">
        <v>99</v>
      </c>
      <c r="E3322" t="s">
        <v>9</v>
      </c>
      <c r="F3322" s="2" t="s">
        <v>15</v>
      </c>
      <c r="I3322" s="2"/>
    </row>
    <row r="3323" spans="1:9" customFormat="1" ht="16" ns3:dyDescent="0.2">
      <c r="A3323" t="s">
        <v>71</v>
      </c>
      <c r="B3323" s="3">
        <v>3.7814860338919342E-7</v>
      </c>
      <c r="D3323" t="s">
        <v>100</v>
      </c>
      <c r="E3323" t="s">
        <v>9</v>
      </c>
      <c r="F3323" s="2" t="s">
        <v>15</v>
      </c>
      <c r="I3323" s="2"/>
    </row>
    <row r="3324" spans="1:9" customFormat="1" ht="16" ns3:dyDescent="0.2">
      <c r="A3324" t="s">
        <v>75</v>
      </c>
      <c r="B3324" s="3">
        <v>2.1198518564846293E-10</v>
      </c>
      <c r="D3324" t="s">
        <v>99</v>
      </c>
      <c r="E3324" t="s">
        <v>9</v>
      </c>
      <c r="F3324" s="2" t="s">
        <v>15</v>
      </c>
      <c r="I3324" s="2"/>
    </row>
    <row r="3325" spans="1:9" customFormat="1" ht="16" ns3:dyDescent="0.2">
      <c r="A3325" t="s">
        <v>75</v>
      </c>
      <c r="B3325" s="3">
        <v>2.0573376279857471E-11</v>
      </c>
      <c r="D3325" t="s">
        <v>100</v>
      </c>
      <c r="E3325" t="s">
        <v>9</v>
      </c>
      <c r="F3325" s="2" t="s">
        <v>15</v>
      </c>
      <c r="I3325" s="2"/>
    </row>
    <row r="3326" spans="1:9" customFormat="1" ht="16" ns3:dyDescent="0.2">
      <c r="A3326" t="s">
        <v>77</v>
      </c>
      <c r="B3326" s="3">
        <v>1.7806699275346112E-5</v>
      </c>
      <c r="D3326" t="s">
        <v>99</v>
      </c>
      <c r="E3326" t="s">
        <v>9</v>
      </c>
      <c r="F3326" s="2" t="s">
        <v>15</v>
      </c>
      <c r="I3326" s="2"/>
    </row>
    <row r="3327" spans="1:9" customFormat="1" ht="16" ns3:dyDescent="0.2">
      <c r="A3327" t="s">
        <v>77</v>
      </c>
      <c r="B3327" s="3">
        <v>1.7281611435463185E-6</v>
      </c>
      <c r="D3327" t="s">
        <v>100</v>
      </c>
      <c r="E3327" t="s">
        <v>9</v>
      </c>
      <c r="F3327" s="2" t="s">
        <v>15</v>
      </c>
      <c r="I3327" s="2"/>
    </row>
    <row r="3328" spans="1:9" customFormat="1" ht="16" ns3:dyDescent="0.2">
      <c r="A3328" t="s">
        <v>98</v>
      </c>
      <c r="B3328" s="3">
        <v>1.6219731937580282E-7</v>
      </c>
      <c r="D3328" t="s">
        <v>99</v>
      </c>
      <c r="E3328" s="2" t="s">
        <v>94</v>
      </c>
      <c r="F3328" s="2" t="s">
        <v>15</v>
      </c>
      <c r="I3328" s="2"/>
    </row>
    <row r="3329" spans="1:9" customFormat="1" ht="16" ns3:dyDescent="0.2">
      <c r="A3329" t="s">
        <v>98</v>
      </c>
      <c r="B3329" s="3">
        <v>1.574145937016555E-8</v>
      </c>
      <c r="D3329" t="s">
        <v>100</v>
      </c>
      <c r="E3329" s="2" t="s">
        <v>94</v>
      </c>
      <c r="F3329" s="2" t="s">
        <v>15</v>
      </c>
      <c r="I3329" s="2"/>
    </row>
    <row r="3330" spans="1:9" customFormat="1" ht="16" ns3:dyDescent="0.2">
      <c r="A3330" t="s">
        <v>79</v>
      </c>
      <c r="B3330" s="3">
        <v>2.1198518564846295E-7</v>
      </c>
      <c r="D3330" t="s">
        <v>99</v>
      </c>
      <c r="E3330" t="s">
        <v>9</v>
      </c>
      <c r="F3330" s="2" t="s">
        <v>15</v>
      </c>
      <c r="I3330" s="2"/>
    </row>
    <row r="3331" spans="1:9" customFormat="1" ht="16" ns3:dyDescent="0.2">
      <c r="A3331" t="s">
        <v>79</v>
      </c>
      <c r="B3331" s="3">
        <v>2.0573376279857471E-8</v>
      </c>
      <c r="D3331" t="s">
        <v>100</v>
      </c>
      <c r="E3331" t="s">
        <v>9</v>
      </c>
      <c r="F3331" s="2" t="s">
        <v>15</v>
      </c>
      <c r="I3331" s="2"/>
    </row>
    <row r="3332" spans="1:9" customFormat="1" ht="16" ns3:dyDescent="0.2"/>
    <row r="3333" spans="1:9" ns3:dyDescent="0.2">
      <c r="A3333" s="17" t="s">
        <v>2</v>
      </c>
      <c r="B3333" s="17" t="s">
        <v>490</v>
      </c>
    </row>
    <row r="3334" spans="1:12" customFormat="1" ht="16" ns3:dyDescent="0.2">
      <c r="A3334" s="2" t="s">
        <v>3</v>
      </c>
      <c r="B3334" s="2" t="s">
        <v>18</v>
      </c>
      <c r="C3334" s="2"/>
      <c r="D3334" s="2"/>
      <c r="E3334" s="2"/>
      <c r="F3334" s="2"/>
      <c r="G3334" s="2"/>
      <c r="H3334" s="2"/>
      <c r="I3334" s="2"/>
      <c r="J3334" s="2"/>
      <c r="K3334" s="2"/>
      <c r="L3334" s="2"/>
    </row>
    <row r="3335" spans="1:12" customFormat="1" ht="16" ns3:dyDescent="0.2">
      <c r="A3335" s="2" t="s">
        <v>4</v>
      </c>
      <c r="B3335" s="2">
        <v>1</v>
      </c>
      <c r="C3335" s="2"/>
      <c r="D3335" s="2"/>
      <c r="E3335" s="2"/>
      <c r="F3335" s="2"/>
      <c r="G3335" s="2"/>
      <c r="H3335" s="2"/>
      <c r="I3335" s="2"/>
      <c r="J3335" s="2"/>
      <c r="K3335" s="2"/>
      <c r="L3335" s="2"/>
    </row>
    <row r="3336" spans="1:12" customFormat="1" ht="16" ns3:dyDescent="0.2">
      <c r="A3336" s="2" t="s">
        <v>5</v>
      </c>
      <c r="B3336" s="2" t="s">
        <v>1</v>
      </c>
      <c r="C3336" s="2"/>
      <c r="D3336" s="2"/>
      <c r="E3336" s="2"/>
      <c r="F3336" s="2"/>
      <c r="G3336" s="2"/>
      <c r="H3336" s="2"/>
      <c r="I3336" s="2"/>
      <c r="J3336" s="2"/>
    </row>
    <row r="3337" spans="1:12" customFormat="1" ht="16" ns3:dyDescent="0.2">
      <c r="A3337" s="2" t="s">
        <v>6</v>
      </c>
      <c r="B3337" s="2" t="s">
        <v>7</v>
      </c>
      <c r="C3337" s="2"/>
      <c r="D3337" s="2"/>
      <c r="E3337" s="2"/>
      <c r="F3337" s="2"/>
      <c r="G3337" s="2"/>
      <c r="H3337" s="2"/>
      <c r="I3337" s="2"/>
      <c r="J3337" s="2"/>
      <c r="K3337" s="2"/>
      <c r="L3337" s="2"/>
    </row>
    <row r="3338" spans="1:12" customFormat="1" ht="16" ns3:dyDescent="0.2">
      <c r="A3338" s="2" t="s">
        <v>8</v>
      </c>
      <c r="B3338" s="2" t="s">
        <v>17</v>
      </c>
      <c r="C3338" s="2"/>
      <c r="D3338" s="2"/>
      <c r="E3338" s="2"/>
      <c r="F3338" s="2"/>
      <c r="G3338" s="2"/>
      <c r="H3338" s="2"/>
      <c r="I3338" s="2"/>
      <c r="J3338" s="2"/>
      <c r="K3338" s="2"/>
      <c r="L3338" s="2"/>
    </row>
    <row r="3339" spans="1:12" customFormat="1" ht="16" ns3:dyDescent="0.2">
      <c r="A3339" s="1" t="s">
        <v>10</v>
      </c>
      <c r="B3339" s="2"/>
      <c r="C3339" s="2"/>
      <c r="D3339" s="2"/>
      <c r="E3339" s="2"/>
      <c r="F3339" s="2"/>
      <c r="G3339" s="2"/>
      <c r="H3339" s="2"/>
      <c r="I3339" s="2"/>
      <c r="J3339" s="2"/>
      <c r="K3339" s="2"/>
      <c r="L3339" s="2"/>
    </row>
    <row r="3340" spans="1:12" ns3:dyDescent="0.2">
      <c r="A3340" s="17" t="s">
        <v>11</v>
      </c>
      <c r="B3340" s="17" t="s">
        <v>12</v>
      </c>
      <c r="C3340" s="17" t="s">
        <v>3</v>
      </c>
      <c r="D3340" s="17" t="s">
        <v>13</v>
      </c>
      <c r="E3340" s="17" t="s">
        <v>8</v>
      </c>
      <c r="F3340" s="17" t="s">
        <v>6</v>
      </c>
      <c r="G3340" s="17" t="s">
        <v>5</v>
      </c>
      <c r="H3340" s="17"/>
      <c r="J3340" s="17"/>
      <c r="K3340" s="17"/>
    </row>
    <row r="3341" spans="1:12" customFormat="1" ht="16" ns3:dyDescent="0.2">
      <c r="A3341" s="2" t="str">
        <f>B3333</f>
        <v>kerosene, from non-residual oily biomass, burned in aircraft</v>
      </c>
      <c r="B3341" s="2">
        <v>1</v>
      </c>
      <c r="C3341" s="2" t="str">
        <f>B3334</f>
        <v>RER</v>
      </c>
      <c r="D3341" s="2"/>
      <c r="E3341" s="2" t="str">
        <f>B3338</f>
        <v>megajoule</v>
      </c>
      <c r="F3341" s="2" t="s">
        <v>19</v>
      </c>
      <c r="G3341" s="2" t="str">
        <f>B3336</f>
        <v>heat</v>
      </c>
      <c r="H3341" s="2"/>
      <c r="I3341" s="2"/>
      <c r="J3341" s="2"/>
      <c r="K3341" s="2"/>
      <c r="L3341" s="2"/>
    </row>
    <row r="3342" spans="1:12" customFormat="1" ht="16" ns3:dyDescent="0.2">
      <c r="A3342" s="2" t="s">
        <v>417</v>
      </c>
      <c r="B3342" s="9">
        <f>1/43</f>
        <v>2.3255813953488372E-2</v>
      </c>
      <c r="C3342" t="s">
        <v>18</v>
      </c>
      <c r="E3342" t="s">
        <v>9</v>
      </c>
      <c r="F3342" t="s">
        <v>23</v>
      </c>
      <c r="G3342" t="s">
        <v>418</v>
      </c>
      <c r="I3342" s="2"/>
    </row>
    <row r="3343" spans="1:12" customFormat="1" ht="16" ns3:dyDescent="0.2">
      <c r="A3343" t="s">
        <v>52</v>
      </c>
      <c r="B3343" s="3">
        <v>2.1198518564846293E-10</v>
      </c>
      <c r="D3343" t="s">
        <v>99</v>
      </c>
      <c r="E3343" t="s">
        <v>9</v>
      </c>
      <c r="F3343" s="2" t="s">
        <v>15</v>
      </c>
      <c r="I3343" s="2"/>
    </row>
    <row r="3344" spans="1:12" customFormat="1" ht="16" ns3:dyDescent="0.2">
      <c r="A3344" t="s">
        <v>52</v>
      </c>
      <c r="B3344" s="3">
        <v>2.0573376279857471E-11</v>
      </c>
      <c r="D3344" t="s">
        <v>100</v>
      </c>
      <c r="E3344" t="s">
        <v>9</v>
      </c>
      <c r="F3344" s="2" t="s">
        <v>15</v>
      </c>
      <c r="I3344" s="2"/>
    </row>
    <row r="3345" spans="1:12" customFormat="1" ht="16" ns3:dyDescent="0.2">
      <c r="A3345" t="s">
        <v>122</v>
      </c>
      <c r="B3345" s="25">
        <f>0.0660685839024935+0.00641203619387979</f>
        <v>7.2480620096373294E-2</v>
      </c>
      <c r="D3345" t="s">
        <v>116</v>
      </c>
      <c r="E3345" t="s">
        <v>9</v>
      </c>
      <c r="F3345" s="2" t="s">
        <v>15</v>
      </c>
      <c r="I3345" s="2"/>
    </row>
    <row r="3346" spans="1:12" customFormat="1" ht="16" ns3:dyDescent="0.2">
      <c r="A3346" t="s">
        <v>123</v>
      </c>
      <c r="B3346" s="3">
        <f>0.0000496205808723556+4.81573396118271E-06</f>
        <v>5.4436314833538314E-5</v>
      </c>
      <c r="D3346" t="s">
        <v>116</v>
      </c>
      <c r="E3346" t="s">
        <v>9</v>
      </c>
      <c r="F3346" s="2" t="s">
        <v>15</v>
      </c>
      <c r="I3346" s="2"/>
    </row>
    <row r="3347" spans="1:12" customFormat="1" ht="16" ns3:dyDescent="0.2">
      <c r="A3347" t="s">
        <v>55</v>
      </c>
      <c r="B3347" s="3">
        <v>1.0599259282423148E-9</v>
      </c>
      <c r="D3347" t="s">
        <v>99</v>
      </c>
      <c r="E3347" t="s">
        <v>9</v>
      </c>
      <c r="F3347" s="2" t="s">
        <v>15</v>
      </c>
      <c r="I3347" s="2"/>
    </row>
    <row r="3348" spans="1:12" customFormat="1" ht="16" ns3:dyDescent="0.2">
      <c r="A3348" t="s">
        <v>55</v>
      </c>
      <c r="B3348" s="3">
        <v>1.0286688139928735E-10</v>
      </c>
      <c r="D3348" t="s">
        <v>100</v>
      </c>
      <c r="E3348" t="s">
        <v>9</v>
      </c>
      <c r="F3348" s="2" t="s">
        <v>15</v>
      </c>
      <c r="I3348" s="2"/>
    </row>
    <row r="3349" spans="1:12" customFormat="1" ht="16" ns3:dyDescent="0.2">
      <c r="A3349" t="s">
        <v>57</v>
      </c>
      <c r="B3349" s="3">
        <v>3.6037375961879753E-8</v>
      </c>
      <c r="D3349" t="s">
        <v>99</v>
      </c>
      <c r="E3349" t="s">
        <v>9</v>
      </c>
      <c r="F3349" s="2" t="s">
        <v>15</v>
      </c>
      <c r="I3349" s="2"/>
    </row>
    <row r="3350" spans="1:9" customFormat="1" ht="16" ns3:dyDescent="0.2">
      <c r="A3350" t="s">
        <v>57</v>
      </c>
      <c r="B3350" s="3">
        <v>3.4974704476304713E-9</v>
      </c>
      <c r="D3350" t="s">
        <v>100</v>
      </c>
      <c r="E3350" t="s">
        <v>9</v>
      </c>
      <c r="F3350" s="2" t="s">
        <v>15</v>
      </c>
      <c r="I3350" s="2"/>
    </row>
    <row r="3351" spans="1:9" customFormat="1" ht="16" ns3:dyDescent="0.2">
      <c r="A3351" t="s">
        <v>63</v>
      </c>
      <c r="B3351" s="3">
        <v>4.2396949131060127E-7</v>
      </c>
      <c r="D3351" t="s">
        <v>99</v>
      </c>
      <c r="E3351" t="s">
        <v>9</v>
      </c>
      <c r="F3351" s="2" t="s">
        <v>15</v>
      </c>
      <c r="I3351" s="2"/>
    </row>
    <row r="3352" spans="1:9" customFormat="1" ht="16" ns3:dyDescent="0.2">
      <c r="A3352" t="s">
        <v>63</v>
      </c>
      <c r="B3352" s="3">
        <v>4.1146752559714943E-8</v>
      </c>
      <c r="D3352" t="s">
        <v>100</v>
      </c>
      <c r="E3352" t="s">
        <v>9</v>
      </c>
      <c r="F3352" s="2" t="s">
        <v>15</v>
      </c>
      <c r="I3352" s="2"/>
    </row>
    <row r="3353" spans="1:9" customFormat="1" ht="16" ns3:dyDescent="0.2">
      <c r="A3353" t="s">
        <v>64</v>
      </c>
      <c r="B3353" s="3">
        <v>1.4838945395665915E-12</v>
      </c>
      <c r="D3353" t="s">
        <v>99</v>
      </c>
      <c r="E3353" t="s">
        <v>9</v>
      </c>
      <c r="F3353" s="2" t="s">
        <v>15</v>
      </c>
      <c r="I3353" s="2"/>
    </row>
    <row r="3354" spans="1:9" customFormat="1" ht="16" ns3:dyDescent="0.2">
      <c r="A3354" t="s">
        <v>64</v>
      </c>
      <c r="B3354" s="3">
        <v>1.4401328196447244E-13</v>
      </c>
      <c r="D3354" t="s">
        <v>100</v>
      </c>
      <c r="E3354" t="s">
        <v>9</v>
      </c>
      <c r="F3354" s="2" t="s">
        <v>15</v>
      </c>
      <c r="I3354" s="2"/>
    </row>
    <row r="3355" spans="1:9" customFormat="1" ht="16" ns3:dyDescent="0.2">
      <c r="A3355" t="s">
        <v>67</v>
      </c>
      <c r="B3355" s="3">
        <v>4.9290146007471967E-6</v>
      </c>
      <c r="D3355" t="s">
        <v>99</v>
      </c>
      <c r="E3355" t="s">
        <v>9</v>
      </c>
      <c r="F3355" s="2" t="s">
        <v>15</v>
      </c>
      <c r="I3355" s="2"/>
    </row>
    <row r="3356" spans="1:9" customFormat="1" ht="16" ns3:dyDescent="0.2">
      <c r="A3356" t="s">
        <v>67</v>
      </c>
      <c r="B3356" s="3">
        <v>4.7836672595146453E-7</v>
      </c>
      <c r="D3356" t="s">
        <v>100</v>
      </c>
      <c r="E3356" t="s">
        <v>9</v>
      </c>
      <c r="F3356" s="2" t="s">
        <v>15</v>
      </c>
      <c r="I3356" s="2"/>
    </row>
    <row r="3357" spans="1:9" customFormat="1" ht="16" ns3:dyDescent="0.2">
      <c r="A3357" t="s">
        <v>68</v>
      </c>
      <c r="B3357" s="3">
        <v>1.4838945395665916E-9</v>
      </c>
      <c r="D3357" t="s">
        <v>99</v>
      </c>
      <c r="E3357" t="s">
        <v>9</v>
      </c>
      <c r="F3357" s="2" t="s">
        <v>15</v>
      </c>
      <c r="I3357" s="2"/>
    </row>
    <row r="3358" spans="1:9" customFormat="1" ht="16" ns3:dyDescent="0.2">
      <c r="A3358" t="s">
        <v>68</v>
      </c>
      <c r="B3358" s="3">
        <v>1.4401328196447246E-10</v>
      </c>
      <c r="D3358" t="s">
        <v>100</v>
      </c>
      <c r="E3358" t="s">
        <v>9</v>
      </c>
      <c r="F3358" s="2" t="s">
        <v>15</v>
      </c>
      <c r="I3358" s="2"/>
    </row>
    <row r="3359" spans="1:9" customFormat="1" ht="16" ns3:dyDescent="0.2">
      <c r="A3359" t="s">
        <v>69</v>
      </c>
      <c r="B3359" s="25">
        <v>3.0006653682198702E-4</v>
      </c>
      <c r="D3359" t="s">
        <v>99</v>
      </c>
      <c r="E3359" t="s">
        <v>9</v>
      </c>
      <c r="F3359" s="2" t="s">
        <v>15</v>
      </c>
      <c r="I3359" s="2"/>
    </row>
    <row r="3360" spans="1:9" customFormat="1" ht="16" ns3:dyDescent="0.2">
      <c r="A3360" t="s">
        <v>69</v>
      </c>
      <c r="B3360" s="3">
        <v>2.9121827432823326E-5</v>
      </c>
      <c r="D3360" t="s">
        <v>100</v>
      </c>
      <c r="E3360" t="s">
        <v>9</v>
      </c>
      <c r="F3360" s="2" t="s">
        <v>15</v>
      </c>
      <c r="I3360" s="2"/>
    </row>
    <row r="3361" spans="1:9" customFormat="1" ht="16" ns3:dyDescent="0.2">
      <c r="A3361" t="s">
        <v>71</v>
      </c>
      <c r="B3361" s="3">
        <v>3.8963858482936672E-6</v>
      </c>
      <c r="D3361" t="s">
        <v>99</v>
      </c>
      <c r="E3361" t="s">
        <v>9</v>
      </c>
      <c r="F3361" s="2" t="s">
        <v>15</v>
      </c>
      <c r="I3361" s="2"/>
    </row>
    <row r="3362" spans="1:9" customFormat="1" ht="16" ns3:dyDescent="0.2">
      <c r="A3362" t="s">
        <v>71</v>
      </c>
      <c r="B3362" s="3">
        <v>3.7814860338919342E-7</v>
      </c>
      <c r="D3362" t="s">
        <v>100</v>
      </c>
      <c r="E3362" t="s">
        <v>9</v>
      </c>
      <c r="F3362" s="2" t="s">
        <v>15</v>
      </c>
      <c r="I3362" s="2"/>
    </row>
    <row r="3363" spans="1:9" customFormat="1" ht="16" ns3:dyDescent="0.2">
      <c r="A3363" t="s">
        <v>75</v>
      </c>
      <c r="B3363" s="3">
        <v>2.1198518564846293E-10</v>
      </c>
      <c r="D3363" t="s">
        <v>99</v>
      </c>
      <c r="E3363" t="s">
        <v>9</v>
      </c>
      <c r="F3363" s="2" t="s">
        <v>15</v>
      </c>
      <c r="I3363" s="2"/>
    </row>
    <row r="3364" spans="1:9" customFormat="1" ht="16" ns3:dyDescent="0.2">
      <c r="A3364" t="s">
        <v>75</v>
      </c>
      <c r="B3364" s="3">
        <v>2.0573376279857471E-11</v>
      </c>
      <c r="D3364" t="s">
        <v>100</v>
      </c>
      <c r="E3364" t="s">
        <v>9</v>
      </c>
      <c r="F3364" s="2" t="s">
        <v>15</v>
      </c>
      <c r="I3364" s="2"/>
    </row>
    <row r="3365" spans="1:9" customFormat="1" ht="16" ns3:dyDescent="0.2">
      <c r="A3365" t="s">
        <v>77</v>
      </c>
      <c r="B3365" s="3">
        <v>1.7806699275346112E-5</v>
      </c>
      <c r="D3365" t="s">
        <v>99</v>
      </c>
      <c r="E3365" t="s">
        <v>9</v>
      </c>
      <c r="F3365" s="2" t="s">
        <v>15</v>
      </c>
      <c r="I3365" s="2"/>
    </row>
    <row r="3366" spans="1:12" customFormat="1" ht="16" ns3:dyDescent="0.2">
      <c r="A3366" t="s">
        <v>77</v>
      </c>
      <c r="B3366" s="3">
        <v>1.7281611435463185E-6</v>
      </c>
      <c r="D3366" t="s">
        <v>100</v>
      </c>
      <c r="E3366" t="s">
        <v>9</v>
      </c>
      <c r="F3366" s="2" t="s">
        <v>15</v>
      </c>
      <c r="I3366" s="2"/>
    </row>
    <row r="3367" spans="1:12" customFormat="1" ht="16" ns3:dyDescent="0.2">
      <c r="A3367" t="s">
        <v>98</v>
      </c>
      <c r="B3367" s="3">
        <v>1.6219731937580282E-7</v>
      </c>
      <c r="D3367" t="s">
        <v>99</v>
      </c>
      <c r="E3367" s="2" t="s">
        <v>94</v>
      </c>
      <c r="F3367" s="2" t="s">
        <v>15</v>
      </c>
      <c r="I3367" s="2"/>
    </row>
    <row r="3368" spans="1:12" customFormat="1" ht="16" ns3:dyDescent="0.2">
      <c r="A3368" t="s">
        <v>98</v>
      </c>
      <c r="B3368" s="3">
        <v>1.574145937016555E-8</v>
      </c>
      <c r="D3368" t="s">
        <v>100</v>
      </c>
      <c r="E3368" s="2" t="s">
        <v>94</v>
      </c>
      <c r="F3368" s="2" t="s">
        <v>15</v>
      </c>
      <c r="I3368" s="2"/>
    </row>
    <row r="3369" spans="1:12" customFormat="1" ht="16" ns3:dyDescent="0.2">
      <c r="A3369" t="s">
        <v>79</v>
      </c>
      <c r="B3369" s="3">
        <v>2.1198518564846295E-7</v>
      </c>
      <c r="D3369" t="s">
        <v>99</v>
      </c>
      <c r="E3369" t="s">
        <v>9</v>
      </c>
      <c r="F3369" s="2" t="s">
        <v>15</v>
      </c>
      <c r="I3369" s="2"/>
    </row>
    <row r="3370" spans="1:12" customFormat="1" ht="16" ns3:dyDescent="0.2">
      <c r="A3370" t="s">
        <v>79</v>
      </c>
      <c r="B3370" s="3">
        <v>2.0573376279857471E-8</v>
      </c>
      <c r="D3370" t="s">
        <v>100</v>
      </c>
      <c r="E3370" t="s">
        <v>9</v>
      </c>
      <c r="F3370" s="2" t="s">
        <v>15</v>
      </c>
      <c r="I3370" s="2"/>
    </row>
    <row r="3371" spans="1:12" customFormat="1" ht="16" ns3:dyDescent="0.2"/>
    <row r="3372" spans="1:12" ns3:dyDescent="0.2">
      <c r="A3372" s="17" t="s">
        <v>2</v>
      </c>
      <c r="B3372" s="17" t="s">
        <v>279</v>
      </c>
    </row>
    <row r="3373" spans="1:12" customFormat="1" ht="16" ns3:dyDescent="0.2">
      <c r="A3373" s="2" t="s">
        <v>3</v>
      </c>
      <c r="B3373" s="2" t="s">
        <v>18</v>
      </c>
      <c r="C3373" s="2"/>
      <c r="D3373" s="2"/>
      <c r="E3373" s="2"/>
      <c r="F3373" s="2"/>
      <c r="G3373" s="2"/>
      <c r="H3373" s="2"/>
      <c r="I3373" s="2"/>
      <c r="J3373" s="2"/>
      <c r="K3373" s="2"/>
      <c r="L3373" s="2"/>
    </row>
    <row r="3374" spans="1:12" customFormat="1" ht="16" ns3:dyDescent="0.2">
      <c r="A3374" s="2" t="s">
        <v>4</v>
      </c>
      <c r="B3374" s="2">
        <v>1</v>
      </c>
      <c r="C3374" s="2"/>
      <c r="D3374" s="2"/>
      <c r="E3374" s="2"/>
      <c r="F3374" s="2"/>
      <c r="G3374" s="2"/>
      <c r="H3374" s="2"/>
      <c r="I3374" s="2"/>
      <c r="J3374" s="2"/>
      <c r="K3374" s="2"/>
      <c r="L3374" s="2"/>
    </row>
    <row r="3375" spans="1:12" customFormat="1" ht="16" ns3:dyDescent="0.2">
      <c r="A3375" s="2" t="s">
        <v>5</v>
      </c>
      <c r="B3375" s="2" t="s">
        <v>1</v>
      </c>
      <c r="C3375" s="2"/>
      <c r="D3375" s="2"/>
      <c r="E3375" s="2"/>
      <c r="F3375" s="2"/>
      <c r="G3375" s="2"/>
      <c r="H3375" s="2"/>
      <c r="I3375" s="2"/>
      <c r="J3375" s="2"/>
    </row>
    <row r="3376" spans="1:12" customFormat="1" ht="16" ns3:dyDescent="0.2">
      <c r="A3376" s="2" t="s">
        <v>6</v>
      </c>
      <c r="B3376" s="2" t="s">
        <v>7</v>
      </c>
      <c r="C3376" s="2"/>
      <c r="D3376" s="2"/>
      <c r="E3376" s="2"/>
      <c r="F3376" s="2"/>
      <c r="G3376" s="2"/>
      <c r="H3376" s="2"/>
      <c r="I3376" s="2"/>
      <c r="J3376" s="2"/>
      <c r="K3376" s="2"/>
      <c r="L3376" s="2"/>
    </row>
    <row r="3377" spans="1:12" customFormat="1" ht="16" ns3:dyDescent="0.2">
      <c r="A3377" s="2" t="s">
        <v>8</v>
      </c>
      <c r="B3377" s="2" t="s">
        <v>17</v>
      </c>
      <c r="C3377" s="2"/>
      <c r="D3377" s="2"/>
      <c r="E3377" s="2"/>
      <c r="F3377" s="2"/>
      <c r="G3377" s="2"/>
      <c r="H3377" s="2"/>
      <c r="I3377" s="2"/>
      <c r="J3377" s="2"/>
      <c r="K3377" s="2"/>
      <c r="L3377" s="2"/>
    </row>
    <row r="3378" spans="1:12" customFormat="1" ht="16" ns3:dyDescent="0.2">
      <c r="A3378" s="1" t="s">
        <v>10</v>
      </c>
      <c r="B3378" s="2"/>
      <c r="C3378" s="2"/>
      <c r="D3378" s="2"/>
      <c r="E3378" s="2"/>
      <c r="F3378" s="2"/>
      <c r="G3378" s="2"/>
      <c r="H3378" s="2"/>
      <c r="I3378" s="2"/>
      <c r="J3378" s="2"/>
      <c r="K3378" s="2"/>
      <c r="L3378" s="2"/>
    </row>
    <row r="3379" spans="1:12" ns3:dyDescent="0.2">
      <c r="A3379" s="17" t="s">
        <v>11</v>
      </c>
      <c r="B3379" s="17" t="s">
        <v>12</v>
      </c>
      <c r="C3379" s="17" t="s">
        <v>3</v>
      </c>
      <c r="D3379" s="17" t="s">
        <v>13</v>
      </c>
      <c r="E3379" s="17" t="s">
        <v>8</v>
      </c>
      <c r="F3379" s="17" t="s">
        <v>6</v>
      </c>
      <c r="G3379" s="17" t="s">
        <v>5</v>
      </c>
      <c r="H3379" s="17"/>
      <c r="I3379" s="17"/>
      <c r="K3379" s="17"/>
    </row>
    <row r="3380" spans="1:12" customFormat="1" ht="16" ns3:dyDescent="0.2">
      <c r="A3380" s="2" t="str">
        <f>B3372</f>
        <v>kerosene, synthetic, burned in aircraft</v>
      </c>
      <c r="B3380" s="2">
        <v>1</v>
      </c>
      <c r="C3380" s="2" t="str">
        <f>B3373</f>
        <v>RER</v>
      </c>
      <c r="D3380" s="2"/>
      <c r="E3380" s="2" t="str">
        <f>B3377</f>
        <v>megajoule</v>
      </c>
      <c r="F3380" s="2" t="s">
        <v>19</v>
      </c>
      <c r="G3380" s="2" t="str">
        <f>B3375</f>
        <v>heat</v>
      </c>
      <c r="H3380" s="2"/>
      <c r="I3380" s="2"/>
      <c r="J3380" s="2"/>
      <c r="K3380" s="2"/>
      <c r="L3380" s="2"/>
    </row>
    <row r="3381" spans="1:12" customFormat="1" ht="16" ns3:dyDescent="0.2">
      <c r="A3381" t="s">
        <v>502</v>
      </c>
      <c r="B3381">
        <f>1/43</f>
        <v>2.3255813953488372E-2</v>
      </c>
      <c r="C3381" t="s">
        <v>18</v>
      </c>
      <c r="E3381" t="s">
        <v>9</v>
      </c>
      <c r="F3381" t="s">
        <v>23</v>
      </c>
      <c r="G3381" t="s">
        <v>280</v>
      </c>
      <c r="J3381" s="2"/>
    </row>
    <row r="3382" spans="1:10" customFormat="1" ht="16" ns3:dyDescent="0.2">
      <c r="A3382" t="s">
        <v>52</v>
      </c>
      <c r="B3382" s="3">
        <v>2.1198518564846293E-10</v>
      </c>
      <c r="D3382" t="s">
        <v>99</v>
      </c>
      <c r="E3382" t="s">
        <v>9</v>
      </c>
      <c r="F3382" s="2" t="s">
        <v>15</v>
      </c>
      <c r="J3382" s="2"/>
    </row>
    <row r="3383" spans="1:10" customFormat="1" ht="16" ns3:dyDescent="0.2">
      <c r="A3383" t="s">
        <v>52</v>
      </c>
      <c r="B3383" s="3">
        <v>2.0573376279857471E-11</v>
      </c>
      <c r="D3383" t="s">
        <v>100</v>
      </c>
      <c r="E3383" t="s">
        <v>9</v>
      </c>
      <c r="F3383" s="2" t="s">
        <v>15</v>
      </c>
      <c r="J3383" s="2"/>
    </row>
    <row r="3384" spans="1:10" customFormat="1" ht="16" ns3:dyDescent="0.2">
      <c r="A3384" t="s">
        <v>122</v>
      </c>
      <c r="B3384" s="25">
        <f>0.0660685839024935+0.00641203619387979</f>
        <v>7.2480620096373294E-2</v>
      </c>
      <c r="D3384" t="s">
        <v>116</v>
      </c>
      <c r="E3384" t="s">
        <v>9</v>
      </c>
      <c r="F3384" s="2" t="s">
        <v>15</v>
      </c>
      <c r="J3384" s="2"/>
    </row>
    <row r="3385" spans="1:10" customFormat="1" ht="16" ns3:dyDescent="0.2">
      <c r="A3385" t="s">
        <v>123</v>
      </c>
      <c r="B3385" s="3">
        <f>0.0000496205808723556+4.81573396118271E-06</f>
        <v>5.4436314833538314E-5</v>
      </c>
      <c r="D3385" t="s">
        <v>116</v>
      </c>
      <c r="E3385" t="s">
        <v>9</v>
      </c>
      <c r="F3385" s="2" t="s">
        <v>15</v>
      </c>
      <c r="J3385" s="2"/>
    </row>
    <row r="3386" spans="1:10" customFormat="1" ht="16" ns3:dyDescent="0.2">
      <c r="A3386" t="s">
        <v>55</v>
      </c>
      <c r="B3386" s="3">
        <v>1.0599259282423148E-9</v>
      </c>
      <c r="D3386" t="s">
        <v>99</v>
      </c>
      <c r="E3386" t="s">
        <v>9</v>
      </c>
      <c r="F3386" s="2" t="s">
        <v>15</v>
      </c>
      <c r="J3386" s="2"/>
    </row>
    <row r="3387" spans="1:10" customFormat="1" ht="16" ns3:dyDescent="0.2">
      <c r="A3387" t="s">
        <v>55</v>
      </c>
      <c r="B3387" s="3">
        <v>1.0286688139928735E-10</v>
      </c>
      <c r="D3387" t="s">
        <v>100</v>
      </c>
      <c r="E3387" t="s">
        <v>9</v>
      </c>
      <c r="F3387" s="2" t="s">
        <v>15</v>
      </c>
      <c r="J3387" s="2"/>
    </row>
    <row r="3388" spans="1:10" customFormat="1" ht="16" ns3:dyDescent="0.2">
      <c r="A3388" t="s">
        <v>57</v>
      </c>
      <c r="B3388" s="3">
        <v>3.6037375961879753E-8</v>
      </c>
      <c r="D3388" t="s">
        <v>99</v>
      </c>
      <c r="E3388" t="s">
        <v>9</v>
      </c>
      <c r="F3388" s="2" t="s">
        <v>15</v>
      </c>
      <c r="J3388" s="2"/>
    </row>
    <row r="3389" spans="1:10" customFormat="1" ht="16" ns3:dyDescent="0.2">
      <c r="A3389" t="s">
        <v>57</v>
      </c>
      <c r="B3389" s="3">
        <v>3.4974704476304713E-9</v>
      </c>
      <c r="D3389" t="s">
        <v>100</v>
      </c>
      <c r="E3389" t="s">
        <v>9</v>
      </c>
      <c r="F3389" s="2" t="s">
        <v>15</v>
      </c>
      <c r="J3389" s="2"/>
    </row>
    <row r="3390" spans="1:10" customFormat="1" ht="16" ns3:dyDescent="0.2">
      <c r="A3390" t="s">
        <v>63</v>
      </c>
      <c r="B3390" s="3">
        <v>4.2396949131060127E-7</v>
      </c>
      <c r="D3390" t="s">
        <v>99</v>
      </c>
      <c r="E3390" t="s">
        <v>9</v>
      </c>
      <c r="F3390" s="2" t="s">
        <v>15</v>
      </c>
      <c r="J3390" s="2"/>
    </row>
    <row r="3391" spans="1:10" customFormat="1" ht="16" ns3:dyDescent="0.2">
      <c r="A3391" t="s">
        <v>63</v>
      </c>
      <c r="B3391" s="3">
        <v>4.1146752559714943E-8</v>
      </c>
      <c r="D3391" t="s">
        <v>100</v>
      </c>
      <c r="E3391" t="s">
        <v>9</v>
      </c>
      <c r="F3391" s="2" t="s">
        <v>15</v>
      </c>
      <c r="J3391" s="2"/>
    </row>
    <row r="3392" spans="1:10" customFormat="1" ht="16" ns3:dyDescent="0.2">
      <c r="A3392" t="s">
        <v>64</v>
      </c>
      <c r="B3392" s="3">
        <v>1.4838945395665915E-12</v>
      </c>
      <c r="D3392" t="s">
        <v>99</v>
      </c>
      <c r="E3392" t="s">
        <v>9</v>
      </c>
      <c r="F3392" s="2" t="s">
        <v>15</v>
      </c>
      <c r="J3392" s="2"/>
    </row>
    <row r="3393" spans="1:10" customFormat="1" ht="16" ns3:dyDescent="0.2">
      <c r="A3393" t="s">
        <v>64</v>
      </c>
      <c r="B3393" s="3">
        <v>1.4401328196447244E-13</v>
      </c>
      <c r="D3393" t="s">
        <v>100</v>
      </c>
      <c r="E3393" t="s">
        <v>9</v>
      </c>
      <c r="F3393" s="2" t="s">
        <v>15</v>
      </c>
      <c r="J3393" s="2"/>
    </row>
    <row r="3394" spans="1:10" customFormat="1" ht="16" ns3:dyDescent="0.2">
      <c r="A3394" t="s">
        <v>67</v>
      </c>
      <c r="B3394" s="3">
        <v>4.9290146007471967E-6</v>
      </c>
      <c r="D3394" t="s">
        <v>99</v>
      </c>
      <c r="E3394" t="s">
        <v>9</v>
      </c>
      <c r="F3394" s="2" t="s">
        <v>15</v>
      </c>
      <c r="J3394" s="2"/>
    </row>
    <row r="3395" spans="1:10" customFormat="1" ht="16" ns3:dyDescent="0.2">
      <c r="A3395" t="s">
        <v>67</v>
      </c>
      <c r="B3395" s="3">
        <v>4.7836672595146453E-7</v>
      </c>
      <c r="D3395" t="s">
        <v>100</v>
      </c>
      <c r="E3395" t="s">
        <v>9</v>
      </c>
      <c r="F3395" s="2" t="s">
        <v>15</v>
      </c>
      <c r="J3395" s="2"/>
    </row>
    <row r="3396" spans="1:10" customFormat="1" ht="16" ns3:dyDescent="0.2">
      <c r="A3396" t="s">
        <v>68</v>
      </c>
      <c r="B3396" s="3">
        <v>1.4838945395665916E-9</v>
      </c>
      <c r="D3396" t="s">
        <v>99</v>
      </c>
      <c r="E3396" t="s">
        <v>9</v>
      </c>
      <c r="F3396" s="2" t="s">
        <v>15</v>
      </c>
      <c r="J3396" s="2"/>
    </row>
    <row r="3397" spans="1:10" customFormat="1" ht="16" ns3:dyDescent="0.2">
      <c r="A3397" t="s">
        <v>68</v>
      </c>
      <c r="B3397" s="3">
        <v>1.4401328196447246E-10</v>
      </c>
      <c r="D3397" t="s">
        <v>100</v>
      </c>
      <c r="E3397" t="s">
        <v>9</v>
      </c>
      <c r="F3397" s="2" t="s">
        <v>15</v>
      </c>
      <c r="J3397" s="2"/>
    </row>
    <row r="3398" spans="1:12" customFormat="1" ht="16" ns3:dyDescent="0.2">
      <c r="A3398" t="s">
        <v>69</v>
      </c>
      <c r="B3398" s="25">
        <v>3.0006653682198702E-4</v>
      </c>
      <c r="D3398" t="s">
        <v>99</v>
      </c>
      <c r="E3398" t="s">
        <v>9</v>
      </c>
      <c r="F3398" s="2" t="s">
        <v>15</v>
      </c>
      <c r="J3398" s="2"/>
    </row>
    <row r="3399" spans="1:12" customFormat="1" ht="16" ns3:dyDescent="0.2">
      <c r="A3399" t="s">
        <v>69</v>
      </c>
      <c r="B3399" s="3">
        <v>2.9121827432823326E-5</v>
      </c>
      <c r="D3399" t="s">
        <v>100</v>
      </c>
      <c r="E3399" t="s">
        <v>9</v>
      </c>
      <c r="F3399" s="2" t="s">
        <v>15</v>
      </c>
      <c r="J3399" s="2"/>
    </row>
    <row r="3400" spans="1:12" customFormat="1" ht="16" ns3:dyDescent="0.2">
      <c r="A3400" t="s">
        <v>71</v>
      </c>
      <c r="B3400" s="3">
        <v>3.8963858482936672E-6</v>
      </c>
      <c r="D3400" t="s">
        <v>99</v>
      </c>
      <c r="E3400" t="s">
        <v>9</v>
      </c>
      <c r="F3400" s="2" t="s">
        <v>15</v>
      </c>
      <c r="J3400" s="2"/>
    </row>
    <row r="3401" spans="1:12" customFormat="1" ht="16" ns3:dyDescent="0.2">
      <c r="A3401" t="s">
        <v>71</v>
      </c>
      <c r="B3401" s="3">
        <v>3.7814860338919342E-7</v>
      </c>
      <c r="D3401" t="s">
        <v>100</v>
      </c>
      <c r="E3401" t="s">
        <v>9</v>
      </c>
      <c r="F3401" s="2" t="s">
        <v>15</v>
      </c>
      <c r="J3401" s="2"/>
    </row>
    <row r="3402" spans="1:12" customFormat="1" ht="16" ns3:dyDescent="0.2">
      <c r="A3402" t="s">
        <v>75</v>
      </c>
      <c r="B3402" s="3">
        <v>2.1198518564846293E-10</v>
      </c>
      <c r="D3402" t="s">
        <v>99</v>
      </c>
      <c r="E3402" t="s">
        <v>9</v>
      </c>
      <c r="F3402" s="2" t="s">
        <v>15</v>
      </c>
      <c r="J3402" s="2"/>
    </row>
    <row r="3403" spans="1:12" customFormat="1" ht="16" ns3:dyDescent="0.2">
      <c r="A3403" t="s">
        <v>75</v>
      </c>
      <c r="B3403" s="3">
        <v>2.0573376279857471E-11</v>
      </c>
      <c r="D3403" t="s">
        <v>100</v>
      </c>
      <c r="E3403" t="s">
        <v>9</v>
      </c>
      <c r="F3403" s="2" t="s">
        <v>15</v>
      </c>
      <c r="J3403" s="2"/>
    </row>
    <row r="3404" spans="1:12" customFormat="1" ht="16" ns3:dyDescent="0.2">
      <c r="A3404" t="s">
        <v>77</v>
      </c>
      <c r="B3404" s="3">
        <v>1.7806699275346112E-5</v>
      </c>
      <c r="D3404" t="s">
        <v>99</v>
      </c>
      <c r="E3404" t="s">
        <v>9</v>
      </c>
      <c r="F3404" s="2" t="s">
        <v>15</v>
      </c>
      <c r="J3404" s="2"/>
    </row>
    <row r="3405" spans="1:12" customFormat="1" ht="16" ns3:dyDescent="0.2">
      <c r="A3405" t="s">
        <v>77</v>
      </c>
      <c r="B3405" s="3">
        <v>1.7281611435463185E-6</v>
      </c>
      <c r="D3405" t="s">
        <v>100</v>
      </c>
      <c r="E3405" t="s">
        <v>9</v>
      </c>
      <c r="F3405" s="2" t="s">
        <v>15</v>
      </c>
      <c r="J3405" s="2"/>
    </row>
    <row r="3406" spans="1:12" customFormat="1" ht="16" ns3:dyDescent="0.2">
      <c r="A3406" t="s">
        <v>98</v>
      </c>
      <c r="B3406" s="3">
        <v>1.6219731937580282E-7</v>
      </c>
      <c r="D3406" t="s">
        <v>99</v>
      </c>
      <c r="E3406" s="2" t="s">
        <v>94</v>
      </c>
      <c r="F3406" s="2" t="s">
        <v>15</v>
      </c>
      <c r="J3406" s="2"/>
    </row>
    <row r="3407" spans="1:12" customFormat="1" ht="16" ns3:dyDescent="0.2">
      <c r="A3407" t="s">
        <v>98</v>
      </c>
      <c r="B3407" s="3">
        <v>1.574145937016555E-8</v>
      </c>
      <c r="D3407" t="s">
        <v>100</v>
      </c>
      <c r="E3407" s="2" t="s">
        <v>94</v>
      </c>
      <c r="F3407" s="2" t="s">
        <v>15</v>
      </c>
      <c r="J3407" s="2"/>
    </row>
    <row r="3408" spans="1:12" customFormat="1" ht="16" ns3:dyDescent="0.2">
      <c r="A3408" t="s">
        <v>79</v>
      </c>
      <c r="B3408" s="3">
        <v>2.1198518564846295E-7</v>
      </c>
      <c r="D3408" t="s">
        <v>99</v>
      </c>
      <c r="E3408" t="s">
        <v>9</v>
      </c>
      <c r="F3408" s="2" t="s">
        <v>15</v>
      </c>
      <c r="J3408" s="2"/>
    </row>
    <row r="3409" spans="1:12" customFormat="1" ht="16" ns3:dyDescent="0.2">
      <c r="A3409" t="s">
        <v>79</v>
      </c>
      <c r="B3409" s="3">
        <v>2.0573376279857471E-8</v>
      </c>
      <c r="D3409" t="s">
        <v>100</v>
      </c>
      <c r="E3409" t="s">
        <v>9</v>
      </c>
      <c r="F3409" s="2" t="s">
        <v>15</v>
      </c>
      <c r="J3409" s="2"/>
    </row>
    <row r="3410" spans="1:12" customFormat="1" ht="16" ns3:dyDescent="0.2">
      <c r="J3410" s="2"/>
    </row>
    <row r="3411" spans="1:12" ns3:dyDescent="0.2">
      <c r="A3411" s="17" t="s">
        <v>2</v>
      </c>
      <c r="B3411" s="17" t="s">
        <v>375</v>
      </c>
    </row>
    <row r="3412" spans="1:12" customFormat="1" ht="16" ns3:dyDescent="0.2">
      <c r="A3412" s="2" t="s">
        <v>3</v>
      </c>
      <c r="B3412" s="2" t="s">
        <v>18</v>
      </c>
      <c r="C3412" s="2"/>
      <c r="D3412" s="2"/>
      <c r="E3412" s="2"/>
      <c r="F3412" s="2"/>
      <c r="G3412" s="2"/>
      <c r="H3412" s="2"/>
      <c r="I3412" s="2"/>
      <c r="J3412" s="2"/>
      <c r="K3412" s="2"/>
      <c r="L3412" s="2"/>
    </row>
    <row r="3413" spans="1:12" customFormat="1" ht="16" ns3:dyDescent="0.2">
      <c r="A3413" s="2" t="s">
        <v>4</v>
      </c>
      <c r="B3413" s="2">
        <v>1</v>
      </c>
      <c r="C3413" s="2"/>
      <c r="D3413" s="2"/>
      <c r="E3413" s="2"/>
      <c r="F3413" s="2"/>
      <c r="G3413" s="2"/>
      <c r="H3413" s="2"/>
      <c r="I3413" s="2"/>
      <c r="J3413" s="2"/>
      <c r="K3413" s="2"/>
      <c r="L3413" s="2"/>
    </row>
    <row r="3414" spans="1:12" customFormat="1" ht="16" ns3:dyDescent="0.2">
      <c r="A3414" s="2" t="s">
        <v>5</v>
      </c>
      <c r="B3414" s="2" t="s">
        <v>142</v>
      </c>
      <c r="C3414" s="2"/>
      <c r="D3414" s="2"/>
      <c r="E3414" s="2"/>
      <c r="F3414" s="2"/>
      <c r="G3414" s="2"/>
      <c r="H3414" s="2"/>
      <c r="I3414" s="2"/>
      <c r="J3414" s="2"/>
    </row>
    <row r="3415" spans="1:12" customFormat="1" ht="16" ns3:dyDescent="0.2">
      <c r="A3415" s="2" t="s">
        <v>6</v>
      </c>
      <c r="B3415" s="2" t="s">
        <v>7</v>
      </c>
      <c r="C3415" s="2"/>
      <c r="D3415" s="2"/>
      <c r="E3415" s="2"/>
      <c r="F3415" s="2"/>
      <c r="G3415" s="2"/>
      <c r="H3415" s="2"/>
      <c r="I3415" s="2"/>
      <c r="J3415" s="2"/>
      <c r="K3415" s="2"/>
      <c r="L3415" s="2"/>
    </row>
    <row r="3416" spans="1:12" customFormat="1" ht="16" ns3:dyDescent="0.2">
      <c r="A3416" s="2" t="s">
        <v>8</v>
      </c>
      <c r="B3416" s="2" t="s">
        <v>17</v>
      </c>
      <c r="C3416" s="2"/>
      <c r="D3416" s="2"/>
      <c r="E3416" s="2"/>
      <c r="F3416" s="2"/>
      <c r="G3416" s="2"/>
      <c r="H3416" s="2"/>
      <c r="I3416" s="2"/>
      <c r="J3416" s="2"/>
      <c r="K3416" s="2"/>
      <c r="L3416" s="2"/>
    </row>
    <row r="3417" spans="1:12" customFormat="1" ht="16" ns3:dyDescent="0.2">
      <c r="A3417" s="2" t="s">
        <v>151</v>
      </c>
      <c r="B3417" s="2" t="s">
        <v>384</v>
      </c>
      <c r="C3417" s="2"/>
      <c r="D3417" s="2"/>
      <c r="E3417" s="2"/>
      <c r="F3417" s="2"/>
      <c r="G3417" s="2"/>
      <c r="H3417" s="2"/>
      <c r="I3417" s="2"/>
      <c r="J3417" s="2"/>
      <c r="K3417" s="2"/>
      <c r="L3417" s="2"/>
    </row>
    <row r="3418" spans="1:12" customFormat="1" ht="16" ns3:dyDescent="0.2">
      <c r="A3418" t="s">
        <v>349</v>
      </c>
      <c r="B3418" s="2">
        <f>INDEX(Parameters!$B$6:$AL$57,MATCH(Inventories!$B$3411,Parameters!$A$6:$A$57,0),MATCH(Inventories!$A3418,Parameters!$B$4:$AL$4,0))</f>
        <v>0</v>
      </c>
      <c r="C3418" t="s">
        <v>309</v>
      </c>
      <c r="D3418" s="2"/>
      <c r="E3418" s="2"/>
      <c r="F3418" s="2"/>
      <c r="G3418" s="2"/>
      <c r="H3418" s="2"/>
      <c r="I3418" s="2"/>
      <c r="J3418" s="2"/>
      <c r="K3418" s="2"/>
      <c r="L3418" s="2"/>
    </row>
    <row r="3419" spans="1:12" customFormat="1" ht="16" ns3:dyDescent="0.2">
      <c r="A3419" t="s">
        <v>350</v>
      </c>
      <c r="B3419" s="2">
        <f>INDEX(Parameters!$B$6:$AL$57,MATCH(Inventories!$B$3411,Parameters!$A$6:$A$57,0),MATCH(Inventories!$A3419,Parameters!$B$4:$AL$4,0))</f>
        <v>0</v>
      </c>
      <c r="C3419" t="s">
        <v>309</v>
      </c>
      <c r="D3419" s="2"/>
      <c r="E3419" s="2"/>
      <c r="F3419" s="2"/>
      <c r="G3419" s="2"/>
      <c r="H3419" s="2"/>
      <c r="I3419" s="2"/>
      <c r="J3419" s="2"/>
      <c r="K3419" s="2"/>
      <c r="L3419" s="2"/>
    </row>
    <row r="3420" spans="1:12" customFormat="1" ht="16" ns3:dyDescent="0.2">
      <c r="A3420" t="s">
        <v>351</v>
      </c>
      <c r="B3420" s="2">
        <f>INDEX(Parameters!$B$6:$AL$57,MATCH(Inventories!$B$3411,Parameters!$A$6:$A$57,0),MATCH(Inventories!$A3420,Parameters!$B$4:$AL$4,0))</f>
        <v>0</v>
      </c>
      <c r="C3420" t="s">
        <v>309</v>
      </c>
      <c r="D3420" s="2"/>
      <c r="E3420" s="2"/>
      <c r="F3420" s="2"/>
      <c r="G3420" s="2"/>
      <c r="H3420" s="2"/>
      <c r="I3420" s="2"/>
      <c r="J3420" s="2"/>
      <c r="K3420" s="2"/>
      <c r="L3420" s="2"/>
    </row>
    <row r="3421" spans="1:12" customFormat="1" ht="16" ns3:dyDescent="0.2">
      <c r="A3421" t="s">
        <v>313</v>
      </c>
      <c r="B3421" s="24">
        <f>INDEX(Parameters!$B$6:$AL$57,MATCH(Inventories!$B$3411,Parameters!$A$6:$A$57,0),MATCH(Inventories!$A3421,Parameters!$B$4:$AL$4,0))</f>
        <v>90000000</v>
      </c>
      <c r="C3421" t="s">
        <v>310</v>
      </c>
      <c r="D3421" s="2"/>
      <c r="E3421" s="2"/>
      <c r="F3421" s="2"/>
      <c r="G3421" s="2"/>
      <c r="H3421" s="2"/>
      <c r="I3421" s="2"/>
      <c r="J3421" s="2"/>
      <c r="K3421" s="2"/>
      <c r="L3421" s="2"/>
    </row>
    <row r="3422" spans="1:12" customFormat="1" ht="16" ns3:dyDescent="0.2">
      <c r="A3422" t="s">
        <v>314</v>
      </c>
      <c r="B3422" s="24">
        <f>INDEX(Parameters!$B$6:$AL$57,MATCH(Inventories!$B$3411,Parameters!$A$6:$A$57,0),MATCH(Inventories!$A3422,Parameters!$B$4:$AL$4,0))</f>
        <v>50000000</v>
      </c>
      <c r="C3422" t="s">
        <v>310</v>
      </c>
      <c r="D3422" s="2"/>
      <c r="E3422" s="2"/>
      <c r="F3422" s="2"/>
      <c r="G3422" s="2"/>
      <c r="H3422" s="2"/>
      <c r="I3422" s="2"/>
      <c r="J3422" s="2"/>
      <c r="K3422" s="2"/>
      <c r="L3422" s="2"/>
    </row>
    <row r="3423" spans="1:12" customFormat="1" ht="16" ns3:dyDescent="0.2">
      <c r="A3423" t="s">
        <v>315</v>
      </c>
      <c r="B3423" s="24">
        <f>INDEX(Parameters!$B$6:$AL$57,MATCH(Inventories!$B$3411,Parameters!$A$6:$A$57,0),MATCH(Inventories!$A3423,Parameters!$B$4:$AL$4,0))</f>
        <v>115000000</v>
      </c>
      <c r="C3423" t="s">
        <v>310</v>
      </c>
      <c r="D3423" s="2"/>
      <c r="E3423" s="2"/>
      <c r="F3423" s="2"/>
      <c r="G3423" s="2"/>
      <c r="H3423" s="2"/>
      <c r="I3423" s="2"/>
      <c r="J3423" s="2"/>
      <c r="K3423" s="2"/>
      <c r="L3423" s="2"/>
    </row>
    <row r="3424" spans="1:12" customFormat="1" ht="16" ns3:dyDescent="0.2">
      <c r="A3424" t="s">
        <v>316</v>
      </c>
      <c r="B3424" s="24">
        <f>INDEX(Parameters!$B$6:$AL$57,MATCH(Inventories!$B$3411,Parameters!$A$6:$A$57,0),MATCH(Inventories!$A3424,Parameters!$B$4:$AL$4,0))</f>
        <v>38400</v>
      </c>
      <c r="C3424" t="s">
        <v>311</v>
      </c>
      <c r="D3424" s="2"/>
      <c r="E3424" s="2"/>
      <c r="F3424" s="2"/>
      <c r="G3424" s="2"/>
      <c r="H3424" s="2"/>
      <c r="I3424" s="2"/>
      <c r="J3424" s="2"/>
      <c r="K3424" s="2"/>
      <c r="L3424" s="2"/>
    </row>
    <row r="3425" spans="1:12" customFormat="1" ht="16" ns3:dyDescent="0.2">
      <c r="A3425" t="s">
        <v>317</v>
      </c>
      <c r="B3425" s="24">
        <f>INDEX(Parameters!$B$6:$AL$57,MATCH(Inventories!$B$3411,Parameters!$A$6:$A$57,0),MATCH(Inventories!$A3425,Parameters!$B$4:$AL$4,0))</f>
        <v>32400</v>
      </c>
      <c r="C3425" t="s">
        <v>311</v>
      </c>
      <c r="D3425" s="2"/>
      <c r="E3425" s="2"/>
      <c r="F3425" s="2"/>
      <c r="G3425" s="2"/>
      <c r="H3425" s="2"/>
      <c r="I3425" s="2"/>
      <c r="J3425" s="2"/>
      <c r="K3425" s="2"/>
      <c r="L3425" s="2"/>
    </row>
    <row r="3426" spans="1:12" customFormat="1" ht="16" ns3:dyDescent="0.2">
      <c r="A3426" t="s">
        <v>318</v>
      </c>
      <c r="B3426" s="24">
        <f>INDEX(Parameters!$B$6:$AL$57,MATCH(Inventories!$B$3411,Parameters!$A$6:$A$57,0),MATCH(Inventories!$A3426,Parameters!$B$4:$AL$4,0))</f>
        <v>166800</v>
      </c>
      <c r="C3426" t="s">
        <v>311</v>
      </c>
      <c r="D3426" s="2"/>
      <c r="E3426" s="2"/>
      <c r="F3426" s="2"/>
      <c r="G3426" s="2"/>
      <c r="H3426" s="2"/>
      <c r="I3426" s="2"/>
      <c r="J3426" s="2"/>
      <c r="K3426" s="2"/>
      <c r="L3426" s="2"/>
    </row>
    <row r="3427" spans="1:12" customFormat="1" ht="16" ns3:dyDescent="0.2">
      <c r="A3427" t="s">
        <v>334</v>
      </c>
      <c r="B3427" s="2">
        <f>INDEX(Parameters!$B$6:$AL$57,MATCH(Inventories!$B$3411,Parameters!$A$6:$A$57,0),MATCH(Inventories!$A3427,Parameters!$B$4:$AL$4,0))</f>
        <v>0</v>
      </c>
      <c r="C3427" t="s">
        <v>333</v>
      </c>
      <c r="D3427" s="2"/>
      <c r="E3427" s="2"/>
      <c r="F3427" s="2"/>
      <c r="G3427" s="2"/>
      <c r="H3427" s="2"/>
      <c r="I3427" s="2"/>
      <c r="J3427" s="2"/>
      <c r="K3427" s="2"/>
      <c r="L3427" s="2"/>
    </row>
    <row r="3428" spans="1:12" customFormat="1" ht="16" ns3:dyDescent="0.2">
      <c r="A3428" t="s">
        <v>335</v>
      </c>
      <c r="B3428" s="2">
        <f>INDEX(Parameters!$B$6:$AL$57,MATCH(Inventories!$B$3411,Parameters!$A$6:$A$57,0),MATCH(Inventories!$A3428,Parameters!$B$4:$AL$4,0))</f>
        <v>0</v>
      </c>
      <c r="C3428" t="s">
        <v>333</v>
      </c>
      <c r="D3428" s="2"/>
      <c r="E3428" s="2"/>
      <c r="F3428" s="2"/>
      <c r="G3428" s="2"/>
      <c r="H3428" s="2"/>
      <c r="I3428" s="2"/>
      <c r="J3428" s="2"/>
      <c r="K3428" s="2"/>
      <c r="L3428" s="2"/>
    </row>
    <row r="3429" spans="1:12" customFormat="1" ht="16" ns3:dyDescent="0.2">
      <c r="A3429" t="s">
        <v>336</v>
      </c>
      <c r="B3429" s="2">
        <f>INDEX(Parameters!$B$6:$AL$57,MATCH(Inventories!$B$3411,Parameters!$A$6:$A$57,0),MATCH(Inventories!$A3429,Parameters!$B$4:$AL$4,0))</f>
        <v>0</v>
      </c>
      <c r="C3429" t="s">
        <v>333</v>
      </c>
      <c r="D3429" s="2"/>
      <c r="E3429" s="2"/>
      <c r="F3429" s="2"/>
      <c r="G3429" s="2"/>
      <c r="H3429" s="2"/>
      <c r="I3429" s="2"/>
      <c r="J3429" s="2"/>
      <c r="K3429" s="2"/>
      <c r="L3429" s="2"/>
    </row>
    <row r="3430" spans="1:12" customFormat="1" ht="16" ns3:dyDescent="0.2">
      <c r="A3430" t="s">
        <v>337</v>
      </c>
      <c r="B3430" s="2">
        <f>INDEX(Parameters!$B$6:$AL$57,MATCH(Inventories!$B$3411,Parameters!$A$6:$A$57,0),MATCH(Inventories!$A3430,Parameters!$B$4:$AL$4,0))</f>
        <v>0</v>
      </c>
      <c r="C3430" t="s">
        <v>333</v>
      </c>
      <c r="D3430" s="2"/>
      <c r="E3430" s="2"/>
      <c r="F3430" s="2"/>
      <c r="G3430" s="2"/>
      <c r="H3430" s="2"/>
      <c r="I3430" s="2"/>
      <c r="J3430" s="2"/>
      <c r="K3430" s="2"/>
      <c r="L3430" s="2"/>
    </row>
    <row r="3431" spans="1:12" customFormat="1" ht="16" ns3:dyDescent="0.2">
      <c r="A3431" t="s">
        <v>338</v>
      </c>
      <c r="B3431" s="2">
        <f>INDEX(Parameters!$B$6:$AL$57,MATCH(Inventories!$B$3411,Parameters!$A$6:$A$57,0),MATCH(Inventories!$A3431,Parameters!$B$4:$AL$4,0))</f>
        <v>0</v>
      </c>
      <c r="C3431" t="s">
        <v>333</v>
      </c>
      <c r="D3431" s="2"/>
      <c r="E3431" s="2"/>
      <c r="F3431" s="2"/>
      <c r="G3431" s="2"/>
      <c r="H3431" s="2"/>
      <c r="I3431" s="2"/>
      <c r="J3431" s="2"/>
      <c r="K3431" s="2"/>
      <c r="L3431" s="2"/>
    </row>
    <row r="3432" spans="1:12" customFormat="1" ht="16" ns3:dyDescent="0.2">
      <c r="A3432" t="s">
        <v>339</v>
      </c>
      <c r="B3432" s="2">
        <f>INDEX(Parameters!$B$6:$AL$57,MATCH(Inventories!$B$3411,Parameters!$A$6:$A$57,0),MATCH(Inventories!$A3432,Parameters!$B$4:$AL$4,0))</f>
        <v>0</v>
      </c>
      <c r="C3432" t="s">
        <v>333</v>
      </c>
      <c r="D3432" s="2"/>
      <c r="E3432" s="2"/>
      <c r="F3432" s="2"/>
      <c r="G3432" s="2"/>
      <c r="H3432" s="2"/>
      <c r="I3432" s="2"/>
      <c r="J3432" s="2"/>
      <c r="K3432" s="2"/>
      <c r="L3432" s="2"/>
    </row>
    <row r="3433" spans="1:12" customFormat="1" ht="16" ns3:dyDescent="0.2">
      <c r="A3433" t="s">
        <v>330</v>
      </c>
      <c r="B3433" s="24">
        <f>INDEX(Parameters!$B$6:$AL$57,MATCH(Inventories!$B$3411,Parameters!$A$6:$A$57,0),MATCH(Inventories!$A3433,Parameters!$B$4:$AL$4,0))</f>
        <v>0</v>
      </c>
      <c r="C3433" t="s">
        <v>333</v>
      </c>
      <c r="D3433" s="2"/>
      <c r="E3433" s="2"/>
      <c r="F3433" s="2"/>
      <c r="G3433" s="2"/>
      <c r="H3433" s="2"/>
      <c r="I3433" s="2"/>
      <c r="J3433" s="2"/>
      <c r="K3433" s="2"/>
      <c r="L3433" s="2"/>
    </row>
    <row r="3434" spans="1:12" customFormat="1" ht="16" ns3:dyDescent="0.2">
      <c r="A3434" t="s">
        <v>331</v>
      </c>
      <c r="B3434" s="24">
        <f>INDEX(Parameters!$B$6:$AL$57,MATCH(Inventories!$B$3411,Parameters!$A$6:$A$57,0),MATCH(Inventories!$A3434,Parameters!$B$4:$AL$4,0))</f>
        <v>0</v>
      </c>
      <c r="C3434" t="s">
        <v>333</v>
      </c>
      <c r="D3434" s="2"/>
      <c r="E3434" s="2"/>
      <c r="F3434" s="2"/>
      <c r="G3434" s="2"/>
      <c r="H3434" s="2"/>
      <c r="I3434" s="2"/>
      <c r="J3434" s="2"/>
      <c r="K3434" s="2"/>
      <c r="L3434" s="2"/>
    </row>
    <row r="3435" spans="1:12" customFormat="1" ht="16" ns3:dyDescent="0.2">
      <c r="A3435" t="s">
        <v>332</v>
      </c>
      <c r="B3435" s="24">
        <f>INDEX(Parameters!$B$6:$AL$57,MATCH(Inventories!$B$3411,Parameters!$A$6:$A$57,0),MATCH(Inventories!$A3435,Parameters!$B$4:$AL$4,0))</f>
        <v>0</v>
      </c>
      <c r="C3435" t="s">
        <v>333</v>
      </c>
      <c r="D3435" s="2"/>
      <c r="E3435" s="2"/>
      <c r="F3435" s="2"/>
      <c r="G3435" s="2"/>
      <c r="H3435" s="2"/>
      <c r="I3435" s="2"/>
      <c r="J3435" s="2"/>
      <c r="K3435" s="2"/>
      <c r="L3435" s="2"/>
    </row>
    <row r="3436" spans="1:12" customFormat="1" ht="16" ns3:dyDescent="0.2">
      <c r="A3436" t="s">
        <v>319</v>
      </c>
      <c r="B3436" s="2">
        <f>INDEX(Parameters!$B$6:$AL$57,MATCH(Inventories!$B$3411,Parameters!$A$6:$A$57,0),MATCH(Inventories!$A3436,Parameters!$B$4:$AL$4,0))</f>
        <v>10000</v>
      </c>
      <c r="C3436" t="s">
        <v>312</v>
      </c>
      <c r="D3436" s="2"/>
      <c r="E3436" s="2"/>
      <c r="F3436" s="2"/>
      <c r="G3436" s="2"/>
      <c r="H3436" s="2"/>
      <c r="I3436" s="2"/>
      <c r="J3436" s="2"/>
      <c r="K3436" s="2"/>
      <c r="L3436" s="2"/>
    </row>
    <row r="3437" spans="1:12" customFormat="1" ht="16" ns3:dyDescent="0.2">
      <c r="A3437" t="s">
        <v>320</v>
      </c>
      <c r="B3437" s="2">
        <f>INDEX(Parameters!$B$6:$AL$57,MATCH(Inventories!$B$3411,Parameters!$A$6:$A$57,0),MATCH(Inventories!$A3437,Parameters!$B$4:$AL$4,0))</f>
        <v>8000</v>
      </c>
      <c r="C3437" t="s">
        <v>312</v>
      </c>
      <c r="D3437" s="2"/>
      <c r="E3437" s="2"/>
      <c r="F3437" s="2"/>
      <c r="G3437" s="2"/>
      <c r="H3437" s="2"/>
      <c r="I3437" s="2"/>
      <c r="J3437" s="2"/>
      <c r="K3437" s="2"/>
      <c r="L3437" s="2"/>
    </row>
    <row r="3438" spans="1:12" customFormat="1" ht="16" ns3:dyDescent="0.2">
      <c r="A3438" t="s">
        <v>321</v>
      </c>
      <c r="B3438" s="2">
        <f>INDEX(Parameters!$B$6:$AL$57,MATCH(Inventories!$B$3411,Parameters!$A$6:$A$57,0),MATCH(Inventories!$A3438,Parameters!$B$4:$AL$4,0))</f>
        <v>12500</v>
      </c>
      <c r="C3438" t="s">
        <v>312</v>
      </c>
      <c r="D3438" s="2"/>
      <c r="E3438" s="2"/>
      <c r="F3438" s="2"/>
      <c r="G3438" s="2"/>
      <c r="H3438" s="2"/>
      <c r="I3438" s="2"/>
      <c r="J3438" s="2"/>
      <c r="K3438" s="2"/>
      <c r="L3438" s="2"/>
    </row>
    <row r="3439" spans="1:12" customFormat="1" ht="16" ns3:dyDescent="0.2">
      <c r="A3439" t="s">
        <v>327</v>
      </c>
      <c r="B3439" s="2">
        <f>INDEX(Parameters!$B$6:$AL$57,MATCH(Inventories!$B$3411,Parameters!$A$6:$A$57,0),MATCH(Inventories!$A3439,Parameters!$B$4:$AL$4,0))</f>
        <v>10</v>
      </c>
      <c r="C3439" t="s">
        <v>8</v>
      </c>
      <c r="D3439" s="2"/>
      <c r="E3439" s="2"/>
      <c r="F3439" s="2"/>
      <c r="G3439" s="2"/>
      <c r="H3439" s="2"/>
      <c r="I3439" s="2"/>
      <c r="J3439" s="2"/>
      <c r="K3439" s="2"/>
      <c r="L3439" s="2"/>
    </row>
    <row r="3440" spans="1:12" customFormat="1" ht="16" ns3:dyDescent="0.2">
      <c r="A3440" t="s">
        <v>328</v>
      </c>
      <c r="B3440" s="2">
        <f>INDEX(Parameters!$B$6:$AL$57,MATCH(Inventories!$B$3411,Parameters!$A$6:$A$57,0),MATCH(Inventories!$A3440,Parameters!$B$4:$AL$4,0))</f>
        <v>5</v>
      </c>
      <c r="C3440" t="s">
        <v>8</v>
      </c>
      <c r="D3440" s="2"/>
      <c r="E3440" s="2"/>
      <c r="F3440" s="2"/>
      <c r="G3440" s="2"/>
      <c r="H3440" s="2"/>
      <c r="I3440" s="2"/>
      <c r="J3440" s="2"/>
      <c r="K3440" s="2"/>
      <c r="L3440" s="2"/>
    </row>
    <row r="3441" spans="1:12" customFormat="1" ht="16" ns3:dyDescent="0.2">
      <c r="A3441" t="s">
        <v>329</v>
      </c>
      <c r="B3441" s="2">
        <f>INDEX(Parameters!$B$6:$AL$57,MATCH(Inventories!$B$3411,Parameters!$A$6:$A$57,0),MATCH(Inventories!$A3441,Parameters!$B$4:$AL$4,0))</f>
        <v>30</v>
      </c>
      <c r="C3441" t="s">
        <v>8</v>
      </c>
      <c r="D3441" s="2"/>
      <c r="E3441" s="2"/>
      <c r="F3441" s="2"/>
      <c r="G3441" s="2"/>
      <c r="H3441" s="2"/>
      <c r="I3441" s="2"/>
      <c r="J3441" s="2"/>
      <c r="K3441" s="2"/>
      <c r="L3441" s="2"/>
    </row>
    <row r="3442" spans="1:12" customFormat="1" ht="16" ns3:dyDescent="0.2">
      <c r="A3442" t="s">
        <v>343</v>
      </c>
      <c r="B3442" s="2">
        <f>INDEX(Parameters!$B$6:$AL$57,MATCH(Inventories!$B$3411,Parameters!$A$6:$A$57,0),MATCH(Inventories!$A3442,Parameters!$B$4:$AL$4,0))</f>
        <v>0</v>
      </c>
      <c r="C3442" t="s">
        <v>309</v>
      </c>
      <c r="D3442" s="2"/>
      <c r="E3442" s="2"/>
      <c r="F3442" s="2"/>
      <c r="G3442" s="2"/>
      <c r="H3442" s="2"/>
      <c r="I3442" s="2"/>
      <c r="J3442" s="2"/>
      <c r="K3442" s="2"/>
      <c r="L3442" s="2"/>
    </row>
    <row r="3443" spans="1:12" customFormat="1" ht="16" ns3:dyDescent="0.2">
      <c r="A3443" t="s">
        <v>344</v>
      </c>
      <c r="B3443" s="2">
        <f>INDEX(Parameters!$B$6:$AL$57,MATCH(Inventories!$B$3411,Parameters!$A$6:$A$57,0),MATCH(Inventories!$A3443,Parameters!$B$4:$AL$4,0))</f>
        <v>0</v>
      </c>
      <c r="C3443" t="s">
        <v>309</v>
      </c>
      <c r="D3443" s="2"/>
      <c r="E3443" s="12"/>
      <c r="F3443" s="2"/>
      <c r="G3443" s="2"/>
      <c r="H3443" s="2"/>
      <c r="I3443" s="2"/>
      <c r="J3443" s="2"/>
      <c r="K3443" s="2"/>
      <c r="L3443" s="2"/>
    </row>
    <row r="3444" spans="1:12" customFormat="1" ht="16" ns3:dyDescent="0.2">
      <c r="A3444" t="s">
        <v>345</v>
      </c>
      <c r="B3444" s="2">
        <f>INDEX(Parameters!$B$6:$AL$57,MATCH(Inventories!$B$3411,Parameters!$A$6:$A$57,0),MATCH(Inventories!$A3444,Parameters!$B$4:$AL$4,0))</f>
        <v>0</v>
      </c>
      <c r="C3444" t="s">
        <v>309</v>
      </c>
      <c r="D3444" s="2"/>
      <c r="E3444" s="2"/>
      <c r="F3444" s="2"/>
      <c r="G3444" s="2"/>
      <c r="H3444" s="2"/>
      <c r="I3444" s="2"/>
      <c r="J3444" s="2"/>
      <c r="K3444" s="2"/>
      <c r="L3444" s="2"/>
    </row>
    <row r="3445" spans="1:12" customFormat="1" ht="16" ns3:dyDescent="0.2">
      <c r="A3445" t="s">
        <v>346</v>
      </c>
      <c r="B3445" s="2">
        <f>INDEX(Parameters!$B$6:$AL$57,MATCH(Inventories!$B$3411,Parameters!$A$6:$A$57,0),MATCH(Inventories!$A3445,Parameters!$B$4:$AL$4,0))</f>
        <v>0</v>
      </c>
      <c r="C3445" t="s">
        <v>8</v>
      </c>
      <c r="D3445" s="2"/>
      <c r="E3445" s="2"/>
      <c r="F3445" s="2"/>
      <c r="G3445" s="2"/>
      <c r="H3445" s="2"/>
      <c r="I3445" s="2"/>
      <c r="J3445" s="2"/>
      <c r="K3445" s="2"/>
      <c r="L3445" s="2"/>
    </row>
    <row r="3446" spans="1:12" customFormat="1" ht="16" ns3:dyDescent="0.2">
      <c r="A3446" t="s">
        <v>347</v>
      </c>
      <c r="B3446" s="2">
        <f>INDEX(Parameters!$B$6:$AL$57,MATCH(Inventories!$B$3411,Parameters!$A$6:$A$57,0),MATCH(Inventories!$A3446,Parameters!$B$4:$AL$4,0))</f>
        <v>0</v>
      </c>
      <c r="C3446" t="s">
        <v>8</v>
      </c>
      <c r="D3446" s="2"/>
      <c r="E3446" s="2"/>
      <c r="F3446" s="2"/>
      <c r="G3446" s="2"/>
      <c r="H3446" s="2"/>
      <c r="I3446" s="2"/>
      <c r="J3446" s="2"/>
      <c r="K3446" s="2"/>
      <c r="L3446" s="2"/>
    </row>
    <row r="3447" spans="1:12" customFormat="1" ht="16" ns3:dyDescent="0.2">
      <c r="A3447" t="s">
        <v>348</v>
      </c>
      <c r="B3447" s="2">
        <f>INDEX(Parameters!$B$6:$AL$57,MATCH(Inventories!$B$3411,Parameters!$A$6:$A$57,0),MATCH(Inventories!$A3447,Parameters!$B$4:$AL$4,0))</f>
        <v>0</v>
      </c>
      <c r="C3447" t="s">
        <v>8</v>
      </c>
      <c r="D3447" s="2"/>
      <c r="E3447" s="2"/>
      <c r="F3447" s="2"/>
      <c r="G3447" s="2"/>
      <c r="H3447" s="2"/>
      <c r="I3447" s="2"/>
      <c r="J3447" s="2"/>
      <c r="K3447" s="2"/>
      <c r="L3447" s="2"/>
    </row>
    <row r="3448" spans="1:12" customFormat="1" ht="16" ns3:dyDescent="0.2">
      <c r="A3448" t="s">
        <v>362</v>
      </c>
      <c r="B3448" s="2">
        <f>INDEX(Parameters!$B$6:$AL$57,MATCH(Inventories!$B$3411,Parameters!$A$6:$A$57,0),MATCH(Inventories!$A3448,Parameters!$B$4:$AL$4,0))</f>
        <v>0</v>
      </c>
      <c r="C3448" t="s">
        <v>333</v>
      </c>
      <c r="D3448" s="2"/>
      <c r="E3448" s="2"/>
      <c r="F3448" s="2"/>
      <c r="G3448" s="2"/>
      <c r="H3448" s="2"/>
      <c r="I3448" s="2"/>
      <c r="J3448" s="2"/>
      <c r="K3448" s="2"/>
      <c r="L3448" s="2"/>
    </row>
    <row r="3449" spans="1:12" customFormat="1" ht="16" ns3:dyDescent="0.2">
      <c r="A3449" t="s">
        <v>363</v>
      </c>
      <c r="B3449" s="2">
        <f>INDEX(Parameters!$B$6:$AL$57,MATCH(Inventories!$B$3411,Parameters!$A$6:$A$57,0),MATCH(Inventories!$A3449,Parameters!$B$4:$AL$4,0))</f>
        <v>0</v>
      </c>
      <c r="C3449" t="s">
        <v>333</v>
      </c>
      <c r="D3449" s="2"/>
      <c r="E3449" s="2"/>
      <c r="F3449" s="2"/>
      <c r="G3449" s="2"/>
      <c r="H3449" s="2"/>
      <c r="I3449" s="2"/>
      <c r="J3449" s="2"/>
      <c r="K3449" s="2"/>
      <c r="L3449" s="2"/>
    </row>
    <row r="3450" spans="1:12" customFormat="1" ht="16" ns3:dyDescent="0.2">
      <c r="A3450" t="s">
        <v>364</v>
      </c>
      <c r="B3450" s="2">
        <f>INDEX(Parameters!$B$6:$AL$57,MATCH(Inventories!$B$3411,Parameters!$A$6:$A$57,0),MATCH(Inventories!$A3450,Parameters!$B$4:$AL$4,0))</f>
        <v>0</v>
      </c>
      <c r="C3450" t="s">
        <v>333</v>
      </c>
      <c r="D3450" s="2"/>
      <c r="E3450" s="2"/>
      <c r="F3450" s="2"/>
      <c r="G3450" s="2"/>
      <c r="H3450" s="2"/>
      <c r="I3450" s="2"/>
      <c r="J3450" s="2"/>
      <c r="K3450" s="2"/>
      <c r="L3450" s="2"/>
    </row>
    <row r="3451" spans="1:12" customFormat="1" ht="16" ns3:dyDescent="0.2">
      <c r="A3451" t="s">
        <v>365</v>
      </c>
      <c r="B3451" s="2">
        <f>INDEX(Parameters!$B$6:$AL$57,MATCH(Inventories!$B$3411,Parameters!$A$6:$A$57,0),MATCH(Inventories!$A3451,Parameters!$B$4:$AL$4,0))</f>
        <v>0</v>
      </c>
      <c r="C3451" t="s">
        <v>333</v>
      </c>
      <c r="D3451" s="2"/>
      <c r="E3451" s="2"/>
      <c r="F3451" s="2"/>
      <c r="G3451" s="2"/>
      <c r="H3451" s="2"/>
      <c r="I3451" s="2"/>
      <c r="J3451" s="2"/>
      <c r="K3451" s="2"/>
      <c r="L3451" s="2"/>
    </row>
    <row r="3452" spans="1:12" customFormat="1" ht="16" ns3:dyDescent="0.2">
      <c r="A3452" t="s">
        <v>366</v>
      </c>
      <c r="B3452" s="2">
        <f>INDEX(Parameters!$B$6:$AL$57,MATCH(Inventories!$B$3411,Parameters!$A$6:$A$57,0),MATCH(Inventories!$A3452,Parameters!$B$4:$AL$4,0))</f>
        <v>0</v>
      </c>
      <c r="C3452" t="s">
        <v>333</v>
      </c>
      <c r="D3452" s="2"/>
      <c r="E3452" s="2"/>
      <c r="F3452" s="2"/>
      <c r="G3452" s="2"/>
      <c r="H3452" s="2"/>
      <c r="I3452" s="2"/>
      <c r="J3452" s="2"/>
      <c r="K3452" s="2"/>
      <c r="L3452" s="2"/>
    </row>
    <row r="3453" spans="1:12" customFormat="1" ht="16" ns3:dyDescent="0.2">
      <c r="A3453" t="s">
        <v>341</v>
      </c>
      <c r="B3453" s="32">
        <f>INDEX(Parameters!$B$6:$AL$57,MATCH(Inventories!$B$3411,Parameters!$A$6:$A$57,0),MATCH(Inventories!$A3453,Parameters!$B$4:$AL$4,0))</f>
        <v>0</v>
      </c>
      <c r="C3453" t="s">
        <v>342</v>
      </c>
      <c r="D3453" s="2"/>
      <c r="E3453" s="2"/>
      <c r="F3453" s="2"/>
      <c r="G3453" s="2"/>
      <c r="H3453" s="2"/>
      <c r="I3453" s="2"/>
      <c r="J3453" s="2"/>
      <c r="K3453" s="2"/>
      <c r="L3453" s="2"/>
    </row>
    <row r="3454" spans="1:12" customFormat="1" ht="16" ns3:dyDescent="0.2">
      <c r="A3454" t="s">
        <v>340</v>
      </c>
      <c r="B3454" s="32">
        <f>INDEX(Parameters!$B$6:$AL$57,MATCH(Inventories!$B$3411,Parameters!$A$6:$A$57,0),MATCH(Inventories!$A3454,Parameters!$B$4:$AL$4,0))</f>
        <v>0</v>
      </c>
      <c r="C3454" t="s">
        <v>342</v>
      </c>
      <c r="D3454" s="2"/>
      <c r="E3454" s="2"/>
      <c r="F3454" s="2"/>
      <c r="G3454" s="2"/>
      <c r="H3454" s="2"/>
      <c r="I3454" s="2"/>
      <c r="J3454" s="2"/>
      <c r="K3454" s="2"/>
      <c r="L3454" s="2"/>
    </row>
    <row r="3455" spans="1:12" customFormat="1" ht="16" ns3:dyDescent="0.2">
      <c r="A3455" s="1" t="s">
        <v>10</v>
      </c>
      <c r="B3455" s="2"/>
      <c r="C3455" s="2"/>
      <c r="D3455" s="2"/>
      <c r="E3455" s="2"/>
      <c r="F3455" s="2"/>
      <c r="G3455" s="2"/>
      <c r="H3455" s="2"/>
      <c r="I3455" s="2"/>
      <c r="J3455" s="2"/>
      <c r="K3455" s="2"/>
      <c r="L3455" s="2"/>
    </row>
    <row r="3456" spans="1:12" ns3:dyDescent="0.2">
      <c r="A3456" s="17" t="s">
        <v>11</v>
      </c>
      <c r="B3456" s="17" t="s">
        <v>12</v>
      </c>
      <c r="C3456" s="17" t="s">
        <v>3</v>
      </c>
      <c r="D3456" s="17" t="s">
        <v>13</v>
      </c>
      <c r="E3456" s="17" t="s">
        <v>8</v>
      </c>
      <c r="F3456" s="17" t="s">
        <v>6</v>
      </c>
      <c r="G3456" s="17" t="s">
        <v>5</v>
      </c>
      <c r="H3456" s="17" t="s">
        <v>151</v>
      </c>
      <c r="I3456" s="17" t="s">
        <v>179</v>
      </c>
      <c r="J3456" s="17" t="s">
        <v>180</v>
      </c>
      <c r="K3456" s="17" t="s">
        <v>181</v>
      </c>
      <c r="L3456" s="17" t="s">
        <v>182</v>
      </c>
    </row>
    <row r="3457" spans="1:12" customFormat="1" ht="16" ns3:dyDescent="0.2">
      <c r="A3457" s="2" t="str">
        <f>B3411</f>
        <v>electricity, used in aircraft</v>
      </c>
      <c r="B3457" s="2">
        <v>1</v>
      </c>
      <c r="C3457" s="2" t="str">
        <f>B3412</f>
        <v>RER</v>
      </c>
      <c r="D3457" s="2"/>
      <c r="E3457" s="2" t="str">
        <f>B3416</f>
        <v>megajoule</v>
      </c>
      <c r="F3457" s="2" t="s">
        <v>19</v>
      </c>
      <c r="G3457" s="2" t="str">
        <f>B3414</f>
        <v>electricity, low voltage</v>
      </c>
      <c r="H3457" s="2"/>
      <c r="I3457" s="2"/>
      <c r="J3457" s="2"/>
      <c r="K3457" s="2"/>
      <c r="L3457" s="2"/>
    </row>
    <row r="3458" spans="1:12" customFormat="1" ht="16" ns3:dyDescent="0.2">
      <c r="A3458" t="s">
        <v>140</v>
      </c>
      <c r="B3458" s="33">
        <f>1/3.6</f>
        <v>0.27777777777777779</v>
      </c>
      <c r="C3458" t="s">
        <v>18</v>
      </c>
      <c r="E3458" t="s">
        <v>141</v>
      </c>
      <c r="F3458" t="s">
        <v>23</v>
      </c>
      <c r="G3458" t="s">
        <v>142</v>
      </c>
      <c r="H3458" s="2"/>
      <c r="I3458" s="2"/>
    </row>
    <row r="3459" spans="1:12" customFormat="1" ht="16" ns3:dyDescent="0.2">
      <c r="A3459" t="s">
        <v>189</v>
      </c>
      <c r="B3459" s="3">
        <f>((B3436*(1+B3439))/B3421)/(B3424/1000)</f>
        <v>3.1828703703703708E-5</v>
      </c>
      <c r="C3459" s="2" t="s">
        <v>114</v>
      </c>
      <c r="E3459" t="s">
        <v>141</v>
      </c>
      <c r="F3459" t="s">
        <v>23</v>
      </c>
      <c r="G3459" t="s">
        <v>190</v>
      </c>
      <c r="H3459" s="2"/>
      <c r="I3459">
        <v>5</v>
      </c>
      <c r="J3459" s="3">
        <f>B3459</f>
        <v>3.1828703703703708E-5</v>
      </c>
      <c r="K3459" s="3">
        <f>((B3437*(1*B3440))/B3423)/(B3426/1000)</f>
        <v>2.0852882911062456E-6</v>
      </c>
      <c r="L3459" s="3">
        <f>((B3438*(1+B3441))/B3422)/(B3425/1000)</f>
        <v>2.3919753086419754E-4</v>
      </c>
    </row>
    <row r="3460" spans="1:12" customFormat="1" ht="16" ns3:dyDescent="0.2">
      <c r="A3460" s="2"/>
      <c r="B3460" s="2"/>
      <c r="C3460" s="2"/>
      <c r="D3460" s="2"/>
      <c r="E3460" s="2"/>
      <c r="F3460" s="2"/>
      <c r="G3460" s="2"/>
      <c r="H3460" s="2"/>
      <c r="I3460" s="2"/>
      <c r="J3460" s="2"/>
      <c r="K3460" s="2"/>
      <c r="L3460" s="2"/>
    </row>
    <row r="3461" spans="1:12" ns3:dyDescent="0.2">
      <c r="A3461" s="17" t="s">
        <v>2</v>
      </c>
      <c r="B3461" s="17" t="s">
        <v>379</v>
      </c>
    </row>
    <row r="3462" spans="1:12" customFormat="1" ht="16" ns3:dyDescent="0.2">
      <c r="A3462" s="2" t="s">
        <v>3</v>
      </c>
      <c r="B3462" s="2" t="s">
        <v>18</v>
      </c>
      <c r="C3462" s="2"/>
      <c r="D3462" s="2"/>
      <c r="E3462" s="2"/>
      <c r="F3462" s="2"/>
      <c r="G3462" s="2"/>
      <c r="H3462" s="2"/>
      <c r="I3462" s="2"/>
      <c r="J3462" s="2"/>
      <c r="K3462" s="2"/>
      <c r="L3462" s="2"/>
    </row>
    <row r="3463" spans="1:12" customFormat="1" ht="16" ns3:dyDescent="0.2">
      <c r="A3463" s="2" t="s">
        <v>4</v>
      </c>
      <c r="B3463" s="2">
        <v>1</v>
      </c>
      <c r="C3463" s="2"/>
      <c r="D3463" s="2"/>
      <c r="E3463" s="2"/>
      <c r="F3463" s="2"/>
      <c r="G3463" s="2"/>
      <c r="H3463" s="2"/>
      <c r="I3463" s="2"/>
      <c r="J3463" s="2"/>
      <c r="K3463" s="2"/>
      <c r="L3463" s="2"/>
    </row>
    <row r="3464" spans="1:12" customFormat="1" ht="16" ns3:dyDescent="0.2">
      <c r="A3464" s="2" t="s">
        <v>5</v>
      </c>
      <c r="B3464" s="2" t="s">
        <v>1</v>
      </c>
      <c r="C3464" s="2"/>
      <c r="D3464" s="2"/>
      <c r="E3464" s="2"/>
      <c r="F3464" s="2"/>
      <c r="G3464" s="2"/>
      <c r="H3464" s="2"/>
      <c r="I3464" s="2"/>
      <c r="J3464" s="2"/>
    </row>
    <row r="3465" spans="1:12" customFormat="1" ht="16" ns3:dyDescent="0.2">
      <c r="A3465" s="2" t="s">
        <v>6</v>
      </c>
      <c r="B3465" s="2" t="s">
        <v>7</v>
      </c>
      <c r="C3465" s="2"/>
      <c r="D3465" s="2"/>
      <c r="E3465" s="2"/>
      <c r="F3465" s="2"/>
      <c r="G3465" s="2"/>
      <c r="H3465" s="2"/>
      <c r="I3465" s="2"/>
      <c r="J3465" s="2"/>
      <c r="K3465" s="2"/>
      <c r="L3465" s="2"/>
    </row>
    <row r="3466" spans="1:12" customFormat="1" ht="16" ns3:dyDescent="0.2">
      <c r="A3466" s="2" t="s">
        <v>8</v>
      </c>
      <c r="B3466" s="2" t="s">
        <v>17</v>
      </c>
      <c r="C3466" s="2"/>
      <c r="D3466" s="2"/>
      <c r="E3466" s="2"/>
      <c r="F3466" s="2"/>
      <c r="G3466" s="2"/>
      <c r="H3466" s="2"/>
      <c r="I3466" s="2"/>
      <c r="J3466" s="2"/>
      <c r="K3466" s="2"/>
      <c r="L3466" s="2"/>
    </row>
    <row r="3467" spans="1:12" customFormat="1" ht="16" ns3:dyDescent="0.2">
      <c r="A3467" s="2" t="s">
        <v>151</v>
      </c>
      <c r="B3467" s="2" t="s">
        <v>382</v>
      </c>
      <c r="C3467" s="2"/>
      <c r="D3467" s="2"/>
      <c r="E3467" s="2"/>
      <c r="F3467" s="2"/>
      <c r="G3467" s="2"/>
      <c r="H3467" s="2"/>
      <c r="I3467" s="2"/>
      <c r="J3467" s="2"/>
      <c r="K3467" s="2"/>
      <c r="L3467" s="2"/>
    </row>
    <row r="3468" spans="1:12" customFormat="1" ht="16" ns3:dyDescent="0.2">
      <c r="A3468" t="s">
        <v>349</v>
      </c>
      <c r="B3468" s="2">
        <f>INDEX(Parameters!$B$6:$AL$57,MATCH(Inventories!$B$3461,Parameters!$A$6:$A$57,0),MATCH(Inventories!$A3468,Parameters!$B$4:$AL$4,0))</f>
        <v>0</v>
      </c>
      <c r="C3468" t="s">
        <v>309</v>
      </c>
      <c r="D3468" s="2"/>
      <c r="E3468" s="2"/>
      <c r="F3468" s="2"/>
      <c r="G3468" s="2"/>
      <c r="H3468" s="2"/>
      <c r="I3468" s="2"/>
      <c r="J3468" s="2"/>
      <c r="K3468" s="2"/>
      <c r="L3468" s="2"/>
    </row>
    <row r="3469" spans="1:12" customFormat="1" ht="16" ns3:dyDescent="0.2">
      <c r="A3469" t="s">
        <v>350</v>
      </c>
      <c r="B3469" s="2">
        <f>INDEX(Parameters!$B$6:$AL$57,MATCH(Inventories!$B$3461,Parameters!$A$6:$A$57,0),MATCH(Inventories!$A3469,Parameters!$B$4:$AL$4,0))</f>
        <v>0</v>
      </c>
      <c r="C3469" t="s">
        <v>309</v>
      </c>
      <c r="D3469" s="2"/>
      <c r="E3469" s="2"/>
      <c r="F3469" s="2"/>
      <c r="G3469" s="2"/>
      <c r="H3469" s="2"/>
      <c r="I3469" s="2"/>
      <c r="J3469" s="2"/>
      <c r="K3469" s="2"/>
      <c r="L3469" s="2"/>
    </row>
    <row r="3470" spans="1:12" customFormat="1" ht="16" ns3:dyDescent="0.2">
      <c r="A3470" t="s">
        <v>351</v>
      </c>
      <c r="B3470" s="2">
        <f>INDEX(Parameters!$B$6:$AL$57,MATCH(Inventories!$B$3461,Parameters!$A$6:$A$57,0),MATCH(Inventories!$A3470,Parameters!$B$4:$AL$4,0))</f>
        <v>0</v>
      </c>
      <c r="C3470" t="s">
        <v>309</v>
      </c>
      <c r="D3470" s="2"/>
      <c r="E3470" s="2"/>
      <c r="F3470" s="2"/>
      <c r="G3470" s="2"/>
      <c r="H3470" s="2"/>
      <c r="I3470" s="2"/>
      <c r="J3470" s="2"/>
      <c r="K3470" s="2"/>
      <c r="L3470" s="2"/>
    </row>
    <row r="3471" spans="1:12" customFormat="1" ht="16" ns3:dyDescent="0.2">
      <c r="A3471" t="s">
        <v>313</v>
      </c>
      <c r="B3471" s="24">
        <f>INDEX(Parameters!$B$6:$AL$57,MATCH(Inventories!$B$3461,Parameters!$A$6:$A$57,0),MATCH(Inventories!$A3471,Parameters!$B$4:$AL$4,0))</f>
        <v>90000000</v>
      </c>
      <c r="C3471" t="s">
        <v>310</v>
      </c>
      <c r="D3471" s="2"/>
      <c r="E3471" s="2"/>
      <c r="F3471" s="2"/>
      <c r="G3471" s="2"/>
      <c r="H3471" s="2"/>
      <c r="I3471" s="2"/>
      <c r="J3471" s="2"/>
      <c r="K3471" s="2"/>
      <c r="L3471" s="2"/>
    </row>
    <row r="3472" spans="1:12" customFormat="1" ht="16" ns3:dyDescent="0.2">
      <c r="A3472" t="s">
        <v>314</v>
      </c>
      <c r="B3472" s="24">
        <f>INDEX(Parameters!$B$6:$AL$57,MATCH(Inventories!$B$3461,Parameters!$A$6:$A$57,0),MATCH(Inventories!$A3472,Parameters!$B$4:$AL$4,0))</f>
        <v>50000000</v>
      </c>
      <c r="C3472" t="s">
        <v>310</v>
      </c>
      <c r="D3472" s="2"/>
      <c r="E3472" s="2"/>
      <c r="F3472" s="2"/>
      <c r="G3472" s="2"/>
      <c r="H3472" s="2"/>
      <c r="I3472" s="2"/>
      <c r="J3472" s="2"/>
      <c r="K3472" s="2"/>
      <c r="L3472" s="2"/>
    </row>
    <row r="3473" spans="1:12" customFormat="1" ht="16" ns3:dyDescent="0.2">
      <c r="A3473" t="s">
        <v>315</v>
      </c>
      <c r="B3473" s="24">
        <f>INDEX(Parameters!$B$6:$AL$57,MATCH(Inventories!$B$3461,Parameters!$A$6:$A$57,0),MATCH(Inventories!$A3473,Parameters!$B$4:$AL$4,0))</f>
        <v>115000000</v>
      </c>
      <c r="C3473" t="s">
        <v>310</v>
      </c>
      <c r="D3473" s="2"/>
      <c r="E3473" s="2"/>
      <c r="F3473" s="2"/>
      <c r="G3473" s="2"/>
      <c r="H3473" s="2"/>
      <c r="I3473" s="2"/>
      <c r="J3473" s="2"/>
      <c r="K3473" s="2"/>
      <c r="L3473" s="2"/>
    </row>
    <row r="3474" spans="1:12" customFormat="1" ht="16" ns3:dyDescent="0.2">
      <c r="A3474" t="s">
        <v>316</v>
      </c>
      <c r="B3474" s="24">
        <f>INDEX(Parameters!$B$6:$AL$57,MATCH(Inventories!$B$3461,Parameters!$A$6:$A$57,0),MATCH(Inventories!$A3474,Parameters!$B$4:$AL$4,0))</f>
        <v>120000</v>
      </c>
      <c r="C3474" t="s">
        <v>311</v>
      </c>
      <c r="D3474" s="2"/>
      <c r="E3474" s="2"/>
      <c r="F3474" s="2"/>
      <c r="G3474" s="2"/>
      <c r="H3474" s="2"/>
      <c r="I3474" s="2"/>
      <c r="J3474" s="2"/>
      <c r="K3474" s="2"/>
      <c r="L3474" s="2"/>
    </row>
    <row r="3475" spans="1:12" customFormat="1" ht="16" ns3:dyDescent="0.2">
      <c r="A3475" t="s">
        <v>317</v>
      </c>
      <c r="B3475" s="24">
        <f>INDEX(Parameters!$B$6:$AL$57,MATCH(Inventories!$B$3461,Parameters!$A$6:$A$57,0),MATCH(Inventories!$A3475,Parameters!$B$4:$AL$4,0))</f>
        <v>101000</v>
      </c>
      <c r="C3475" t="s">
        <v>311</v>
      </c>
      <c r="D3475" s="2"/>
      <c r="E3475" s="2"/>
      <c r="F3475" s="2"/>
      <c r="G3475" s="2"/>
      <c r="H3475" s="2"/>
      <c r="I3475" s="2"/>
      <c r="J3475" s="2"/>
      <c r="K3475" s="2"/>
      <c r="L3475" s="2"/>
    </row>
    <row r="3476" spans="1:12" customFormat="1" ht="16" ns3:dyDescent="0.2">
      <c r="A3476" t="s">
        <v>318</v>
      </c>
      <c r="B3476" s="24">
        <f>INDEX(Parameters!$B$6:$AL$57,MATCH(Inventories!$B$3461,Parameters!$A$6:$A$57,0),MATCH(Inventories!$A3476,Parameters!$B$4:$AL$4,0))</f>
        <v>165000</v>
      </c>
      <c r="C3476" t="s">
        <v>311</v>
      </c>
      <c r="D3476" s="2"/>
      <c r="E3476" s="2"/>
      <c r="F3476" s="2"/>
      <c r="G3476" s="2"/>
      <c r="H3476" s="2"/>
      <c r="I3476" s="2"/>
      <c r="J3476" s="2"/>
      <c r="K3476" s="2"/>
      <c r="L3476" s="2"/>
    </row>
    <row r="3477" spans="1:12" customFormat="1" ht="16" ns3:dyDescent="0.2">
      <c r="A3477" t="s">
        <v>334</v>
      </c>
      <c r="B3477" s="2">
        <f>INDEX(Parameters!$B$6:$AL$57,MATCH(Inventories!$B$3461,Parameters!$A$6:$A$57,0),MATCH(Inventories!$A3477,Parameters!$B$4:$AL$4,0))</f>
        <v>0</v>
      </c>
      <c r="C3477" t="s">
        <v>333</v>
      </c>
      <c r="D3477" s="2"/>
      <c r="E3477" s="2"/>
      <c r="F3477" s="2"/>
      <c r="G3477" s="2"/>
      <c r="H3477" s="2"/>
      <c r="I3477" s="2"/>
      <c r="J3477" s="2"/>
      <c r="K3477" s="2"/>
      <c r="L3477" s="2"/>
    </row>
    <row r="3478" spans="1:12" customFormat="1" ht="16" ns3:dyDescent="0.2">
      <c r="A3478" t="s">
        <v>335</v>
      </c>
      <c r="B3478" s="2">
        <f>INDEX(Parameters!$B$6:$AL$57,MATCH(Inventories!$B$3461,Parameters!$A$6:$A$57,0),MATCH(Inventories!$A3478,Parameters!$B$4:$AL$4,0))</f>
        <v>0</v>
      </c>
      <c r="C3478" t="s">
        <v>333</v>
      </c>
      <c r="D3478" s="2"/>
      <c r="E3478" s="2"/>
      <c r="F3478" s="2"/>
      <c r="G3478" s="2"/>
      <c r="H3478" s="2"/>
      <c r="I3478" s="2"/>
      <c r="J3478" s="2"/>
      <c r="K3478" s="2"/>
      <c r="L3478" s="2"/>
    </row>
    <row r="3479" spans="1:12" customFormat="1" ht="16" ns3:dyDescent="0.2">
      <c r="A3479" t="s">
        <v>336</v>
      </c>
      <c r="B3479" s="2">
        <f>INDEX(Parameters!$B$6:$AL$57,MATCH(Inventories!$B$3461,Parameters!$A$6:$A$57,0),MATCH(Inventories!$A3479,Parameters!$B$4:$AL$4,0))</f>
        <v>0</v>
      </c>
      <c r="C3479" t="s">
        <v>333</v>
      </c>
      <c r="D3479" s="2"/>
      <c r="E3479" s="2"/>
      <c r="F3479" s="2"/>
      <c r="G3479" s="2"/>
      <c r="H3479" s="2"/>
      <c r="I3479" s="2"/>
      <c r="J3479" s="2"/>
      <c r="K3479" s="2"/>
      <c r="L3479" s="2"/>
    </row>
    <row r="3480" spans="1:12" customFormat="1" ht="16" ns3:dyDescent="0.2">
      <c r="A3480" t="s">
        <v>337</v>
      </c>
      <c r="B3480" s="2">
        <f>INDEX(Parameters!$B$6:$AL$57,MATCH(Inventories!$B$3461,Parameters!$A$6:$A$57,0),MATCH(Inventories!$A3480,Parameters!$B$4:$AL$4,0))</f>
        <v>0</v>
      </c>
      <c r="C3480" t="s">
        <v>333</v>
      </c>
      <c r="D3480" s="2"/>
      <c r="E3480" s="2"/>
      <c r="F3480" s="2"/>
      <c r="G3480" s="2"/>
      <c r="H3480" s="2"/>
      <c r="I3480" s="2"/>
      <c r="J3480" s="2"/>
      <c r="K3480" s="2"/>
      <c r="L3480" s="2"/>
    </row>
    <row r="3481" spans="1:12" customFormat="1" ht="16" ns3:dyDescent="0.2">
      <c r="A3481" t="s">
        <v>338</v>
      </c>
      <c r="B3481" s="2">
        <f>INDEX(Parameters!$B$6:$AL$57,MATCH(Inventories!$B$3461,Parameters!$A$6:$A$57,0),MATCH(Inventories!$A3481,Parameters!$B$4:$AL$4,0))</f>
        <v>0</v>
      </c>
      <c r="C3481" t="s">
        <v>333</v>
      </c>
      <c r="D3481" s="2"/>
      <c r="E3481" s="2"/>
      <c r="F3481" s="2"/>
      <c r="G3481" s="2"/>
      <c r="H3481" s="2"/>
      <c r="I3481" s="2"/>
      <c r="J3481" s="2"/>
      <c r="K3481" s="2"/>
      <c r="L3481" s="2"/>
    </row>
    <row r="3482" spans="1:12" customFormat="1" ht="16" ns3:dyDescent="0.2">
      <c r="A3482" t="s">
        <v>339</v>
      </c>
      <c r="B3482" s="2">
        <f>INDEX(Parameters!$B$6:$AL$57,MATCH(Inventories!$B$3461,Parameters!$A$6:$A$57,0),MATCH(Inventories!$A3482,Parameters!$B$4:$AL$4,0))</f>
        <v>0</v>
      </c>
      <c r="C3482" t="s">
        <v>333</v>
      </c>
      <c r="D3482" s="2"/>
      <c r="E3482" s="2"/>
      <c r="F3482" s="2"/>
      <c r="G3482" s="2"/>
      <c r="H3482" s="2"/>
      <c r="I3482" s="2"/>
      <c r="J3482" s="2"/>
      <c r="K3482" s="2"/>
      <c r="L3482" s="2"/>
    </row>
    <row r="3483" spans="1:12" customFormat="1" ht="16" ns3:dyDescent="0.2">
      <c r="A3483" t="s">
        <v>330</v>
      </c>
      <c r="B3483" s="24">
        <f>INDEX(Parameters!$B$6:$AL$57,MATCH(Inventories!$B$3461,Parameters!$A$6:$A$57,0),MATCH(Inventories!$A3483,Parameters!$B$4:$AL$4,0))</f>
        <v>1700</v>
      </c>
      <c r="C3483" t="s">
        <v>333</v>
      </c>
      <c r="D3483" s="2"/>
      <c r="E3483" s="2"/>
      <c r="F3483" s="2"/>
      <c r="G3483" s="2"/>
      <c r="H3483" s="2"/>
      <c r="I3483" s="2"/>
      <c r="J3483" s="2"/>
      <c r="K3483" s="2"/>
      <c r="L3483" s="2"/>
    </row>
    <row r="3484" spans="1:12" customFormat="1" ht="16" ns3:dyDescent="0.2">
      <c r="A3484" t="s">
        <v>331</v>
      </c>
      <c r="B3484" s="24">
        <f>INDEX(Parameters!$B$6:$AL$57,MATCH(Inventories!$B$3461,Parameters!$A$6:$A$57,0),MATCH(Inventories!$A3484,Parameters!$B$4:$AL$4,0))</f>
        <v>1000</v>
      </c>
      <c r="C3484" t="s">
        <v>333</v>
      </c>
      <c r="D3484" s="2"/>
      <c r="E3484" s="2"/>
      <c r="F3484" s="2"/>
      <c r="G3484" s="2"/>
      <c r="H3484" s="2"/>
      <c r="I3484" s="2"/>
      <c r="J3484" s="2"/>
      <c r="K3484" s="2"/>
      <c r="L3484" s="2"/>
    </row>
    <row r="3485" spans="1:12" customFormat="1" ht="16" ns3:dyDescent="0.2">
      <c r="A3485" t="s">
        <v>332</v>
      </c>
      <c r="B3485" s="24">
        <f>INDEX(Parameters!$B$6:$AL$57,MATCH(Inventories!$B$3461,Parameters!$A$6:$A$57,0),MATCH(Inventories!$A3485,Parameters!$B$4:$AL$4,0))</f>
        <v>3000</v>
      </c>
      <c r="C3485" t="s">
        <v>333</v>
      </c>
      <c r="D3485" s="2"/>
      <c r="E3485" s="2"/>
      <c r="F3485" s="2"/>
      <c r="G3485" s="2"/>
      <c r="H3485" s="2"/>
      <c r="I3485" s="2"/>
      <c r="J3485" s="2"/>
      <c r="K3485" s="2"/>
      <c r="L3485" s="2"/>
    </row>
    <row r="3486" spans="1:12" customFormat="1" ht="16" ns3:dyDescent="0.2">
      <c r="A3486" t="s">
        <v>319</v>
      </c>
      <c r="B3486" s="2">
        <f>INDEX(Parameters!$B$6:$AL$57,MATCH(Inventories!$B$3461,Parameters!$A$6:$A$57,0),MATCH(Inventories!$A3486,Parameters!$B$4:$AL$4,0))</f>
        <v>0</v>
      </c>
      <c r="C3486" t="s">
        <v>312</v>
      </c>
      <c r="D3486" s="2"/>
      <c r="E3486" s="2"/>
      <c r="F3486" s="2"/>
      <c r="G3486" s="2"/>
      <c r="H3486" s="2"/>
      <c r="I3486" s="2"/>
      <c r="J3486" s="2"/>
      <c r="K3486" s="2"/>
      <c r="L3486" s="2"/>
    </row>
    <row r="3487" spans="1:12" customFormat="1" ht="16" ns3:dyDescent="0.2">
      <c r="A3487" t="s">
        <v>320</v>
      </c>
      <c r="B3487" s="2">
        <f>INDEX(Parameters!$B$6:$AL$57,MATCH(Inventories!$B$3461,Parameters!$A$6:$A$57,0),MATCH(Inventories!$A3487,Parameters!$B$4:$AL$4,0))</f>
        <v>0</v>
      </c>
      <c r="C3487" t="s">
        <v>312</v>
      </c>
      <c r="D3487" s="2"/>
      <c r="E3487" s="2"/>
      <c r="F3487" s="2"/>
      <c r="G3487" s="2"/>
      <c r="H3487" s="2"/>
      <c r="I3487" s="2"/>
      <c r="J3487" s="2"/>
      <c r="K3487" s="2"/>
      <c r="L3487" s="2"/>
    </row>
    <row r="3488" spans="1:12" customFormat="1" ht="16" ns3:dyDescent="0.2">
      <c r="A3488" t="s">
        <v>321</v>
      </c>
      <c r="B3488" s="2">
        <f>INDEX(Parameters!$B$6:$AL$57,MATCH(Inventories!$B$3461,Parameters!$A$6:$A$57,0),MATCH(Inventories!$A3488,Parameters!$B$4:$AL$4,0))</f>
        <v>0</v>
      </c>
      <c r="C3488" t="s">
        <v>312</v>
      </c>
      <c r="D3488" s="2"/>
      <c r="E3488" s="2"/>
      <c r="F3488" s="2"/>
      <c r="G3488" s="2"/>
      <c r="H3488" s="2"/>
      <c r="I3488" s="2"/>
      <c r="J3488" s="2"/>
      <c r="K3488" s="2"/>
      <c r="L3488" s="2"/>
    </row>
    <row r="3489" spans="1:12" customFormat="1" ht="16" ns3:dyDescent="0.2">
      <c r="A3489" t="s">
        <v>327</v>
      </c>
      <c r="B3489" s="2">
        <f>INDEX(Parameters!$B$6:$AL$57,MATCH(Inventories!$B$3461,Parameters!$A$6:$A$57,0),MATCH(Inventories!$A3489,Parameters!$B$4:$AL$4,0))</f>
        <v>0</v>
      </c>
      <c r="C3489" t="s">
        <v>8</v>
      </c>
      <c r="D3489" s="2"/>
      <c r="E3489" s="2"/>
      <c r="F3489" s="2"/>
      <c r="G3489" s="2"/>
      <c r="H3489" s="2"/>
      <c r="I3489" s="2"/>
      <c r="J3489" s="2"/>
      <c r="K3489" s="2"/>
      <c r="L3489" s="2"/>
    </row>
    <row r="3490" spans="1:12" customFormat="1" ht="16" ns3:dyDescent="0.2">
      <c r="A3490" t="s">
        <v>328</v>
      </c>
      <c r="B3490" s="2">
        <f>INDEX(Parameters!$B$6:$AL$57,MATCH(Inventories!$B$3461,Parameters!$A$6:$A$57,0),MATCH(Inventories!$A3490,Parameters!$B$4:$AL$4,0))</f>
        <v>0</v>
      </c>
      <c r="C3490" t="s">
        <v>8</v>
      </c>
      <c r="D3490" s="2"/>
      <c r="E3490" s="2"/>
      <c r="F3490" s="2"/>
      <c r="G3490" s="2"/>
      <c r="H3490" s="2"/>
      <c r="I3490" s="2"/>
      <c r="J3490" s="2"/>
      <c r="K3490" s="2"/>
      <c r="L3490" s="2"/>
    </row>
    <row r="3491" spans="1:12" customFormat="1" ht="16" ns3:dyDescent="0.2">
      <c r="A3491" t="s">
        <v>329</v>
      </c>
      <c r="B3491" s="2">
        <f>INDEX(Parameters!$B$6:$AL$57,MATCH(Inventories!$B$3461,Parameters!$A$6:$A$57,0),MATCH(Inventories!$A3491,Parameters!$B$4:$AL$4,0))</f>
        <v>0</v>
      </c>
      <c r="C3491" t="s">
        <v>8</v>
      </c>
      <c r="D3491" s="2"/>
      <c r="E3491" s="2"/>
      <c r="F3491" s="2"/>
      <c r="G3491" s="2"/>
      <c r="H3491" s="2"/>
      <c r="I3491" s="2"/>
      <c r="J3491" s="2"/>
      <c r="K3491" s="2"/>
      <c r="L3491" s="2"/>
    </row>
    <row r="3492" spans="1:12" customFormat="1" ht="16" ns3:dyDescent="0.2">
      <c r="A3492" t="s">
        <v>343</v>
      </c>
      <c r="B3492" s="2">
        <f>INDEX(Parameters!$B$6:$AL$57,MATCH(Inventories!$B$3461,Parameters!$A$6:$A$57,0),MATCH(Inventories!$A3492,Parameters!$B$4:$AL$4,0))</f>
        <v>0</v>
      </c>
      <c r="C3492" t="s">
        <v>309</v>
      </c>
      <c r="D3492" s="2"/>
      <c r="E3492" s="2"/>
      <c r="F3492" s="2"/>
      <c r="G3492" s="2"/>
      <c r="H3492" s="2"/>
      <c r="I3492" s="2"/>
      <c r="J3492" s="2"/>
      <c r="K3492" s="2"/>
      <c r="L3492" s="2"/>
    </row>
    <row r="3493" spans="1:12" customFormat="1" ht="16" ns3:dyDescent="0.2">
      <c r="A3493" t="s">
        <v>344</v>
      </c>
      <c r="B3493" s="2">
        <f>INDEX(Parameters!$B$6:$AL$57,MATCH(Inventories!$B$3461,Parameters!$A$6:$A$57,0),MATCH(Inventories!$A3493,Parameters!$B$4:$AL$4,0))</f>
        <v>0</v>
      </c>
      <c r="C3493" t="s">
        <v>309</v>
      </c>
      <c r="D3493" s="2"/>
      <c r="E3493" s="12"/>
      <c r="F3493" s="2"/>
      <c r="G3493" s="2"/>
      <c r="H3493" s="2"/>
      <c r="I3493" s="2"/>
      <c r="J3493" s="2"/>
      <c r="K3493" s="2"/>
      <c r="L3493" s="2"/>
    </row>
    <row r="3494" spans="1:12" customFormat="1" ht="16" ns3:dyDescent="0.2">
      <c r="A3494" t="s">
        <v>345</v>
      </c>
      <c r="B3494" s="2">
        <f>INDEX(Parameters!$B$6:$AL$57,MATCH(Inventories!$B$3461,Parameters!$A$6:$A$57,0),MATCH(Inventories!$A3494,Parameters!$B$4:$AL$4,0))</f>
        <v>0</v>
      </c>
      <c r="C3494" t="s">
        <v>309</v>
      </c>
      <c r="D3494" s="2"/>
      <c r="E3494" s="2"/>
      <c r="F3494" s="2"/>
      <c r="G3494" s="2"/>
      <c r="H3494" s="2"/>
      <c r="I3494" s="2"/>
      <c r="J3494" s="2"/>
      <c r="K3494" s="2"/>
      <c r="L3494" s="2"/>
    </row>
    <row r="3495" spans="1:12" customFormat="1" ht="16" ns3:dyDescent="0.2">
      <c r="A3495" t="s">
        <v>346</v>
      </c>
      <c r="B3495" s="2">
        <f>INDEX(Parameters!$B$6:$AL$57,MATCH(Inventories!$B$3461,Parameters!$A$6:$A$57,0),MATCH(Inventories!$A3495,Parameters!$B$4:$AL$4,0))</f>
        <v>0</v>
      </c>
      <c r="C3495" t="s">
        <v>8</v>
      </c>
      <c r="D3495" s="2"/>
      <c r="E3495" s="2"/>
      <c r="F3495" s="2"/>
      <c r="G3495" s="2"/>
      <c r="H3495" s="2"/>
      <c r="I3495" s="2"/>
      <c r="J3495" s="2"/>
      <c r="K3495" s="2"/>
      <c r="L3495" s="2"/>
    </row>
    <row r="3496" spans="1:12" customFormat="1" ht="16" ns3:dyDescent="0.2">
      <c r="A3496" t="s">
        <v>347</v>
      </c>
      <c r="B3496" s="2">
        <f>INDEX(Parameters!$B$6:$AL$57,MATCH(Inventories!$B$3461,Parameters!$A$6:$A$57,0),MATCH(Inventories!$A3496,Parameters!$B$4:$AL$4,0))</f>
        <v>0</v>
      </c>
      <c r="C3496" t="s">
        <v>8</v>
      </c>
      <c r="D3496" s="2"/>
      <c r="E3496" s="2"/>
      <c r="F3496" s="2"/>
      <c r="G3496" s="2"/>
      <c r="H3496" s="2"/>
      <c r="I3496" s="2"/>
      <c r="J3496" s="2"/>
      <c r="K3496" s="2"/>
      <c r="L3496" s="2"/>
    </row>
    <row r="3497" spans="1:12" customFormat="1" ht="16" ns3:dyDescent="0.2">
      <c r="A3497" t="s">
        <v>348</v>
      </c>
      <c r="B3497" s="2">
        <f>INDEX(Parameters!$B$6:$AL$57,MATCH(Inventories!$B$3461,Parameters!$A$6:$A$57,0),MATCH(Inventories!$A3497,Parameters!$B$4:$AL$4,0))</f>
        <v>0</v>
      </c>
      <c r="C3497" t="s">
        <v>8</v>
      </c>
      <c r="D3497" s="2"/>
      <c r="E3497" s="2"/>
      <c r="F3497" s="2"/>
      <c r="G3497" s="2"/>
      <c r="H3497" s="2"/>
      <c r="I3497" s="2"/>
      <c r="J3497" s="2"/>
      <c r="K3497" s="2"/>
      <c r="L3497" s="2"/>
    </row>
    <row r="3498" spans="1:12" customFormat="1" ht="16" ns3:dyDescent="0.2">
      <c r="A3498" t="s">
        <v>362</v>
      </c>
      <c r="B3498" s="2">
        <f>INDEX(Parameters!$B$6:$AL$57,MATCH(Inventories!$B$3461,Parameters!$A$6:$A$57,0),MATCH(Inventories!$A3498,Parameters!$B$4:$AL$4,0))</f>
        <v>0</v>
      </c>
      <c r="C3498" t="s">
        <v>333</v>
      </c>
      <c r="D3498" s="2"/>
      <c r="E3498" s="2"/>
      <c r="F3498" s="2"/>
      <c r="G3498" s="2"/>
      <c r="H3498" s="2"/>
      <c r="I3498" s="2"/>
      <c r="J3498" s="2"/>
      <c r="K3498" s="2"/>
      <c r="L3498" s="2"/>
    </row>
    <row r="3499" spans="1:12" customFormat="1" ht="16" ns3:dyDescent="0.2">
      <c r="A3499" t="s">
        <v>363</v>
      </c>
      <c r="B3499" s="2">
        <f>INDEX(Parameters!$B$6:$AL$57,MATCH(Inventories!$B$3461,Parameters!$A$6:$A$57,0),MATCH(Inventories!$A3499,Parameters!$B$4:$AL$4,0))</f>
        <v>0</v>
      </c>
      <c r="C3499" t="s">
        <v>333</v>
      </c>
      <c r="D3499" s="2"/>
      <c r="E3499" s="2"/>
      <c r="F3499" s="2"/>
      <c r="G3499" s="2"/>
      <c r="H3499" s="2"/>
      <c r="I3499" s="2"/>
      <c r="J3499" s="2"/>
      <c r="K3499" s="2"/>
      <c r="L3499" s="2"/>
    </row>
    <row r="3500" spans="1:12" customFormat="1" ht="16" ns3:dyDescent="0.2">
      <c r="A3500" t="s">
        <v>364</v>
      </c>
      <c r="B3500" s="2">
        <f>INDEX(Parameters!$B$6:$AL$57,MATCH(Inventories!$B$3461,Parameters!$A$6:$A$57,0),MATCH(Inventories!$A3500,Parameters!$B$4:$AL$4,0))</f>
        <v>0</v>
      </c>
      <c r="C3500" t="s">
        <v>333</v>
      </c>
      <c r="D3500" s="2"/>
      <c r="E3500" s="2"/>
      <c r="F3500" s="2"/>
      <c r="G3500" s="2"/>
      <c r="H3500" s="2"/>
      <c r="I3500" s="2"/>
      <c r="J3500" s="2"/>
      <c r="K3500" s="2"/>
      <c r="L3500" s="2"/>
    </row>
    <row r="3501" spans="1:12" customFormat="1" ht="16" ns3:dyDescent="0.2">
      <c r="A3501" t="s">
        <v>365</v>
      </c>
      <c r="B3501" s="2">
        <f>INDEX(Parameters!$B$6:$AL$57,MATCH(Inventories!$B$3461,Parameters!$A$6:$A$57,0),MATCH(Inventories!$A3501,Parameters!$B$4:$AL$4,0))</f>
        <v>0</v>
      </c>
      <c r="C3501" t="s">
        <v>333</v>
      </c>
      <c r="D3501" s="2"/>
      <c r="E3501" s="2"/>
      <c r="F3501" s="2"/>
      <c r="G3501" s="2"/>
      <c r="H3501" s="2"/>
      <c r="I3501" s="2"/>
      <c r="J3501" s="2"/>
      <c r="K3501" s="2"/>
      <c r="L3501" s="2"/>
    </row>
    <row r="3502" spans="1:12" customFormat="1" ht="16" ns3:dyDescent="0.2">
      <c r="A3502" t="s">
        <v>366</v>
      </c>
      <c r="B3502" s="2">
        <f>INDEX(Parameters!$B$6:$AL$57,MATCH(Inventories!$B$3461,Parameters!$A$6:$A$57,0),MATCH(Inventories!$A3502,Parameters!$B$4:$AL$4,0))</f>
        <v>0</v>
      </c>
      <c r="C3502" t="s">
        <v>333</v>
      </c>
      <c r="D3502" s="2"/>
      <c r="E3502" s="2"/>
      <c r="F3502" s="2"/>
      <c r="G3502" s="2"/>
      <c r="H3502" s="2"/>
      <c r="I3502" s="2"/>
      <c r="J3502" s="2"/>
      <c r="K3502" s="2"/>
      <c r="L3502" s="2"/>
    </row>
    <row r="3503" spans="1:12" customFormat="1" ht="16" ns3:dyDescent="0.2">
      <c r="A3503" t="s">
        <v>341</v>
      </c>
      <c r="B3503" s="32">
        <f>INDEX(Parameters!$B$6:$AL$57,MATCH(Inventories!$B$3461,Parameters!$A$6:$A$57,0),MATCH(Inventories!$A3503,Parameters!$B$4:$AL$4,0))</f>
        <v>0</v>
      </c>
      <c r="C3503" t="s">
        <v>342</v>
      </c>
      <c r="D3503" s="2"/>
      <c r="E3503" s="2"/>
      <c r="F3503" s="2"/>
      <c r="G3503" s="2"/>
      <c r="H3503" s="2"/>
      <c r="I3503" s="2"/>
      <c r="J3503" s="2"/>
      <c r="K3503" s="2"/>
      <c r="L3503" s="2"/>
    </row>
    <row r="3504" spans="1:12" customFormat="1" ht="16" ns3:dyDescent="0.2">
      <c r="A3504" t="s">
        <v>340</v>
      </c>
      <c r="B3504" s="32">
        <f>INDEX(Parameters!$B$6:$AL$57,MATCH(Inventories!$B$3461,Parameters!$A$6:$A$57,0),MATCH(Inventories!$A3504,Parameters!$B$4:$AL$4,0))</f>
        <v>0</v>
      </c>
      <c r="C3504" t="s">
        <v>342</v>
      </c>
      <c r="D3504" s="2"/>
      <c r="E3504" s="2"/>
      <c r="F3504" s="2"/>
      <c r="G3504" s="2"/>
      <c r="H3504" s="2"/>
      <c r="I3504" s="2"/>
      <c r="J3504" s="2"/>
      <c r="K3504" s="2"/>
      <c r="L3504" s="2"/>
    </row>
    <row r="3505" spans="1:12" customFormat="1" ht="16" ns3:dyDescent="0.2">
      <c r="A3505" s="1" t="s">
        <v>10</v>
      </c>
      <c r="B3505" s="2"/>
      <c r="C3505" s="2"/>
      <c r="D3505" s="2"/>
      <c r="E3505" s="2"/>
      <c r="F3505" s="2"/>
      <c r="G3505" s="2"/>
      <c r="H3505" s="2"/>
      <c r="I3505" s="2"/>
      <c r="J3505" s="2"/>
      <c r="K3505" s="2"/>
      <c r="L3505" s="2"/>
    </row>
    <row r="3506" spans="1:12" ns3:dyDescent="0.2">
      <c r="A3506" s="17" t="s">
        <v>11</v>
      </c>
      <c r="B3506" s="17" t="s">
        <v>12</v>
      </c>
      <c r="C3506" s="17" t="s">
        <v>3</v>
      </c>
      <c r="D3506" s="17" t="s">
        <v>13</v>
      </c>
      <c r="E3506" s="17" t="s">
        <v>8</v>
      </c>
      <c r="F3506" s="17" t="s">
        <v>6</v>
      </c>
      <c r="G3506" s="17" t="s">
        <v>5</v>
      </c>
      <c r="H3506" s="17" t="s">
        <v>151</v>
      </c>
      <c r="I3506" s="17" t="s">
        <v>179</v>
      </c>
      <c r="J3506" s="17" t="s">
        <v>180</v>
      </c>
      <c r="K3506" s="17" t="s">
        <v>181</v>
      </c>
      <c r="L3506" s="17" t="s">
        <v>182</v>
      </c>
    </row>
    <row r="3507" spans="1:12" customFormat="1" ht="16" ns3:dyDescent="0.2">
      <c r="A3507" s="2" t="str">
        <f>B3461</f>
        <v>hydrogen, burned in aircraft</v>
      </c>
      <c r="B3507" s="2">
        <v>1</v>
      </c>
      <c r="C3507" s="2" t="str">
        <f>B3462</f>
        <v>RER</v>
      </c>
      <c r="D3507" s="2"/>
      <c r="E3507" s="2" t="str">
        <f>B3466</f>
        <v>megajoule</v>
      </c>
      <c r="F3507" s="2" t="s">
        <v>19</v>
      </c>
      <c r="G3507" s="2" t="str">
        <f>B3464</f>
        <v>heat</v>
      </c>
      <c r="H3507" s="2"/>
      <c r="I3507" s="2"/>
      <c r="J3507" s="2"/>
      <c r="K3507" s="2"/>
      <c r="L3507" s="2"/>
    </row>
    <row r="3508" spans="1:12" customFormat="1" ht="16" ns3:dyDescent="0.2">
      <c r="A3508" s="2" t="s">
        <v>158</v>
      </c>
      <c r="B3508" s="19">
        <f>1/120</f>
        <v>8.3333333333333332E-3</v>
      </c>
      <c r="C3508" s="4" t="s">
        <v>18</v>
      </c>
      <c r="E3508" s="4" t="s">
        <v>9</v>
      </c>
      <c r="F3508" s="4" t="s">
        <v>23</v>
      </c>
      <c r="G3508" s="2" t="s">
        <v>159</v>
      </c>
      <c r="H3508" s="2"/>
    </row>
    <row r="3509" spans="1:12" customFormat="1" ht="16" ns3:dyDescent="0.2">
      <c r="A3509" t="s">
        <v>194</v>
      </c>
      <c r="B3509" s="16">
        <f>(B3483/B3471)/(B3474/1000)</f>
        <v>1.5740740740740741E-7</v>
      </c>
      <c r="C3509" t="s">
        <v>18</v>
      </c>
      <c r="E3509" t="s">
        <v>9</v>
      </c>
      <c r="F3509" t="s">
        <v>23</v>
      </c>
      <c r="G3509" t="s">
        <v>195</v>
      </c>
      <c r="H3509" s="2"/>
      <c r="I3509">
        <v>5</v>
      </c>
      <c r="J3509">
        <f>B3509</f>
        <v>1.5740740740740741E-7</v>
      </c>
      <c r="K3509" s="16">
        <f>(B3484/B3473)/(B3476/1000)</f>
        <v>5.2700922266139656E-8</v>
      </c>
      <c r="L3509" s="16">
        <f>(B3485/B3472)/(B3475/1000)</f>
        <v>5.9405940594059406E-7</v>
      </c>
    </row>
    <row r="3510" spans="1:12" customFormat="1" ht="16" ns3:dyDescent="0.2">
      <c r="A3510" t="s">
        <v>98</v>
      </c>
      <c r="B3510" s="16">
        <f>B3508*9/1000</f>
        <v>7.4999999999999993E-5</v>
      </c>
      <c r="D3510" t="s">
        <v>116</v>
      </c>
      <c r="E3510" t="s">
        <v>94</v>
      </c>
      <c r="F3510" t="s">
        <v>15</v>
      </c>
      <c r="H3510" s="2"/>
      <c r="K3510" s="16"/>
      <c r="L3510" s="16"/>
    </row>
    <row r="3511" spans="1:12" customFormat="1" ht="16" ns3:dyDescent="0.2">
      <c r="A3511" t="s">
        <v>69</v>
      </c>
      <c r="B3511" s="16">
        <f>(10.8/1000)*B3508</f>
        <v>9.0000000000000006E-5</v>
      </c>
      <c r="D3511" t="s">
        <v>116</v>
      </c>
      <c r="E3511" t="s">
        <v>9</v>
      </c>
      <c r="F3511" t="s">
        <v>15</v>
      </c>
      <c r="H3511" s="2" t="s">
        <v>383</v>
      </c>
      <c r="K3511" s="16"/>
      <c r="L3511" s="16"/>
    </row>
    <row r="3512" spans="1:12" customFormat="1" ht="16" ns3:dyDescent="0.2">
      <c r="A3512" s="2"/>
      <c r="B3512" s="2"/>
      <c r="C3512" s="2"/>
      <c r="D3512" s="2"/>
      <c r="E3512" s="2"/>
      <c r="F3512" s="2"/>
      <c r="G3512" s="2"/>
      <c r="H3512" s="2"/>
      <c r="I3512" s="2"/>
      <c r="J3512" s="2"/>
      <c r="K3512" s="2"/>
      <c r="L3512" s="2"/>
    </row>
    <row r="3513" spans="1:12" ns3:dyDescent="0.2">
      <c r="A3513" s="17" t="s">
        <v>2</v>
      </c>
      <c r="B3513" s="17" t="s">
        <v>101</v>
      </c>
    </row>
    <row r="3514" spans="1:12" customFormat="1" ht="16" ns3:dyDescent="0.2">
      <c r="A3514" s="2" t="s">
        <v>3</v>
      </c>
      <c r="B3514" s="2" t="s">
        <v>18</v>
      </c>
      <c r="C3514" s="2"/>
      <c r="D3514" s="2"/>
      <c r="E3514" s="2"/>
      <c r="F3514" s="2"/>
      <c r="G3514" s="2"/>
      <c r="H3514" s="2"/>
      <c r="I3514" s="2"/>
      <c r="J3514" s="2"/>
      <c r="K3514" s="2"/>
      <c r="L3514" s="2"/>
    </row>
    <row r="3515" spans="1:12" customFormat="1" ht="16" ns3:dyDescent="0.2">
      <c r="A3515" s="2" t="s">
        <v>4</v>
      </c>
      <c r="B3515" s="2">
        <v>1</v>
      </c>
      <c r="C3515" s="2"/>
      <c r="D3515" s="2"/>
      <c r="E3515" s="2"/>
      <c r="F3515" s="2"/>
      <c r="G3515" s="2"/>
      <c r="H3515" s="2"/>
      <c r="I3515" s="2"/>
      <c r="J3515" s="2"/>
      <c r="K3515" s="2"/>
      <c r="L3515" s="2"/>
    </row>
    <row r="3516" spans="1:12" customFormat="1" ht="16" ns3:dyDescent="0.2">
      <c r="A3516" s="2" t="s">
        <v>5</v>
      </c>
      <c r="B3516" s="2" t="s">
        <v>1</v>
      </c>
      <c r="C3516" s="2"/>
      <c r="D3516" s="2"/>
      <c r="E3516" s="2"/>
      <c r="F3516" s="2"/>
      <c r="G3516" s="2"/>
      <c r="H3516" s="2"/>
      <c r="I3516" s="2"/>
      <c r="J3516" s="2"/>
    </row>
    <row r="3517" spans="1:12" customFormat="1" ht="16" ns3:dyDescent="0.2">
      <c r="A3517" s="2" t="s">
        <v>151</v>
      </c>
      <c r="B3517" s="2" t="s">
        <v>398</v>
      </c>
      <c r="C3517" s="2"/>
      <c r="D3517" s="2"/>
      <c r="E3517" s="2"/>
      <c r="F3517" s="2"/>
      <c r="G3517" s="2"/>
      <c r="H3517" s="2"/>
      <c r="I3517" s="2"/>
      <c r="J3517" s="2"/>
    </row>
    <row r="3518" spans="1:12" customFormat="1" ht="16" ns3:dyDescent="0.2">
      <c r="A3518" s="2" t="s">
        <v>6</v>
      </c>
      <c r="B3518" s="2" t="s">
        <v>7</v>
      </c>
      <c r="C3518" s="2"/>
      <c r="D3518" s="2"/>
      <c r="E3518" s="2"/>
      <c r="F3518" s="2"/>
      <c r="G3518" s="2"/>
      <c r="H3518" s="2"/>
      <c r="I3518" s="2"/>
      <c r="J3518" s="2"/>
      <c r="K3518" s="2"/>
      <c r="L3518" s="2"/>
    </row>
    <row r="3519" spans="1:12" customFormat="1" ht="16" ns3:dyDescent="0.2">
      <c r="A3519" s="2" t="s">
        <v>8</v>
      </c>
      <c r="B3519" s="2" t="s">
        <v>17</v>
      </c>
      <c r="C3519" s="2"/>
      <c r="D3519" s="2"/>
      <c r="E3519" s="2"/>
      <c r="F3519" s="2"/>
      <c r="G3519" s="2"/>
      <c r="H3519" s="2"/>
      <c r="I3519" s="2"/>
      <c r="J3519" s="2"/>
      <c r="K3519" s="2"/>
      <c r="L3519" s="2"/>
    </row>
    <row r="3520" spans="1:12" customFormat="1" ht="16" ns3:dyDescent="0.2">
      <c r="A3520" s="1" t="s">
        <v>10</v>
      </c>
      <c r="B3520" s="2"/>
      <c r="C3520" s="2"/>
      <c r="D3520" s="2"/>
      <c r="E3520" s="2"/>
      <c r="F3520" s="2"/>
      <c r="G3520" s="2"/>
      <c r="H3520" s="2"/>
      <c r="I3520" s="2"/>
      <c r="J3520" s="2"/>
      <c r="K3520" s="2"/>
      <c r="L3520" s="2"/>
    </row>
    <row r="3521" spans="1:12" ns3:dyDescent="0.2">
      <c r="A3521" s="17" t="s">
        <v>11</v>
      </c>
      <c r="B3521" s="17" t="s">
        <v>12</v>
      </c>
      <c r="C3521" s="17" t="s">
        <v>3</v>
      </c>
      <c r="D3521" s="17" t="s">
        <v>13</v>
      </c>
      <c r="E3521" s="17" t="s">
        <v>8</v>
      </c>
      <c r="F3521" s="17" t="s">
        <v>6</v>
      </c>
      <c r="G3521" s="17" t="s">
        <v>5</v>
      </c>
      <c r="I3521" s="17"/>
      <c r="J3521" s="17"/>
      <c r="K3521" s="17"/>
    </row>
    <row r="3522" spans="1:12" customFormat="1" ht="16" ns3:dyDescent="0.2">
      <c r="A3522" s="2" t="str">
        <f>B3513</f>
        <v>heavy fuel oil, burned in container ship</v>
      </c>
      <c r="B3522" s="2">
        <v>1</v>
      </c>
      <c r="C3522" s="2" t="str">
        <f>B3514</f>
        <v>RER</v>
      </c>
      <c r="D3522" s="2"/>
      <c r="E3522" s="2" t="str">
        <f>B3519</f>
        <v>megajoule</v>
      </c>
      <c r="F3522" s="2" t="s">
        <v>19</v>
      </c>
      <c r="G3522" s="2" t="str">
        <f>B3516</f>
        <v>heat</v>
      </c>
      <c r="H3522" s="2"/>
      <c r="I3522" s="2"/>
      <c r="J3522" s="2"/>
      <c r="K3522" s="2"/>
      <c r="L3522" s="2"/>
    </row>
    <row r="3523" spans="1:12" customFormat="1" ht="16" ns3:dyDescent="0.2">
      <c r="A3523" t="s">
        <v>125</v>
      </c>
      <c r="B3523">
        <f>1/39</f>
        <v>2.564102564102564E-2</v>
      </c>
      <c r="C3523" t="s">
        <v>27</v>
      </c>
      <c r="E3523" t="s">
        <v>9</v>
      </c>
      <c r="F3523" t="s">
        <v>23</v>
      </c>
      <c r="G3523" t="s">
        <v>102</v>
      </c>
      <c r="H3523" s="2"/>
    </row>
    <row r="3524" spans="1:12" customFormat="1" ht="16" ns3:dyDescent="0.2">
      <c r="A3524" t="s">
        <v>48</v>
      </c>
      <c r="B3524" s="3">
        <v>1.0256365433645409E-5</v>
      </c>
      <c r="D3524" t="s">
        <v>100</v>
      </c>
      <c r="E3524" t="s">
        <v>9</v>
      </c>
      <c r="F3524" s="2" t="s">
        <v>15</v>
      </c>
      <c r="H3524" s="2"/>
    </row>
    <row r="3525" spans="1:12" customFormat="1" ht="16" ns3:dyDescent="0.2">
      <c r="A3525" t="s">
        <v>90</v>
      </c>
      <c r="B3525" s="3">
        <v>9.6449727337009339E-9</v>
      </c>
      <c r="D3525" t="s">
        <v>100</v>
      </c>
      <c r="E3525" t="s">
        <v>9</v>
      </c>
      <c r="F3525" s="2" t="s">
        <v>15</v>
      </c>
      <c r="H3525" s="2"/>
    </row>
    <row r="3526" spans="1:11" customFormat="1" ht="16" ns3:dyDescent="0.2">
      <c r="A3526" t="s">
        <v>52</v>
      </c>
      <c r="B3526" s="3">
        <v>6.2721921074364377E-10</v>
      </c>
      <c r="D3526" t="s">
        <v>100</v>
      </c>
      <c r="E3526" t="s">
        <v>9</v>
      </c>
      <c r="F3526" s="2" t="s">
        <v>15</v>
      </c>
      <c r="H3526" s="2"/>
    </row>
    <row r="3527" spans="1:11" customFormat="1" ht="16" ns3:dyDescent="0.2">
      <c r="A3527" t="s">
        <v>53</v>
      </c>
      <c r="B3527">
        <v>7.9939098901879183E-2</v>
      </c>
      <c r="D3527" t="s">
        <v>100</v>
      </c>
      <c r="E3527" t="s">
        <v>9</v>
      </c>
      <c r="F3527" s="2" t="s">
        <v>15</v>
      </c>
      <c r="H3527" s="2"/>
    </row>
    <row r="3528" spans="1:11" customFormat="1" ht="16" ns3:dyDescent="0.2">
      <c r="A3528" t="s">
        <v>54</v>
      </c>
      <c r="B3528" s="3">
        <v>6.8728477177939384E-5</v>
      </c>
      <c r="D3528" t="s">
        <v>100</v>
      </c>
      <c r="E3528" t="s">
        <v>9</v>
      </c>
      <c r="F3528" s="2" t="s">
        <v>15</v>
      </c>
      <c r="H3528" s="2"/>
      <c r="K3528" s="3"/>
    </row>
    <row r="3529" spans="1:11" customFormat="1" ht="16" ns3:dyDescent="0.2">
      <c r="A3529" t="s">
        <v>55</v>
      </c>
      <c r="B3529" s="3">
        <v>4.0039462777159148E-9</v>
      </c>
      <c r="D3529" t="s">
        <v>100</v>
      </c>
      <c r="E3529" t="s">
        <v>9</v>
      </c>
      <c r="F3529" s="2" t="s">
        <v>15</v>
      </c>
      <c r="H3529" s="2"/>
      <c r="K3529" s="3"/>
    </row>
    <row r="3530" spans="1:11" customFormat="1" ht="16" ns3:dyDescent="0.2">
      <c r="A3530" t="s">
        <v>57</v>
      </c>
      <c r="B3530" s="3">
        <v>9.6449727337009339E-9</v>
      </c>
      <c r="D3530" t="s">
        <v>100</v>
      </c>
      <c r="E3530" t="s">
        <v>9</v>
      </c>
      <c r="F3530" s="2" t="s">
        <v>15</v>
      </c>
      <c r="H3530" s="2"/>
      <c r="K3530" s="3"/>
    </row>
    <row r="3531" spans="1:11" customFormat="1" ht="16" ns3:dyDescent="0.2">
      <c r="A3531" t="s">
        <v>58</v>
      </c>
      <c r="B3531" s="3">
        <v>4.0793809536092252E-6</v>
      </c>
      <c r="D3531" t="s">
        <v>100</v>
      </c>
      <c r="E3531" t="s">
        <v>9</v>
      </c>
      <c r="F3531" s="2" t="s">
        <v>15</v>
      </c>
      <c r="H3531" s="2"/>
      <c r="K3531" s="3"/>
    </row>
    <row r="3532" spans="1:11" customFormat="1" ht="16" ns3:dyDescent="0.2">
      <c r="A3532" t="s">
        <v>103</v>
      </c>
      <c r="B3532" s="3">
        <v>2.5641066388993793E-14</v>
      </c>
      <c r="D3532" t="s">
        <v>100</v>
      </c>
      <c r="E3532" t="s">
        <v>9</v>
      </c>
      <c r="F3532" s="2" t="s">
        <v>15</v>
      </c>
      <c r="H3532" s="2"/>
    </row>
    <row r="3533" spans="1:11" customFormat="1" ht="16" ns3:dyDescent="0.2">
      <c r="A3533" t="s">
        <v>104</v>
      </c>
      <c r="B3533" s="3">
        <v>1.4988121356087533E-6</v>
      </c>
      <c r="D3533" t="s">
        <v>100</v>
      </c>
      <c r="E3533" t="s">
        <v>9</v>
      </c>
      <c r="F3533" s="2" t="s">
        <v>15</v>
      </c>
      <c r="H3533" s="2"/>
    </row>
    <row r="3534" spans="1:11" customFormat="1" ht="16" ns3:dyDescent="0.2">
      <c r="A3534" t="s">
        <v>105</v>
      </c>
      <c r="B3534" s="3">
        <v>1.4988121356087536E-7</v>
      </c>
      <c r="D3534" t="s">
        <v>100</v>
      </c>
      <c r="E3534" t="s">
        <v>9</v>
      </c>
      <c r="F3534" s="2" t="s">
        <v>15</v>
      </c>
      <c r="H3534" s="2"/>
    </row>
    <row r="3535" spans="1:11" customFormat="1" ht="16" ns3:dyDescent="0.2">
      <c r="A3535" t="s">
        <v>63</v>
      </c>
      <c r="B3535" s="3">
        <v>4.4181493731679086E-9</v>
      </c>
      <c r="D3535" t="s">
        <v>100</v>
      </c>
      <c r="E3535" t="s">
        <v>9</v>
      </c>
      <c r="F3535" s="2" t="s">
        <v>15</v>
      </c>
      <c r="H3535" s="2"/>
    </row>
    <row r="3536" spans="1:11" customFormat="1" ht="16" ns3:dyDescent="0.2">
      <c r="A3536" t="s">
        <v>64</v>
      </c>
      <c r="B3536" s="3">
        <v>7.2386626011604185E-10</v>
      </c>
      <c r="D3536" t="s">
        <v>100</v>
      </c>
      <c r="E3536" t="s">
        <v>9</v>
      </c>
      <c r="F3536" s="2" t="s">
        <v>15</v>
      </c>
      <c r="H3536" s="2"/>
    </row>
    <row r="3537" spans="1:11" customFormat="1" ht="16" ns3:dyDescent="0.2">
      <c r="A3537" t="s">
        <v>65</v>
      </c>
      <c r="B3537" s="3">
        <v>1.3879471014768287E-6</v>
      </c>
      <c r="D3537" t="s">
        <v>100</v>
      </c>
      <c r="E3537" t="s">
        <v>9</v>
      </c>
      <c r="F3537" s="2" t="s">
        <v>15</v>
      </c>
      <c r="H3537" s="2"/>
    </row>
    <row r="3538" spans="1:11" customFormat="1" ht="16" ns3:dyDescent="0.2">
      <c r="A3538" t="s">
        <v>67</v>
      </c>
      <c r="B3538" s="3">
        <v>6.9408357025220894E-5</v>
      </c>
      <c r="D3538" t="s">
        <v>100</v>
      </c>
      <c r="E3538" t="s">
        <v>9</v>
      </c>
      <c r="F3538" s="2" t="s">
        <v>15</v>
      </c>
      <c r="H3538" s="2"/>
    </row>
    <row r="3539" spans="1:11" customFormat="1" ht="16" ns3:dyDescent="0.2">
      <c r="A3539" t="s">
        <v>68</v>
      </c>
      <c r="B3539" s="3">
        <v>5.5818502193524422E-7</v>
      </c>
      <c r="D3539" t="s">
        <v>100</v>
      </c>
      <c r="E3539" t="s">
        <v>9</v>
      </c>
      <c r="F3539" s="2" t="s">
        <v>15</v>
      </c>
      <c r="H3539" s="2"/>
    </row>
    <row r="3540" spans="1:11" customFormat="1" ht="16" ns3:dyDescent="0.2">
      <c r="A3540" t="s">
        <v>69</v>
      </c>
      <c r="B3540">
        <v>1.9128828001645137E-3</v>
      </c>
      <c r="D3540" t="s">
        <v>100</v>
      </c>
      <c r="E3540" t="s">
        <v>9</v>
      </c>
      <c r="F3540" s="2" t="s">
        <v>15</v>
      </c>
      <c r="H3540" s="2"/>
    </row>
    <row r="3541" spans="1:11" customFormat="1" ht="16" ns3:dyDescent="0.2">
      <c r="A3541" t="s">
        <v>70</v>
      </c>
      <c r="B3541" s="3">
        <v>5.12820309080674E-8</v>
      </c>
      <c r="D3541" t="s">
        <v>100</v>
      </c>
      <c r="E3541" t="s">
        <v>9</v>
      </c>
      <c r="F3541" s="2" t="s">
        <v>15</v>
      </c>
      <c r="H3541" s="2"/>
    </row>
    <row r="3542" spans="1:12" customFormat="1" ht="16" ns3:dyDescent="0.2">
      <c r="A3542" t="s">
        <v>71</v>
      </c>
      <c r="B3542" s="3">
        <f>0.00695*B3523</f>
        <v>1.782051282051282E-4</v>
      </c>
      <c r="D3542" t="s">
        <v>100</v>
      </c>
      <c r="E3542" t="s">
        <v>9</v>
      </c>
      <c r="F3542" s="2" t="s">
        <v>15</v>
      </c>
      <c r="H3542" s="2"/>
    </row>
    <row r="3543" spans="1:12" customFormat="1" ht="16" ns3:dyDescent="0.2">
      <c r="A3543" t="s">
        <v>107</v>
      </c>
      <c r="B3543" s="3">
        <f>0.0006*B3523</f>
        <v>1.5384615384615384E-5</v>
      </c>
      <c r="D3543" t="s">
        <v>100</v>
      </c>
      <c r="E3543" t="s">
        <v>9</v>
      </c>
      <c r="F3543" s="2" t="s">
        <v>15</v>
      </c>
      <c r="H3543" s="2"/>
    </row>
    <row r="3544" spans="1:12" customFormat="1" ht="16" ns3:dyDescent="0.2">
      <c r="A3544" t="s">
        <v>75</v>
      </c>
      <c r="B3544" s="3">
        <v>8.8362885593437998E-9</v>
      </c>
      <c r="D3544" t="s">
        <v>100</v>
      </c>
      <c r="E3544" t="s">
        <v>9</v>
      </c>
      <c r="F3544" s="2" t="s">
        <v>15</v>
      </c>
      <c r="H3544" s="2"/>
    </row>
    <row r="3545" spans="1:12" customFormat="1" ht="16" ns3:dyDescent="0.2">
      <c r="A3545" t="s">
        <v>77</v>
      </c>
      <c r="B3545">
        <f>2*97.54%*0.5%*B3523</f>
        <v>2.5010256410256412E-4</v>
      </c>
      <c r="D3545" t="s">
        <v>100</v>
      </c>
      <c r="E3545" t="s">
        <v>9</v>
      </c>
      <c r="F3545" s="2" t="s">
        <v>15</v>
      </c>
      <c r="H3545" s="2"/>
    </row>
    <row r="3546" spans="1:12" customFormat="1" ht="16" ns3:dyDescent="0.2">
      <c r="A3546" t="s">
        <v>79</v>
      </c>
      <c r="B3546" s="3">
        <v>2.0260399075004886E-8</v>
      </c>
      <c r="D3546" t="s">
        <v>100</v>
      </c>
      <c r="E3546" t="s">
        <v>9</v>
      </c>
      <c r="F3546" s="2" t="s">
        <v>15</v>
      </c>
      <c r="H3546" s="2"/>
    </row>
    <row r="3547" spans="1:12" customFormat="1" ht="16" ns3:dyDescent="0.2">
      <c r="A3547" t="s">
        <v>57</v>
      </c>
      <c r="B3547" s="3">
        <v>1.6520143085674979E-9</v>
      </c>
      <c r="D3547" t="s">
        <v>112</v>
      </c>
      <c r="E3547" t="s">
        <v>9</v>
      </c>
      <c r="F3547" s="2" t="s">
        <v>15</v>
      </c>
      <c r="H3547" s="2"/>
    </row>
    <row r="3548" spans="1:12" customFormat="1" ht="16" ns3:dyDescent="0.2">
      <c r="A3548" t="s">
        <v>108</v>
      </c>
      <c r="B3548" s="3">
        <v>1.5836494051346807E-10</v>
      </c>
      <c r="D3548" t="s">
        <v>112</v>
      </c>
      <c r="E3548" t="s">
        <v>9</v>
      </c>
      <c r="F3548" s="2" t="s">
        <v>15</v>
      </c>
      <c r="H3548" s="2"/>
    </row>
    <row r="3549" spans="1:12" customFormat="1" ht="16" ns3:dyDescent="0.2">
      <c r="A3549" t="s">
        <v>109</v>
      </c>
      <c r="B3549" s="3">
        <v>4.5524750499172942E-7</v>
      </c>
      <c r="D3549" t="s">
        <v>112</v>
      </c>
      <c r="E3549" t="s">
        <v>9</v>
      </c>
      <c r="F3549" s="2" t="s">
        <v>15</v>
      </c>
      <c r="H3549" s="2"/>
    </row>
    <row r="3550" spans="1:12" customFormat="1" ht="16" ns3:dyDescent="0.2">
      <c r="A3550" t="s">
        <v>110</v>
      </c>
      <c r="B3550" s="3">
        <v>2.6394088838964563E-11</v>
      </c>
      <c r="D3550" t="s">
        <v>112</v>
      </c>
      <c r="E3550" t="s">
        <v>9</v>
      </c>
      <c r="F3550" s="2" t="s">
        <v>15</v>
      </c>
      <c r="H3550" s="2"/>
    </row>
    <row r="3551" spans="1:12" customFormat="1" ht="16" ns3:dyDescent="0.2">
      <c r="A3551" t="s">
        <v>111</v>
      </c>
      <c r="B3551" s="3">
        <v>2.4156210432449703E-10</v>
      </c>
      <c r="D3551" t="s">
        <v>112</v>
      </c>
      <c r="E3551" t="s">
        <v>9</v>
      </c>
      <c r="F3551" s="2" t="s">
        <v>15</v>
      </c>
      <c r="H3551" s="2"/>
    </row>
    <row r="3552" spans="1:12" customFormat="1" ht="16" ns3:dyDescent="0.2">
      <c r="H3552" s="2"/>
    </row>
    <row r="3553" spans="1:12" ns3:dyDescent="0.2">
      <c r="A3553" s="17" t="s">
        <v>2</v>
      </c>
      <c r="B3553" s="17" t="s">
        <v>394</v>
      </c>
    </row>
    <row r="3554" spans="1:12" customFormat="1" ht="16" ns3:dyDescent="0.2">
      <c r="A3554" s="2" t="s">
        <v>3</v>
      </c>
      <c r="B3554" s="2" t="s">
        <v>18</v>
      </c>
      <c r="C3554" s="2"/>
      <c r="D3554" s="2"/>
      <c r="E3554" s="2"/>
      <c r="F3554" s="2"/>
      <c r="G3554" s="2"/>
      <c r="H3554" s="2"/>
      <c r="I3554" s="2"/>
      <c r="J3554" s="2"/>
      <c r="K3554" s="2"/>
      <c r="L3554" s="2"/>
    </row>
    <row r="3555" spans="1:12" customFormat="1" ht="16" ns3:dyDescent="0.2">
      <c r="A3555" s="2" t="s">
        <v>4</v>
      </c>
      <c r="B3555" s="2">
        <v>1</v>
      </c>
      <c r="C3555" s="2"/>
      <c r="D3555" s="2"/>
      <c r="E3555" s="2"/>
      <c r="F3555" s="2"/>
      <c r="G3555" s="2"/>
      <c r="H3555" s="2"/>
      <c r="I3555" s="2"/>
      <c r="J3555" s="2"/>
      <c r="K3555" s="2"/>
      <c r="L3555" s="2"/>
    </row>
    <row r="3556" spans="1:12" customFormat="1" ht="16" ns3:dyDescent="0.2">
      <c r="A3556" s="2" t="s">
        <v>5</v>
      </c>
      <c r="B3556" s="2" t="s">
        <v>1</v>
      </c>
      <c r="C3556" s="2"/>
      <c r="D3556" s="2"/>
      <c r="E3556" s="2"/>
      <c r="F3556" s="2"/>
      <c r="G3556" s="2"/>
      <c r="H3556" s="2"/>
      <c r="I3556" s="2"/>
      <c r="J3556" s="2"/>
    </row>
    <row r="3557" spans="1:12" customFormat="1" ht="16" ns3:dyDescent="0.2">
      <c r="A3557" s="2" t="s">
        <v>6</v>
      </c>
      <c r="B3557" s="2" t="s">
        <v>7</v>
      </c>
      <c r="C3557" s="2"/>
      <c r="D3557" s="2"/>
      <c r="E3557" s="2"/>
      <c r="F3557" s="2"/>
      <c r="G3557" s="2"/>
      <c r="H3557" s="2"/>
      <c r="I3557" s="2"/>
      <c r="J3557" s="2"/>
      <c r="K3557" s="2"/>
      <c r="L3557" s="2"/>
    </row>
    <row r="3558" spans="1:12" customFormat="1" ht="16" ns3:dyDescent="0.2">
      <c r="A3558" s="2" t="s">
        <v>151</v>
      </c>
      <c r="B3558" s="2" t="s">
        <v>399</v>
      </c>
      <c r="C3558" s="2"/>
      <c r="D3558" s="2"/>
      <c r="E3558" s="2"/>
      <c r="F3558" s="2"/>
      <c r="G3558" s="2"/>
      <c r="H3558" s="2"/>
      <c r="I3558" s="2"/>
      <c r="J3558" s="2"/>
      <c r="K3558" s="2"/>
      <c r="L3558" s="2"/>
    </row>
    <row r="3559" spans="1:12" customFormat="1" ht="16" ns3:dyDescent="0.2">
      <c r="A3559" s="2" t="s">
        <v>8</v>
      </c>
      <c r="B3559" s="2" t="s">
        <v>17</v>
      </c>
      <c r="C3559" s="2"/>
      <c r="D3559" s="2"/>
      <c r="E3559" s="2"/>
      <c r="F3559" s="2"/>
      <c r="G3559" s="2"/>
      <c r="H3559" s="2"/>
      <c r="I3559" s="2"/>
      <c r="J3559" s="2"/>
      <c r="K3559" s="2"/>
      <c r="L3559" s="2"/>
    </row>
    <row r="3560" spans="1:12" customFormat="1" ht="16" ns3:dyDescent="0.2">
      <c r="A3560" s="1" t="s">
        <v>10</v>
      </c>
      <c r="B3560" s="2"/>
      <c r="C3560" s="2"/>
      <c r="D3560" s="2"/>
      <c r="E3560" s="2"/>
      <c r="F3560" s="2"/>
      <c r="G3560" s="2"/>
      <c r="H3560" s="2"/>
      <c r="I3560" s="2"/>
      <c r="J3560" s="2"/>
      <c r="K3560" s="2"/>
      <c r="L3560" s="2"/>
    </row>
    <row r="3561" spans="1:12" ns3:dyDescent="0.2">
      <c r="A3561" s="17" t="s">
        <v>11</v>
      </c>
      <c r="B3561" s="17" t="s">
        <v>12</v>
      </c>
      <c r="C3561" s="17" t="s">
        <v>3</v>
      </c>
      <c r="D3561" s="17" t="s">
        <v>13</v>
      </c>
      <c r="E3561" s="17" t="s">
        <v>8</v>
      </c>
      <c r="F3561" s="17" t="s">
        <v>6</v>
      </c>
      <c r="G3561" s="17" t="s">
        <v>5</v>
      </c>
      <c r="I3561" s="17"/>
      <c r="J3561" s="17"/>
      <c r="K3561" s="17"/>
    </row>
    <row r="3562" spans="1:12" customFormat="1" ht="16" ns3:dyDescent="0.2">
      <c r="A3562" s="2" t="str">
        <f>B3553</f>
        <v>diesel, synthetic, burned in container ship</v>
      </c>
      <c r="B3562" s="2">
        <v>1</v>
      </c>
      <c r="C3562" s="2" t="str">
        <f>B3554</f>
        <v>RER</v>
      </c>
      <c r="D3562" s="2"/>
      <c r="E3562" s="2" t="str">
        <f>B3559</f>
        <v>megajoule</v>
      </c>
      <c r="F3562" s="2" t="s">
        <v>19</v>
      </c>
      <c r="G3562" s="2" t="str">
        <f>B3556</f>
        <v>heat</v>
      </c>
      <c r="H3562" s="2"/>
      <c r="I3562" s="2"/>
      <c r="J3562" s="2"/>
      <c r="K3562" s="2"/>
      <c r="L3562" s="2"/>
    </row>
    <row r="3563" spans="1:12" customFormat="1" ht="16" ns3:dyDescent="0.2">
      <c r="A3563" t="s">
        <v>503</v>
      </c>
      <c r="B3563">
        <f>1/39</f>
        <v>2.564102564102564E-2</v>
      </c>
      <c r="C3563" t="s">
        <v>18</v>
      </c>
      <c r="E3563" t="s">
        <v>9</v>
      </c>
      <c r="F3563" t="s">
        <v>23</v>
      </c>
      <c r="G3563" t="s">
        <v>133</v>
      </c>
      <c r="H3563" s="2"/>
    </row>
    <row r="3564" spans="1:12" customFormat="1" ht="16" ns3:dyDescent="0.2">
      <c r="A3564" t="s">
        <v>48</v>
      </c>
      <c r="B3564" s="3">
        <v>1.0256365433645409E-5</v>
      </c>
      <c r="D3564" t="s">
        <v>100</v>
      </c>
      <c r="E3564" t="s">
        <v>9</v>
      </c>
      <c r="F3564" s="2" t="s">
        <v>15</v>
      </c>
      <c r="H3564" s="2"/>
    </row>
    <row r="3565" spans="1:12" customFormat="1" ht="16" ns3:dyDescent="0.2">
      <c r="A3565" t="s">
        <v>90</v>
      </c>
      <c r="B3565" s="3">
        <v>9.6449727337009339E-9</v>
      </c>
      <c r="D3565" t="s">
        <v>100</v>
      </c>
      <c r="E3565" t="s">
        <v>9</v>
      </c>
      <c r="F3565" s="2" t="s">
        <v>15</v>
      </c>
      <c r="H3565" s="2"/>
    </row>
    <row r="3566" spans="1:12" customFormat="1" ht="16" ns3:dyDescent="0.2">
      <c r="A3566" t="s">
        <v>52</v>
      </c>
      <c r="B3566" s="3">
        <v>6.2721921074364377E-10</v>
      </c>
      <c r="D3566" t="s">
        <v>100</v>
      </c>
      <c r="E3566" t="s">
        <v>9</v>
      </c>
      <c r="F3566" s="2" t="s">
        <v>15</v>
      </c>
      <c r="H3566" s="2"/>
    </row>
    <row r="3567" spans="1:12" customFormat="1" ht="16" ns3:dyDescent="0.2">
      <c r="A3567" t="s">
        <v>122</v>
      </c>
      <c r="B3567" s="9">
        <f>3.15*B3563</f>
        <v>8.076923076923076E-2</v>
      </c>
      <c r="D3567" t="s">
        <v>100</v>
      </c>
      <c r="E3567" t="s">
        <v>9</v>
      </c>
      <c r="F3567" s="2" t="s">
        <v>15</v>
      </c>
      <c r="H3567" s="2"/>
    </row>
    <row r="3568" spans="1:12" customFormat="1" ht="16" ns3:dyDescent="0.2">
      <c r="A3568" t="s">
        <v>123</v>
      </c>
      <c r="B3568" s="3">
        <v>6.8728477177939384E-5</v>
      </c>
      <c r="D3568" t="s">
        <v>100</v>
      </c>
      <c r="E3568" t="s">
        <v>9</v>
      </c>
      <c r="F3568" s="2" t="s">
        <v>15</v>
      </c>
      <c r="H3568" s="2"/>
      <c r="K3568" s="3"/>
    </row>
    <row r="3569" spans="1:12" customFormat="1" ht="16" ns3:dyDescent="0.2">
      <c r="A3569" t="s">
        <v>55</v>
      </c>
      <c r="B3569" s="3">
        <v>4.0039462777159148E-9</v>
      </c>
      <c r="D3569" t="s">
        <v>100</v>
      </c>
      <c r="E3569" t="s">
        <v>9</v>
      </c>
      <c r="F3569" s="2" t="s">
        <v>15</v>
      </c>
      <c r="H3569" s="2"/>
      <c r="K3569" s="3"/>
    </row>
    <row r="3570" spans="1:12" customFormat="1" ht="16" ns3:dyDescent="0.2">
      <c r="A3570" t="s">
        <v>57</v>
      </c>
      <c r="B3570" s="3">
        <v>9.6449727337009339E-9</v>
      </c>
      <c r="D3570" t="s">
        <v>100</v>
      </c>
      <c r="E3570" t="s">
        <v>9</v>
      </c>
      <c r="F3570" s="2" t="s">
        <v>15</v>
      </c>
      <c r="H3570" s="2"/>
      <c r="K3570" s="3"/>
    </row>
    <row r="3571" spans="1:12" customFormat="1" ht="16" ns3:dyDescent="0.2">
      <c r="A3571" t="s">
        <v>58</v>
      </c>
      <c r="B3571" s="3">
        <v>4.0793809536092252E-6</v>
      </c>
      <c r="D3571" t="s">
        <v>100</v>
      </c>
      <c r="E3571" t="s">
        <v>9</v>
      </c>
      <c r="F3571" s="2" t="s">
        <v>15</v>
      </c>
      <c r="H3571" s="2"/>
      <c r="K3571" s="3"/>
    </row>
    <row r="3572" spans="1:12" customFormat="1" ht="16" ns3:dyDescent="0.2">
      <c r="A3572" t="s">
        <v>103</v>
      </c>
      <c r="B3572" s="3">
        <v>2.5641066388993793E-14</v>
      </c>
      <c r="D3572" t="s">
        <v>100</v>
      </c>
      <c r="E3572" t="s">
        <v>9</v>
      </c>
      <c r="F3572" s="2" t="s">
        <v>15</v>
      </c>
      <c r="H3572" s="2"/>
    </row>
    <row r="3573" spans="1:12" customFormat="1" ht="16" ns3:dyDescent="0.2">
      <c r="A3573" t="s">
        <v>104</v>
      </c>
      <c r="B3573" s="3">
        <v>1.4988121356087533E-6</v>
      </c>
      <c r="D3573" t="s">
        <v>100</v>
      </c>
      <c r="E3573" t="s">
        <v>9</v>
      </c>
      <c r="F3573" s="2" t="s">
        <v>15</v>
      </c>
      <c r="H3573" s="2"/>
    </row>
    <row r="3574" spans="1:8" customFormat="1" ht="16" ns3:dyDescent="0.2">
      <c r="A3574" t="s">
        <v>105</v>
      </c>
      <c r="B3574" s="3">
        <v>1.4988121356087536E-7</v>
      </c>
      <c r="D3574" t="s">
        <v>100</v>
      </c>
      <c r="E3574" t="s">
        <v>9</v>
      </c>
      <c r="F3574" s="2" t="s">
        <v>15</v>
      </c>
      <c r="H3574" s="2"/>
    </row>
    <row r="3575" spans="1:8" customFormat="1" ht="16" ns3:dyDescent="0.2">
      <c r="A3575" t="s">
        <v>63</v>
      </c>
      <c r="B3575" s="3">
        <v>4.4181493731679086E-9</v>
      </c>
      <c r="D3575" t="s">
        <v>100</v>
      </c>
      <c r="E3575" t="s">
        <v>9</v>
      </c>
      <c r="F3575" s="2" t="s">
        <v>15</v>
      </c>
      <c r="H3575" s="2"/>
    </row>
    <row r="3576" spans="1:8" customFormat="1" ht="16" ns3:dyDescent="0.2">
      <c r="A3576" t="s">
        <v>64</v>
      </c>
      <c r="B3576" s="3">
        <v>7.2386626011604185E-10</v>
      </c>
      <c r="D3576" t="s">
        <v>100</v>
      </c>
      <c r="E3576" t="s">
        <v>9</v>
      </c>
      <c r="F3576" s="2" t="s">
        <v>15</v>
      </c>
      <c r="H3576" s="2"/>
    </row>
    <row r="3577" spans="1:8" customFormat="1" ht="16" ns3:dyDescent="0.2">
      <c r="A3577" t="s">
        <v>177</v>
      </c>
      <c r="B3577" s="3">
        <v>1.3879471014768287E-6</v>
      </c>
      <c r="D3577" t="s">
        <v>100</v>
      </c>
      <c r="E3577" t="s">
        <v>9</v>
      </c>
      <c r="F3577" s="2" t="s">
        <v>15</v>
      </c>
      <c r="H3577" s="2"/>
    </row>
    <row r="3578" spans="1:8" customFormat="1" ht="16" ns3:dyDescent="0.2">
      <c r="A3578" t="s">
        <v>67</v>
      </c>
      <c r="B3578" s="3">
        <v>6.9408357025220894E-5</v>
      </c>
      <c r="D3578" t="s">
        <v>100</v>
      </c>
      <c r="E3578" t="s">
        <v>9</v>
      </c>
      <c r="F3578" s="2" t="s">
        <v>15</v>
      </c>
      <c r="H3578" s="2"/>
    </row>
    <row r="3579" spans="1:8" customFormat="1" ht="16" ns3:dyDescent="0.2">
      <c r="A3579" t="s">
        <v>68</v>
      </c>
      <c r="B3579" s="3">
        <v>5.5818502193524422E-7</v>
      </c>
      <c r="D3579" t="s">
        <v>100</v>
      </c>
      <c r="E3579" t="s">
        <v>9</v>
      </c>
      <c r="F3579" s="2" t="s">
        <v>15</v>
      </c>
      <c r="H3579" s="2"/>
    </row>
    <row r="3580" spans="1:8" customFormat="1" ht="16" ns3:dyDescent="0.2">
      <c r="A3580" t="s">
        <v>69</v>
      </c>
      <c r="B3580">
        <v>1.9128828001645137E-3</v>
      </c>
      <c r="D3580" t="s">
        <v>100</v>
      </c>
      <c r="E3580" t="s">
        <v>9</v>
      </c>
      <c r="F3580" s="2" t="s">
        <v>15</v>
      </c>
      <c r="H3580" s="2"/>
    </row>
    <row r="3581" spans="1:8" customFormat="1" ht="16" ns3:dyDescent="0.2">
      <c r="A3581" t="s">
        <v>70</v>
      </c>
      <c r="B3581" s="3">
        <v>5.12820309080674E-8</v>
      </c>
      <c r="D3581" t="s">
        <v>100</v>
      </c>
      <c r="E3581" t="s">
        <v>9</v>
      </c>
      <c r="F3581" s="2" t="s">
        <v>15</v>
      </c>
      <c r="H3581" s="2"/>
    </row>
    <row r="3582" spans="1:8" customFormat="1" ht="16" ns3:dyDescent="0.2">
      <c r="A3582" t="s">
        <v>71</v>
      </c>
      <c r="B3582" s="3">
        <f>0.00695*B3563*(1-0.8)</f>
        <v>3.5641025641025632E-5</v>
      </c>
      <c r="D3582" t="s">
        <v>100</v>
      </c>
      <c r="E3582" t="s">
        <v>9</v>
      </c>
      <c r="F3582" s="2" t="s">
        <v>15</v>
      </c>
      <c r="H3582" s="2"/>
    </row>
    <row r="3583" spans="1:8" customFormat="1" ht="16" ns3:dyDescent="0.2">
      <c r="A3583" t="s">
        <v>107</v>
      </c>
      <c r="B3583" s="3">
        <f>0.0006*B3563*(1-0.8)</f>
        <v>3.0769230769230762E-6</v>
      </c>
      <c r="D3583" t="s">
        <v>100</v>
      </c>
      <c r="E3583" t="s">
        <v>9</v>
      </c>
      <c r="F3583" s="2" t="s">
        <v>15</v>
      </c>
      <c r="H3583" s="2"/>
    </row>
    <row r="3584" spans="1:8" customFormat="1" ht="16" ns3:dyDescent="0.2">
      <c r="A3584" t="s">
        <v>75</v>
      </c>
      <c r="B3584" s="3">
        <v>8.8362885593437998E-9</v>
      </c>
      <c r="D3584" t="s">
        <v>100</v>
      </c>
      <c r="E3584" t="s">
        <v>9</v>
      </c>
      <c r="F3584" s="2" t="s">
        <v>15</v>
      </c>
      <c r="H3584" s="2"/>
    </row>
    <row r="3585" spans="1:8" customFormat="1" ht="16" ns3:dyDescent="0.2">
      <c r="A3585" t="s">
        <v>79</v>
      </c>
      <c r="B3585" s="3">
        <v>2.0260399075004886E-8</v>
      </c>
      <c r="D3585" t="s">
        <v>100</v>
      </c>
      <c r="E3585" t="s">
        <v>9</v>
      </c>
      <c r="F3585" s="2" t="s">
        <v>15</v>
      </c>
      <c r="H3585" s="2"/>
    </row>
    <row r="3586" spans="1:8" customFormat="1" ht="16" ns3:dyDescent="0.2">
      <c r="A3586" t="s">
        <v>57</v>
      </c>
      <c r="B3586" s="3">
        <v>1.6520143085674979E-9</v>
      </c>
      <c r="D3586" t="s">
        <v>112</v>
      </c>
      <c r="E3586" t="s">
        <v>9</v>
      </c>
      <c r="F3586" s="2" t="s">
        <v>15</v>
      </c>
      <c r="H3586" s="2"/>
    </row>
    <row r="3587" spans="1:8" customFormat="1" ht="16" ns3:dyDescent="0.2">
      <c r="A3587" t="s">
        <v>108</v>
      </c>
      <c r="B3587" s="3">
        <v>1.5836494051346807E-10</v>
      </c>
      <c r="D3587" t="s">
        <v>112</v>
      </c>
      <c r="E3587" t="s">
        <v>9</v>
      </c>
      <c r="F3587" s="2" t="s">
        <v>15</v>
      </c>
      <c r="H3587" s="2"/>
    </row>
    <row r="3588" spans="1:8" customFormat="1" ht="16" ns3:dyDescent="0.2">
      <c r="A3588" t="s">
        <v>109</v>
      </c>
      <c r="B3588" s="3">
        <v>4.5524750499172942E-7</v>
      </c>
      <c r="D3588" t="s">
        <v>112</v>
      </c>
      <c r="E3588" t="s">
        <v>9</v>
      </c>
      <c r="F3588" s="2" t="s">
        <v>15</v>
      </c>
      <c r="H3588" s="2"/>
    </row>
    <row r="3589" spans="1:8" customFormat="1" ht="16" ns3:dyDescent="0.2">
      <c r="A3589" t="s">
        <v>110</v>
      </c>
      <c r="B3589" s="3">
        <v>2.6394088838964563E-11</v>
      </c>
      <c r="D3589" t="s">
        <v>112</v>
      </c>
      <c r="E3589" t="s">
        <v>9</v>
      </c>
      <c r="F3589" s="2" t="s">
        <v>15</v>
      </c>
      <c r="H3589" s="2"/>
    </row>
    <row r="3590" spans="1:12" customFormat="1" ht="16" ns3:dyDescent="0.2">
      <c r="A3590" t="s">
        <v>111</v>
      </c>
      <c r="B3590" s="3">
        <v>2.4156210432449703E-10</v>
      </c>
      <c r="D3590" t="s">
        <v>112</v>
      </c>
      <c r="E3590" t="s">
        <v>9</v>
      </c>
      <c r="F3590" s="2" t="s">
        <v>15</v>
      </c>
      <c r="H3590" s="2"/>
    </row>
    <row r="3591" spans="1:12" customFormat="1" ht="16" ns3:dyDescent="0.2"/>
    <row r="3592" spans="1:12" ns3:dyDescent="0.2">
      <c r="A3592" s="17" t="s">
        <v>2</v>
      </c>
      <c r="B3592" s="17" t="s">
        <v>495</v>
      </c>
    </row>
    <row r="3593" spans="1:12" customFormat="1" ht="16" ns3:dyDescent="0.2">
      <c r="A3593" s="2" t="s">
        <v>3</v>
      </c>
      <c r="B3593" s="2" t="s">
        <v>18</v>
      </c>
      <c r="C3593" s="2"/>
      <c r="D3593" s="2"/>
      <c r="E3593" s="2"/>
      <c r="F3593" s="2"/>
      <c r="G3593" s="2"/>
      <c r="H3593" s="2"/>
      <c r="I3593" s="2"/>
      <c r="J3593" s="2"/>
      <c r="K3593" s="2"/>
      <c r="L3593" s="2"/>
    </row>
    <row r="3594" spans="1:12" customFormat="1" ht="16" ns3:dyDescent="0.2">
      <c r="A3594" s="2" t="s">
        <v>4</v>
      </c>
      <c r="B3594" s="2">
        <v>1</v>
      </c>
      <c r="C3594" s="2"/>
      <c r="D3594" s="2"/>
      <c r="E3594" s="2"/>
      <c r="F3594" s="2"/>
      <c r="G3594" s="2"/>
      <c r="H3594" s="2"/>
      <c r="I3594" s="2"/>
      <c r="J3594" s="2"/>
      <c r="K3594" s="2"/>
      <c r="L3594" s="2"/>
    </row>
    <row r="3595" spans="1:12" customFormat="1" ht="16" ns3:dyDescent="0.2">
      <c r="A3595" s="2" t="s">
        <v>5</v>
      </c>
      <c r="B3595" s="2" t="s">
        <v>1</v>
      </c>
      <c r="C3595" s="2"/>
      <c r="D3595" s="2"/>
      <c r="E3595" s="2"/>
      <c r="F3595" s="2"/>
      <c r="G3595" s="2"/>
      <c r="H3595" s="2"/>
      <c r="I3595" s="2"/>
      <c r="J3595" s="2"/>
    </row>
    <row r="3596" spans="1:12" customFormat="1" ht="16" ns3:dyDescent="0.2">
      <c r="A3596" s="2" t="s">
        <v>6</v>
      </c>
      <c r="B3596" s="2" t="s">
        <v>7</v>
      </c>
      <c r="C3596" s="2"/>
      <c r="D3596" s="2"/>
      <c r="E3596" s="2"/>
      <c r="F3596" s="2"/>
      <c r="G3596" s="2"/>
      <c r="H3596" s="2"/>
      <c r="I3596" s="2"/>
      <c r="J3596" s="2"/>
      <c r="K3596" s="2"/>
      <c r="L3596" s="2"/>
    </row>
    <row r="3597" spans="1:12" customFormat="1" ht="16" ns3:dyDescent="0.2">
      <c r="A3597" s="2" t="s">
        <v>151</v>
      </c>
      <c r="B3597" s="2" t="s">
        <v>399</v>
      </c>
      <c r="C3597" s="2"/>
      <c r="D3597" s="2"/>
      <c r="E3597" s="2"/>
      <c r="F3597" s="2"/>
      <c r="G3597" s="2"/>
      <c r="H3597" s="2"/>
      <c r="I3597" s="2"/>
      <c r="J3597" s="2"/>
      <c r="K3597" s="2"/>
      <c r="L3597" s="2"/>
    </row>
    <row r="3598" spans="1:12" customFormat="1" ht="16" ns3:dyDescent="0.2">
      <c r="A3598" s="2" t="s">
        <v>8</v>
      </c>
      <c r="B3598" s="2" t="s">
        <v>17</v>
      </c>
      <c r="C3598" s="2"/>
      <c r="D3598" s="2"/>
      <c r="E3598" s="2"/>
      <c r="F3598" s="2"/>
      <c r="G3598" s="2"/>
      <c r="H3598" s="2"/>
      <c r="I3598" s="2"/>
      <c r="J3598" s="2"/>
      <c r="K3598" s="2"/>
      <c r="L3598" s="2"/>
    </row>
    <row r="3599" spans="1:12" customFormat="1" ht="16" ns3:dyDescent="0.2">
      <c r="A3599" s="1" t="s">
        <v>10</v>
      </c>
      <c r="B3599" s="2"/>
      <c r="C3599" s="2"/>
      <c r="D3599" s="2"/>
      <c r="E3599" s="2"/>
      <c r="F3599" s="2"/>
      <c r="G3599" s="2"/>
      <c r="H3599" s="2"/>
      <c r="I3599" s="2"/>
      <c r="J3599" s="2"/>
      <c r="K3599" s="2"/>
      <c r="L3599" s="2"/>
    </row>
    <row r="3600" spans="1:12" ns3:dyDescent="0.2">
      <c r="A3600" s="17" t="s">
        <v>11</v>
      </c>
      <c r="B3600" s="17" t="s">
        <v>12</v>
      </c>
      <c r="C3600" s="17" t="s">
        <v>3</v>
      </c>
      <c r="D3600" s="17" t="s">
        <v>13</v>
      </c>
      <c r="E3600" s="17" t="s">
        <v>8</v>
      </c>
      <c r="F3600" s="17" t="s">
        <v>6</v>
      </c>
      <c r="G3600" s="17" t="s">
        <v>5</v>
      </c>
      <c r="I3600" s="17"/>
      <c r="J3600" s="17"/>
      <c r="K3600" s="17"/>
    </row>
    <row r="3601" spans="1:12" customFormat="1" ht="16" ns3:dyDescent="0.2">
      <c r="A3601" s="2" t="str">
        <f>B3592</f>
        <v>biodiesel, from residual cellulosic biomass, burned in container ship</v>
      </c>
      <c r="B3601" s="2">
        <v>1</v>
      </c>
      <c r="C3601" s="2" t="str">
        <f>B3593</f>
        <v>RER</v>
      </c>
      <c r="D3601" s="2"/>
      <c r="E3601" s="2" t="str">
        <f>B3598</f>
        <v>megajoule</v>
      </c>
      <c r="F3601" s="2" t="s">
        <v>19</v>
      </c>
      <c r="G3601" s="2" t="str">
        <f>B3595</f>
        <v>heat</v>
      </c>
      <c r="H3601" s="2"/>
      <c r="I3601" s="2"/>
      <c r="J3601" s="2"/>
      <c r="K3601" s="2"/>
      <c r="L3601" s="2"/>
    </row>
    <row r="3602" spans="1:12" customFormat="1" ht="16" ns3:dyDescent="0.2">
      <c r="A3602" s="2" t="s">
        <v>412</v>
      </c>
      <c r="B3602" s="9">
        <f>1/39</f>
        <v>2.564102564102564E-2</v>
      </c>
      <c r="C3602" t="s">
        <v>18</v>
      </c>
      <c r="E3602" t="s">
        <v>9</v>
      </c>
      <c r="F3602" t="s">
        <v>23</v>
      </c>
      <c r="G3602" t="s">
        <v>404</v>
      </c>
      <c r="I3602" s="2"/>
    </row>
    <row r="3603" spans="1:12" customFormat="1" ht="16" ns3:dyDescent="0.2">
      <c r="A3603" t="s">
        <v>48</v>
      </c>
      <c r="B3603" s="3">
        <v>1.0256365433645409E-5</v>
      </c>
      <c r="D3603" t="s">
        <v>100</v>
      </c>
      <c r="E3603" t="s">
        <v>9</v>
      </c>
      <c r="F3603" s="2" t="s">
        <v>15</v>
      </c>
      <c r="H3603" s="2"/>
    </row>
    <row r="3604" spans="1:12" customFormat="1" ht="16" ns3:dyDescent="0.2">
      <c r="A3604" t="s">
        <v>90</v>
      </c>
      <c r="B3604" s="3">
        <v>9.6449727337009339E-9</v>
      </c>
      <c r="D3604" t="s">
        <v>100</v>
      </c>
      <c r="E3604" t="s">
        <v>9</v>
      </c>
      <c r="F3604" s="2" t="s">
        <v>15</v>
      </c>
      <c r="H3604" s="2"/>
    </row>
    <row r="3605" spans="1:12" customFormat="1" ht="16" ns3:dyDescent="0.2">
      <c r="A3605" t="s">
        <v>52</v>
      </c>
      <c r="B3605" s="3">
        <v>6.2721921074364377E-10</v>
      </c>
      <c r="D3605" t="s">
        <v>100</v>
      </c>
      <c r="E3605" t="s">
        <v>9</v>
      </c>
      <c r="F3605" s="2" t="s">
        <v>15</v>
      </c>
      <c r="H3605" s="2"/>
    </row>
    <row r="3606" spans="1:11" customFormat="1" ht="16" ns3:dyDescent="0.2">
      <c r="A3606" t="s">
        <v>122</v>
      </c>
      <c r="B3606" s="9">
        <f>3.15*B3602</f>
        <v>8.076923076923076E-2</v>
      </c>
      <c r="D3606" t="s">
        <v>100</v>
      </c>
      <c r="E3606" t="s">
        <v>9</v>
      </c>
      <c r="F3606" s="2" t="s">
        <v>15</v>
      </c>
      <c r="H3606" s="2"/>
    </row>
    <row r="3607" spans="1:11" customFormat="1" ht="16" ns3:dyDescent="0.2">
      <c r="A3607" t="s">
        <v>123</v>
      </c>
      <c r="B3607" s="3">
        <v>6.8728477177939384E-5</v>
      </c>
      <c r="D3607" t="s">
        <v>100</v>
      </c>
      <c r="E3607" t="s">
        <v>9</v>
      </c>
      <c r="F3607" s="2" t="s">
        <v>15</v>
      </c>
      <c r="H3607" s="2"/>
      <c r="K3607" s="3"/>
    </row>
    <row r="3608" spans="1:11" customFormat="1" ht="16" ns3:dyDescent="0.2">
      <c r="A3608" t="s">
        <v>55</v>
      </c>
      <c r="B3608" s="3">
        <v>4.0039462777159148E-9</v>
      </c>
      <c r="D3608" t="s">
        <v>100</v>
      </c>
      <c r="E3608" t="s">
        <v>9</v>
      </c>
      <c r="F3608" s="2" t="s">
        <v>15</v>
      </c>
      <c r="H3608" s="2"/>
      <c r="K3608" s="3"/>
    </row>
    <row r="3609" spans="1:11" customFormat="1" ht="16" ns3:dyDescent="0.2">
      <c r="A3609" t="s">
        <v>57</v>
      </c>
      <c r="B3609" s="3">
        <v>9.6449727337009339E-9</v>
      </c>
      <c r="D3609" t="s">
        <v>100</v>
      </c>
      <c r="E3609" t="s">
        <v>9</v>
      </c>
      <c r="F3609" s="2" t="s">
        <v>15</v>
      </c>
      <c r="H3609" s="2"/>
      <c r="K3609" s="3"/>
    </row>
    <row r="3610" spans="1:11" customFormat="1" ht="16" ns3:dyDescent="0.2">
      <c r="A3610" t="s">
        <v>58</v>
      </c>
      <c r="B3610" s="3">
        <v>4.0793809536092252E-6</v>
      </c>
      <c r="D3610" t="s">
        <v>100</v>
      </c>
      <c r="E3610" t="s">
        <v>9</v>
      </c>
      <c r="F3610" s="2" t="s">
        <v>15</v>
      </c>
      <c r="H3610" s="2"/>
      <c r="K3610" s="3"/>
    </row>
    <row r="3611" spans="1:11" customFormat="1" ht="16" ns3:dyDescent="0.2">
      <c r="A3611" t="s">
        <v>103</v>
      </c>
      <c r="B3611" s="3">
        <v>2.5641066388993793E-14</v>
      </c>
      <c r="D3611" t="s">
        <v>100</v>
      </c>
      <c r="E3611" t="s">
        <v>9</v>
      </c>
      <c r="F3611" s="2" t="s">
        <v>15</v>
      </c>
      <c r="H3611" s="2"/>
    </row>
    <row r="3612" spans="1:11" customFormat="1" ht="16" ns3:dyDescent="0.2">
      <c r="A3612" t="s">
        <v>104</v>
      </c>
      <c r="B3612" s="3">
        <v>1.4988121356087533E-6</v>
      </c>
      <c r="D3612" t="s">
        <v>100</v>
      </c>
      <c r="E3612" t="s">
        <v>9</v>
      </c>
      <c r="F3612" s="2" t="s">
        <v>15</v>
      </c>
      <c r="H3612" s="2"/>
    </row>
    <row r="3613" spans="1:11" customFormat="1" ht="16" ns3:dyDescent="0.2">
      <c r="A3613" t="s">
        <v>105</v>
      </c>
      <c r="B3613" s="3">
        <v>1.4988121356087536E-7</v>
      </c>
      <c r="D3613" t="s">
        <v>100</v>
      </c>
      <c r="E3613" t="s">
        <v>9</v>
      </c>
      <c r="F3613" s="2" t="s">
        <v>15</v>
      </c>
      <c r="H3613" s="2"/>
    </row>
    <row r="3614" spans="1:11" customFormat="1" ht="16" ns3:dyDescent="0.2">
      <c r="A3614" t="s">
        <v>63</v>
      </c>
      <c r="B3614" s="3">
        <v>4.4181493731679086E-9</v>
      </c>
      <c r="D3614" t="s">
        <v>100</v>
      </c>
      <c r="E3614" t="s">
        <v>9</v>
      </c>
      <c r="F3614" s="2" t="s">
        <v>15</v>
      </c>
      <c r="H3614" s="2"/>
    </row>
    <row r="3615" spans="1:11" customFormat="1" ht="16" ns3:dyDescent="0.2">
      <c r="A3615" t="s">
        <v>64</v>
      </c>
      <c r="B3615" s="3">
        <v>7.2386626011604185E-10</v>
      </c>
      <c r="D3615" t="s">
        <v>100</v>
      </c>
      <c r="E3615" t="s">
        <v>9</v>
      </c>
      <c r="F3615" s="2" t="s">
        <v>15</v>
      </c>
      <c r="H3615" s="2"/>
    </row>
    <row r="3616" spans="1:11" customFormat="1" ht="16" ns3:dyDescent="0.2">
      <c r="A3616" t="s">
        <v>177</v>
      </c>
      <c r="B3616" s="3">
        <v>1.3879471014768287E-6</v>
      </c>
      <c r="D3616" t="s">
        <v>100</v>
      </c>
      <c r="E3616" t="s">
        <v>9</v>
      </c>
      <c r="F3616" s="2" t="s">
        <v>15</v>
      </c>
      <c r="H3616" s="2"/>
    </row>
    <row r="3617" spans="1:11" customFormat="1" ht="16" ns3:dyDescent="0.2">
      <c r="A3617" t="s">
        <v>67</v>
      </c>
      <c r="B3617" s="3">
        <v>6.9408357025220894E-5</v>
      </c>
      <c r="D3617" t="s">
        <v>100</v>
      </c>
      <c r="E3617" t="s">
        <v>9</v>
      </c>
      <c r="F3617" s="2" t="s">
        <v>15</v>
      </c>
      <c r="H3617" s="2"/>
    </row>
    <row r="3618" spans="1:11" customFormat="1" ht="16" ns3:dyDescent="0.2">
      <c r="A3618" t="s">
        <v>68</v>
      </c>
      <c r="B3618" s="3">
        <v>5.5818502193524422E-7</v>
      </c>
      <c r="D3618" t="s">
        <v>100</v>
      </c>
      <c r="E3618" t="s">
        <v>9</v>
      </c>
      <c r="F3618" s="2" t="s">
        <v>15</v>
      </c>
      <c r="H3618" s="2"/>
    </row>
    <row r="3619" spans="1:11" customFormat="1" ht="16" ns3:dyDescent="0.2">
      <c r="A3619" t="s">
        <v>69</v>
      </c>
      <c r="B3619">
        <v>1.9128828001645137E-3</v>
      </c>
      <c r="D3619" t="s">
        <v>100</v>
      </c>
      <c r="E3619" t="s">
        <v>9</v>
      </c>
      <c r="F3619" s="2" t="s">
        <v>15</v>
      </c>
      <c r="H3619" s="2"/>
    </row>
    <row r="3620" spans="1:11" customFormat="1" ht="16" ns3:dyDescent="0.2">
      <c r="A3620" t="s">
        <v>70</v>
      </c>
      <c r="B3620" s="3">
        <v>5.12820309080674E-8</v>
      </c>
      <c r="D3620" t="s">
        <v>100</v>
      </c>
      <c r="E3620" t="s">
        <v>9</v>
      </c>
      <c r="F3620" s="2" t="s">
        <v>15</v>
      </c>
      <c r="H3620" s="2"/>
    </row>
    <row r="3621" spans="1:11" customFormat="1" ht="16" ns3:dyDescent="0.2">
      <c r="A3621" t="s">
        <v>71</v>
      </c>
      <c r="B3621" s="3">
        <v>3.5641025641025632E-5</v>
      </c>
      <c r="D3621" t="s">
        <v>100</v>
      </c>
      <c r="E3621" t="s">
        <v>9</v>
      </c>
      <c r="F3621" s="2" t="s">
        <v>15</v>
      </c>
      <c r="H3621" s="2"/>
    </row>
    <row r="3622" spans="1:12" customFormat="1" ht="16" ns3:dyDescent="0.2">
      <c r="A3622" t="s">
        <v>107</v>
      </c>
      <c r="B3622" s="3">
        <v>3.0769230769230762E-6</v>
      </c>
      <c r="D3622" t="s">
        <v>100</v>
      </c>
      <c r="E3622" t="s">
        <v>9</v>
      </c>
      <c r="F3622" s="2" t="s">
        <v>15</v>
      </c>
      <c r="H3622" s="2"/>
    </row>
    <row r="3623" spans="1:12" customFormat="1" ht="16" ns3:dyDescent="0.2">
      <c r="A3623" t="s">
        <v>75</v>
      </c>
      <c r="B3623" s="3">
        <v>8.8362885593437998E-9</v>
      </c>
      <c r="D3623" t="s">
        <v>100</v>
      </c>
      <c r="E3623" t="s">
        <v>9</v>
      </c>
      <c r="F3623" s="2" t="s">
        <v>15</v>
      </c>
      <c r="H3623" s="2"/>
    </row>
    <row r="3624" spans="1:12" customFormat="1" ht="16" ns3:dyDescent="0.2">
      <c r="A3624" t="s">
        <v>79</v>
      </c>
      <c r="B3624" s="3">
        <v>2.0260399075004886E-8</v>
      </c>
      <c r="D3624" t="s">
        <v>100</v>
      </c>
      <c r="E3624" t="s">
        <v>9</v>
      </c>
      <c r="F3624" s="2" t="s">
        <v>15</v>
      </c>
      <c r="H3624" s="2"/>
    </row>
    <row r="3625" spans="1:12" customFormat="1" ht="16" ns3:dyDescent="0.2">
      <c r="A3625" t="s">
        <v>57</v>
      </c>
      <c r="B3625" s="3">
        <v>1.6520143085674979E-9</v>
      </c>
      <c r="D3625" t="s">
        <v>112</v>
      </c>
      <c r="E3625" t="s">
        <v>9</v>
      </c>
      <c r="F3625" s="2" t="s">
        <v>15</v>
      </c>
      <c r="H3625" s="2"/>
    </row>
    <row r="3626" spans="1:12" customFormat="1" ht="16" ns3:dyDescent="0.2">
      <c r="A3626" t="s">
        <v>108</v>
      </c>
      <c r="B3626" s="3">
        <v>1.5836494051346807E-10</v>
      </c>
      <c r="D3626" t="s">
        <v>112</v>
      </c>
      <c r="E3626" t="s">
        <v>9</v>
      </c>
      <c r="F3626" s="2" t="s">
        <v>15</v>
      </c>
      <c r="H3626" s="2"/>
    </row>
    <row r="3627" spans="1:12" customFormat="1" ht="16" ns3:dyDescent="0.2">
      <c r="A3627" t="s">
        <v>109</v>
      </c>
      <c r="B3627" s="3">
        <v>4.5524750499172942E-7</v>
      </c>
      <c r="D3627" t="s">
        <v>112</v>
      </c>
      <c r="E3627" t="s">
        <v>9</v>
      </c>
      <c r="F3627" s="2" t="s">
        <v>15</v>
      </c>
      <c r="H3627" s="2"/>
    </row>
    <row r="3628" spans="1:12" customFormat="1" ht="16" ns3:dyDescent="0.2">
      <c r="A3628" t="s">
        <v>110</v>
      </c>
      <c r="B3628" s="3">
        <v>2.6394088838964563E-11</v>
      </c>
      <c r="D3628" t="s">
        <v>112</v>
      </c>
      <c r="E3628" t="s">
        <v>9</v>
      </c>
      <c r="F3628" s="2" t="s">
        <v>15</v>
      </c>
      <c r="H3628" s="2"/>
    </row>
    <row r="3629" spans="1:12" customFormat="1" ht="16" ns3:dyDescent="0.2">
      <c r="A3629" t="s">
        <v>111</v>
      </c>
      <c r="B3629" s="3">
        <v>2.4156210432449703E-10</v>
      </c>
      <c r="D3629" t="s">
        <v>112</v>
      </c>
      <c r="E3629" t="s">
        <v>9</v>
      </c>
      <c r="F3629" s="2" t="s">
        <v>15</v>
      </c>
      <c r="H3629" s="2"/>
    </row>
    <row r="3630" spans="1:12" customFormat="1" ht="16" ns3:dyDescent="0.2"/>
    <row r="3631" spans="1:12" ns3:dyDescent="0.2">
      <c r="A3631" s="17" t="s">
        <v>2</v>
      </c>
      <c r="B3631" s="17" t="s">
        <v>496</v>
      </c>
    </row>
    <row r="3632" spans="1:12" customFormat="1" ht="16" ns3:dyDescent="0.2">
      <c r="A3632" s="2" t="s">
        <v>3</v>
      </c>
      <c r="B3632" s="2" t="s">
        <v>18</v>
      </c>
      <c r="C3632" s="2"/>
      <c r="D3632" s="2"/>
      <c r="E3632" s="2"/>
      <c r="F3632" s="2"/>
      <c r="G3632" s="2"/>
      <c r="H3632" s="2"/>
      <c r="I3632" s="2"/>
      <c r="J3632" s="2"/>
      <c r="K3632" s="2"/>
      <c r="L3632" s="2"/>
    </row>
    <row r="3633" spans="1:12" customFormat="1" ht="16" ns3:dyDescent="0.2">
      <c r="A3633" s="2" t="s">
        <v>4</v>
      </c>
      <c r="B3633" s="2">
        <v>1</v>
      </c>
      <c r="C3633" s="2"/>
      <c r="D3633" s="2"/>
      <c r="E3633" s="2"/>
      <c r="F3633" s="2"/>
      <c r="G3633" s="2"/>
      <c r="H3633" s="2"/>
      <c r="I3633" s="2"/>
      <c r="J3633" s="2"/>
      <c r="K3633" s="2"/>
      <c r="L3633" s="2"/>
    </row>
    <row r="3634" spans="1:12" customFormat="1" ht="16" ns3:dyDescent="0.2">
      <c r="A3634" s="2" t="s">
        <v>5</v>
      </c>
      <c r="B3634" s="2" t="s">
        <v>1</v>
      </c>
      <c r="C3634" s="2"/>
      <c r="D3634" s="2"/>
      <c r="E3634" s="2"/>
      <c r="F3634" s="2"/>
      <c r="G3634" s="2"/>
      <c r="H3634" s="2"/>
      <c r="I3634" s="2"/>
      <c r="J3634" s="2"/>
    </row>
    <row r="3635" spans="1:12" customFormat="1" ht="16" ns3:dyDescent="0.2">
      <c r="A3635" s="2" t="s">
        <v>6</v>
      </c>
      <c r="B3635" s="2" t="s">
        <v>7</v>
      </c>
      <c r="C3635" s="2"/>
      <c r="D3635" s="2"/>
      <c r="E3635" s="2"/>
      <c r="F3635" s="2"/>
      <c r="G3635" s="2"/>
      <c r="H3635" s="2"/>
      <c r="I3635" s="2"/>
      <c r="J3635" s="2"/>
      <c r="K3635" s="2"/>
      <c r="L3635" s="2"/>
    </row>
    <row r="3636" spans="1:12" customFormat="1" ht="16" ns3:dyDescent="0.2">
      <c r="A3636" s="2" t="s">
        <v>151</v>
      </c>
      <c r="B3636" s="2" t="s">
        <v>399</v>
      </c>
      <c r="C3636" s="2"/>
      <c r="D3636" s="2"/>
      <c r="E3636" s="2"/>
      <c r="F3636" s="2"/>
      <c r="G3636" s="2"/>
      <c r="H3636" s="2"/>
      <c r="I3636" s="2"/>
      <c r="J3636" s="2"/>
      <c r="K3636" s="2"/>
      <c r="L3636" s="2"/>
    </row>
    <row r="3637" spans="1:12" customFormat="1" ht="16" ns3:dyDescent="0.2">
      <c r="A3637" s="2" t="s">
        <v>8</v>
      </c>
      <c r="B3637" s="2" t="s">
        <v>17</v>
      </c>
      <c r="C3637" s="2"/>
      <c r="D3637" s="2"/>
      <c r="E3637" s="2"/>
      <c r="F3637" s="2"/>
      <c r="G3637" s="2"/>
      <c r="H3637" s="2"/>
      <c r="I3637" s="2"/>
      <c r="J3637" s="2"/>
      <c r="K3637" s="2"/>
      <c r="L3637" s="2"/>
    </row>
    <row r="3638" spans="1:12" customFormat="1" ht="16" ns3:dyDescent="0.2">
      <c r="A3638" s="1" t="s">
        <v>10</v>
      </c>
      <c r="B3638" s="2"/>
      <c r="C3638" s="2"/>
      <c r="D3638" s="2"/>
      <c r="E3638" s="2"/>
      <c r="F3638" s="2"/>
      <c r="G3638" s="2"/>
      <c r="H3638" s="2"/>
      <c r="I3638" s="2"/>
      <c r="J3638" s="2"/>
      <c r="K3638" s="2"/>
      <c r="L3638" s="2"/>
    </row>
    <row r="3639" spans="1:12" ns3:dyDescent="0.2">
      <c r="A3639" s="17" t="s">
        <v>11</v>
      </c>
      <c r="B3639" s="17" t="s">
        <v>12</v>
      </c>
      <c r="C3639" s="17" t="s">
        <v>3</v>
      </c>
      <c r="D3639" s="17" t="s">
        <v>13</v>
      </c>
      <c r="E3639" s="17" t="s">
        <v>8</v>
      </c>
      <c r="F3639" s="17" t="s">
        <v>6</v>
      </c>
      <c r="G3639" s="17" t="s">
        <v>5</v>
      </c>
      <c r="I3639" s="17"/>
      <c r="J3639" s="17"/>
      <c r="K3639" s="17"/>
    </row>
    <row r="3640" spans="1:12" customFormat="1" ht="16" ns3:dyDescent="0.2">
      <c r="A3640" s="2" t="str">
        <f>B3631</f>
        <v>biodiesel, from non-residual cellulosic biomass, burned in container ship</v>
      </c>
      <c r="B3640" s="2">
        <v>1</v>
      </c>
      <c r="C3640" s="2" t="str">
        <f>B3632</f>
        <v>RER</v>
      </c>
      <c r="D3640" s="2"/>
      <c r="E3640" s="2" t="str">
        <f>B3637</f>
        <v>megajoule</v>
      </c>
      <c r="F3640" s="2" t="s">
        <v>19</v>
      </c>
      <c r="G3640" s="2" t="str">
        <f>B3634</f>
        <v>heat</v>
      </c>
      <c r="H3640" s="2"/>
      <c r="I3640" s="2"/>
      <c r="J3640" s="2"/>
      <c r="K3640" s="2"/>
      <c r="L3640" s="2"/>
    </row>
    <row r="3641" spans="1:12" customFormat="1" ht="16" ns3:dyDescent="0.2">
      <c r="A3641" s="2" t="s">
        <v>402</v>
      </c>
      <c r="B3641" s="9">
        <f>1/39</f>
        <v>2.564102564102564E-2</v>
      </c>
      <c r="C3641" t="s">
        <v>18</v>
      </c>
      <c r="E3641" t="s">
        <v>9</v>
      </c>
      <c r="F3641" t="s">
        <v>23</v>
      </c>
      <c r="G3641" t="s">
        <v>404</v>
      </c>
      <c r="I3641" s="2"/>
    </row>
    <row r="3642" spans="1:12" customFormat="1" ht="16" ns3:dyDescent="0.2">
      <c r="A3642" t="s">
        <v>48</v>
      </c>
      <c r="B3642" s="3">
        <v>1.0256365433645409E-5</v>
      </c>
      <c r="D3642" t="s">
        <v>100</v>
      </c>
      <c r="E3642" t="s">
        <v>9</v>
      </c>
      <c r="F3642" s="2" t="s">
        <v>15</v>
      </c>
      <c r="H3642" s="2"/>
    </row>
    <row r="3643" spans="1:12" customFormat="1" ht="16" ns3:dyDescent="0.2">
      <c r="A3643" t="s">
        <v>90</v>
      </c>
      <c r="B3643" s="3">
        <v>9.6449727337009339E-9</v>
      </c>
      <c r="D3643" t="s">
        <v>100</v>
      </c>
      <c r="E3643" t="s">
        <v>9</v>
      </c>
      <c r="F3643" s="2" t="s">
        <v>15</v>
      </c>
      <c r="H3643" s="2"/>
    </row>
    <row r="3644" spans="1:12" customFormat="1" ht="16" ns3:dyDescent="0.2">
      <c r="A3644" t="s">
        <v>52</v>
      </c>
      <c r="B3644" s="3">
        <v>6.2721921074364377E-10</v>
      </c>
      <c r="D3644" t="s">
        <v>100</v>
      </c>
      <c r="E3644" t="s">
        <v>9</v>
      </c>
      <c r="F3644" s="2" t="s">
        <v>15</v>
      </c>
      <c r="H3644" s="2"/>
    </row>
    <row r="3645" spans="1:12" customFormat="1" ht="16" ns3:dyDescent="0.2">
      <c r="A3645" t="s">
        <v>122</v>
      </c>
      <c r="B3645" s="9">
        <f>3.15*B3641</f>
        <v>8.076923076923076E-2</v>
      </c>
      <c r="D3645" t="s">
        <v>100</v>
      </c>
      <c r="E3645" t="s">
        <v>9</v>
      </c>
      <c r="F3645" s="2" t="s">
        <v>15</v>
      </c>
      <c r="H3645" s="2"/>
    </row>
    <row r="3646" spans="1:12" customFormat="1" ht="16" ns3:dyDescent="0.2">
      <c r="A3646" t="s">
        <v>123</v>
      </c>
      <c r="B3646" s="3">
        <v>6.8728477177939384E-5</v>
      </c>
      <c r="D3646" t="s">
        <v>100</v>
      </c>
      <c r="E3646" t="s">
        <v>9</v>
      </c>
      <c r="F3646" s="2" t="s">
        <v>15</v>
      </c>
      <c r="H3646" s="2"/>
      <c r="K3646" s="3"/>
    </row>
    <row r="3647" spans="1:12" customFormat="1" ht="16" ns3:dyDescent="0.2">
      <c r="A3647" t="s">
        <v>55</v>
      </c>
      <c r="B3647" s="3">
        <v>4.0039462777159148E-9</v>
      </c>
      <c r="D3647" t="s">
        <v>100</v>
      </c>
      <c r="E3647" t="s">
        <v>9</v>
      </c>
      <c r="F3647" s="2" t="s">
        <v>15</v>
      </c>
      <c r="H3647" s="2"/>
      <c r="K3647" s="3"/>
    </row>
    <row r="3648" spans="1:12" customFormat="1" ht="16" ns3:dyDescent="0.2">
      <c r="A3648" t="s">
        <v>57</v>
      </c>
      <c r="B3648" s="3">
        <v>9.6449727337009339E-9</v>
      </c>
      <c r="D3648" t="s">
        <v>100</v>
      </c>
      <c r="E3648" t="s">
        <v>9</v>
      </c>
      <c r="F3648" s="2" t="s">
        <v>15</v>
      </c>
      <c r="H3648" s="2"/>
      <c r="K3648" s="3"/>
    </row>
    <row r="3649" spans="1:12" customFormat="1" ht="16" ns3:dyDescent="0.2">
      <c r="A3649" t="s">
        <v>58</v>
      </c>
      <c r="B3649" s="3">
        <v>4.0793809536092252E-6</v>
      </c>
      <c r="D3649" t="s">
        <v>100</v>
      </c>
      <c r="E3649" t="s">
        <v>9</v>
      </c>
      <c r="F3649" s="2" t="s">
        <v>15</v>
      </c>
      <c r="H3649" s="2"/>
      <c r="K3649" s="3"/>
    </row>
    <row r="3650" spans="1:12" customFormat="1" ht="16" ns3:dyDescent="0.2">
      <c r="A3650" t="s">
        <v>103</v>
      </c>
      <c r="B3650" s="3">
        <v>2.5641066388993793E-14</v>
      </c>
      <c r="D3650" t="s">
        <v>100</v>
      </c>
      <c r="E3650" t="s">
        <v>9</v>
      </c>
      <c r="F3650" s="2" t="s">
        <v>15</v>
      </c>
      <c r="H3650" s="2"/>
    </row>
    <row r="3651" spans="1:12" customFormat="1" ht="16" ns3:dyDescent="0.2">
      <c r="A3651" t="s">
        <v>104</v>
      </c>
      <c r="B3651" s="3">
        <v>1.4988121356087533E-6</v>
      </c>
      <c r="D3651" t="s">
        <v>100</v>
      </c>
      <c r="E3651" t="s">
        <v>9</v>
      </c>
      <c r="F3651" s="2" t="s">
        <v>15</v>
      </c>
      <c r="H3651" s="2"/>
    </row>
    <row r="3652" spans="1:12" customFormat="1" ht="16" ns3:dyDescent="0.2">
      <c r="A3652" t="s">
        <v>105</v>
      </c>
      <c r="B3652" s="3">
        <v>1.4988121356087536E-7</v>
      </c>
      <c r="D3652" t="s">
        <v>100</v>
      </c>
      <c r="E3652" t="s">
        <v>9</v>
      </c>
      <c r="F3652" s="2" t="s">
        <v>15</v>
      </c>
      <c r="H3652" s="2"/>
    </row>
    <row r="3653" spans="1:12" customFormat="1" ht="16" ns3:dyDescent="0.2">
      <c r="A3653" t="s">
        <v>63</v>
      </c>
      <c r="B3653" s="3">
        <v>4.4181493731679086E-9</v>
      </c>
      <c r="D3653" t="s">
        <v>100</v>
      </c>
      <c r="E3653" t="s">
        <v>9</v>
      </c>
      <c r="F3653" s="2" t="s">
        <v>15</v>
      </c>
      <c r="H3653" s="2"/>
    </row>
    <row r="3654" spans="1:8" customFormat="1" ht="16" ns3:dyDescent="0.2">
      <c r="A3654" t="s">
        <v>64</v>
      </c>
      <c r="B3654" s="3">
        <v>7.2386626011604185E-10</v>
      </c>
      <c r="D3654" t="s">
        <v>100</v>
      </c>
      <c r="E3654" t="s">
        <v>9</v>
      </c>
      <c r="F3654" s="2" t="s">
        <v>15</v>
      </c>
      <c r="H3654" s="2"/>
    </row>
    <row r="3655" spans="1:8" customFormat="1" ht="16" ns3:dyDescent="0.2">
      <c r="A3655" t="s">
        <v>177</v>
      </c>
      <c r="B3655" s="3">
        <v>1.3879471014768287E-6</v>
      </c>
      <c r="D3655" t="s">
        <v>100</v>
      </c>
      <c r="E3655" t="s">
        <v>9</v>
      </c>
      <c r="F3655" s="2" t="s">
        <v>15</v>
      </c>
      <c r="H3655" s="2"/>
    </row>
    <row r="3656" spans="1:8" customFormat="1" ht="16" ns3:dyDescent="0.2">
      <c r="A3656" t="s">
        <v>67</v>
      </c>
      <c r="B3656" s="3">
        <v>6.9408357025220894E-5</v>
      </c>
      <c r="D3656" t="s">
        <v>100</v>
      </c>
      <c r="E3656" t="s">
        <v>9</v>
      </c>
      <c r="F3656" s="2" t="s">
        <v>15</v>
      </c>
      <c r="H3656" s="2"/>
    </row>
    <row r="3657" spans="1:8" customFormat="1" ht="16" ns3:dyDescent="0.2">
      <c r="A3657" t="s">
        <v>68</v>
      </c>
      <c r="B3657" s="3">
        <v>5.5818502193524422E-7</v>
      </c>
      <c r="D3657" t="s">
        <v>100</v>
      </c>
      <c r="E3657" t="s">
        <v>9</v>
      </c>
      <c r="F3657" s="2" t="s">
        <v>15</v>
      </c>
      <c r="H3657" s="2"/>
    </row>
    <row r="3658" spans="1:8" customFormat="1" ht="16" ns3:dyDescent="0.2">
      <c r="A3658" t="s">
        <v>69</v>
      </c>
      <c r="B3658">
        <v>1.9128828001645137E-3</v>
      </c>
      <c r="D3658" t="s">
        <v>100</v>
      </c>
      <c r="E3658" t="s">
        <v>9</v>
      </c>
      <c r="F3658" s="2" t="s">
        <v>15</v>
      </c>
      <c r="H3658" s="2"/>
    </row>
    <row r="3659" spans="1:8" customFormat="1" ht="16" ns3:dyDescent="0.2">
      <c r="A3659" t="s">
        <v>70</v>
      </c>
      <c r="B3659" s="3">
        <v>5.12820309080674E-8</v>
      </c>
      <c r="D3659" t="s">
        <v>100</v>
      </c>
      <c r="E3659" t="s">
        <v>9</v>
      </c>
      <c r="F3659" s="2" t="s">
        <v>15</v>
      </c>
      <c r="H3659" s="2"/>
    </row>
    <row r="3660" spans="1:8" customFormat="1" ht="16" ns3:dyDescent="0.2">
      <c r="A3660" t="s">
        <v>71</v>
      </c>
      <c r="B3660" s="3">
        <v>3.5641025641025632E-5</v>
      </c>
      <c r="D3660" t="s">
        <v>100</v>
      </c>
      <c r="E3660" t="s">
        <v>9</v>
      </c>
      <c r="F3660" s="2" t="s">
        <v>15</v>
      </c>
      <c r="H3660" s="2"/>
    </row>
    <row r="3661" spans="1:8" customFormat="1" ht="16" ns3:dyDescent="0.2">
      <c r="A3661" t="s">
        <v>107</v>
      </c>
      <c r="B3661" s="3">
        <v>3.0769230769230762E-6</v>
      </c>
      <c r="D3661" t="s">
        <v>100</v>
      </c>
      <c r="E3661" t="s">
        <v>9</v>
      </c>
      <c r="F3661" s="2" t="s">
        <v>15</v>
      </c>
      <c r="H3661" s="2"/>
    </row>
    <row r="3662" spans="1:8" customFormat="1" ht="16" ns3:dyDescent="0.2">
      <c r="A3662" t="s">
        <v>75</v>
      </c>
      <c r="B3662" s="3">
        <v>8.8362885593437998E-9</v>
      </c>
      <c r="D3662" t="s">
        <v>100</v>
      </c>
      <c r="E3662" t="s">
        <v>9</v>
      </c>
      <c r="F3662" s="2" t="s">
        <v>15</v>
      </c>
      <c r="H3662" s="2"/>
    </row>
    <row r="3663" spans="1:8" customFormat="1" ht="16" ns3:dyDescent="0.2">
      <c r="A3663" t="s">
        <v>79</v>
      </c>
      <c r="B3663" s="3">
        <v>2.0260399075004886E-8</v>
      </c>
      <c r="D3663" t="s">
        <v>100</v>
      </c>
      <c r="E3663" t="s">
        <v>9</v>
      </c>
      <c r="F3663" s="2" t="s">
        <v>15</v>
      </c>
      <c r="H3663" s="2"/>
    </row>
    <row r="3664" spans="1:8" customFormat="1" ht="16" ns3:dyDescent="0.2">
      <c r="A3664" t="s">
        <v>57</v>
      </c>
      <c r="B3664" s="3">
        <v>1.6520143085674979E-9</v>
      </c>
      <c r="D3664" t="s">
        <v>112</v>
      </c>
      <c r="E3664" t="s">
        <v>9</v>
      </c>
      <c r="F3664" s="2" t="s">
        <v>15</v>
      </c>
      <c r="H3664" s="2"/>
    </row>
    <row r="3665" spans="1:8" customFormat="1" ht="16" ns3:dyDescent="0.2">
      <c r="A3665" t="s">
        <v>108</v>
      </c>
      <c r="B3665" s="3">
        <v>1.5836494051346807E-10</v>
      </c>
      <c r="D3665" t="s">
        <v>112</v>
      </c>
      <c r="E3665" t="s">
        <v>9</v>
      </c>
      <c r="F3665" s="2" t="s">
        <v>15</v>
      </c>
      <c r="H3665" s="2"/>
    </row>
    <row r="3666" spans="1:8" customFormat="1" ht="16" ns3:dyDescent="0.2">
      <c r="A3666" t="s">
        <v>109</v>
      </c>
      <c r="B3666" s="3">
        <v>4.5524750499172942E-7</v>
      </c>
      <c r="D3666" t="s">
        <v>112</v>
      </c>
      <c r="E3666" t="s">
        <v>9</v>
      </c>
      <c r="F3666" s="2" t="s">
        <v>15</v>
      </c>
      <c r="H3666" s="2"/>
    </row>
    <row r="3667" spans="1:8" customFormat="1" ht="16" ns3:dyDescent="0.2">
      <c r="A3667" t="s">
        <v>110</v>
      </c>
      <c r="B3667" s="3">
        <v>2.6394088838964563E-11</v>
      </c>
      <c r="D3667" t="s">
        <v>112</v>
      </c>
      <c r="E3667" t="s">
        <v>9</v>
      </c>
      <c r="F3667" s="2" t="s">
        <v>15</v>
      </c>
      <c r="H3667" s="2"/>
    </row>
    <row r="3668" spans="1:8" customFormat="1" ht="16" ns3:dyDescent="0.2">
      <c r="A3668" t="s">
        <v>111</v>
      </c>
      <c r="B3668" s="3">
        <v>2.4156210432449703E-10</v>
      </c>
      <c r="D3668" t="s">
        <v>112</v>
      </c>
      <c r="E3668" t="s">
        <v>9</v>
      </c>
      <c r="F3668" s="2" t="s">
        <v>15</v>
      </c>
      <c r="H3668" s="2"/>
    </row>
    <row r="3669" spans="1:8" customFormat="1" ht="16" ns3:dyDescent="0.2"/>
    <row r="3670" spans="1:12" ns3:dyDescent="0.2">
      <c r="A3670" s="17" t="s">
        <v>2</v>
      </c>
      <c r="B3670" s="17" t="s">
        <v>497</v>
      </c>
    </row>
    <row r="3671" spans="1:12" customFormat="1" ht="16" ns3:dyDescent="0.2">
      <c r="A3671" s="2" t="s">
        <v>3</v>
      </c>
      <c r="B3671" s="2" t="s">
        <v>18</v>
      </c>
      <c r="C3671" s="2"/>
      <c r="D3671" s="2"/>
      <c r="E3671" s="2"/>
      <c r="F3671" s="2"/>
      <c r="G3671" s="2"/>
      <c r="H3671" s="2"/>
      <c r="I3671" s="2"/>
      <c r="J3671" s="2"/>
      <c r="K3671" s="2"/>
      <c r="L3671" s="2"/>
    </row>
    <row r="3672" spans="1:12" customFormat="1" ht="16" ns3:dyDescent="0.2">
      <c r="A3672" s="2" t="s">
        <v>4</v>
      </c>
      <c r="B3672" s="2">
        <v>1</v>
      </c>
      <c r="C3672" s="2"/>
      <c r="D3672" s="2"/>
      <c r="E3672" s="2"/>
      <c r="F3672" s="2"/>
      <c r="G3672" s="2"/>
      <c r="H3672" s="2"/>
      <c r="I3672" s="2"/>
      <c r="J3672" s="2"/>
      <c r="K3672" s="2"/>
      <c r="L3672" s="2"/>
    </row>
    <row r="3673" spans="1:12" customFormat="1" ht="16" ns3:dyDescent="0.2">
      <c r="A3673" s="2" t="s">
        <v>5</v>
      </c>
      <c r="B3673" s="2" t="s">
        <v>1</v>
      </c>
      <c r="C3673" s="2"/>
      <c r="D3673" s="2"/>
      <c r="E3673" s="2"/>
      <c r="F3673" s="2"/>
      <c r="G3673" s="2"/>
      <c r="H3673" s="2"/>
      <c r="I3673" s="2"/>
      <c r="J3673" s="2"/>
    </row>
    <row r="3674" spans="1:12" customFormat="1" ht="16" ns3:dyDescent="0.2">
      <c r="A3674" s="2" t="s">
        <v>6</v>
      </c>
      <c r="B3674" s="2" t="s">
        <v>7</v>
      </c>
      <c r="C3674" s="2"/>
      <c r="D3674" s="2"/>
      <c r="E3674" s="2"/>
      <c r="F3674" s="2"/>
      <c r="G3674" s="2"/>
      <c r="H3674" s="2"/>
      <c r="I3674" s="2"/>
      <c r="J3674" s="2"/>
      <c r="K3674" s="2"/>
      <c r="L3674" s="2"/>
    </row>
    <row r="3675" spans="1:12" customFormat="1" ht="16" ns3:dyDescent="0.2">
      <c r="A3675" s="2" t="s">
        <v>151</v>
      </c>
      <c r="B3675" s="2" t="s">
        <v>399</v>
      </c>
      <c r="C3675" s="2"/>
      <c r="D3675" s="2"/>
      <c r="E3675" s="2"/>
      <c r="F3675" s="2"/>
      <c r="G3675" s="2"/>
      <c r="H3675" s="2"/>
      <c r="I3675" s="2"/>
      <c r="J3675" s="2"/>
      <c r="K3675" s="2"/>
      <c r="L3675" s="2"/>
    </row>
    <row r="3676" spans="1:12" customFormat="1" ht="16" ns3:dyDescent="0.2">
      <c r="A3676" s="2" t="s">
        <v>8</v>
      </c>
      <c r="B3676" s="2" t="s">
        <v>17</v>
      </c>
      <c r="C3676" s="2"/>
      <c r="D3676" s="2"/>
      <c r="E3676" s="2"/>
      <c r="F3676" s="2"/>
      <c r="G3676" s="2"/>
      <c r="H3676" s="2"/>
      <c r="I3676" s="2"/>
      <c r="J3676" s="2"/>
      <c r="K3676" s="2"/>
      <c r="L3676" s="2"/>
    </row>
    <row r="3677" spans="1:12" customFormat="1" ht="16" ns3:dyDescent="0.2">
      <c r="A3677" s="1" t="s">
        <v>10</v>
      </c>
      <c r="B3677" s="2"/>
      <c r="C3677" s="2"/>
      <c r="D3677" s="2"/>
      <c r="E3677" s="2"/>
      <c r="F3677" s="2"/>
      <c r="G3677" s="2"/>
      <c r="H3677" s="2"/>
      <c r="I3677" s="2"/>
      <c r="J3677" s="2"/>
      <c r="K3677" s="2"/>
      <c r="L3677" s="2"/>
    </row>
    <row r="3678" spans="1:12" ns3:dyDescent="0.2">
      <c r="A3678" s="17" t="s">
        <v>11</v>
      </c>
      <c r="B3678" s="17" t="s">
        <v>12</v>
      </c>
      <c r="C3678" s="17" t="s">
        <v>3</v>
      </c>
      <c r="D3678" s="17" t="s">
        <v>13</v>
      </c>
      <c r="E3678" s="17" t="s">
        <v>8</v>
      </c>
      <c r="F3678" s="17" t="s">
        <v>6</v>
      </c>
      <c r="G3678" s="17" t="s">
        <v>5</v>
      </c>
      <c r="I3678" s="17"/>
      <c r="J3678" s="17"/>
      <c r="K3678" s="17"/>
    </row>
    <row r="3679" spans="1:12" customFormat="1" ht="16" ns3:dyDescent="0.2">
      <c r="A3679" s="2" t="str">
        <f>B3670</f>
        <v>biodiesel, from non-residual oily biomass, burned in container ship</v>
      </c>
      <c r="B3679" s="2">
        <v>1</v>
      </c>
      <c r="C3679" s="2" t="str">
        <f>B3671</f>
        <v>RER</v>
      </c>
      <c r="D3679" s="2"/>
      <c r="E3679" s="2" t="str">
        <f>B3676</f>
        <v>megajoule</v>
      </c>
      <c r="F3679" s="2" t="s">
        <v>19</v>
      </c>
      <c r="G3679" s="2" t="str">
        <f>B3673</f>
        <v>heat</v>
      </c>
      <c r="H3679" s="2"/>
      <c r="I3679" s="2"/>
      <c r="J3679" s="2"/>
      <c r="K3679" s="2"/>
      <c r="L3679" s="2"/>
    </row>
    <row r="3680" spans="1:12" customFormat="1" ht="16" ns3:dyDescent="0.2">
      <c r="A3680" s="2" t="s">
        <v>417</v>
      </c>
      <c r="B3680" s="9">
        <f>1/39</f>
        <v>2.564102564102564E-2</v>
      </c>
      <c r="C3680" t="s">
        <v>18</v>
      </c>
      <c r="E3680" t="s">
        <v>9</v>
      </c>
      <c r="F3680" t="s">
        <v>23</v>
      </c>
      <c r="G3680" t="s">
        <v>418</v>
      </c>
      <c r="I3680" s="2"/>
    </row>
    <row r="3681" spans="1:12" customFormat="1" ht="16" ns3:dyDescent="0.2">
      <c r="A3681" t="s">
        <v>48</v>
      </c>
      <c r="B3681" s="3">
        <v>1.0256365433645409E-5</v>
      </c>
      <c r="D3681" t="s">
        <v>100</v>
      </c>
      <c r="E3681" t="s">
        <v>9</v>
      </c>
      <c r="F3681" s="2" t="s">
        <v>15</v>
      </c>
      <c r="H3681" s="2"/>
    </row>
    <row r="3682" spans="1:12" customFormat="1" ht="16" ns3:dyDescent="0.2">
      <c r="A3682" t="s">
        <v>90</v>
      </c>
      <c r="B3682" s="3">
        <v>9.6449727337009339E-9</v>
      </c>
      <c r="D3682" t="s">
        <v>100</v>
      </c>
      <c r="E3682" t="s">
        <v>9</v>
      </c>
      <c r="F3682" s="2" t="s">
        <v>15</v>
      </c>
      <c r="H3682" s="2"/>
    </row>
    <row r="3683" spans="1:12" customFormat="1" ht="16" ns3:dyDescent="0.2">
      <c r="A3683" t="s">
        <v>52</v>
      </c>
      <c r="B3683" s="3">
        <v>6.2721921074364377E-10</v>
      </c>
      <c r="D3683" t="s">
        <v>100</v>
      </c>
      <c r="E3683" t="s">
        <v>9</v>
      </c>
      <c r="F3683" s="2" t="s">
        <v>15</v>
      </c>
      <c r="H3683" s="2"/>
    </row>
    <row r="3684" spans="1:12" customFormat="1" ht="16" ns3:dyDescent="0.2">
      <c r="A3684" t="s">
        <v>122</v>
      </c>
      <c r="B3684" s="9">
        <f>3.15*B3680</f>
        <v>8.076923076923076E-2</v>
      </c>
      <c r="D3684" t="s">
        <v>100</v>
      </c>
      <c r="E3684" t="s">
        <v>9</v>
      </c>
      <c r="F3684" s="2" t="s">
        <v>15</v>
      </c>
      <c r="H3684" s="2"/>
    </row>
    <row r="3685" spans="1:12" customFormat="1" ht="16" ns3:dyDescent="0.2">
      <c r="A3685" t="s">
        <v>123</v>
      </c>
      <c r="B3685" s="3">
        <v>6.8728477177939384E-5</v>
      </c>
      <c r="D3685" t="s">
        <v>100</v>
      </c>
      <c r="E3685" t="s">
        <v>9</v>
      </c>
      <c r="F3685" s="2" t="s">
        <v>15</v>
      </c>
      <c r="H3685" s="2"/>
      <c r="K3685" s="3"/>
    </row>
    <row r="3686" spans="1:11" customFormat="1" ht="16" ns3:dyDescent="0.2">
      <c r="A3686" t="s">
        <v>55</v>
      </c>
      <c r="B3686" s="3">
        <v>4.0039462777159148E-9</v>
      </c>
      <c r="D3686" t="s">
        <v>100</v>
      </c>
      <c r="E3686" t="s">
        <v>9</v>
      </c>
      <c r="F3686" s="2" t="s">
        <v>15</v>
      </c>
      <c r="H3686" s="2"/>
      <c r="K3686" s="3"/>
    </row>
    <row r="3687" spans="1:11" customFormat="1" ht="16" ns3:dyDescent="0.2">
      <c r="A3687" t="s">
        <v>57</v>
      </c>
      <c r="B3687" s="3">
        <v>9.6449727337009339E-9</v>
      </c>
      <c r="D3687" t="s">
        <v>100</v>
      </c>
      <c r="E3687" t="s">
        <v>9</v>
      </c>
      <c r="F3687" s="2" t="s">
        <v>15</v>
      </c>
      <c r="H3687" s="2"/>
      <c r="K3687" s="3"/>
    </row>
    <row r="3688" spans="1:11" customFormat="1" ht="16" ns3:dyDescent="0.2">
      <c r="A3688" t="s">
        <v>58</v>
      </c>
      <c r="B3688" s="3">
        <v>4.0793809536092252E-6</v>
      </c>
      <c r="D3688" t="s">
        <v>100</v>
      </c>
      <c r="E3688" t="s">
        <v>9</v>
      </c>
      <c r="F3688" s="2" t="s">
        <v>15</v>
      </c>
      <c r="H3688" s="2"/>
      <c r="K3688" s="3"/>
    </row>
    <row r="3689" spans="1:11" customFormat="1" ht="16" ns3:dyDescent="0.2">
      <c r="A3689" t="s">
        <v>103</v>
      </c>
      <c r="B3689" s="3">
        <v>2.5641066388993793E-14</v>
      </c>
      <c r="D3689" t="s">
        <v>100</v>
      </c>
      <c r="E3689" t="s">
        <v>9</v>
      </c>
      <c r="F3689" s="2" t="s">
        <v>15</v>
      </c>
      <c r="H3689" s="2"/>
    </row>
    <row r="3690" spans="1:11" customFormat="1" ht="16" ns3:dyDescent="0.2">
      <c r="A3690" t="s">
        <v>104</v>
      </c>
      <c r="B3690" s="3">
        <v>1.4988121356087533E-6</v>
      </c>
      <c r="D3690" t="s">
        <v>100</v>
      </c>
      <c r="E3690" t="s">
        <v>9</v>
      </c>
      <c r="F3690" s="2" t="s">
        <v>15</v>
      </c>
      <c r="H3690" s="2"/>
    </row>
    <row r="3691" spans="1:11" customFormat="1" ht="16" ns3:dyDescent="0.2">
      <c r="A3691" t="s">
        <v>105</v>
      </c>
      <c r="B3691" s="3">
        <v>1.4988121356087536E-7</v>
      </c>
      <c r="D3691" t="s">
        <v>100</v>
      </c>
      <c r="E3691" t="s">
        <v>9</v>
      </c>
      <c r="F3691" s="2" t="s">
        <v>15</v>
      </c>
      <c r="H3691" s="2"/>
    </row>
    <row r="3692" spans="1:11" customFormat="1" ht="16" ns3:dyDescent="0.2">
      <c r="A3692" t="s">
        <v>63</v>
      </c>
      <c r="B3692" s="3">
        <v>4.4181493731679086E-9</v>
      </c>
      <c r="D3692" t="s">
        <v>100</v>
      </c>
      <c r="E3692" t="s">
        <v>9</v>
      </c>
      <c r="F3692" s="2" t="s">
        <v>15</v>
      </c>
      <c r="H3692" s="2"/>
    </row>
    <row r="3693" spans="1:11" customFormat="1" ht="16" ns3:dyDescent="0.2">
      <c r="A3693" t="s">
        <v>64</v>
      </c>
      <c r="B3693" s="3">
        <v>7.2386626011604185E-10</v>
      </c>
      <c r="D3693" t="s">
        <v>100</v>
      </c>
      <c r="E3693" t="s">
        <v>9</v>
      </c>
      <c r="F3693" s="2" t="s">
        <v>15</v>
      </c>
      <c r="H3693" s="2"/>
    </row>
    <row r="3694" spans="1:11" customFormat="1" ht="16" ns3:dyDescent="0.2">
      <c r="A3694" t="s">
        <v>177</v>
      </c>
      <c r="B3694" s="3">
        <v>1.3879471014768287E-6</v>
      </c>
      <c r="D3694" t="s">
        <v>100</v>
      </c>
      <c r="E3694" t="s">
        <v>9</v>
      </c>
      <c r="F3694" s="2" t="s">
        <v>15</v>
      </c>
      <c r="H3694" s="2"/>
    </row>
    <row r="3695" spans="1:11" customFormat="1" ht="16" ns3:dyDescent="0.2">
      <c r="A3695" t="s">
        <v>67</v>
      </c>
      <c r="B3695" s="3">
        <v>6.9408357025220894E-5</v>
      </c>
      <c r="D3695" t="s">
        <v>100</v>
      </c>
      <c r="E3695" t="s">
        <v>9</v>
      </c>
      <c r="F3695" s="2" t="s">
        <v>15</v>
      </c>
      <c r="H3695" s="2"/>
    </row>
    <row r="3696" spans="1:11" customFormat="1" ht="16" ns3:dyDescent="0.2">
      <c r="A3696" t="s">
        <v>68</v>
      </c>
      <c r="B3696" s="3">
        <v>5.5818502193524422E-7</v>
      </c>
      <c r="D3696" t="s">
        <v>100</v>
      </c>
      <c r="E3696" t="s">
        <v>9</v>
      </c>
      <c r="F3696" s="2" t="s">
        <v>15</v>
      </c>
      <c r="H3696" s="2"/>
    </row>
    <row r="3697" spans="1:11" customFormat="1" ht="16" ns3:dyDescent="0.2">
      <c r="A3697" t="s">
        <v>69</v>
      </c>
      <c r="B3697">
        <v>1.9128828001645137E-3</v>
      </c>
      <c r="D3697" t="s">
        <v>100</v>
      </c>
      <c r="E3697" t="s">
        <v>9</v>
      </c>
      <c r="F3697" s="2" t="s">
        <v>15</v>
      </c>
      <c r="H3697" s="2"/>
    </row>
    <row r="3698" spans="1:11" customFormat="1" ht="16" ns3:dyDescent="0.2">
      <c r="A3698" t="s">
        <v>70</v>
      </c>
      <c r="B3698" s="3">
        <v>5.12820309080674E-8</v>
      </c>
      <c r="D3698" t="s">
        <v>100</v>
      </c>
      <c r="E3698" t="s">
        <v>9</v>
      </c>
      <c r="F3698" s="2" t="s">
        <v>15</v>
      </c>
      <c r="H3698" s="2"/>
    </row>
    <row r="3699" spans="1:11" customFormat="1" ht="16" ns3:dyDescent="0.2">
      <c r="A3699" t="s">
        <v>71</v>
      </c>
      <c r="B3699" s="3">
        <v>3.5641025641025632E-5</v>
      </c>
      <c r="D3699" t="s">
        <v>100</v>
      </c>
      <c r="E3699" t="s">
        <v>9</v>
      </c>
      <c r="F3699" s="2" t="s">
        <v>15</v>
      </c>
      <c r="H3699" s="2"/>
    </row>
    <row r="3700" spans="1:11" customFormat="1" ht="16" ns3:dyDescent="0.2">
      <c r="A3700" t="s">
        <v>107</v>
      </c>
      <c r="B3700" s="3">
        <v>3.0769230769230762E-6</v>
      </c>
      <c r="D3700" t="s">
        <v>100</v>
      </c>
      <c r="E3700" t="s">
        <v>9</v>
      </c>
      <c r="F3700" s="2" t="s">
        <v>15</v>
      </c>
      <c r="H3700" s="2"/>
    </row>
    <row r="3701" spans="1:11" customFormat="1" ht="16" ns3:dyDescent="0.2">
      <c r="A3701" t="s">
        <v>75</v>
      </c>
      <c r="B3701" s="3">
        <v>8.8362885593437998E-9</v>
      </c>
      <c r="D3701" t="s">
        <v>100</v>
      </c>
      <c r="E3701" t="s">
        <v>9</v>
      </c>
      <c r="F3701" s="2" t="s">
        <v>15</v>
      </c>
      <c r="H3701" s="2"/>
    </row>
    <row r="3702" spans="1:12" customFormat="1" ht="16" ns3:dyDescent="0.2">
      <c r="A3702" t="s">
        <v>79</v>
      </c>
      <c r="B3702" s="3">
        <v>2.0260399075004886E-8</v>
      </c>
      <c r="D3702" t="s">
        <v>100</v>
      </c>
      <c r="E3702" t="s">
        <v>9</v>
      </c>
      <c r="F3702" s="2" t="s">
        <v>15</v>
      </c>
      <c r="H3702" s="2"/>
    </row>
    <row r="3703" spans="1:12" customFormat="1" ht="16" ns3:dyDescent="0.2">
      <c r="A3703" t="s">
        <v>57</v>
      </c>
      <c r="B3703" s="3">
        <v>1.6520143085674979E-9</v>
      </c>
      <c r="D3703" t="s">
        <v>112</v>
      </c>
      <c r="E3703" t="s">
        <v>9</v>
      </c>
      <c r="F3703" s="2" t="s">
        <v>15</v>
      </c>
      <c r="H3703" s="2"/>
    </row>
    <row r="3704" spans="1:12" customFormat="1" ht="16" ns3:dyDescent="0.2">
      <c r="A3704" t="s">
        <v>108</v>
      </c>
      <c r="B3704" s="3">
        <v>1.5836494051346807E-10</v>
      </c>
      <c r="D3704" t="s">
        <v>112</v>
      </c>
      <c r="E3704" t="s">
        <v>9</v>
      </c>
      <c r="F3704" s="2" t="s">
        <v>15</v>
      </c>
      <c r="H3704" s="2"/>
    </row>
    <row r="3705" spans="1:12" customFormat="1" ht="16" ns3:dyDescent="0.2">
      <c r="A3705" t="s">
        <v>109</v>
      </c>
      <c r="B3705" s="3">
        <v>4.5524750499172942E-7</v>
      </c>
      <c r="D3705" t="s">
        <v>112</v>
      </c>
      <c r="E3705" t="s">
        <v>9</v>
      </c>
      <c r="F3705" s="2" t="s">
        <v>15</v>
      </c>
      <c r="H3705" s="2"/>
    </row>
    <row r="3706" spans="1:12" customFormat="1" ht="16" ns3:dyDescent="0.2">
      <c r="A3706" t="s">
        <v>110</v>
      </c>
      <c r="B3706" s="3">
        <v>2.6394088838964563E-11</v>
      </c>
      <c r="D3706" t="s">
        <v>112</v>
      </c>
      <c r="E3706" t="s">
        <v>9</v>
      </c>
      <c r="F3706" s="2" t="s">
        <v>15</v>
      </c>
      <c r="H3706" s="2"/>
    </row>
    <row r="3707" spans="1:12" customFormat="1" ht="16" ns3:dyDescent="0.2">
      <c r="A3707" t="s">
        <v>111</v>
      </c>
      <c r="B3707" s="3">
        <v>2.4156210432449703E-10</v>
      </c>
      <c r="D3707" t="s">
        <v>112</v>
      </c>
      <c r="E3707" t="s">
        <v>9</v>
      </c>
      <c r="F3707" s="2" t="s">
        <v>15</v>
      </c>
      <c r="H3707" s="2"/>
    </row>
    <row r="3708" spans="1:12" customFormat="1" ht="16" ns3:dyDescent="0.2"/>
    <row r="3709" spans="1:12" ns3:dyDescent="0.2">
      <c r="A3709" s="17" t="s">
        <v>2</v>
      </c>
      <c r="B3709" s="17" t="s">
        <v>128</v>
      </c>
    </row>
    <row r="3710" spans="1:12" customFormat="1" ht="16" ns3:dyDescent="0.2">
      <c r="A3710" s="2" t="s">
        <v>3</v>
      </c>
      <c r="B3710" s="2" t="s">
        <v>18</v>
      </c>
      <c r="C3710" s="2"/>
      <c r="D3710" s="2"/>
      <c r="E3710" s="2"/>
      <c r="F3710" s="2"/>
      <c r="G3710" s="2"/>
      <c r="H3710" s="2"/>
      <c r="I3710" s="2"/>
      <c r="J3710" s="2"/>
      <c r="K3710" s="2"/>
      <c r="L3710" s="2"/>
    </row>
    <row r="3711" spans="1:12" customFormat="1" ht="16" ns3:dyDescent="0.2">
      <c r="A3711" s="2" t="s">
        <v>4</v>
      </c>
      <c r="B3711" s="2">
        <v>1</v>
      </c>
      <c r="C3711" s="2"/>
      <c r="D3711" s="2"/>
      <c r="E3711" s="2"/>
      <c r="F3711" s="2"/>
      <c r="G3711" s="2"/>
      <c r="H3711" s="2"/>
      <c r="I3711" s="2"/>
      <c r="J3711" s="2"/>
      <c r="K3711" s="2"/>
      <c r="L3711" s="2"/>
    </row>
    <row r="3712" spans="1:12" customFormat="1" ht="16" ns3:dyDescent="0.2">
      <c r="A3712" s="2" t="s">
        <v>5</v>
      </c>
      <c r="B3712" s="2" t="s">
        <v>1</v>
      </c>
      <c r="C3712" s="2"/>
      <c r="D3712" s="2"/>
      <c r="E3712" s="2"/>
      <c r="F3712" s="2"/>
      <c r="G3712" s="2"/>
      <c r="H3712" s="2"/>
      <c r="I3712" s="2"/>
      <c r="J3712" s="2"/>
    </row>
    <row r="3713" spans="1:12" customFormat="1" ht="16" ns3:dyDescent="0.2">
      <c r="A3713" s="2" t="s">
        <v>151</v>
      </c>
      <c r="B3713" s="2" t="s">
        <v>400</v>
      </c>
      <c r="C3713" s="2"/>
      <c r="D3713" s="2"/>
      <c r="E3713" s="2"/>
      <c r="F3713" s="2"/>
      <c r="G3713" s="2"/>
      <c r="H3713" s="2"/>
      <c r="I3713" s="2"/>
      <c r="J3713" s="2"/>
    </row>
    <row r="3714" spans="1:12" customFormat="1" ht="16" ns3:dyDescent="0.2">
      <c r="A3714" s="2" t="s">
        <v>6</v>
      </c>
      <c r="B3714" s="2" t="s">
        <v>7</v>
      </c>
      <c r="C3714" s="2"/>
      <c r="D3714" s="2"/>
      <c r="E3714" s="2"/>
      <c r="F3714" s="2"/>
      <c r="G3714" s="2"/>
      <c r="H3714" s="2"/>
      <c r="I3714" s="2"/>
      <c r="J3714" s="2"/>
      <c r="K3714" s="2"/>
      <c r="L3714" s="2"/>
    </row>
    <row r="3715" spans="1:12" customFormat="1" ht="16" ns3:dyDescent="0.2">
      <c r="A3715" s="2" t="s">
        <v>8</v>
      </c>
      <c r="B3715" s="2" t="s">
        <v>17</v>
      </c>
      <c r="C3715" s="2"/>
      <c r="D3715" s="2"/>
      <c r="E3715" s="2"/>
      <c r="F3715" s="2"/>
      <c r="G3715" s="2"/>
      <c r="H3715" s="2"/>
      <c r="I3715" s="2"/>
      <c r="J3715" s="2"/>
      <c r="K3715" s="2"/>
      <c r="L3715" s="2"/>
    </row>
    <row r="3716" spans="1:12" customFormat="1" ht="16" ns3:dyDescent="0.2">
      <c r="A3716" s="1" t="s">
        <v>10</v>
      </c>
      <c r="B3716" s="2"/>
      <c r="C3716" s="2"/>
      <c r="D3716" s="2"/>
      <c r="E3716" s="2"/>
      <c r="F3716" s="2"/>
      <c r="G3716" s="2"/>
      <c r="H3716" s="2"/>
      <c r="I3716" s="2"/>
      <c r="J3716" s="2"/>
      <c r="K3716" s="2"/>
      <c r="L3716" s="2"/>
    </row>
    <row r="3717" spans="1:12" ns3:dyDescent="0.2">
      <c r="A3717" s="17" t="s">
        <v>11</v>
      </c>
      <c r="B3717" s="17" t="s">
        <v>12</v>
      </c>
      <c r="C3717" s="17" t="s">
        <v>3</v>
      </c>
      <c r="D3717" s="17" t="s">
        <v>13</v>
      </c>
      <c r="E3717" s="17" t="s">
        <v>8</v>
      </c>
      <c r="F3717" s="17" t="s">
        <v>6</v>
      </c>
      <c r="G3717" s="17" t="s">
        <v>5</v>
      </c>
      <c r="I3717" s="17"/>
      <c r="J3717" s="17"/>
      <c r="K3717" s="17"/>
    </row>
    <row r="3718" spans="1:12" customFormat="1" ht="16" ns3:dyDescent="0.2">
      <c r="A3718" s="2" t="str">
        <f>B3709</f>
        <v>methanol from biomass, burned in container ship</v>
      </c>
      <c r="B3718" s="2">
        <v>1</v>
      </c>
      <c r="C3718" s="2" t="str">
        <f>B3710</f>
        <v>RER</v>
      </c>
      <c r="D3718" s="2"/>
      <c r="E3718" s="2" t="str">
        <f>B3715</f>
        <v>megajoule</v>
      </c>
      <c r="F3718" s="2" t="s">
        <v>19</v>
      </c>
      <c r="G3718" s="2" t="str">
        <f>B3712</f>
        <v>heat</v>
      </c>
      <c r="H3718" s="2"/>
      <c r="I3718" s="2"/>
      <c r="J3718" s="2"/>
      <c r="K3718" s="2"/>
      <c r="L3718" s="2"/>
    </row>
    <row r="3719" spans="1:12" customFormat="1" ht="16" ns3:dyDescent="0.2">
      <c r="A3719" t="s">
        <v>148</v>
      </c>
      <c r="B3719" s="8">
        <v>5.5555555555555601E-2</v>
      </c>
      <c r="C3719" t="s">
        <v>127</v>
      </c>
      <c r="E3719" t="s">
        <v>9</v>
      </c>
      <c r="F3719" t="s">
        <v>23</v>
      </c>
      <c r="G3719" t="s">
        <v>126</v>
      </c>
      <c r="H3719" s="2"/>
    </row>
    <row r="3720" spans="1:12" s="4" customFormat="1" ht="16" ns3:dyDescent="0.2">
      <c r="A3720" s="4" t="s">
        <v>98</v>
      </c>
      <c r="B3720" s="7">
        <f>0.0625/1000</f>
        <v>6.2500000000000001E-5</v>
      </c>
      <c r="D3720" s="4" t="s">
        <v>116</v>
      </c>
      <c r="E3720" s="4" t="s">
        <v>94</v>
      </c>
      <c r="F3720" s="4" t="s">
        <v>15</v>
      </c>
      <c r="L3720" s="5"/>
    </row>
    <row r="3721" spans="1:12" s="4" customFormat="1" ht="16" ns3:dyDescent="0.2">
      <c r="A3721" s="4" t="s">
        <v>122</v>
      </c>
      <c r="B3721" s="7">
        <v>7.6222222222222233E-2</v>
      </c>
      <c r="D3721" s="4" t="s">
        <v>14</v>
      </c>
      <c r="E3721" s="4" t="s">
        <v>9</v>
      </c>
      <c r="F3721" s="4" t="s">
        <v>15</v>
      </c>
      <c r="L3721" s="5"/>
    </row>
    <row r="3722" spans="1:12" s="4" customFormat="1" ht="16" ns3:dyDescent="0.2">
      <c r="A3722" s="4" t="s">
        <v>123</v>
      </c>
      <c r="B3722" s="7">
        <v>9.0000000000000002E-6</v>
      </c>
      <c r="D3722" s="4" t="s">
        <v>14</v>
      </c>
      <c r="E3722" s="4" t="s">
        <v>9</v>
      </c>
      <c r="F3722" s="4" t="s">
        <v>15</v>
      </c>
    </row>
    <row r="3723" spans="1:12" s="4" customFormat="1" ht="16" ns3:dyDescent="0.2">
      <c r="A3723" s="4" t="s">
        <v>69</v>
      </c>
      <c r="B3723" s="37">
        <f>(0.0007*20)*B3719</f>
        <v>7.7777777777777838E-4</v>
      </c>
      <c r="D3723" s="4" t="s">
        <v>14</v>
      </c>
      <c r="E3723" s="4" t="s">
        <v>9</v>
      </c>
      <c r="F3723" s="4" t="s">
        <v>15</v>
      </c>
      <c r="L3723" s="5"/>
    </row>
    <row r="3724" spans="1:12" s="4" customFormat="1" ht="16" ns3:dyDescent="0.2">
      <c r="A3724" s="4" t="s">
        <v>71</v>
      </c>
      <c r="B3724" s="7">
        <f>0.00695*B3719*0.1</f>
        <v>3.8611111111111143E-5</v>
      </c>
      <c r="D3724" s="4" t="s">
        <v>14</v>
      </c>
      <c r="E3724" s="4" t="s">
        <v>9</v>
      </c>
      <c r="F3724" s="4" t="s">
        <v>15</v>
      </c>
      <c r="L3724" s="5"/>
    </row>
    <row r="3725" spans="1:12" customFormat="1" ht="16" ns3:dyDescent="0.2">
      <c r="H3725" s="2"/>
    </row>
    <row r="3726" spans="1:12" ns3:dyDescent="0.2">
      <c r="A3726" s="17" t="s">
        <v>2</v>
      </c>
      <c r="B3726" s="17" t="s">
        <v>374</v>
      </c>
    </row>
    <row r="3727" spans="1:12" customFormat="1" ht="16" ns3:dyDescent="0.2">
      <c r="A3727" s="2" t="s">
        <v>3</v>
      </c>
      <c r="B3727" s="2" t="s">
        <v>18</v>
      </c>
      <c r="C3727" s="2"/>
      <c r="D3727" s="2"/>
      <c r="E3727" s="2"/>
      <c r="F3727" s="2"/>
      <c r="G3727" s="2"/>
      <c r="H3727" s="2"/>
      <c r="I3727" s="2"/>
      <c r="J3727" s="2"/>
      <c r="K3727" s="2"/>
      <c r="L3727" s="2"/>
    </row>
    <row r="3728" spans="1:12" customFormat="1" ht="16" ns3:dyDescent="0.2">
      <c r="A3728" s="2" t="s">
        <v>4</v>
      </c>
      <c r="B3728" s="2">
        <v>1</v>
      </c>
      <c r="C3728" s="2"/>
      <c r="D3728" s="2"/>
      <c r="E3728" s="2"/>
      <c r="F3728" s="2"/>
      <c r="G3728" s="2"/>
      <c r="H3728" s="2"/>
      <c r="I3728" s="2"/>
      <c r="J3728" s="2"/>
      <c r="K3728" s="2"/>
      <c r="L3728" s="2"/>
    </row>
    <row r="3729" spans="1:12" customFormat="1" ht="16" ns3:dyDescent="0.2">
      <c r="A3729" s="2" t="s">
        <v>5</v>
      </c>
      <c r="B3729" s="2" t="s">
        <v>142</v>
      </c>
      <c r="C3729" s="2"/>
      <c r="D3729" s="2"/>
      <c r="E3729" s="2"/>
      <c r="F3729" s="2"/>
      <c r="G3729" s="2"/>
      <c r="H3729" s="2"/>
      <c r="I3729" s="2"/>
      <c r="J3729" s="2"/>
    </row>
    <row r="3730" spans="1:12" customFormat="1" ht="16" ns3:dyDescent="0.2">
      <c r="A3730" s="2" t="s">
        <v>6</v>
      </c>
      <c r="B3730" s="2" t="s">
        <v>7</v>
      </c>
      <c r="C3730" s="2"/>
      <c r="D3730" s="2"/>
      <c r="E3730" s="2"/>
      <c r="F3730" s="2"/>
      <c r="G3730" s="2"/>
      <c r="H3730" s="2"/>
      <c r="I3730" s="2"/>
      <c r="J3730" s="2"/>
      <c r="K3730" s="2"/>
      <c r="L3730" s="2"/>
    </row>
    <row r="3731" spans="1:12" customFormat="1" ht="16" ns3:dyDescent="0.2">
      <c r="A3731" s="2" t="s">
        <v>8</v>
      </c>
      <c r="B3731" s="2" t="s">
        <v>17</v>
      </c>
      <c r="C3731" s="2"/>
      <c r="D3731" s="2"/>
      <c r="E3731" s="2"/>
      <c r="F3731" s="2"/>
      <c r="G3731" s="2"/>
      <c r="H3731" s="2"/>
      <c r="I3731" s="2"/>
      <c r="J3731" s="2"/>
      <c r="K3731" s="2"/>
      <c r="L3731" s="2"/>
    </row>
    <row r="3732" spans="1:12" customFormat="1" ht="16" ns3:dyDescent="0.2">
      <c r="A3732" t="s">
        <v>349</v>
      </c>
      <c r="B3732" s="2">
        <f>INDEX(Parameters!$B$6:$AL$59,MATCH(Inventories!$B$3726,Parameters!$A$6:$A$59,0),MATCH(Inventories!$A3732,Parameters!$B$4:$AL$4,0))</f>
        <v>3200</v>
      </c>
      <c r="C3732" t="s">
        <v>309</v>
      </c>
      <c r="D3732" s="2"/>
      <c r="E3732" s="2"/>
      <c r="F3732" s="2"/>
      <c r="G3732" s="2"/>
      <c r="H3732" s="2"/>
      <c r="I3732" s="2"/>
      <c r="J3732" s="2"/>
      <c r="K3732" s="2"/>
      <c r="L3732" s="2"/>
    </row>
    <row r="3733" spans="1:12" customFormat="1" ht="16" ns3:dyDescent="0.2">
      <c r="A3733" t="s">
        <v>350</v>
      </c>
      <c r="B3733" s="2">
        <f>INDEX(Parameters!$B$6:$AL$59,MATCH(Inventories!$B$3726,Parameters!$A$6:$A$59,0),MATCH(Inventories!$A3733,Parameters!$B$4:$AL$4,0))</f>
        <v>2500</v>
      </c>
      <c r="C3733" t="s">
        <v>309</v>
      </c>
      <c r="D3733" s="2"/>
      <c r="E3733" s="2"/>
      <c r="F3733" s="2"/>
      <c r="G3733" s="2"/>
      <c r="H3733" s="2"/>
      <c r="I3733" s="2"/>
      <c r="J3733" s="2"/>
      <c r="K3733" s="2"/>
      <c r="L3733" s="2"/>
    </row>
    <row r="3734" spans="1:12" customFormat="1" ht="16" ns3:dyDescent="0.2">
      <c r="A3734" t="s">
        <v>351</v>
      </c>
      <c r="B3734" s="2">
        <f>INDEX(Parameters!$B$6:$AL$59,MATCH(Inventories!$B$3726,Parameters!$A$6:$A$59,0),MATCH(Inventories!$A3734,Parameters!$B$4:$AL$4,0))</f>
        <v>5000</v>
      </c>
      <c r="C3734" t="s">
        <v>309</v>
      </c>
      <c r="D3734" s="2"/>
      <c r="E3734" s="2"/>
      <c r="F3734" s="2"/>
      <c r="G3734" s="2"/>
      <c r="H3734" s="2"/>
      <c r="I3734" s="2"/>
      <c r="J3734" s="2"/>
      <c r="K3734" s="2"/>
      <c r="L3734" s="2"/>
    </row>
    <row r="3735" spans="1:12" customFormat="1" ht="16" ns3:dyDescent="0.2">
      <c r="A3735" t="s">
        <v>313</v>
      </c>
      <c r="B3735" s="24">
        <f>INDEX(Parameters!$B$6:$AL$59,MATCH(Inventories!$B$3726,Parameters!$A$6:$A$59,0),MATCH(Inventories!$A3735,Parameters!$B$4:$AL$4,0))</f>
        <v>4200000</v>
      </c>
      <c r="C3735" t="s">
        <v>310</v>
      </c>
      <c r="D3735" s="2"/>
      <c r="E3735" s="2"/>
      <c r="F3735" s="2"/>
      <c r="G3735" s="2"/>
      <c r="H3735" s="2"/>
      <c r="I3735" s="2"/>
      <c r="J3735" s="2"/>
      <c r="K3735" s="2"/>
      <c r="L3735" s="2"/>
    </row>
    <row r="3736" spans="1:12" customFormat="1" ht="16" ns3:dyDescent="0.2">
      <c r="A3736" t="s">
        <v>314</v>
      </c>
      <c r="B3736" s="24">
        <f>INDEX(Parameters!$B$6:$AL$59,MATCH(Inventories!$B$3726,Parameters!$A$6:$A$59,0),MATCH(Inventories!$A3736,Parameters!$B$4:$AL$4,0))</f>
        <v>3000000</v>
      </c>
      <c r="C3736" t="s">
        <v>310</v>
      </c>
      <c r="D3736" s="2"/>
      <c r="E3736" s="2"/>
      <c r="F3736" s="2"/>
      <c r="G3736" s="2"/>
      <c r="H3736" s="2"/>
      <c r="I3736" s="2"/>
      <c r="J3736" s="2"/>
      <c r="K3736" s="2"/>
      <c r="L3736" s="2"/>
    </row>
    <row r="3737" spans="1:12" customFormat="1" ht="16" ns3:dyDescent="0.2">
      <c r="A3737" t="s">
        <v>315</v>
      </c>
      <c r="B3737" s="24">
        <f>INDEX(Parameters!$B$6:$AL$59,MATCH(Inventories!$B$3726,Parameters!$A$6:$A$59,0),MATCH(Inventories!$A3737,Parameters!$B$4:$AL$4,0))</f>
        <v>10000000</v>
      </c>
      <c r="C3737" t="s">
        <v>310</v>
      </c>
      <c r="D3737" s="2"/>
      <c r="E3737" s="2"/>
      <c r="F3737" s="2"/>
      <c r="G3737" s="2"/>
      <c r="H3737" s="2"/>
      <c r="I3737" s="2"/>
      <c r="J3737" s="2"/>
      <c r="K3737" s="2"/>
      <c r="L3737" s="2"/>
    </row>
    <row r="3738" spans="1:12" customFormat="1" ht="16" ns3:dyDescent="0.2">
      <c r="A3738" t="s">
        <v>316</v>
      </c>
      <c r="B3738" s="24">
        <f>INDEX(Parameters!$B$6:$AL$59,MATCH(Inventories!$B$3726,Parameters!$A$6:$A$59,0),MATCH(Inventories!$A3738,Parameters!$B$4:$AL$4,0))</f>
        <v>4837500</v>
      </c>
      <c r="C3738" t="s">
        <v>311</v>
      </c>
      <c r="D3738" s="2"/>
      <c r="E3738" s="2"/>
      <c r="F3738" s="2"/>
      <c r="G3738" s="2"/>
      <c r="H3738" s="2"/>
      <c r="I3738" s="2"/>
      <c r="J3738" s="2"/>
      <c r="K3738" s="2"/>
      <c r="L3738" s="2"/>
    </row>
    <row r="3739" spans="1:12" customFormat="1" ht="16" ns3:dyDescent="0.2">
      <c r="A3739" t="s">
        <v>317</v>
      </c>
      <c r="B3739" s="24">
        <f>INDEX(Parameters!$B$6:$AL$59,MATCH(Inventories!$B$3726,Parameters!$A$6:$A$59,0),MATCH(Inventories!$A3739,Parameters!$B$4:$AL$4,0))</f>
        <v>3655000</v>
      </c>
      <c r="C3739" t="s">
        <v>311</v>
      </c>
      <c r="D3739" s="2"/>
      <c r="E3739" s="2"/>
      <c r="F3739" s="2"/>
      <c r="G3739" s="2"/>
      <c r="H3739" s="2"/>
      <c r="I3739" s="2"/>
      <c r="J3739" s="2"/>
      <c r="K3739" s="2"/>
      <c r="L3739" s="2"/>
    </row>
    <row r="3740" spans="1:12" customFormat="1" ht="16" ns3:dyDescent="0.2">
      <c r="A3740" t="s">
        <v>318</v>
      </c>
      <c r="B3740" s="24">
        <f>INDEX(Parameters!$B$6:$AL$59,MATCH(Inventories!$B$3726,Parameters!$A$6:$A$59,0),MATCH(Inventories!$A3740,Parameters!$B$4:$AL$4,0))</f>
        <v>7310000</v>
      </c>
      <c r="C3740" t="s">
        <v>311</v>
      </c>
      <c r="D3740" s="2"/>
      <c r="E3740" s="2"/>
      <c r="F3740" s="2"/>
      <c r="G3740" s="2"/>
      <c r="H3740" s="2"/>
      <c r="I3740" s="2"/>
      <c r="J3740" s="2"/>
      <c r="K3740" s="2"/>
      <c r="L3740" s="2"/>
    </row>
    <row r="3741" spans="1:12" customFormat="1" ht="16" ns3:dyDescent="0.2">
      <c r="A3741" t="s">
        <v>334</v>
      </c>
      <c r="B3741" s="2">
        <f>INDEX(Parameters!$B$6:$AL$59,MATCH(Inventories!$B$3726,Parameters!$A$6:$A$59,0),MATCH(Inventories!$A3741,Parameters!$B$4:$AL$4,0))</f>
        <v>0</v>
      </c>
      <c r="C3741" t="s">
        <v>333</v>
      </c>
      <c r="D3741" s="2"/>
      <c r="E3741" s="2"/>
      <c r="F3741" s="2"/>
      <c r="G3741" s="2"/>
      <c r="H3741" s="2"/>
      <c r="I3741" s="2"/>
      <c r="J3741" s="2"/>
      <c r="K3741" s="2"/>
      <c r="L3741" s="2"/>
    </row>
    <row r="3742" spans="1:12" customFormat="1" ht="16" ns3:dyDescent="0.2">
      <c r="A3742" t="s">
        <v>335</v>
      </c>
      <c r="B3742" s="2">
        <f>INDEX(Parameters!$B$6:$AL$59,MATCH(Inventories!$B$3726,Parameters!$A$6:$A$59,0),MATCH(Inventories!$A3742,Parameters!$B$4:$AL$4,0))</f>
        <v>0</v>
      </c>
      <c r="C3742" t="s">
        <v>333</v>
      </c>
      <c r="D3742" s="2"/>
      <c r="E3742" s="2"/>
      <c r="F3742" s="2"/>
      <c r="G3742" s="2"/>
      <c r="H3742" s="2"/>
      <c r="I3742" s="2"/>
      <c r="J3742" s="2"/>
      <c r="K3742" s="2"/>
      <c r="L3742" s="2"/>
    </row>
    <row r="3743" spans="1:12" customFormat="1" ht="16" ns3:dyDescent="0.2">
      <c r="A3743" t="s">
        <v>336</v>
      </c>
      <c r="B3743" s="2">
        <f>INDEX(Parameters!$B$6:$AL$59,MATCH(Inventories!$B$3726,Parameters!$A$6:$A$59,0),MATCH(Inventories!$A3743,Parameters!$B$4:$AL$4,0))</f>
        <v>0</v>
      </c>
      <c r="C3743" t="s">
        <v>333</v>
      </c>
      <c r="D3743" s="2"/>
      <c r="E3743" s="2"/>
      <c r="F3743" s="2"/>
      <c r="G3743" s="2"/>
      <c r="H3743" s="2"/>
      <c r="I3743" s="2"/>
      <c r="J3743" s="2"/>
      <c r="K3743" s="2"/>
      <c r="L3743" s="2"/>
    </row>
    <row r="3744" spans="1:12" customFormat="1" ht="16" ns3:dyDescent="0.2">
      <c r="A3744" t="s">
        <v>337</v>
      </c>
      <c r="B3744" s="2">
        <f>INDEX(Parameters!$B$6:$AL$59,MATCH(Inventories!$B$3726,Parameters!$A$6:$A$59,0),MATCH(Inventories!$A3744,Parameters!$B$4:$AL$4,0))</f>
        <v>0</v>
      </c>
      <c r="C3744" t="s">
        <v>333</v>
      </c>
      <c r="D3744" s="2"/>
      <c r="E3744" s="2"/>
      <c r="F3744" s="2"/>
      <c r="G3744" s="2"/>
      <c r="H3744" s="2"/>
      <c r="I3744" s="2"/>
      <c r="J3744" s="2"/>
      <c r="K3744" s="2"/>
      <c r="L3744" s="2"/>
    </row>
    <row r="3745" spans="1:12" customFormat="1" ht="16" ns3:dyDescent="0.2">
      <c r="A3745" t="s">
        <v>338</v>
      </c>
      <c r="B3745" s="2">
        <f>INDEX(Parameters!$B$6:$AL$59,MATCH(Inventories!$B$3726,Parameters!$A$6:$A$59,0),MATCH(Inventories!$A3745,Parameters!$B$4:$AL$4,0))</f>
        <v>0</v>
      </c>
      <c r="C3745" t="s">
        <v>333</v>
      </c>
      <c r="D3745" s="2"/>
      <c r="E3745" s="2"/>
      <c r="F3745" s="2"/>
      <c r="G3745" s="2"/>
      <c r="H3745" s="2"/>
      <c r="I3745" s="2"/>
      <c r="J3745" s="2"/>
      <c r="K3745" s="2"/>
      <c r="L3745" s="2"/>
    </row>
    <row r="3746" spans="1:12" customFormat="1" ht="16" ns3:dyDescent="0.2">
      <c r="A3746" t="s">
        <v>339</v>
      </c>
      <c r="B3746" s="2">
        <f>INDEX(Parameters!$B$6:$AL$59,MATCH(Inventories!$B$3726,Parameters!$A$6:$A$59,0),MATCH(Inventories!$A3746,Parameters!$B$4:$AL$4,0))</f>
        <v>0</v>
      </c>
      <c r="C3746" t="s">
        <v>333</v>
      </c>
      <c r="D3746" s="2"/>
      <c r="E3746" s="2"/>
      <c r="F3746" s="2"/>
      <c r="G3746" s="2"/>
      <c r="H3746" s="2"/>
      <c r="I3746" s="2"/>
      <c r="J3746" s="2"/>
      <c r="K3746" s="2"/>
      <c r="L3746" s="2"/>
    </row>
    <row r="3747" spans="1:12" customFormat="1" ht="16" ns3:dyDescent="0.2">
      <c r="A3747" t="s">
        <v>330</v>
      </c>
      <c r="B3747" s="2">
        <f>INDEX(Parameters!$B$6:$AL$59,MATCH(Inventories!$B$3726,Parameters!$A$6:$A$59,0),MATCH(Inventories!$A3747,Parameters!$B$4:$AL$4,0))</f>
        <v>0</v>
      </c>
      <c r="C3747" t="s">
        <v>333</v>
      </c>
      <c r="D3747" s="2"/>
      <c r="E3747" s="2"/>
      <c r="F3747" s="2"/>
      <c r="G3747" s="2"/>
      <c r="H3747" s="2"/>
      <c r="I3747" s="2"/>
      <c r="J3747" s="2"/>
      <c r="K3747" s="2"/>
      <c r="L3747" s="2"/>
    </row>
    <row r="3748" spans="1:12" customFormat="1" ht="16" ns3:dyDescent="0.2">
      <c r="A3748" t="s">
        <v>331</v>
      </c>
      <c r="B3748" s="2">
        <f>INDEX(Parameters!$B$6:$AL$59,MATCH(Inventories!$B$3726,Parameters!$A$6:$A$59,0),MATCH(Inventories!$A3748,Parameters!$B$4:$AL$4,0))</f>
        <v>0</v>
      </c>
      <c r="C3748" t="s">
        <v>333</v>
      </c>
      <c r="D3748" s="2"/>
      <c r="E3748" s="2"/>
      <c r="F3748" s="2"/>
      <c r="G3748" s="2"/>
      <c r="H3748" s="2"/>
      <c r="I3748" s="2"/>
      <c r="J3748" s="2"/>
      <c r="K3748" s="2"/>
      <c r="L3748" s="2"/>
    </row>
    <row r="3749" spans="1:12" customFormat="1" ht="16" ns3:dyDescent="0.2">
      <c r="A3749" t="s">
        <v>332</v>
      </c>
      <c r="B3749" s="2">
        <f>INDEX(Parameters!$B$6:$AL$59,MATCH(Inventories!$B$3726,Parameters!$A$6:$A$59,0),MATCH(Inventories!$A3749,Parameters!$B$4:$AL$4,0))</f>
        <v>0</v>
      </c>
      <c r="C3749" t="s">
        <v>333</v>
      </c>
      <c r="D3749" s="2"/>
      <c r="E3749" s="2"/>
      <c r="F3749" s="2"/>
      <c r="G3749" s="2"/>
      <c r="H3749" s="2"/>
      <c r="I3749" s="2"/>
      <c r="J3749" s="2"/>
      <c r="K3749" s="2"/>
      <c r="L3749" s="2"/>
    </row>
    <row r="3750" spans="1:12" customFormat="1" ht="16" ns3:dyDescent="0.2">
      <c r="A3750" t="s">
        <v>319</v>
      </c>
      <c r="B3750" s="2">
        <f>INDEX(Parameters!$B$6:$AL$59,MATCH(Inventories!$B$3726,Parameters!$A$6:$A$59,0),MATCH(Inventories!$A3750,Parameters!$B$4:$AL$4,0))</f>
        <v>6700000</v>
      </c>
      <c r="C3750" t="s">
        <v>312</v>
      </c>
      <c r="D3750" s="2"/>
      <c r="E3750" s="2"/>
      <c r="F3750" s="2"/>
      <c r="G3750" s="2"/>
      <c r="H3750" s="2"/>
      <c r="I3750" s="2"/>
      <c r="J3750" s="2"/>
      <c r="K3750" s="2"/>
      <c r="L3750" s="2"/>
    </row>
    <row r="3751" spans="1:12" customFormat="1" ht="16" ns3:dyDescent="0.2">
      <c r="A3751" t="s">
        <v>320</v>
      </c>
      <c r="B3751" s="2">
        <f>INDEX(Parameters!$B$6:$AL$59,MATCH(Inventories!$B$3726,Parameters!$A$6:$A$59,0),MATCH(Inventories!$A3751,Parameters!$B$4:$AL$4,0))</f>
        <v>3500000</v>
      </c>
      <c r="C3751" t="s">
        <v>312</v>
      </c>
      <c r="D3751" s="2"/>
      <c r="E3751" s="2"/>
      <c r="F3751" s="2"/>
      <c r="G3751" s="2"/>
      <c r="H3751" s="2"/>
      <c r="I3751" s="2"/>
      <c r="J3751" s="2"/>
      <c r="K3751" s="2"/>
      <c r="L3751" s="2"/>
    </row>
    <row r="3752" spans="1:12" customFormat="1" ht="16" ns3:dyDescent="0.2">
      <c r="A3752" t="s">
        <v>321</v>
      </c>
      <c r="B3752" s="2">
        <f>INDEX(Parameters!$B$6:$AL$59,MATCH(Inventories!$B$3726,Parameters!$A$6:$A$59,0),MATCH(Inventories!$A3752,Parameters!$B$4:$AL$4,0))</f>
        <v>10000000</v>
      </c>
      <c r="C3752" t="s">
        <v>312</v>
      </c>
      <c r="D3752" s="2"/>
      <c r="E3752" s="2"/>
      <c r="F3752" s="2"/>
      <c r="G3752" s="2"/>
      <c r="H3752" s="2"/>
      <c r="I3752" s="2"/>
      <c r="J3752" s="2"/>
      <c r="K3752" s="2"/>
      <c r="L3752" s="2"/>
    </row>
    <row r="3753" spans="1:12" customFormat="1" ht="16" ns3:dyDescent="0.2">
      <c r="A3753" t="s">
        <v>327</v>
      </c>
      <c r="B3753" s="2">
        <f>INDEX(Parameters!$B$6:$AL$59,MATCH(Inventories!$B$3726,Parameters!$A$6:$A$59,0),MATCH(Inventories!$A3753,Parameters!$B$4:$AL$4,0))</f>
        <v>0</v>
      </c>
      <c r="C3753" t="s">
        <v>8</v>
      </c>
      <c r="D3753" s="2"/>
      <c r="E3753" s="2"/>
      <c r="F3753" s="2"/>
      <c r="G3753" s="2"/>
      <c r="H3753" s="2"/>
      <c r="I3753" s="2"/>
      <c r="J3753" s="2"/>
      <c r="K3753" s="2"/>
      <c r="L3753" s="2"/>
    </row>
    <row r="3754" spans="1:12" customFormat="1" ht="16" ns3:dyDescent="0.2">
      <c r="A3754" t="s">
        <v>328</v>
      </c>
      <c r="B3754" s="2">
        <f>INDEX(Parameters!$B$6:$AL$59,MATCH(Inventories!$B$3726,Parameters!$A$6:$A$59,0),MATCH(Inventories!$A3754,Parameters!$B$4:$AL$4,0))</f>
        <v>0</v>
      </c>
      <c r="C3754" t="s">
        <v>8</v>
      </c>
      <c r="D3754" s="2"/>
      <c r="E3754" s="2"/>
      <c r="F3754" s="2"/>
      <c r="G3754" s="2"/>
      <c r="H3754" s="2"/>
      <c r="I3754" s="2"/>
      <c r="J3754" s="2"/>
      <c r="K3754" s="2"/>
      <c r="L3754" s="2"/>
    </row>
    <row r="3755" spans="1:12" customFormat="1" ht="16" ns3:dyDescent="0.2">
      <c r="A3755" t="s">
        <v>329</v>
      </c>
      <c r="B3755" s="2">
        <f>INDEX(Parameters!$B$6:$AL$59,MATCH(Inventories!$B$3726,Parameters!$A$6:$A$59,0),MATCH(Inventories!$A3755,Parameters!$B$4:$AL$4,0))</f>
        <v>0</v>
      </c>
      <c r="C3755" t="s">
        <v>8</v>
      </c>
      <c r="D3755" s="2"/>
      <c r="E3755" s="2"/>
      <c r="F3755" s="2"/>
      <c r="G3755" s="2"/>
      <c r="H3755" s="2"/>
      <c r="I3755" s="2"/>
      <c r="J3755" s="2"/>
      <c r="K3755" s="2"/>
      <c r="L3755" s="2"/>
    </row>
    <row r="3756" spans="1:12" customFormat="1" ht="16" ns3:dyDescent="0.2">
      <c r="A3756" t="s">
        <v>343</v>
      </c>
      <c r="B3756" s="2">
        <f>INDEX(Parameters!$B$6:$AL$59,MATCH(Inventories!$B$3726,Parameters!$A$6:$A$59,0),MATCH(Inventories!$A3756,Parameters!$B$4:$AL$4,0))</f>
        <v>0</v>
      </c>
      <c r="C3756" t="s">
        <v>309</v>
      </c>
      <c r="D3756" s="2"/>
      <c r="E3756" s="2"/>
      <c r="F3756" s="2"/>
      <c r="G3756" s="2"/>
      <c r="H3756" s="2"/>
      <c r="I3756" s="2"/>
      <c r="J3756" s="2"/>
      <c r="K3756" s="2"/>
      <c r="L3756" s="2"/>
    </row>
    <row r="3757" spans="1:12" customFormat="1" ht="16" ns3:dyDescent="0.2">
      <c r="A3757" t="s">
        <v>344</v>
      </c>
      <c r="B3757" s="2">
        <f>INDEX(Parameters!$B$6:$AL$59,MATCH(Inventories!$B$3726,Parameters!$A$6:$A$59,0),MATCH(Inventories!$A3757,Parameters!$B$4:$AL$4,0))</f>
        <v>0</v>
      </c>
      <c r="C3757" t="s">
        <v>309</v>
      </c>
      <c r="D3757" s="2"/>
      <c r="E3757" s="12"/>
      <c r="F3757" s="2"/>
      <c r="G3757" s="2"/>
      <c r="H3757" s="2"/>
      <c r="I3757" s="2"/>
      <c r="J3757" s="2"/>
      <c r="K3757" s="2"/>
      <c r="L3757" s="2"/>
    </row>
    <row r="3758" spans="1:12" customFormat="1" ht="16" ns3:dyDescent="0.2">
      <c r="A3758" t="s">
        <v>345</v>
      </c>
      <c r="B3758" s="2">
        <f>INDEX(Parameters!$B$6:$AL$59,MATCH(Inventories!$B$3726,Parameters!$A$6:$A$59,0),MATCH(Inventories!$A3758,Parameters!$B$4:$AL$4,0))</f>
        <v>0</v>
      </c>
      <c r="C3758" t="s">
        <v>309</v>
      </c>
      <c r="D3758" s="2"/>
      <c r="E3758" s="2"/>
      <c r="F3758" s="2"/>
      <c r="G3758" s="2"/>
      <c r="H3758" s="2"/>
      <c r="I3758" s="2"/>
      <c r="J3758" s="2"/>
      <c r="K3758" s="2"/>
      <c r="L3758" s="2"/>
    </row>
    <row r="3759" spans="1:12" customFormat="1" ht="16" ns3:dyDescent="0.2">
      <c r="A3759" t="s">
        <v>346</v>
      </c>
      <c r="B3759" s="2">
        <f>INDEX(Parameters!$B$6:$AL$59,MATCH(Inventories!$B$3726,Parameters!$A$6:$A$59,0),MATCH(Inventories!$A3759,Parameters!$B$4:$AL$4,0))</f>
        <v>0</v>
      </c>
      <c r="C3759" t="s">
        <v>8</v>
      </c>
      <c r="D3759" s="2"/>
      <c r="E3759" s="2"/>
      <c r="F3759" s="2"/>
      <c r="G3759" s="2"/>
      <c r="H3759" s="2"/>
      <c r="I3759" s="2"/>
      <c r="J3759" s="2"/>
      <c r="K3759" s="2"/>
      <c r="L3759" s="2"/>
    </row>
    <row r="3760" spans="1:12" customFormat="1" ht="16" ns3:dyDescent="0.2">
      <c r="A3760" t="s">
        <v>347</v>
      </c>
      <c r="B3760" s="2">
        <f>INDEX(Parameters!$B$6:$AL$59,MATCH(Inventories!$B$3726,Parameters!$A$6:$A$59,0),MATCH(Inventories!$A3760,Parameters!$B$4:$AL$4,0))</f>
        <v>0</v>
      </c>
      <c r="C3760" t="s">
        <v>8</v>
      </c>
      <c r="D3760" s="2"/>
      <c r="E3760" s="2"/>
      <c r="F3760" s="2"/>
      <c r="G3760" s="2"/>
      <c r="H3760" s="2"/>
      <c r="I3760" s="2"/>
      <c r="J3760" s="2"/>
      <c r="K3760" s="2"/>
      <c r="L3760" s="2"/>
    </row>
    <row r="3761" spans="1:12" customFormat="1" ht="16" ns3:dyDescent="0.2">
      <c r="A3761" t="s">
        <v>348</v>
      </c>
      <c r="B3761" s="2">
        <f>INDEX(Parameters!$B$6:$AL$59,MATCH(Inventories!$B$3726,Parameters!$A$6:$A$59,0),MATCH(Inventories!$A3761,Parameters!$B$4:$AL$4,0))</f>
        <v>0</v>
      </c>
      <c r="C3761" t="s">
        <v>8</v>
      </c>
      <c r="D3761" s="2"/>
      <c r="E3761" s="2"/>
      <c r="F3761" s="2"/>
      <c r="G3761" s="2"/>
      <c r="H3761" s="2"/>
      <c r="I3761" s="2"/>
      <c r="J3761" s="2"/>
      <c r="K3761" s="2"/>
      <c r="L3761" s="2"/>
    </row>
    <row r="3762" spans="1:12" customFormat="1" ht="16" ns3:dyDescent="0.2">
      <c r="A3762" t="s">
        <v>362</v>
      </c>
      <c r="B3762" s="2">
        <f>INDEX(Parameters!$B$6:$AL$59,MATCH(Inventories!$B$3726,Parameters!$A$6:$A$59,0),MATCH(Inventories!$A3762,Parameters!$B$4:$AL$4,0))</f>
        <v>0</v>
      </c>
      <c r="C3762" t="s">
        <v>333</v>
      </c>
      <c r="D3762" s="2"/>
      <c r="E3762" s="2"/>
      <c r="F3762" s="2"/>
      <c r="G3762" s="2"/>
      <c r="H3762" s="2"/>
      <c r="I3762" s="2"/>
      <c r="J3762" s="2"/>
      <c r="K3762" s="2"/>
      <c r="L3762" s="2"/>
    </row>
    <row r="3763" spans="1:12" customFormat="1" ht="16" ns3:dyDescent="0.2">
      <c r="A3763" t="s">
        <v>363</v>
      </c>
      <c r="B3763" s="2">
        <f>INDEX(Parameters!$B$6:$AL$59,MATCH(Inventories!$B$3726,Parameters!$A$6:$A$59,0),MATCH(Inventories!$A3763,Parameters!$B$4:$AL$4,0))</f>
        <v>0</v>
      </c>
      <c r="C3763" t="s">
        <v>333</v>
      </c>
      <c r="D3763" s="2"/>
      <c r="E3763" s="2"/>
      <c r="F3763" s="2"/>
      <c r="G3763" s="2"/>
      <c r="H3763" s="2"/>
      <c r="I3763" s="2"/>
      <c r="J3763" s="2"/>
      <c r="K3763" s="2"/>
      <c r="L3763" s="2"/>
    </row>
    <row r="3764" spans="1:12" customFormat="1" ht="16" ns3:dyDescent="0.2">
      <c r="A3764" t="s">
        <v>364</v>
      </c>
      <c r="B3764" s="2">
        <f>INDEX(Parameters!$B$6:$AL$59,MATCH(Inventories!$B$3726,Parameters!$A$6:$A$59,0),MATCH(Inventories!$A3764,Parameters!$B$4:$AL$4,0))</f>
        <v>0</v>
      </c>
      <c r="C3764" t="s">
        <v>333</v>
      </c>
      <c r="D3764" s="2"/>
      <c r="E3764" s="2"/>
      <c r="F3764" s="2"/>
      <c r="G3764" s="2"/>
      <c r="H3764" s="2"/>
      <c r="I3764" s="2"/>
      <c r="J3764" s="2"/>
      <c r="K3764" s="2"/>
      <c r="L3764" s="2"/>
    </row>
    <row r="3765" spans="1:12" customFormat="1" ht="16" ns3:dyDescent="0.2">
      <c r="A3765" t="s">
        <v>365</v>
      </c>
      <c r="B3765" s="2">
        <f>INDEX(Parameters!$B$6:$AL$59,MATCH(Inventories!$B$3726,Parameters!$A$6:$A$59,0),MATCH(Inventories!$A3765,Parameters!$B$4:$AL$4,0))</f>
        <v>0</v>
      </c>
      <c r="C3765" t="s">
        <v>333</v>
      </c>
      <c r="D3765" s="2"/>
      <c r="E3765" s="2"/>
      <c r="F3765" s="2"/>
      <c r="G3765" s="2"/>
      <c r="H3765" s="2"/>
      <c r="I3765" s="2"/>
      <c r="J3765" s="2"/>
      <c r="K3765" s="2"/>
      <c r="L3765" s="2"/>
    </row>
    <row r="3766" spans="1:12" customFormat="1" ht="16" ns3:dyDescent="0.2">
      <c r="A3766" t="s">
        <v>366</v>
      </c>
      <c r="B3766" s="2">
        <f>INDEX(Parameters!$B$6:$AL$59,MATCH(Inventories!$B$3726,Parameters!$A$6:$A$59,0),MATCH(Inventories!$A3766,Parameters!$B$4:$AL$4,0))</f>
        <v>0</v>
      </c>
      <c r="C3766" t="s">
        <v>333</v>
      </c>
      <c r="D3766" s="2"/>
      <c r="E3766" s="2"/>
      <c r="F3766" s="2"/>
      <c r="G3766" s="2"/>
      <c r="H3766" s="2"/>
      <c r="I3766" s="2"/>
      <c r="J3766" s="2"/>
      <c r="K3766" s="2"/>
      <c r="L3766" s="2"/>
    </row>
    <row r="3767" spans="1:12" customFormat="1" ht="16" ns3:dyDescent="0.2">
      <c r="A3767" t="s">
        <v>341</v>
      </c>
      <c r="B3767" s="12">
        <f>INDEX(Parameters!$B$6:$AL$59,MATCH(Inventories!$B$3726,Parameters!$A$6:$A$59,0),MATCH(Inventories!$A3767,Parameters!$B$4:$AL$4,0))</f>
        <v>0</v>
      </c>
      <c r="C3767" t="s">
        <v>342</v>
      </c>
      <c r="D3767" s="2"/>
      <c r="E3767" s="2"/>
      <c r="F3767" s="2"/>
      <c r="G3767" s="2"/>
      <c r="H3767" s="2"/>
      <c r="I3767" s="2"/>
      <c r="J3767" s="2"/>
      <c r="K3767" s="2"/>
      <c r="L3767" s="2"/>
    </row>
    <row r="3768" spans="1:12" customFormat="1" ht="16" ns3:dyDescent="0.2">
      <c r="A3768" t="s">
        <v>340</v>
      </c>
      <c r="B3768" s="12">
        <f>INDEX(Parameters!$B$6:$AL$59,MATCH(Inventories!$B$3726,Parameters!$A$6:$A$59,0),MATCH(Inventories!$A3768,Parameters!$B$4:$AL$4,0))</f>
        <v>0</v>
      </c>
      <c r="C3768" t="s">
        <v>342</v>
      </c>
      <c r="D3768" s="2"/>
      <c r="E3768" s="2"/>
      <c r="F3768" s="2"/>
      <c r="G3768" s="2"/>
      <c r="H3768" s="2"/>
      <c r="I3768" s="2"/>
      <c r="J3768" s="2"/>
      <c r="K3768" s="2"/>
      <c r="L3768" s="2"/>
    </row>
    <row r="3769" spans="1:12" customFormat="1" ht="16" ns3:dyDescent="0.2">
      <c r="A3769" s="1" t="s">
        <v>10</v>
      </c>
      <c r="B3769" s="2"/>
      <c r="C3769" s="2"/>
      <c r="D3769" s="2"/>
      <c r="E3769" s="2"/>
      <c r="F3769" s="2"/>
      <c r="G3769" s="2"/>
      <c r="H3769" s="2"/>
      <c r="I3769" s="2"/>
      <c r="J3769" s="2"/>
      <c r="K3769" s="2"/>
      <c r="L3769" s="2"/>
    </row>
    <row r="3770" spans="1:12" ns3:dyDescent="0.2">
      <c r="A3770" s="17" t="s">
        <v>11</v>
      </c>
      <c r="B3770" s="17" t="s">
        <v>12</v>
      </c>
      <c r="C3770" s="17" t="s">
        <v>3</v>
      </c>
      <c r="D3770" s="17" t="s">
        <v>13</v>
      </c>
      <c r="E3770" s="17" t="s">
        <v>8</v>
      </c>
      <c r="F3770" s="17" t="s">
        <v>6</v>
      </c>
      <c r="G3770" s="17" t="s">
        <v>5</v>
      </c>
      <c r="H3770" s="17" t="s">
        <v>151</v>
      </c>
      <c r="I3770" s="17" t="s">
        <v>179</v>
      </c>
      <c r="J3770" s="17" t="s">
        <v>180</v>
      </c>
      <c r="K3770" s="17" t="s">
        <v>181</v>
      </c>
      <c r="L3770" s="17" t="s">
        <v>182</v>
      </c>
    </row>
    <row r="3771" spans="1:12" customFormat="1" ht="16" ns3:dyDescent="0.2">
      <c r="A3771" s="2" t="str">
        <f>B3726</f>
        <v>electricity, used in container ship</v>
      </c>
      <c r="B3771" s="2">
        <v>1</v>
      </c>
      <c r="C3771" s="2" t="str">
        <f>B3727</f>
        <v>RER</v>
      </c>
      <c r="D3771" s="2"/>
      <c r="E3771" s="2" t="str">
        <f>B3731</f>
        <v>megajoule</v>
      </c>
      <c r="F3771" s="2" t="s">
        <v>19</v>
      </c>
      <c r="G3771" s="2" t="str">
        <f>B3729</f>
        <v>electricity, low voltage</v>
      </c>
      <c r="H3771" s="2"/>
      <c r="I3771" s="2"/>
      <c r="J3771" s="2"/>
      <c r="K3771" s="2"/>
      <c r="L3771" s="2"/>
    </row>
    <row r="3772" spans="1:12" customFormat="1" ht="16" ns3:dyDescent="0.2">
      <c r="A3772" s="2" t="s">
        <v>140</v>
      </c>
      <c r="B3772" s="2">
        <f>1/3.6</f>
        <v>0.27777777777777779</v>
      </c>
      <c r="C3772" s="2" t="s">
        <v>18</v>
      </c>
      <c r="D3772" s="2"/>
      <c r="E3772" t="s">
        <v>141</v>
      </c>
      <c r="F3772" t="s">
        <v>23</v>
      </c>
      <c r="G3772" s="2" t="s">
        <v>142</v>
      </c>
      <c r="H3772" s="2"/>
      <c r="I3772" s="2"/>
      <c r="J3772" s="2"/>
      <c r="K3772" s="2"/>
      <c r="L3772" s="2"/>
    </row>
    <row r="3773" spans="1:12" customFormat="1" ht="16" ns3:dyDescent="0.2">
      <c r="A3773" t="s">
        <v>189</v>
      </c>
      <c r="B3773" s="3">
        <f>(B3750/B3735)/(B3738/1000)</f>
        <v>3.2976498092777165E-4</v>
      </c>
      <c r="C3773" s="2" t="s">
        <v>114</v>
      </c>
      <c r="E3773" t="s">
        <v>141</v>
      </c>
      <c r="F3773" t="s">
        <v>23</v>
      </c>
      <c r="G3773" t="s">
        <v>190</v>
      </c>
      <c r="H3773" s="2"/>
      <c r="I3773">
        <v>5</v>
      </c>
      <c r="J3773" s="3">
        <f>B3773</f>
        <v>3.2976498092777165E-4</v>
      </c>
      <c r="K3773" s="3">
        <f>(B3751/B3737)/(B3740/1000)</f>
        <v>4.7879616963064289E-5</v>
      </c>
      <c r="L3773" s="3">
        <f>(B3752/B3736)/(B3739/1000)</f>
        <v>9.1199270405836752E-4</v>
      </c>
    </row>
    <row r="3774" spans="1:12" customFormat="1" ht="16" ns3:dyDescent="0.2">
      <c r="A3774" s="2"/>
      <c r="B3774" s="2"/>
      <c r="C3774" s="2"/>
      <c r="D3774" s="2"/>
      <c r="E3774" s="2"/>
      <c r="F3774" s="2"/>
      <c r="G3774" s="2"/>
      <c r="H3774" s="2"/>
      <c r="I3774" s="2"/>
      <c r="J3774" s="2"/>
      <c r="K3774" s="2"/>
      <c r="L3774" s="2"/>
    </row>
    <row r="3775" spans="1:12" ns3:dyDescent="0.2">
      <c r="A3775" s="17" t="s">
        <v>2</v>
      </c>
      <c r="B3775" s="17" t="s">
        <v>390</v>
      </c>
    </row>
    <row r="3776" spans="1:12" customFormat="1" ht="16" ns3:dyDescent="0.2">
      <c r="A3776" s="2" t="s">
        <v>3</v>
      </c>
      <c r="B3776" s="2" t="s">
        <v>18</v>
      </c>
      <c r="C3776" s="2"/>
      <c r="D3776" s="2"/>
      <c r="E3776" s="2"/>
      <c r="F3776" s="2"/>
      <c r="G3776" s="2"/>
      <c r="H3776" s="2"/>
      <c r="I3776" s="2"/>
      <c r="J3776" s="2"/>
      <c r="K3776" s="2"/>
      <c r="L3776" s="2"/>
    </row>
    <row r="3777" spans="1:12" customFormat="1" ht="16" ns3:dyDescent="0.2">
      <c r="A3777" s="2" t="s">
        <v>4</v>
      </c>
      <c r="B3777" s="2">
        <v>1</v>
      </c>
      <c r="C3777" s="2"/>
      <c r="D3777" s="2"/>
      <c r="E3777" s="2"/>
      <c r="F3777" s="2"/>
      <c r="G3777" s="2"/>
      <c r="H3777" s="2"/>
      <c r="I3777" s="2"/>
      <c r="J3777" s="2"/>
      <c r="K3777" s="2"/>
      <c r="L3777" s="2"/>
    </row>
    <row r="3778" spans="1:12" customFormat="1" ht="16" ns3:dyDescent="0.2">
      <c r="A3778" s="2" t="s">
        <v>5</v>
      </c>
      <c r="B3778" s="2" t="s">
        <v>1</v>
      </c>
      <c r="C3778" s="2"/>
      <c r="D3778" s="2"/>
      <c r="E3778" s="2"/>
      <c r="F3778" s="2"/>
      <c r="G3778" s="2"/>
      <c r="H3778" s="2"/>
      <c r="I3778" s="2"/>
      <c r="J3778" s="2"/>
    </row>
    <row r="3779" spans="1:12" customFormat="1" ht="16" ns3:dyDescent="0.2">
      <c r="A3779" s="2" t="s">
        <v>6</v>
      </c>
      <c r="B3779" s="2" t="s">
        <v>7</v>
      </c>
      <c r="C3779" s="2"/>
      <c r="D3779" s="2"/>
      <c r="E3779" s="2"/>
      <c r="F3779" s="2"/>
      <c r="G3779" s="2"/>
      <c r="H3779" s="2"/>
      <c r="I3779" s="2"/>
      <c r="J3779" s="2"/>
      <c r="K3779" s="2"/>
      <c r="L3779" s="2"/>
    </row>
    <row r="3780" spans="1:12" customFormat="1" ht="16" ns3:dyDescent="0.2">
      <c r="A3780" s="2" t="s">
        <v>8</v>
      </c>
      <c r="B3780" s="2" t="s">
        <v>17</v>
      </c>
      <c r="C3780" s="2"/>
      <c r="D3780" s="2"/>
      <c r="E3780" s="2"/>
      <c r="F3780" s="2"/>
      <c r="G3780" s="2"/>
      <c r="H3780" s="2"/>
      <c r="I3780" s="2"/>
      <c r="J3780" s="2"/>
      <c r="K3780" s="2"/>
      <c r="L3780" s="2"/>
    </row>
    <row r="3781" spans="1:12" customFormat="1" ht="16" ns3:dyDescent="0.2">
      <c r="A3781" t="s">
        <v>349</v>
      </c>
      <c r="B3781" s="2">
        <f>INDEX(Parameters!$B$6:$AL$59,MATCH(Inventories!$B$3775,Parameters!$A$6:$A$59,0),MATCH(Inventories!$A3781,Parameters!$B$4:$AL$4,0))</f>
        <v>3200</v>
      </c>
      <c r="C3781" t="s">
        <v>309</v>
      </c>
      <c r="D3781" s="2"/>
      <c r="E3781" s="2"/>
      <c r="F3781" s="2"/>
      <c r="G3781" s="2"/>
      <c r="H3781" s="2"/>
      <c r="I3781" s="2"/>
      <c r="J3781" s="2"/>
      <c r="K3781" s="2"/>
      <c r="L3781" s="2"/>
    </row>
    <row r="3782" spans="1:12" customFormat="1" ht="16" ns3:dyDescent="0.2">
      <c r="A3782" t="s">
        <v>350</v>
      </c>
      <c r="B3782" s="2">
        <f>INDEX(Parameters!$B$6:$AL$59,MATCH(Inventories!$B$3775,Parameters!$A$6:$A$59,0),MATCH(Inventories!$A3782,Parameters!$B$4:$AL$4,0))</f>
        <v>2500</v>
      </c>
      <c r="C3782" t="s">
        <v>309</v>
      </c>
      <c r="D3782" s="2"/>
      <c r="E3782" s="2"/>
      <c r="F3782" s="2"/>
      <c r="G3782" s="2"/>
      <c r="H3782" s="2"/>
      <c r="I3782" s="2"/>
      <c r="J3782" s="2"/>
      <c r="K3782" s="2"/>
      <c r="L3782" s="2"/>
    </row>
    <row r="3783" spans="1:12" customFormat="1" ht="16" ns3:dyDescent="0.2">
      <c r="A3783" t="s">
        <v>351</v>
      </c>
      <c r="B3783" s="2">
        <f>INDEX(Parameters!$B$6:$AL$59,MATCH(Inventories!$B$3775,Parameters!$A$6:$A$59,0),MATCH(Inventories!$A3783,Parameters!$B$4:$AL$4,0))</f>
        <v>5000</v>
      </c>
      <c r="C3783" t="s">
        <v>309</v>
      </c>
      <c r="D3783" s="2"/>
      <c r="E3783" s="2"/>
      <c r="F3783" s="2"/>
      <c r="G3783" s="2"/>
      <c r="H3783" s="2"/>
      <c r="I3783" s="2"/>
      <c r="J3783" s="2"/>
      <c r="K3783" s="2"/>
      <c r="L3783" s="2"/>
    </row>
    <row r="3784" spans="1:12" customFormat="1" ht="16" ns3:dyDescent="0.2">
      <c r="A3784" t="s">
        <v>313</v>
      </c>
      <c r="B3784" s="24">
        <f>INDEX(Parameters!$B$6:$AL$59,MATCH(Inventories!$B$3775,Parameters!$A$6:$A$59,0),MATCH(Inventories!$A3784,Parameters!$B$4:$AL$4,0))</f>
        <v>4200000</v>
      </c>
      <c r="C3784" t="s">
        <v>310</v>
      </c>
      <c r="D3784" s="2"/>
      <c r="E3784" s="2"/>
      <c r="F3784" s="2"/>
      <c r="G3784" s="2"/>
      <c r="H3784" s="2"/>
      <c r="I3784" s="2"/>
      <c r="J3784" s="2"/>
      <c r="K3784" s="2"/>
      <c r="L3784" s="2"/>
    </row>
    <row r="3785" spans="1:12" customFormat="1" ht="16" ns3:dyDescent="0.2">
      <c r="A3785" t="s">
        <v>314</v>
      </c>
      <c r="B3785" s="24">
        <f>INDEX(Parameters!$B$6:$AL$59,MATCH(Inventories!$B$3775,Parameters!$A$6:$A$59,0),MATCH(Inventories!$A3785,Parameters!$B$4:$AL$4,0))</f>
        <v>3000000</v>
      </c>
      <c r="C3785" t="s">
        <v>310</v>
      </c>
      <c r="D3785" s="2"/>
      <c r="E3785" s="2"/>
      <c r="F3785" s="2"/>
      <c r="G3785" s="2"/>
      <c r="H3785" s="2"/>
      <c r="I3785" s="2"/>
      <c r="J3785" s="2"/>
      <c r="K3785" s="2"/>
      <c r="L3785" s="2"/>
    </row>
    <row r="3786" spans="1:12" customFormat="1" ht="16" ns3:dyDescent="0.2">
      <c r="A3786" t="s">
        <v>315</v>
      </c>
      <c r="B3786" s="24">
        <f>INDEX(Parameters!$B$6:$AL$59,MATCH(Inventories!$B$3775,Parameters!$A$6:$A$59,0),MATCH(Inventories!$A3786,Parameters!$B$4:$AL$4,0))</f>
        <v>10000000</v>
      </c>
      <c r="C3786" t="s">
        <v>310</v>
      </c>
      <c r="D3786" s="2"/>
      <c r="E3786" s="2"/>
      <c r="F3786" s="2"/>
      <c r="G3786" s="2"/>
      <c r="H3786" s="2"/>
      <c r="I3786" s="2"/>
      <c r="J3786" s="2"/>
      <c r="K3786" s="2"/>
      <c r="L3786" s="2"/>
    </row>
    <row r="3787" spans="1:12" customFormat="1" ht="16" ns3:dyDescent="0.2">
      <c r="A3787" t="s">
        <v>316</v>
      </c>
      <c r="B3787" s="24">
        <f>INDEX(Parameters!$B$6:$AL$59,MATCH(Inventories!$B$3775,Parameters!$A$6:$A$59,0),MATCH(Inventories!$A3787,Parameters!$B$4:$AL$4,0))</f>
        <v>4837500</v>
      </c>
      <c r="C3787" t="s">
        <v>311</v>
      </c>
      <c r="D3787" s="2"/>
      <c r="E3787" s="2"/>
      <c r="F3787" s="2"/>
      <c r="G3787" s="2"/>
      <c r="H3787" s="2"/>
      <c r="I3787" s="2"/>
      <c r="J3787" s="2"/>
      <c r="K3787" s="2"/>
      <c r="L3787" s="2"/>
    </row>
    <row r="3788" spans="1:12" customFormat="1" ht="16" ns3:dyDescent="0.2">
      <c r="A3788" t="s">
        <v>317</v>
      </c>
      <c r="B3788" s="24">
        <f>INDEX(Parameters!$B$6:$AL$59,MATCH(Inventories!$B$3775,Parameters!$A$6:$A$59,0),MATCH(Inventories!$A3788,Parameters!$B$4:$AL$4,0))</f>
        <v>3655000</v>
      </c>
      <c r="C3788" t="s">
        <v>311</v>
      </c>
      <c r="D3788" s="2"/>
      <c r="E3788" s="2"/>
      <c r="F3788" s="2"/>
      <c r="G3788" s="2"/>
      <c r="H3788" s="2"/>
      <c r="I3788" s="2"/>
      <c r="J3788" s="2"/>
      <c r="K3788" s="2"/>
      <c r="L3788" s="2"/>
    </row>
    <row r="3789" spans="1:12" customFormat="1" ht="16" ns3:dyDescent="0.2">
      <c r="A3789" t="s">
        <v>318</v>
      </c>
      <c r="B3789" s="24">
        <f>INDEX(Parameters!$B$6:$AL$59,MATCH(Inventories!$B$3775,Parameters!$A$6:$A$59,0),MATCH(Inventories!$A3789,Parameters!$B$4:$AL$4,0))</f>
        <v>7310000</v>
      </c>
      <c r="C3789" t="s">
        <v>311</v>
      </c>
      <c r="D3789" s="2"/>
      <c r="E3789" s="2"/>
      <c r="F3789" s="2"/>
      <c r="G3789" s="2"/>
      <c r="H3789" s="2"/>
      <c r="I3789" s="2"/>
      <c r="J3789" s="2"/>
      <c r="K3789" s="2"/>
      <c r="L3789" s="2"/>
    </row>
    <row r="3790" spans="1:12" customFormat="1" ht="16" ns3:dyDescent="0.2">
      <c r="A3790" t="s">
        <v>334</v>
      </c>
      <c r="B3790" s="2">
        <f>INDEX(Parameters!$B$6:$AL$59,MATCH(Inventories!$B$3775,Parameters!$A$6:$A$59,0),MATCH(Inventories!$A3790,Parameters!$B$4:$AL$4,0))</f>
        <v>0</v>
      </c>
      <c r="C3790" t="s">
        <v>333</v>
      </c>
      <c r="D3790" s="2"/>
      <c r="E3790" s="2"/>
      <c r="F3790" s="2"/>
      <c r="G3790" s="2"/>
      <c r="H3790" s="2"/>
      <c r="I3790" s="2"/>
      <c r="J3790" s="2"/>
      <c r="K3790" s="2"/>
      <c r="L3790" s="2"/>
    </row>
    <row r="3791" spans="1:12" customFormat="1" ht="16" ns3:dyDescent="0.2">
      <c r="A3791" t="s">
        <v>335</v>
      </c>
      <c r="B3791" s="2">
        <f>INDEX(Parameters!$B$6:$AL$59,MATCH(Inventories!$B$3775,Parameters!$A$6:$A$59,0),MATCH(Inventories!$A3791,Parameters!$B$4:$AL$4,0))</f>
        <v>0</v>
      </c>
      <c r="C3791" t="s">
        <v>333</v>
      </c>
      <c r="D3791" s="2"/>
      <c r="E3791" s="2"/>
      <c r="F3791" s="2"/>
      <c r="G3791" s="2"/>
      <c r="H3791" s="2"/>
      <c r="I3791" s="2"/>
      <c r="J3791" s="2"/>
      <c r="K3791" s="2"/>
      <c r="L3791" s="2"/>
    </row>
    <row r="3792" spans="1:12" customFormat="1" ht="16" ns3:dyDescent="0.2">
      <c r="A3792" t="s">
        <v>336</v>
      </c>
      <c r="B3792" s="2">
        <f>INDEX(Parameters!$B$6:$AL$59,MATCH(Inventories!$B$3775,Parameters!$A$6:$A$59,0),MATCH(Inventories!$A3792,Parameters!$B$4:$AL$4,0))</f>
        <v>0</v>
      </c>
      <c r="C3792" t="s">
        <v>333</v>
      </c>
      <c r="D3792" s="2"/>
      <c r="E3792" s="2"/>
      <c r="F3792" s="2"/>
      <c r="G3792" s="2"/>
      <c r="H3792" s="2"/>
      <c r="I3792" s="2"/>
      <c r="J3792" s="2"/>
      <c r="K3792" s="2"/>
      <c r="L3792" s="2"/>
    </row>
    <row r="3793" spans="1:12" customFormat="1" ht="16" ns3:dyDescent="0.2">
      <c r="A3793" t="s">
        <v>337</v>
      </c>
      <c r="B3793" s="2">
        <f>INDEX(Parameters!$B$6:$AL$59,MATCH(Inventories!$B$3775,Parameters!$A$6:$A$59,0),MATCH(Inventories!$A3793,Parameters!$B$4:$AL$4,0))</f>
        <v>0</v>
      </c>
      <c r="C3793" t="s">
        <v>333</v>
      </c>
      <c r="D3793" s="2"/>
      <c r="E3793" s="2"/>
      <c r="F3793" s="2"/>
      <c r="G3793" s="2"/>
      <c r="H3793" s="2"/>
      <c r="I3793" s="2"/>
      <c r="J3793" s="2"/>
      <c r="K3793" s="2"/>
      <c r="L3793" s="2"/>
    </row>
    <row r="3794" spans="1:12" customFormat="1" ht="16" ns3:dyDescent="0.2">
      <c r="A3794" t="s">
        <v>338</v>
      </c>
      <c r="B3794" s="2">
        <f>INDEX(Parameters!$B$6:$AL$59,MATCH(Inventories!$B$3775,Parameters!$A$6:$A$59,0),MATCH(Inventories!$A3794,Parameters!$B$4:$AL$4,0))</f>
        <v>0</v>
      </c>
      <c r="C3794" t="s">
        <v>333</v>
      </c>
      <c r="D3794" s="2"/>
      <c r="E3794" s="2"/>
      <c r="F3794" s="2"/>
      <c r="G3794" s="2"/>
      <c r="H3794" s="2"/>
      <c r="I3794" s="2"/>
      <c r="J3794" s="2"/>
      <c r="K3794" s="2"/>
      <c r="L3794" s="2"/>
    </row>
    <row r="3795" spans="1:12" customFormat="1" ht="16" ns3:dyDescent="0.2">
      <c r="A3795" t="s">
        <v>339</v>
      </c>
      <c r="B3795" s="2">
        <f>INDEX(Parameters!$B$6:$AL$59,MATCH(Inventories!$B$3775,Parameters!$A$6:$A$59,0),MATCH(Inventories!$A3795,Parameters!$B$4:$AL$4,0))</f>
        <v>0</v>
      </c>
      <c r="C3795" t="s">
        <v>333</v>
      </c>
      <c r="D3795" s="2"/>
      <c r="E3795" s="2"/>
      <c r="F3795" s="2"/>
      <c r="G3795" s="2"/>
      <c r="H3795" s="2"/>
      <c r="I3795" s="2"/>
      <c r="J3795" s="2"/>
      <c r="K3795" s="2"/>
      <c r="L3795" s="2"/>
    </row>
    <row r="3796" spans="1:12" customFormat="1" ht="16" ns3:dyDescent="0.2">
      <c r="A3796" t="s">
        <v>330</v>
      </c>
      <c r="B3796" s="2">
        <f>INDEX(Parameters!$B$6:$AL$59,MATCH(Inventories!$B$3775,Parameters!$A$6:$A$59,0),MATCH(Inventories!$A3796,Parameters!$B$4:$AL$4,0))</f>
        <v>201000</v>
      </c>
      <c r="C3796" t="s">
        <v>333</v>
      </c>
      <c r="D3796" s="2"/>
      <c r="E3796" s="2"/>
      <c r="F3796" s="2"/>
      <c r="G3796" s="2"/>
      <c r="H3796" s="2"/>
      <c r="I3796" s="2"/>
      <c r="J3796" s="2"/>
      <c r="K3796" s="2"/>
      <c r="L3796" s="2"/>
    </row>
    <row r="3797" spans="1:12" customFormat="1" ht="16" ns3:dyDescent="0.2">
      <c r="A3797" t="s">
        <v>331</v>
      </c>
      <c r="B3797" s="2">
        <f>INDEX(Parameters!$B$6:$AL$59,MATCH(Inventories!$B$3775,Parameters!$A$6:$A$59,0),MATCH(Inventories!$A3797,Parameters!$B$4:$AL$4,0))</f>
        <v>105000</v>
      </c>
      <c r="C3797" t="s">
        <v>333</v>
      </c>
      <c r="D3797" s="2"/>
      <c r="E3797" s="2"/>
      <c r="F3797" s="2"/>
      <c r="G3797" s="2"/>
      <c r="H3797" s="2"/>
      <c r="I3797" s="2"/>
      <c r="J3797" s="2"/>
      <c r="K3797" s="2"/>
      <c r="L3797" s="2"/>
    </row>
    <row r="3798" spans="1:12" customFormat="1" ht="16" ns3:dyDescent="0.2">
      <c r="A3798" t="s">
        <v>332</v>
      </c>
      <c r="B3798" s="2">
        <f>INDEX(Parameters!$B$6:$AL$59,MATCH(Inventories!$B$3775,Parameters!$A$6:$A$59,0),MATCH(Inventories!$A3798,Parameters!$B$4:$AL$4,0))</f>
        <v>300000</v>
      </c>
      <c r="C3798" t="s">
        <v>333</v>
      </c>
      <c r="D3798" s="2"/>
      <c r="E3798" s="2"/>
      <c r="F3798" s="2"/>
      <c r="G3798" s="2"/>
      <c r="H3798" s="2"/>
      <c r="I3798" s="2"/>
      <c r="J3798" s="2"/>
      <c r="K3798" s="2"/>
      <c r="L3798" s="2"/>
    </row>
    <row r="3799" spans="1:12" customFormat="1" ht="16" ns3:dyDescent="0.2">
      <c r="A3799" t="s">
        <v>319</v>
      </c>
      <c r="B3799" s="2">
        <f>INDEX(Parameters!$B$6:$AL$59,MATCH(Inventories!$B$3775,Parameters!$A$6:$A$59,0),MATCH(Inventories!$A3799,Parameters!$B$4:$AL$4,0))</f>
        <v>670000</v>
      </c>
      <c r="C3799" t="s">
        <v>312</v>
      </c>
      <c r="D3799" s="2"/>
      <c r="E3799" s="2"/>
      <c r="F3799" s="2"/>
      <c r="G3799" s="2"/>
      <c r="H3799" s="2"/>
      <c r="I3799" s="2"/>
      <c r="J3799" s="2"/>
      <c r="K3799" s="2"/>
      <c r="L3799" s="2"/>
    </row>
    <row r="3800" spans="1:12" customFormat="1" ht="16" ns3:dyDescent="0.2">
      <c r="A3800" t="s">
        <v>320</v>
      </c>
      <c r="B3800" s="2">
        <f>INDEX(Parameters!$B$6:$AL$59,MATCH(Inventories!$B$3775,Parameters!$A$6:$A$59,0),MATCH(Inventories!$A3800,Parameters!$B$4:$AL$4,0))</f>
        <v>350000</v>
      </c>
      <c r="C3800" t="s">
        <v>312</v>
      </c>
      <c r="D3800" s="2"/>
      <c r="E3800" s="2"/>
      <c r="F3800" s="2"/>
      <c r="G3800" s="2"/>
      <c r="H3800" s="2"/>
      <c r="I3800" s="2"/>
      <c r="J3800" s="2"/>
      <c r="K3800" s="2"/>
      <c r="L3800" s="2"/>
    </row>
    <row r="3801" spans="1:12" customFormat="1" ht="16" ns3:dyDescent="0.2">
      <c r="A3801" t="s">
        <v>321</v>
      </c>
      <c r="B3801" s="2">
        <f>INDEX(Parameters!$B$6:$AL$59,MATCH(Inventories!$B$3775,Parameters!$A$6:$A$59,0),MATCH(Inventories!$A3801,Parameters!$B$4:$AL$4,0))</f>
        <v>1000000</v>
      </c>
      <c r="C3801" t="s">
        <v>312</v>
      </c>
      <c r="D3801" s="2"/>
      <c r="E3801" s="2"/>
      <c r="F3801" s="2"/>
      <c r="G3801" s="2"/>
      <c r="H3801" s="2"/>
      <c r="I3801" s="2"/>
      <c r="J3801" s="2"/>
      <c r="K3801" s="2"/>
      <c r="L3801" s="2"/>
    </row>
    <row r="3802" spans="1:12" customFormat="1" ht="16" ns3:dyDescent="0.2">
      <c r="A3802" t="s">
        <v>327</v>
      </c>
      <c r="B3802" s="2">
        <f>INDEX(Parameters!$B$6:$AL$59,MATCH(Inventories!$B$3775,Parameters!$A$6:$A$59,0),MATCH(Inventories!$A3802,Parameters!$B$4:$AL$4,0))</f>
        <v>0</v>
      </c>
      <c r="C3802" t="s">
        <v>8</v>
      </c>
      <c r="D3802" s="2"/>
      <c r="E3802" s="2"/>
      <c r="F3802" s="2"/>
      <c r="G3802" s="2"/>
      <c r="H3802" s="2"/>
      <c r="I3802" s="2"/>
      <c r="J3802" s="2"/>
      <c r="K3802" s="2"/>
      <c r="L3802" s="2"/>
    </row>
    <row r="3803" spans="1:12" customFormat="1" ht="16" ns3:dyDescent="0.2">
      <c r="A3803" t="s">
        <v>328</v>
      </c>
      <c r="B3803" s="2">
        <f>INDEX(Parameters!$B$6:$AL$59,MATCH(Inventories!$B$3775,Parameters!$A$6:$A$59,0),MATCH(Inventories!$A3803,Parameters!$B$4:$AL$4,0))</f>
        <v>0</v>
      </c>
      <c r="C3803" t="s">
        <v>8</v>
      </c>
      <c r="D3803" s="2"/>
      <c r="E3803" s="2"/>
      <c r="F3803" s="2"/>
      <c r="G3803" s="2"/>
      <c r="H3803" s="2"/>
      <c r="I3803" s="2"/>
      <c r="J3803" s="2"/>
      <c r="K3803" s="2"/>
      <c r="L3803" s="2"/>
    </row>
    <row r="3804" spans="1:12" customFormat="1" ht="16" ns3:dyDescent="0.2">
      <c r="A3804" t="s">
        <v>329</v>
      </c>
      <c r="B3804" s="2">
        <f>INDEX(Parameters!$B$6:$AL$59,MATCH(Inventories!$B$3775,Parameters!$A$6:$A$59,0),MATCH(Inventories!$A3804,Parameters!$B$4:$AL$4,0))</f>
        <v>0</v>
      </c>
      <c r="C3804" t="s">
        <v>8</v>
      </c>
      <c r="D3804" s="2"/>
      <c r="E3804" s="2"/>
      <c r="F3804" s="2"/>
      <c r="G3804" s="2"/>
      <c r="H3804" s="2"/>
      <c r="I3804" s="2"/>
      <c r="J3804" s="2"/>
      <c r="K3804" s="2"/>
      <c r="L3804" s="2"/>
    </row>
    <row r="3805" spans="1:12" customFormat="1" ht="16" ns3:dyDescent="0.2">
      <c r="A3805" t="s">
        <v>343</v>
      </c>
      <c r="B3805" s="2">
        <f>INDEX(Parameters!$B$6:$AL$59,MATCH(Inventories!$B$3775,Parameters!$A$6:$A$59,0),MATCH(Inventories!$A3805,Parameters!$B$4:$AL$4,0))</f>
        <v>1600</v>
      </c>
      <c r="C3805" t="s">
        <v>309</v>
      </c>
      <c r="D3805" s="2"/>
      <c r="E3805" s="2"/>
      <c r="F3805" s="2"/>
      <c r="G3805" s="2"/>
      <c r="H3805" s="2"/>
      <c r="I3805" s="2"/>
      <c r="J3805" s="2"/>
      <c r="K3805" s="2"/>
      <c r="L3805" s="2"/>
    </row>
    <row r="3806" spans="1:12" customFormat="1" ht="16" ns3:dyDescent="0.2">
      <c r="A3806" t="s">
        <v>344</v>
      </c>
      <c r="B3806" s="2">
        <f>INDEX(Parameters!$B$6:$AL$59,MATCH(Inventories!$B$3775,Parameters!$A$6:$A$59,0),MATCH(Inventories!$A3806,Parameters!$B$4:$AL$4,0))</f>
        <v>1250</v>
      </c>
      <c r="C3806" t="s">
        <v>309</v>
      </c>
      <c r="D3806" s="2"/>
      <c r="E3806" s="12"/>
      <c r="F3806" s="2"/>
      <c r="G3806" s="2"/>
      <c r="H3806" s="2"/>
      <c r="I3806" s="2"/>
      <c r="J3806" s="2"/>
      <c r="K3806" s="2"/>
      <c r="L3806" s="2"/>
    </row>
    <row r="3807" spans="1:12" customFormat="1" ht="16" ns3:dyDescent="0.2">
      <c r="A3807" t="s">
        <v>345</v>
      </c>
      <c r="B3807" s="2">
        <f>INDEX(Parameters!$B$6:$AL$59,MATCH(Inventories!$B$3775,Parameters!$A$6:$A$59,0),MATCH(Inventories!$A3807,Parameters!$B$4:$AL$4,0))</f>
        <v>2500</v>
      </c>
      <c r="C3807" t="s">
        <v>309</v>
      </c>
      <c r="D3807" s="2"/>
      <c r="E3807" s="2"/>
      <c r="F3807" s="2"/>
      <c r="G3807" s="2"/>
      <c r="H3807" s="2"/>
      <c r="I3807" s="2"/>
      <c r="J3807" s="2"/>
      <c r="K3807" s="2"/>
      <c r="L3807" s="2"/>
    </row>
    <row r="3808" spans="1:12" customFormat="1" ht="16" ns3:dyDescent="0.2">
      <c r="A3808" t="s">
        <v>346</v>
      </c>
      <c r="B3808" s="2">
        <f>INDEX(Parameters!$B$6:$AL$59,MATCH(Inventories!$B$3775,Parameters!$A$6:$A$59,0),MATCH(Inventories!$A3808,Parameters!$B$4:$AL$4,0))</f>
        <v>0</v>
      </c>
      <c r="C3808" t="s">
        <v>8</v>
      </c>
      <c r="D3808" s="2"/>
      <c r="E3808" s="2"/>
      <c r="F3808" s="2"/>
      <c r="G3808" s="2"/>
      <c r="H3808" s="2"/>
      <c r="I3808" s="2"/>
      <c r="J3808" s="2"/>
      <c r="K3808" s="2"/>
      <c r="L3808" s="2"/>
    </row>
    <row r="3809" spans="1:12" customFormat="1" ht="16" ns3:dyDescent="0.2">
      <c r="A3809" t="s">
        <v>347</v>
      </c>
      <c r="B3809" s="2">
        <f>INDEX(Parameters!$B$6:$AL$59,MATCH(Inventories!$B$3775,Parameters!$A$6:$A$59,0),MATCH(Inventories!$A3809,Parameters!$B$4:$AL$4,0))</f>
        <v>0</v>
      </c>
      <c r="C3809" t="s">
        <v>8</v>
      </c>
      <c r="D3809" s="2"/>
      <c r="E3809" s="2"/>
      <c r="F3809" s="2"/>
      <c r="G3809" s="2"/>
      <c r="H3809" s="2"/>
      <c r="I3809" s="2"/>
      <c r="J3809" s="2"/>
      <c r="K3809" s="2"/>
      <c r="L3809" s="2"/>
    </row>
    <row r="3810" spans="1:12" customFormat="1" ht="16" ns3:dyDescent="0.2">
      <c r="A3810" t="s">
        <v>348</v>
      </c>
      <c r="B3810" s="2">
        <f>INDEX(Parameters!$B$6:$AL$59,MATCH(Inventories!$B$3775,Parameters!$A$6:$A$59,0),MATCH(Inventories!$A3810,Parameters!$B$4:$AL$4,0))</f>
        <v>0</v>
      </c>
      <c r="C3810" t="s">
        <v>8</v>
      </c>
      <c r="D3810" s="2"/>
      <c r="E3810" s="2"/>
      <c r="F3810" s="2"/>
      <c r="G3810" s="2"/>
      <c r="H3810" s="2"/>
      <c r="I3810" s="2"/>
      <c r="J3810" s="2"/>
      <c r="K3810" s="2"/>
      <c r="L3810" s="2"/>
    </row>
    <row r="3811" spans="1:12" customFormat="1" ht="16" ns3:dyDescent="0.2">
      <c r="A3811" t="s">
        <v>362</v>
      </c>
      <c r="B3811" s="2">
        <f>INDEX(Parameters!$B$6:$AL$59,MATCH(Inventories!$B$3775,Parameters!$A$6:$A$59,0),MATCH(Inventories!$A3811,Parameters!$B$4:$AL$4,0))</f>
        <v>0</v>
      </c>
      <c r="C3811" t="s">
        <v>333</v>
      </c>
      <c r="D3811" s="2"/>
      <c r="E3811" s="2"/>
      <c r="F3811" s="2"/>
      <c r="G3811" s="2"/>
      <c r="H3811" s="2"/>
      <c r="I3811" s="2"/>
      <c r="J3811" s="2"/>
      <c r="K3811" s="2"/>
      <c r="L3811" s="2"/>
    </row>
    <row r="3812" spans="1:12" customFormat="1" ht="16" ns3:dyDescent="0.2">
      <c r="A3812" t="s">
        <v>363</v>
      </c>
      <c r="B3812" s="2">
        <f>INDEX(Parameters!$B$6:$AL$59,MATCH(Inventories!$B$3775,Parameters!$A$6:$A$59,0),MATCH(Inventories!$A3812,Parameters!$B$4:$AL$4,0))</f>
        <v>0</v>
      </c>
      <c r="C3812" t="s">
        <v>333</v>
      </c>
      <c r="D3812" s="2"/>
      <c r="E3812" s="2"/>
      <c r="F3812" s="2"/>
      <c r="G3812" s="2"/>
      <c r="H3812" s="2"/>
      <c r="I3812" s="2"/>
      <c r="J3812" s="2"/>
      <c r="K3812" s="2"/>
      <c r="L3812" s="2"/>
    </row>
    <row r="3813" spans="1:12" customFormat="1" ht="16" ns3:dyDescent="0.2">
      <c r="A3813" t="s">
        <v>364</v>
      </c>
      <c r="B3813" s="2">
        <f>INDEX(Parameters!$B$6:$AL$59,MATCH(Inventories!$B$3775,Parameters!$A$6:$A$59,0),MATCH(Inventories!$A3813,Parameters!$B$4:$AL$4,0))</f>
        <v>0</v>
      </c>
      <c r="C3813" t="s">
        <v>333</v>
      </c>
      <c r="D3813" s="2"/>
      <c r="E3813" s="2"/>
      <c r="F3813" s="2"/>
      <c r="G3813" s="2"/>
      <c r="H3813" s="2"/>
      <c r="I3813" s="2"/>
      <c r="J3813" s="2"/>
      <c r="K3813" s="2"/>
      <c r="L3813" s="2"/>
    </row>
    <row r="3814" spans="1:15" customFormat="1" ht="16" ns3:dyDescent="0.2">
      <c r="A3814" t="s">
        <v>365</v>
      </c>
      <c r="B3814" s="2">
        <f>INDEX(Parameters!$B$6:$AL$59,MATCH(Inventories!$B$3775,Parameters!$A$6:$A$59,0),MATCH(Inventories!$A3814,Parameters!$B$4:$AL$4,0))</f>
        <v>0</v>
      </c>
      <c r="C3814" t="s">
        <v>333</v>
      </c>
      <c r="D3814" s="2"/>
      <c r="E3814" s="2"/>
      <c r="F3814" s="2"/>
      <c r="G3814" s="2"/>
      <c r="H3814" s="2"/>
      <c r="I3814" s="2"/>
      <c r="J3814" s="2"/>
      <c r="K3814" s="2"/>
      <c r="L3814" s="2"/>
    </row>
    <row r="3815" spans="1:15" customFormat="1" ht="16" ns3:dyDescent="0.2">
      <c r="A3815" t="s">
        <v>366</v>
      </c>
      <c r="B3815" s="2">
        <f>INDEX(Parameters!$B$6:$AL$59,MATCH(Inventories!$B$3775,Parameters!$A$6:$A$59,0),MATCH(Inventories!$A3815,Parameters!$B$4:$AL$4,0))</f>
        <v>0</v>
      </c>
      <c r="C3815" t="s">
        <v>333</v>
      </c>
      <c r="D3815" s="2"/>
      <c r="E3815" s="2"/>
      <c r="F3815" s="2"/>
      <c r="G3815" s="2"/>
      <c r="H3815" s="2"/>
      <c r="I3815" s="2"/>
      <c r="J3815" s="2"/>
      <c r="K3815" s="2"/>
      <c r="L3815" s="2"/>
    </row>
    <row r="3816" spans="1:15" customFormat="1" ht="16" ns3:dyDescent="0.2">
      <c r="A3816" t="s">
        <v>341</v>
      </c>
      <c r="B3816" s="12">
        <f>INDEX(Parameters!$B$6:$AL$59,MATCH(Inventories!$B$3775,Parameters!$A$6:$A$59,0),MATCH(Inventories!$A3816,Parameters!$B$4:$AL$4,0))</f>
        <v>0</v>
      </c>
      <c r="C3816" t="s">
        <v>342</v>
      </c>
      <c r="D3816" s="2"/>
      <c r="E3816" s="2"/>
      <c r="F3816" s="2"/>
      <c r="G3816" s="2"/>
      <c r="H3816" s="2"/>
      <c r="I3816" s="2"/>
      <c r="J3816" s="2"/>
      <c r="K3816" s="2"/>
      <c r="L3816" s="2"/>
    </row>
    <row r="3817" spans="1:15" customFormat="1" ht="16" ns3:dyDescent="0.2">
      <c r="A3817" t="s">
        <v>340</v>
      </c>
      <c r="B3817" s="12">
        <f>INDEX(Parameters!$B$6:$AL$59,MATCH(Inventories!$B$3775,Parameters!$A$6:$A$59,0),MATCH(Inventories!$A3817,Parameters!$B$4:$AL$4,0))</f>
        <v>0</v>
      </c>
      <c r="C3817" t="s">
        <v>342</v>
      </c>
      <c r="D3817" s="2"/>
      <c r="E3817" s="2"/>
      <c r="F3817" s="2"/>
      <c r="G3817" s="2"/>
      <c r="H3817" s="2"/>
      <c r="I3817" s="2"/>
      <c r="J3817" s="2"/>
      <c r="K3817" s="2"/>
      <c r="L3817" s="2"/>
    </row>
    <row r="3818" spans="1:15" customFormat="1" ht="16" ns3:dyDescent="0.2">
      <c r="A3818" s="1" t="s">
        <v>10</v>
      </c>
      <c r="B3818" s="2"/>
      <c r="C3818" s="2"/>
      <c r="D3818" s="2"/>
      <c r="E3818" s="2"/>
      <c r="F3818" s="2"/>
      <c r="G3818" s="2"/>
      <c r="H3818" s="2"/>
      <c r="I3818" s="2"/>
      <c r="J3818" s="2"/>
      <c r="K3818" s="2"/>
      <c r="L3818" s="2"/>
    </row>
    <row r="3819" spans="1:15" ns3:dyDescent="0.2">
      <c r="A3819" s="17" t="s">
        <v>11</v>
      </c>
      <c r="B3819" s="17" t="s">
        <v>12</v>
      </c>
      <c r="C3819" s="17" t="s">
        <v>3</v>
      </c>
      <c r="D3819" s="17" t="s">
        <v>13</v>
      </c>
      <c r="E3819" s="17" t="s">
        <v>8</v>
      </c>
      <c r="F3819" s="17" t="s">
        <v>6</v>
      </c>
      <c r="G3819" s="17" t="s">
        <v>5</v>
      </c>
      <c r="H3819" s="17" t="s">
        <v>151</v>
      </c>
      <c r="I3819" s="17" t="s">
        <v>179</v>
      </c>
      <c r="J3819" s="17" t="s">
        <v>180</v>
      </c>
      <c r="K3819" s="17" t="s">
        <v>181</v>
      </c>
      <c r="L3819" s="17" t="s">
        <v>182</v>
      </c>
    </row>
    <row r="3820" spans="1:15" customFormat="1" ht="16" ns3:dyDescent="0.2">
      <c r="A3820" s="2" t="str">
        <f>B3775</f>
        <v>hydrogen, used in a fuel cell in container ship</v>
      </c>
      <c r="B3820" s="2">
        <v>1</v>
      </c>
      <c r="C3820" s="2" t="str">
        <f>B3776</f>
        <v>RER</v>
      </c>
      <c r="D3820" s="2"/>
      <c r="E3820" s="2" t="str">
        <f>B3780</f>
        <v>megajoule</v>
      </c>
      <c r="F3820" s="2" t="s">
        <v>19</v>
      </c>
      <c r="G3820" s="2" t="str">
        <f>B3778</f>
        <v>heat</v>
      </c>
      <c r="H3820" s="2"/>
      <c r="I3820" s="2"/>
      <c r="J3820" s="2"/>
      <c r="K3820" s="2"/>
      <c r="L3820" s="2"/>
    </row>
    <row r="3821" spans="1:15" s="4" customFormat="1" ht="16" ns3:dyDescent="0.2">
      <c r="A3821" s="2" t="s">
        <v>158</v>
      </c>
      <c r="B3821" s="11">
        <f>1/120</f>
        <v>8.3333333333333332E-3</v>
      </c>
      <c r="C3821" s="4" t="s">
        <v>18</v>
      </c>
      <c r="E3821" s="4" t="s">
        <v>9</v>
      </c>
      <c r="F3821" s="4" t="s">
        <v>23</v>
      </c>
      <c r="G3821" s="2" t="s">
        <v>159</v>
      </c>
      <c r="L3821" s="6"/>
      <c r="M3821"/>
      <c r="O3821" s="5"/>
    </row>
    <row r="3822" spans="1:15" customFormat="1" ht="16" ns3:dyDescent="0.2">
      <c r="A3822" s="14" t="s">
        <v>113</v>
      </c>
      <c r="B3822" s="16">
        <f>(B3805/B3784)/(B3787/1000)</f>
        <v>7.8749846191706662E-8</v>
      </c>
      <c r="C3822" t="s">
        <v>114</v>
      </c>
      <c r="E3822" t="s">
        <v>8</v>
      </c>
      <c r="F3822" t="s">
        <v>23</v>
      </c>
      <c r="G3822" t="s">
        <v>115</v>
      </c>
      <c r="H3822" s="2"/>
      <c r="I3822" s="15">
        <v>5</v>
      </c>
      <c r="J3822">
        <f>B3822</f>
        <v>7.8749846191706662E-8</v>
      </c>
      <c r="K3822" s="16">
        <f>(B3806/B3786)/(B3789/1000)</f>
        <v>1.709986320109439E-8</v>
      </c>
      <c r="L3822" s="16">
        <f>(B3807/B3785)/(B3788/1000)</f>
        <v>2.2799817601459189E-7</v>
      </c>
    </row>
    <row r="3823" spans="1:15" customFormat="1" ht="16" ns3:dyDescent="0.2">
      <c r="A3823" t="s">
        <v>194</v>
      </c>
      <c r="B3823" s="16">
        <f>(B3796/B3784)/(B3787/1000)</f>
        <v>9.8929494278331488E-6</v>
      </c>
      <c r="C3823" t="s">
        <v>18</v>
      </c>
      <c r="E3823" t="s">
        <v>9</v>
      </c>
      <c r="F3823" t="s">
        <v>23</v>
      </c>
      <c r="G3823" t="s">
        <v>195</v>
      </c>
      <c r="H3823" s="2"/>
      <c r="I3823">
        <v>5</v>
      </c>
      <c r="J3823">
        <f>B3823</f>
        <v>9.8929494278331488E-6</v>
      </c>
      <c r="K3823" s="16">
        <f>(B3797/B3786)/(B3789/1000)</f>
        <v>1.436388508891929E-6</v>
      </c>
      <c r="L3823" s="16">
        <f>(B3798/B3785)/(B3788/1000)</f>
        <v>2.7359781121751028E-5</v>
      </c>
    </row>
    <row r="3824" spans="1:15" customFormat="1" ht="16" ns3:dyDescent="0.2">
      <c r="A3824" t="s">
        <v>189</v>
      </c>
      <c r="B3824" s="3">
        <f>(B3799/B3784)/(B3787/1000)</f>
        <v>3.2976498092777158E-5</v>
      </c>
      <c r="C3824" s="2" t="s">
        <v>114</v>
      </c>
      <c r="E3824" t="s">
        <v>141</v>
      </c>
      <c r="F3824" t="s">
        <v>23</v>
      </c>
      <c r="G3824" t="s">
        <v>190</v>
      </c>
      <c r="H3824" s="2"/>
      <c r="I3824">
        <v>5</v>
      </c>
      <c r="J3824" s="3">
        <f>B3824</f>
        <v>3.2976498092777158E-5</v>
      </c>
      <c r="K3824" s="3">
        <f>(B3800/B3786)/(B3789/1000)</f>
        <v>4.78796169630643E-6</v>
      </c>
      <c r="L3824" s="3">
        <f>(B3801/B3785)/(B3788/1000)</f>
        <v>9.1199270405836752E-5</v>
      </c>
    </row>
    <row r="3825" spans="1:15" customFormat="1" ht="16" ns3:dyDescent="0.2">
      <c r="A3825" t="s">
        <v>98</v>
      </c>
      <c r="B3825" s="3">
        <f>B3821*9/1000</f>
        <v>7.4999999999999993E-5</v>
      </c>
      <c r="C3825" s="2"/>
      <c r="D3825" t="s">
        <v>116</v>
      </c>
      <c r="E3825" s="2" t="s">
        <v>94</v>
      </c>
      <c r="F3825" t="s">
        <v>15</v>
      </c>
      <c r="H3825" s="2"/>
      <c r="J3825" s="3"/>
      <c r="K3825" s="3"/>
      <c r="L3825" s="3"/>
    </row>
    <row r="3826" spans="1:15" customFormat="1" ht="16" ns3:dyDescent="0.2">
      <c r="A3826" s="2"/>
      <c r="B3826" s="2"/>
      <c r="C3826" s="2"/>
      <c r="D3826" s="2"/>
      <c r="E3826" s="2"/>
      <c r="F3826" s="2"/>
      <c r="G3826" s="2"/>
      <c r="H3826" s="2"/>
      <c r="I3826" s="2"/>
      <c r="J3826" s="2"/>
      <c r="K3826" s="2"/>
      <c r="L3826" s="2"/>
    </row>
    <row r="3827">
      <c r="A3827" t="inlineStr">
        <is>
          <t>Activity</t>
        </is>
      </c>
      <c r="B3827" t="inlineStr">
        <is>
          <t>hydrogen, used in a fuel cell in a passenger train</t>
        </is>
      </c>
    </row>
    <row r="3828">
      <c r="A3828" t="inlineStr">
        <is>
          <t>location</t>
        </is>
      </c>
      <c r="B3828" t="inlineStr">
        <is>
          <t>RER</t>
        </is>
      </c>
    </row>
    <row r="3829">
      <c r="A3829" t="inlineStr">
        <is>
          <t>production amount</t>
        </is>
      </c>
      <c r="B3829">
        <v>1</v>
      </c>
    </row>
    <row r="3830">
      <c r="A3830" t="inlineStr">
        <is>
          <t>reference product</t>
        </is>
      </c>
      <c r="B3830" t="inlineStr">
        <is>
          <t>heat</t>
        </is>
      </c>
    </row>
    <row r="3831">
      <c r="A3831" t="inlineStr">
        <is>
          <t>type</t>
        </is>
      </c>
      <c r="B3831" t="inlineStr">
        <is>
          <t>process</t>
        </is>
      </c>
    </row>
    <row r="3832">
      <c r="A3832" t="inlineStr">
        <is>
          <t>unit</t>
        </is>
      </c>
      <c r="B3832" t="inlineStr">
        <is>
          <t>megajoule</t>
        </is>
      </c>
    </row>
    <row r="3833">
      <c r="A3833" t="inlineStr">
        <is>
          <t>energy use source</t>
        </is>
      </c>
      <c r="B3833"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["market for electric motor, electric passenger car", "electric motor, electric passenger car", "GLO", "kilogram"], "amount per vehicle": 1325, "vehicle per source service": 7.11e-10, "replacement correction factor": 1.0, "amount per MJ": 2.9729323652514984e-06}, {"supplier": ["market for converter, for electric passenger car", "converter, for electric passenger car",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 "vehicle per source service": 7.11e-10}, {"supplier": ["market for goods wagon", "goods wagon",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34">
      <c r="A3834" t="inlineStr">
        <is>
          <t>comment</t>
        </is>
      </c>
      <c r="B3834" t="inlineStr">
        <is>
          <t>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35">
      <c r="A3835" t="inlineStr">
        <is>
          <t>Exchanges</t>
        </is>
      </c>
    </row>
    <row r="3836">
      <c r="A3836" t="inlineStr">
        <is>
          <t>name</t>
        </is>
      </c>
      <c r="B3836" t="inlineStr">
        <is>
          <t>amount</t>
        </is>
      </c>
      <c r="C3836" t="inlineStr">
        <is>
          <t>location</t>
        </is>
      </c>
      <c r="D3836" t="inlineStr">
        <is>
          <t>unit</t>
        </is>
      </c>
      <c r="E3836" t="inlineStr">
        <is>
          <t>categories</t>
        </is>
      </c>
      <c r="F3836" t="inlineStr">
        <is>
          <t>type</t>
        </is>
      </c>
      <c r="G3836" t="inlineStr">
        <is>
          <t>reference product</t>
        </is>
      </c>
      <c r="H3836" t="inlineStr">
        <is>
          <t>comment</t>
        </is>
      </c>
      <c r="I3836" t="inlineStr">
        <is>
          <t>uncertainty type</t>
        </is>
      </c>
    </row>
    <row r="3837">
      <c r="A3837" t="inlineStr">
        <is>
          <t>hydrogen, used in a fuel cell in a passenger train</t>
        </is>
      </c>
      <c r="B3837">
        <v>1.0</v>
      </c>
      <c r="C3837" t="inlineStr">
        <is>
          <t>RER</t>
        </is>
      </c>
      <c r="D3837" t="inlineStr">
        <is>
          <t>megajoule</t>
        </is>
      </c>
      <c r="F3837" t="inlineStr">
        <is>
          <t>production</t>
        </is>
      </c>
      <c r="G3837" t="inlineStr">
        <is>
          <t>heat</t>
        </is>
      </c>
      <c r="I3837">
        <v>0</v>
      </c>
    </row>
    <row r="3838">
      <c r="A3838" t="inlineStr">
        <is>
          <t>market for hydrogen, gaseous, low pressure</t>
        </is>
      </c>
      <c r="B3838">
        <v>0.0012945987175919267</v>
      </c>
      <c r="C3838" t="inlineStr">
        <is>
          <t>CN</t>
        </is>
      </c>
      <c r="D3838" t="inlineStr">
        <is>
          <t>kilogram</t>
        </is>
      </c>
      <c r="F3838" t="inlineStr">
        <is>
          <t>technosphere</t>
        </is>
      </c>
      <c r="G3838" t="inlineStr">
        <is>
          <t>hydrogen, gaseous, low pressure</t>
        </is>
      </c>
      <c r="H3838"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38">
        <v>0</v>
      </c>
    </row>
    <row r="3839">
      <c r="A3839" t="inlineStr">
        <is>
          <t>market for hydrogen, gaseous, low pressure</t>
        </is>
      </c>
      <c r="B3839">
        <v>0.005469534948887209</v>
      </c>
      <c r="C3839" t="inlineStr">
        <is>
          <t>RoW</t>
        </is>
      </c>
      <c r="D3839" t="inlineStr">
        <is>
          <t>kilogram</t>
        </is>
      </c>
      <c r="F3839" t="inlineStr">
        <is>
          <t>technosphere</t>
        </is>
      </c>
      <c r="G3839" t="inlineStr">
        <is>
          <t>hydrogen, gaseous, low pressure</t>
        </is>
      </c>
      <c r="H3839"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39">
        <v>0</v>
      </c>
    </row>
    <row r="3840">
      <c r="A3840" t="inlineStr">
        <is>
          <t>market for hydrogen, gaseous, low pressure</t>
        </is>
      </c>
      <c r="B3840">
        <v>0.0007686670431839547</v>
      </c>
      <c r="C3840" t="inlineStr">
        <is>
          <t>RER</t>
        </is>
      </c>
      <c r="D3840" t="inlineStr">
        <is>
          <t>kilogram</t>
        </is>
      </c>
      <c r="F3840" t="inlineStr">
        <is>
          <t>technosphere</t>
        </is>
      </c>
      <c r="G3840" t="inlineStr">
        <is>
          <t>hydrogen, gaseous, low pressure</t>
        </is>
      </c>
      <c r="H384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0">
        <v>0</v>
      </c>
    </row>
    <row r="3841">
      <c r="A3841" t="inlineStr">
        <is>
          <t>market for hydrogen, gaseous, low pressure</t>
        </is>
      </c>
      <c r="B3841">
        <v>0.000800532623670244</v>
      </c>
      <c r="C3841" t="inlineStr">
        <is>
          <t>US</t>
        </is>
      </c>
      <c r="D3841" t="inlineStr">
        <is>
          <t>kilogram</t>
        </is>
      </c>
      <c r="F3841" t="inlineStr">
        <is>
          <t>technosphere</t>
        </is>
      </c>
      <c r="G3841" t="inlineStr">
        <is>
          <t>hydrogen, gaseous, low pressure</t>
        </is>
      </c>
      <c r="H384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1">
        <v>0</v>
      </c>
    </row>
    <row r="3842">
      <c r="A3842" t="inlineStr">
        <is>
          <t>market for diesel</t>
        </is>
      </c>
      <c r="B3842">
        <v>0.0021364277910731785</v>
      </c>
      <c r="C3842" t="inlineStr">
        <is>
          <t>Europe without Switzerland</t>
        </is>
      </c>
      <c r="D3842" t="inlineStr">
        <is>
          <t>kilogram</t>
        </is>
      </c>
      <c r="F3842" t="inlineStr">
        <is>
          <t>technosphere</t>
        </is>
      </c>
      <c r="G3842" t="inlineStr">
        <is>
          <t>diesel</t>
        </is>
      </c>
      <c r="H384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2">
        <v>0</v>
      </c>
    </row>
    <row r="3843">
      <c r="A3843" t="inlineStr">
        <is>
          <t>market for electric motor, electric passenger car</t>
        </is>
      </c>
      <c r="B3843">
        <v>2.9729323652514984e-06</v>
      </c>
      <c r="C3843" t="inlineStr">
        <is>
          <t>GLO</t>
        </is>
      </c>
      <c r="D3843" t="inlineStr">
        <is>
          <t>kilogram</t>
        </is>
      </c>
      <c r="F3843" t="inlineStr">
        <is>
          <t>technosphere</t>
        </is>
      </c>
      <c r="G3843" t="inlineStr">
        <is>
          <t>electric motor, electric passenger car</t>
        </is>
      </c>
      <c r="H3843" t="inlineStr">
        <is>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43">
        <v>0</v>
      </c>
    </row>
    <row r="3844">
      <c r="A3844" t="inlineStr">
        <is>
          <t>market for converter, for electric passenger car</t>
        </is>
      </c>
      <c r="B3844">
        <v>5.1156873907723935e-06</v>
      </c>
      <c r="C3844" t="inlineStr">
        <is>
          <t>GLO</t>
        </is>
      </c>
      <c r="D3844" t="inlineStr">
        <is>
          <t>kilogram</t>
        </is>
      </c>
      <c r="F3844" t="inlineStr">
        <is>
          <t>technosphere</t>
        </is>
      </c>
      <c r="G3844" t="inlineStr">
        <is>
          <t>converter, for electric passenger car</t>
        </is>
      </c>
      <c r="H384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44">
        <v>0</v>
      </c>
    </row>
    <row r="3845">
      <c r="A3845" t="inlineStr">
        <is>
          <t>fuel cell system assembly, 1 kWe, proton exchange membrane (PEM)</t>
        </is>
      </c>
      <c r="B3845">
        <v>1.5436811073909667e-05</v>
      </c>
      <c r="C3845" t="inlineStr">
        <is>
          <t>GLO</t>
        </is>
      </c>
      <c r="D3845" t="inlineStr">
        <is>
          <t>unit</t>
        </is>
      </c>
      <c r="F3845" t="inlineStr">
        <is>
          <t>technosphere</t>
        </is>
      </c>
      <c r="G3845" t="inlineStr">
        <is>
          <t>fuel cell system, 1 kWe, proton exchange membrane (PEM)</t>
        </is>
      </c>
      <c r="H3845"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45">
        <v>0</v>
      </c>
    </row>
    <row r="3846">
      <c r="A3846" t="inlineStr">
        <is>
          <t>Fuel tank, compressed hydrogen gas, 700bar, with aluminium liner</t>
        </is>
      </c>
      <c r="B3846">
        <v>6.803829612293808e-05</v>
      </c>
      <c r="C3846" t="inlineStr">
        <is>
          <t>RER</t>
        </is>
      </c>
      <c r="D3846" t="inlineStr">
        <is>
          <t>kilogram</t>
        </is>
      </c>
      <c r="F3846" t="inlineStr">
        <is>
          <t>technosphere</t>
        </is>
      </c>
      <c r="G3846" t="inlineStr">
        <is>
          <t>hydrogen tank</t>
        </is>
      </c>
      <c r="H3846"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46">
        <v>0</v>
      </c>
    </row>
    <row r="3847">
      <c r="A3847" t="inlineStr">
        <is>
          <t>market for battery cell, Li-ion, NMC622</t>
        </is>
      </c>
      <c r="B3847">
        <v>0.00015123644693884782</v>
      </c>
      <c r="C3847" t="inlineStr">
        <is>
          <t>GLO</t>
        </is>
      </c>
      <c r="D3847" t="inlineStr">
        <is>
          <t>kilogram</t>
        </is>
      </c>
      <c r="F3847" t="inlineStr">
        <is>
          <t>technosphere</t>
        </is>
      </c>
      <c r="G3847" t="inlineStr">
        <is>
          <t>battery cell, Li-ion, NMC622</t>
        </is>
      </c>
      <c r="H3847"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47">
        <v>0</v>
      </c>
    </row>
    <row r="3848">
      <c r="A3848" t="inlineStr">
        <is>
          <t>Water</t>
        </is>
      </c>
      <c r="B3848">
        <v>7.500000000000001e-05</v>
      </c>
      <c r="D3848" t="inlineStr">
        <is>
          <t>cubic meter</t>
        </is>
      </c>
      <c r="E3848" t="inlineStr">
        <is>
          <t>air</t>
        </is>
      </c>
      <c r="F3848" t="inlineStr">
        <is>
          <t>biosphere</t>
        </is>
      </c>
      <c r="H3848" t="inlineStr">
        <is>
          <t>9kg H2O per kg H2 converted.</t>
        </is>
      </c>
      <c r="I3848">
        <v>0</v>
      </c>
    </row>
    <row r="3849"/>
    <row r="3850">
      <c r="A3850" t="inlineStr">
        <is>
          <t>Activity</t>
        </is>
      </c>
      <c r="B3850" t="inlineStr">
        <is>
          <t>electricity, used in passenger train</t>
        </is>
      </c>
    </row>
    <row r="3851">
      <c r="A3851" t="inlineStr">
        <is>
          <t>location</t>
        </is>
      </c>
      <c r="B3851" t="inlineStr">
        <is>
          <t>RER</t>
        </is>
      </c>
    </row>
    <row r="3852">
      <c r="A3852" t="inlineStr">
        <is>
          <t>production amount</t>
        </is>
      </c>
      <c r="B3852">
        <v>1</v>
      </c>
    </row>
    <row r="3853">
      <c r="A3853" t="inlineStr">
        <is>
          <t>reference product</t>
        </is>
      </c>
      <c r="B3853" t="inlineStr">
        <is>
          <t>electricity, high voltage</t>
        </is>
      </c>
    </row>
    <row r="3854">
      <c r="A3854" t="inlineStr">
        <is>
          <t>type</t>
        </is>
      </c>
      <c r="B3854" t="inlineStr">
        <is>
          <t>process</t>
        </is>
      </c>
    </row>
    <row r="3855">
      <c r="A3855" t="inlineStr">
        <is>
          <t>unit</t>
        </is>
      </c>
      <c r="B3855" t="inlineStr">
        <is>
          <t>megajoule</t>
        </is>
      </c>
    </row>
    <row r="3856">
      <c r="A3856" t="inlineStr">
        <is>
          <t>energy use source</t>
        </is>
      </c>
      <c r="B3856"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 "vehicle per source service": 7.11e-10, "replacement correction factor": 1.0, "amount per MJ": 1.0214001325676948e-05}, {"supplier": ["market for electric motor, electric passenger car", "electric motor, electric passenger car", "GLO", "kilogram"], "amount per vehicle": 3710, "vehicle per source service": 7.11e-10, "replacement correction factor": 1.0, "amount per MJ": 1.2424244235495565e-05}, {"supplier": ["market for converter, for electric passenger car", "converter, for electric passenger car", "GLO", "kilogram"], "amount per vehicle": 10359.999999999989, "vehicle per source service": 7.11e-10, "replacement correction factor": 1.0, "amount per MJ": 3.4694115978364936e-05}],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57">
      <c r="A3857" t="inlineStr">
        <is>
          <t>comment</t>
        </is>
      </c>
      <c r="B3857" t="inlineStr">
        <is>
          <t>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58">
      <c r="A3858" t="inlineStr">
        <is>
          <t>Exchanges</t>
        </is>
      </c>
    </row>
    <row r="3859">
      <c r="A3859" t="inlineStr">
        <is>
          <t>name</t>
        </is>
      </c>
      <c r="B3859" t="inlineStr">
        <is>
          <t>amount</t>
        </is>
      </c>
      <c r="C3859" t="inlineStr">
        <is>
          <t>location</t>
        </is>
      </c>
      <c r="D3859" t="inlineStr">
        <is>
          <t>unit</t>
        </is>
      </c>
      <c r="E3859" t="inlineStr">
        <is>
          <t>categories</t>
        </is>
      </c>
      <c r="F3859" t="inlineStr">
        <is>
          <t>type</t>
        </is>
      </c>
      <c r="G3859" t="inlineStr">
        <is>
          <t>reference product</t>
        </is>
      </c>
      <c r="H3859" t="inlineStr">
        <is>
          <t>comment</t>
        </is>
      </c>
      <c r="I3859" t="inlineStr">
        <is>
          <t>uncertainty type</t>
        </is>
      </c>
    </row>
    <row r="3860">
      <c r="A3860" t="inlineStr">
        <is>
          <t>electricity, used in passenger train</t>
        </is>
      </c>
      <c r="B3860">
        <v>1.0</v>
      </c>
      <c r="C3860" t="inlineStr">
        <is>
          <t>RER</t>
        </is>
      </c>
      <c r="D3860" t="inlineStr">
        <is>
          <t>megajoule</t>
        </is>
      </c>
      <c r="F3860" t="inlineStr">
        <is>
          <t>production</t>
        </is>
      </c>
      <c r="G3860" t="inlineStr">
        <is>
          <t>electricity, high voltage</t>
        </is>
      </c>
      <c r="I3860">
        <v>0</v>
      </c>
    </row>
    <row r="3861">
      <c r="A3861" t="inlineStr">
        <is>
          <t>market group for electricity, high voltage</t>
        </is>
      </c>
      <c r="B3861">
        <v>0.27777777777777773</v>
      </c>
      <c r="C3861" t="inlineStr">
        <is>
          <t>RER</t>
        </is>
      </c>
      <c r="D3861" t="inlineStr">
        <is>
          <t>kilowatt hour</t>
        </is>
      </c>
      <c r="F3861" t="inlineStr">
        <is>
          <t>technosphere</t>
        </is>
      </c>
      <c r="G3861" t="inlineStr">
        <is>
          <t>electricity, high voltage</t>
        </is>
      </c>
      <c r="H386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61">
        <v>0</v>
      </c>
    </row>
    <row r="3862">
      <c r="A3862" t="inlineStr">
        <is>
          <t>market for diesel</t>
        </is>
      </c>
      <c r="B3862">
        <v>0.003188710842490739</v>
      </c>
      <c r="C3862" t="inlineStr">
        <is>
          <t>Europe without Switzerland</t>
        </is>
      </c>
      <c r="D3862" t="inlineStr">
        <is>
          <t>kilogram</t>
        </is>
      </c>
      <c r="F3862" t="inlineStr">
        <is>
          <t>technosphere</t>
        </is>
      </c>
      <c r="G3862" t="inlineStr">
        <is>
          <t>diesel</t>
        </is>
      </c>
      <c r="H3862"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62">
        <v>0</v>
      </c>
    </row>
    <row r="3863">
      <c r="A3863" t="inlineStr">
        <is>
          <t>market for transformer, high voltage use</t>
        </is>
      </c>
      <c r="B3863">
        <v>1.0214001325676948e-05</v>
      </c>
      <c r="C3863" t="inlineStr">
        <is>
          <t>GLO</t>
        </is>
      </c>
      <c r="D3863" t="inlineStr">
        <is>
          <t>kilogram</t>
        </is>
      </c>
      <c r="F3863" t="inlineStr">
        <is>
          <t>technosphere</t>
        </is>
      </c>
      <c r="G3863" t="inlineStr">
        <is>
          <t>transformer, high voltage use</t>
        </is>
      </c>
      <c r="H3863"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63">
        <v>0</v>
      </c>
    </row>
    <row r="3864">
      <c r="A3864" t="inlineStr">
        <is>
          <t>market for electric motor, electric passenger car</t>
        </is>
      </c>
      <c r="B3864">
        <v>1.2424244235495565e-05</v>
      </c>
      <c r="C3864" t="inlineStr">
        <is>
          <t>GLO</t>
        </is>
      </c>
      <c r="D3864" t="inlineStr">
        <is>
          <t>kilogram</t>
        </is>
      </c>
      <c r="F3864" t="inlineStr">
        <is>
          <t>technosphere</t>
        </is>
      </c>
      <c r="G3864" t="inlineStr">
        <is>
          <t>electric motor, electric passenger car</t>
        </is>
      </c>
      <c r="H3864" t="inlineStr">
        <is>
          <t>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64">
        <v>0</v>
      </c>
    </row>
    <row r="3865">
      <c r="A3865" t="inlineStr">
        <is>
          <t>market for converter, for electric passenger car</t>
        </is>
      </c>
      <c r="B3865">
        <v>3.4694115978364936e-05</v>
      </c>
      <c r="C3865" t="inlineStr">
        <is>
          <t>GLO</t>
        </is>
      </c>
      <c r="D3865" t="inlineStr">
        <is>
          <t>kilogram</t>
        </is>
      </c>
      <c r="F3865" t="inlineStr">
        <is>
          <t>technosphere</t>
        </is>
      </c>
      <c r="G3865" t="inlineStr">
        <is>
          <t>converter, for electric passenger car</t>
        </is>
      </c>
      <c r="H3865"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65">
        <v>0</v>
      </c>
    </row>
    <row r="3866">
      <c r="A3866" t="inlineStr">
        <is>
          <t>Ammonia</t>
        </is>
      </c>
      <c r="B3866">
        <v>6.377421684981479e-08</v>
      </c>
      <c r="D3866" t="inlineStr">
        <is>
          <t>kilogram</t>
        </is>
      </c>
      <c r="E3866" t="inlineStr">
        <is>
          <t>air</t>
        </is>
      </c>
      <c r="F3866" t="inlineStr">
        <is>
          <t>biosphere</t>
        </is>
      </c>
      <c r="H3866" t="inlineStr">
        <is>
          <t>2.0E-05 kg/kg fuel for diesel locomotives, according to Spielmann et al. (2007)
Spielmann, M., Bauer, C., Dones, R., Institut, P. S., &amp; Tuchschmid, M. (2007). Transport Services. Swiss Centre for Life Cycle Inventories, ecoinvent report No. 14.</t>
        </is>
      </c>
      <c r="I3866">
        <v>0</v>
      </c>
    </row>
    <row r="3867">
      <c r="A3867" t="inlineStr">
        <is>
          <t>Benzene</t>
        </is>
      </c>
      <c r="B3867">
        <v>3.1887108424907397e-07</v>
      </c>
      <c r="D3867" t="inlineStr">
        <is>
          <t>kilogram</t>
        </is>
      </c>
      <c r="E3867" t="inlineStr">
        <is>
          <t>air</t>
        </is>
      </c>
      <c r="F3867" t="inlineStr">
        <is>
          <t>biosphere</t>
        </is>
      </c>
      <c r="H3867" t="inlineStr">
        <is>
          <t>1.0E-04 kg/kg fuel for diesel locomotives, according to Spielmann et al. (2007)
Spielmann, M., Bauer, C., Dones, R., Institut, P. S., &amp; Tuchschmid, M. (2007). Transport Services. Swiss Centre for Life Cycle Inventories, ecoinvent report No. 14.</t>
        </is>
      </c>
      <c r="I3867">
        <v>0</v>
      </c>
    </row>
    <row r="3868">
      <c r="A3868" t="inlineStr">
        <is>
          <t>Cadmium II</t>
        </is>
      </c>
      <c r="B3868">
        <v>3.1887108424907394e-11</v>
      </c>
      <c r="D3868" t="inlineStr">
        <is>
          <t>kilogram</t>
        </is>
      </c>
      <c r="E3868" t="inlineStr">
        <is>
          <t>air</t>
        </is>
      </c>
      <c r="F3868" t="inlineStr">
        <is>
          <t>biosphere</t>
        </is>
      </c>
      <c r="H3868" t="inlineStr">
        <is>
          <t>1.0E-08 kg/kg fuel for diesel locomotives, according to Spielmann et al. (2007)
Spielmann, M., Bauer, C., Dones, R., Institut, P. S., &amp; Tuchschmid, M. (2007). Transport Services. Swiss Centre for Life Cycle Inventories, ecoinvent report No. 14.</t>
        </is>
      </c>
      <c r="I3868">
        <v>0</v>
      </c>
    </row>
    <row r="3869">
      <c r="A3869" t="inlineStr">
        <is>
          <t>Carbon dioxide, fossil</t>
        </is>
      </c>
      <c r="B3869">
        <v>0.010031684310475865</v>
      </c>
      <c r="D3869" t="inlineStr">
        <is>
          <t>kilogram</t>
        </is>
      </c>
      <c r="E3869" t="inlineStr">
        <is>
          <t>air</t>
        </is>
      </c>
      <c r="F3869" t="inlineStr">
        <is>
          <t>biosphere</t>
        </is>
      </c>
      <c r="H3869" t="inlineStr">
        <is>
          <t>3.146 kg/kg fuel for diesel locomotives, according to Spielmann et al. (2007)
Spielmann, M., Bauer, C., Dones, R., Institut, P. S., &amp; Tuchschmid, M. (2007). Transport Services. Swiss Centre for Life Cycle Inventories, ecoinvent report No. 14.</t>
        </is>
      </c>
      <c r="I3869">
        <v>0</v>
      </c>
    </row>
    <row r="3870">
      <c r="A3870" t="inlineStr">
        <is>
          <t>Carbon monoxide, fossil</t>
        </is>
      </c>
      <c r="B3870">
        <v>5.038163131135368e-05</v>
      </c>
      <c r="D3870" t="inlineStr">
        <is>
          <t>kilogram</t>
        </is>
      </c>
      <c r="E3870" t="inlineStr">
        <is>
          <t>air</t>
        </is>
      </c>
      <c r="F3870" t="inlineStr">
        <is>
          <t>biosphere</t>
        </is>
      </c>
      <c r="H3870" t="inlineStr">
        <is>
          <t>1.58E-02 kg/kg fuel for diesel locomotives, according to Spielmann et al. (2007)
Spielmann, M., Bauer, C., Dones, R., Institut, P. S., &amp; Tuchschmid, M. (2007). Transport Services. Swiss Centre for Life Cycle Inventories, ecoinvent report No. 14.</t>
        </is>
      </c>
      <c r="I3870">
        <v>0</v>
      </c>
    </row>
    <row r="3871">
      <c r="A3871" t="inlineStr">
        <is>
          <t>Chromium III</t>
        </is>
      </c>
      <c r="B3871">
        <v>1.5943554212453697e-10</v>
      </c>
      <c r="D3871" t="inlineStr">
        <is>
          <t>kilogram</t>
        </is>
      </c>
      <c r="E3871" t="inlineStr">
        <is>
          <t>air</t>
        </is>
      </c>
      <c r="F3871" t="inlineStr">
        <is>
          <t>biosphere</t>
        </is>
      </c>
      <c r="H3871" t="inlineStr">
        <is>
          <t>5.0E-08 kg/kg fuel for diesel locomotives, according to Spielmann et al. (2007)
Spielmann, M., Bauer, C., Dones, R., Institut, P. S., &amp; Tuchschmid, M. (2007). Transport Services. Swiss Centre for Life Cycle Inventories, ecoinvent report No. 14.</t>
        </is>
      </c>
      <c r="I3871">
        <v>0</v>
      </c>
    </row>
    <row r="3872">
      <c r="A3872" t="inlineStr">
        <is>
          <t>Copper ion</t>
        </is>
      </c>
      <c r="B3872">
        <v>5.420808432234257e-09</v>
      </c>
      <c r="D3872" t="inlineStr">
        <is>
          <t>kilogram</t>
        </is>
      </c>
      <c r="E3872" t="inlineStr">
        <is>
          <t>air</t>
        </is>
      </c>
      <c r="F3872" t="inlineStr">
        <is>
          <t>biosphere</t>
        </is>
      </c>
      <c r="H3872" t="inlineStr">
        <is>
          <t>1.7E-06 kg/kg fuel for diesel locomotives, according to Spielmann et al. (2007)
Spielmann, M., Bauer, C., Dones, R., Institut, P. S., &amp; Tuchschmid, M. (2007). Transport Services. Swiss Centre for Life Cycle Inventories, ecoinvent report No. 14.</t>
        </is>
      </c>
      <c r="I3872">
        <v>0</v>
      </c>
    </row>
    <row r="3873">
      <c r="A3873" t="inlineStr">
        <is>
          <t>Dinitrogen monoxide</t>
        </is>
      </c>
      <c r="B3873">
        <v>3.1887108424907397e-07</v>
      </c>
      <c r="D3873" t="inlineStr">
        <is>
          <t>kilogram</t>
        </is>
      </c>
      <c r="E3873" t="inlineStr">
        <is>
          <t>air</t>
        </is>
      </c>
      <c r="F3873" t="inlineStr">
        <is>
          <t>biosphere</t>
        </is>
      </c>
      <c r="H3873" t="inlineStr">
        <is>
          <t>1.0E-04 kg/kg fuel for diesel locomotives, according to Spielmann et al. (2007)
Spielmann, M., Bauer, C., Dones, R., Institut, P. S., &amp; Tuchschmid, M. (2007). Transport Services. Swiss Centre for Life Cycle Inventories, ecoinvent report No. 14.</t>
        </is>
      </c>
      <c r="I3873">
        <v>0</v>
      </c>
    </row>
    <row r="3874">
      <c r="A3874" t="inlineStr">
        <is>
          <t>Iron ion</t>
        </is>
      </c>
      <c r="B3874">
        <v>5.840474807516273e-05</v>
      </c>
      <c r="D3874" t="inlineStr">
        <is>
          <t>kilogram</t>
        </is>
      </c>
      <c r="E3874" t="inlineStr">
        <is>
          <t>soil</t>
        </is>
      </c>
      <c r="F3874" t="inlineStr">
        <is>
          <t>biosphere</t>
        </is>
      </c>
      <c r="H387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74">
        <v>0</v>
      </c>
    </row>
    <row r="3875">
      <c r="A3875" t="inlineStr">
        <is>
          <t>Lead II</t>
        </is>
      </c>
      <c r="B3875">
        <v>3.5075819267398133e-13</v>
      </c>
      <c r="D3875" t="inlineStr">
        <is>
          <t>kilogram</t>
        </is>
      </c>
      <c r="E3875" t="inlineStr">
        <is>
          <t>air</t>
        </is>
      </c>
      <c r="F3875" t="inlineStr">
        <is>
          <t>biosphere</t>
        </is>
      </c>
      <c r="H3875" t="inlineStr">
        <is>
          <t>1.1E-10 kg/kg fuel for diesel locomotives, according to Spielmann et al. (2007)
Spielmann, M., Bauer, C., Dones, R., Institut, P. S., &amp; Tuchschmid, M. (2007). Transport Services. Swiss Centre for Life Cycle Inventories, ecoinvent report No. 14.</t>
        </is>
      </c>
      <c r="I3875">
        <v>0</v>
      </c>
    </row>
    <row r="3876">
      <c r="A3876" t="inlineStr">
        <is>
          <t>Mercury II</t>
        </is>
      </c>
      <c r="B3876">
        <v>6.377421684981477e-14</v>
      </c>
      <c r="D3876" t="inlineStr">
        <is>
          <t>kilogram</t>
        </is>
      </c>
      <c r="E3876" t="inlineStr">
        <is>
          <t>air</t>
        </is>
      </c>
      <c r="F3876" t="inlineStr">
        <is>
          <t>biosphere</t>
        </is>
      </c>
      <c r="H3876" t="inlineStr">
        <is>
          <t>2.0E-11 kg/kg fuel for diesel locomotives, according to Spielmann et al. (2007)
Spielmann, M., Bauer, C., Dones, R., Institut, P. S., &amp; Tuchschmid, M. (2007). Transport Services. Swiss Centre for Life Cycle Inventories, ecoinvent report No. 14.</t>
        </is>
      </c>
      <c r="I3876">
        <v>0</v>
      </c>
    </row>
    <row r="3877">
      <c r="A3877" t="inlineStr">
        <is>
          <t>Methane, fossil</t>
        </is>
      </c>
      <c r="B3877">
        <v>4.1453240952379607e-07</v>
      </c>
      <c r="D3877" t="inlineStr">
        <is>
          <t>kilogram</t>
        </is>
      </c>
      <c r="E3877" t="inlineStr">
        <is>
          <t>air</t>
        </is>
      </c>
      <c r="F3877" t="inlineStr">
        <is>
          <t>biosphere</t>
        </is>
      </c>
      <c r="H3877" t="inlineStr">
        <is>
          <t>1.3E-04 kg/kg fuel for diesel locomotives, according to Spielmann et al. (2007)
Spielmann, M., Bauer, C., Dones, R., Institut, P. S., &amp; Tuchschmid, M. (2007). Transport Services. Swiss Centre for Life Cycle Inventories, ecoinvent report No. 14.</t>
        </is>
      </c>
      <c r="I3877">
        <v>0</v>
      </c>
    </row>
    <row r="3878">
      <c r="A3878" t="inlineStr">
        <is>
          <t>NMVOC, non-methane volatile organic compounds</t>
        </is>
      </c>
      <c r="B3878">
        <v>1.6740731923076382e-05</v>
      </c>
      <c r="D3878" t="inlineStr">
        <is>
          <t>kilogram</t>
        </is>
      </c>
      <c r="E3878" t="inlineStr">
        <is>
          <t>air</t>
        </is>
      </c>
      <c r="F3878" t="inlineStr">
        <is>
          <t>biosphere</t>
        </is>
      </c>
      <c r="H3878" t="inlineStr">
        <is>
          <t>5.25E-03 kg/kg fuel for diesel locomotives, according to Spielmann et al. (2007)
Spielmann, M., Bauer, C., Dones, R., Institut, P. S., &amp; Tuchschmid, M. (2007). Transport Services. Swiss Centre for Life Cycle Inventories, ecoinvent report No. 14.</t>
        </is>
      </c>
      <c r="I3878">
        <v>0</v>
      </c>
    </row>
    <row r="3879">
      <c r="A3879" t="inlineStr">
        <is>
          <t>Nickel II</t>
        </is>
      </c>
      <c r="B3879">
        <v>2.2320975897435179e-10</v>
      </c>
      <c r="D3879" t="inlineStr">
        <is>
          <t>kilogram</t>
        </is>
      </c>
      <c r="E3879" t="inlineStr">
        <is>
          <t>air</t>
        </is>
      </c>
      <c r="F3879" t="inlineStr">
        <is>
          <t>biosphere</t>
        </is>
      </c>
      <c r="H3879" t="inlineStr">
        <is>
          <t>7.0E-08 kg/kg fuel for diesel locomotives, according to Spielmann et al. (2007)
Spielmann, M., Bauer, C., Dones, R., Institut, P. S., &amp; Tuchschmid, M. (2007). Transport Services. Swiss Centre for Life Cycle Inventories, ecoinvent report No. 14.</t>
        </is>
      </c>
      <c r="I3879">
        <v>0</v>
      </c>
    </row>
    <row r="3880">
      <c r="A3880" t="inlineStr">
        <is>
          <t>Nitrogen oxides</t>
        </is>
      </c>
      <c r="B3880">
        <v>0.00017537909633699066</v>
      </c>
      <c r="D3880" t="inlineStr">
        <is>
          <t>kilogram</t>
        </is>
      </c>
      <c r="E3880" t="inlineStr">
        <is>
          <t>air::unspecified</t>
        </is>
      </c>
      <c r="F3880" t="inlineStr">
        <is>
          <t>biosphere</t>
        </is>
      </c>
      <c r="H3880" t="inlineStr">
        <is>
          <t>5.5E-02 kg/kg fuel for diesel locomotives, according to Spielmann et al. (2007)
Spielmann, M., Bauer, C., Dones, R., Institut, P. S., &amp; Tuchschmid, M. (2007). Transport Services. Swiss Centre for Life Cycle Inventories, ecoinvent report No. 14.</t>
        </is>
      </c>
      <c r="I3880">
        <v>0</v>
      </c>
    </row>
    <row r="3881">
      <c r="A3881" t="inlineStr">
        <is>
          <t>Particulate Matter, &lt; 2.5 um</t>
        </is>
      </c>
      <c r="B3881">
        <v>3.922114336263609e-06</v>
      </c>
      <c r="D3881" t="inlineStr">
        <is>
          <t>kilogram</t>
        </is>
      </c>
      <c r="E3881" t="inlineStr">
        <is>
          <t>air</t>
        </is>
      </c>
      <c r="F3881" t="inlineStr">
        <is>
          <t>biosphere</t>
        </is>
      </c>
      <c r="H3881" t="inlineStr">
        <is>
          <t>1.28E-03 kg/kg fuel for diesel locomotives, according to Spielmann et al. (2007)
Spielmann, M., Bauer, C., Dones, R., Institut, P. S., &amp; Tuchschmid, M. (2007). Transport Services. Swiss Centre for Life Cycle Inventories, ecoinvent report No. 14.</t>
        </is>
      </c>
      <c r="I3881">
        <v>0</v>
      </c>
    </row>
    <row r="3882">
      <c r="A3882" t="inlineStr">
        <is>
          <t>Particulate Matter, &gt; 10 um</t>
        </is>
      </c>
      <c r="B3882">
        <v>8.35431280422189e-05</v>
      </c>
      <c r="D3882" t="inlineStr">
        <is>
          <t>kilogram</t>
        </is>
      </c>
      <c r="E3882" t="inlineStr">
        <is>
          <t>air</t>
        </is>
      </c>
      <c r="F3882" t="inlineStr">
        <is>
          <t>biosphere</t>
        </is>
      </c>
      <c r="H388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82">
        <v>0</v>
      </c>
    </row>
    <row r="3883">
      <c r="A3883" t="inlineStr">
        <is>
          <t>Particulate Matter, &gt; 2.5 um and &lt; 10um</t>
        </is>
      </c>
      <c r="B3883">
        <v>7.711517541701365e-05</v>
      </c>
      <c r="D3883" t="inlineStr">
        <is>
          <t>kilogram</t>
        </is>
      </c>
      <c r="E3883" t="inlineStr">
        <is>
          <t>air</t>
        </is>
      </c>
      <c r="F3883" t="inlineStr">
        <is>
          <t>biosphere</t>
        </is>
      </c>
      <c r="H388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83">
        <v>0</v>
      </c>
    </row>
    <row r="3884">
      <c r="A3884" t="inlineStr">
        <is>
          <t>Selenium IV</t>
        </is>
      </c>
      <c r="B3884">
        <v>3.1887108424907394e-11</v>
      </c>
      <c r="D3884" t="inlineStr">
        <is>
          <t>kilogram</t>
        </is>
      </c>
      <c r="E3884" t="inlineStr">
        <is>
          <t>air</t>
        </is>
      </c>
      <c r="F3884" t="inlineStr">
        <is>
          <t>biosphere</t>
        </is>
      </c>
      <c r="H3884" t="inlineStr">
        <is>
          <t>1.0E-08 kg/kg fuel for diesel locomotives, according to Spielmann et al. (2007)
Spielmann, M., Bauer, C., Dones, R., Institut, P. S., &amp; Tuchschmid, M. (2007). Transport Services. Swiss Centre for Life Cycle Inventories, ecoinvent report No. 14.</t>
        </is>
      </c>
      <c r="I3884">
        <v>0</v>
      </c>
    </row>
    <row r="3885">
      <c r="A3885" t="inlineStr">
        <is>
          <t>Sulfur dioxide</t>
        </is>
      </c>
      <c r="B3885">
        <v>1.9132265054944433e-06</v>
      </c>
      <c r="D3885" t="inlineStr">
        <is>
          <t>kilogram</t>
        </is>
      </c>
      <c r="E3885" t="inlineStr">
        <is>
          <t>air</t>
        </is>
      </c>
      <c r="F3885" t="inlineStr">
        <is>
          <t>biosphere</t>
        </is>
      </c>
      <c r="H3885" t="inlineStr">
        <is>
          <t>6.0E-04 kg/kg fuel for diesel locomotives, according to Spielmann et al. (2007)
Spielmann, M., Bauer, C., Dones, R., Institut, P. S., &amp; Tuchschmid, M. (2007). Transport Services. Swiss Centre for Life Cycle Inventories, ecoinvent report No. 14.</t>
        </is>
      </c>
      <c r="I3885">
        <v>0</v>
      </c>
    </row>
    <row r="3886">
      <c r="A3886" t="inlineStr">
        <is>
          <t>Sulfur hexafluoride</t>
        </is>
      </c>
      <c r="B3886">
        <v>1.4789589431936368e-08</v>
      </c>
      <c r="D3886" t="inlineStr">
        <is>
          <t>kilogram</t>
        </is>
      </c>
      <c r="E3886" t="inlineStr">
        <is>
          <t>air</t>
        </is>
      </c>
      <c r="F3886" t="inlineStr">
        <is>
          <t>biosphere</t>
        </is>
      </c>
      <c r="H388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86">
        <v>0</v>
      </c>
    </row>
    <row r="3887">
      <c r="A3887" t="inlineStr">
        <is>
          <t>Toluene</t>
        </is>
      </c>
      <c r="B3887">
        <v>1.2754843369962958e-07</v>
      </c>
      <c r="D3887" t="inlineStr">
        <is>
          <t>kilogram</t>
        </is>
      </c>
      <c r="E3887" t="inlineStr">
        <is>
          <t>air</t>
        </is>
      </c>
      <c r="F3887" t="inlineStr">
        <is>
          <t>biosphere</t>
        </is>
      </c>
      <c r="H3887" t="inlineStr">
        <is>
          <t>4.0E-05 kg/kg fuel for diesel locomotives, according to Spielmann et al. (2007)
Spielmann, M., Bauer, C., Dones, R., Institut, P. S., &amp; Tuchschmid, M. (2007). Transport Services. Swiss Centre for Life Cycle Inventories, ecoinvent report No. 14.</t>
        </is>
      </c>
      <c r="I3887">
        <v>0</v>
      </c>
    </row>
    <row r="3888">
      <c r="A3888" t="inlineStr">
        <is>
          <t>Xylenes, unspecified</t>
        </is>
      </c>
      <c r="B3888">
        <v>1.2754843369962958e-07</v>
      </c>
      <c r="D3888" t="inlineStr">
        <is>
          <t>kilogram</t>
        </is>
      </c>
      <c r="E3888" t="inlineStr">
        <is>
          <t>air::unspecified</t>
        </is>
      </c>
      <c r="F3888" t="inlineStr">
        <is>
          <t>biosphere</t>
        </is>
      </c>
      <c r="H3888" t="inlineStr">
        <is>
          <t>4.0E-05 kg/kg fuel for diesel locomotives, according to Spielmann et al. (2007)
Spielmann, M., Bauer, C., Dones, R., Institut, P. S., &amp; Tuchschmid, M. (2007). Transport Services. Swiss Centre for Life Cycle Inventories, ecoinvent report No. 14.</t>
        </is>
      </c>
      <c r="I3888">
        <v>0</v>
      </c>
    </row>
    <row r="3889">
      <c r="A3889" t="inlineStr">
        <is>
          <t>Zinc II</t>
        </is>
      </c>
      <c r="B3889">
        <v>3.188710842490739e-09</v>
      </c>
      <c r="D3889" t="inlineStr">
        <is>
          <t>kilogram</t>
        </is>
      </c>
      <c r="E3889" t="inlineStr">
        <is>
          <t>air</t>
        </is>
      </c>
      <c r="F3889" t="inlineStr">
        <is>
          <t>biosphere</t>
        </is>
      </c>
      <c r="H3889" t="inlineStr">
        <is>
          <t>1.0E-06 kg/kg fuel for diesel locomotives, according to Spielmann et al. (2007)
Spielmann, M., Bauer, C., Dones, R., Institut, P. S., &amp; Tuchschmid, M. (2007). Transport Services. Swiss Centre for Life Cycle Inventories, ecoinvent report No. 14.</t>
        </is>
      </c>
      <c r="I3889">
        <v>0</v>
      </c>
    </row>
    <row r="3890"/>
    <row r="3891">
      <c r="A3891" t="inlineStr">
        <is>
          <t>Activity</t>
        </is>
      </c>
      <c r="B3891" t="inlineStr">
        <is>
          <t>diesel, burned in passenger train</t>
        </is>
      </c>
    </row>
    <row r="3892">
      <c r="A3892" t="inlineStr">
        <is>
          <t>location</t>
        </is>
      </c>
      <c r="B3892" t="inlineStr">
        <is>
          <t>RER</t>
        </is>
      </c>
    </row>
    <row r="3893">
      <c r="A3893" t="inlineStr">
        <is>
          <t>production amount</t>
        </is>
      </c>
      <c r="B3893">
        <v>1</v>
      </c>
    </row>
    <row r="3894">
      <c r="A3894" t="inlineStr">
        <is>
          <t>reference product</t>
        </is>
      </c>
      <c r="B3894" t="inlineStr">
        <is>
          <t>heat</t>
        </is>
      </c>
    </row>
    <row r="3895">
      <c r="A3895" t="inlineStr">
        <is>
          <t>type</t>
        </is>
      </c>
      <c r="B3895" t="inlineStr">
        <is>
          <t>process</t>
        </is>
      </c>
    </row>
    <row r="3896">
      <c r="A3896" t="inlineStr">
        <is>
          <t>unit</t>
        </is>
      </c>
      <c r="B3896" t="inlineStr">
        <is>
          <t>megajoule</t>
        </is>
      </c>
    </row>
    <row r="3897">
      <c r="A3897" t="inlineStr">
        <is>
          <t>energy use source</t>
        </is>
      </c>
      <c r="B3897"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 "vehicle per source service": 7.11e-10, "replacement correction factor": 1.0, "amount per MJ": 8.00481860964219e-06}, {"supplier": ["market for electric motor, electric passenger car", "electric motor, electric passenger car", "GLO", "kilogram"], "amount per vehicle": 1272,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98">
      <c r="A3898" t="inlineStr">
        <is>
          <t>comment</t>
        </is>
      </c>
      <c r="B3898"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99">
      <c r="A3899" t="inlineStr">
        <is>
          <t>Exchanges</t>
        </is>
      </c>
    </row>
    <row r="3900">
      <c r="A3900" t="inlineStr">
        <is>
          <t>name</t>
        </is>
      </c>
      <c r="B3900" t="inlineStr">
        <is>
          <t>amount</t>
        </is>
      </c>
      <c r="C3900" t="inlineStr">
        <is>
          <t>location</t>
        </is>
      </c>
      <c r="D3900" t="inlineStr">
        <is>
          <t>unit</t>
        </is>
      </c>
      <c r="E3900" t="inlineStr">
        <is>
          <t>categories</t>
        </is>
      </c>
      <c r="F3900" t="inlineStr">
        <is>
          <t>type</t>
        </is>
      </c>
      <c r="G3900" t="inlineStr">
        <is>
          <t>reference product</t>
        </is>
      </c>
      <c r="H3900" t="inlineStr">
        <is>
          <t>comment</t>
        </is>
      </c>
      <c r="I3900" t="inlineStr">
        <is>
          <t>uncertainty type</t>
        </is>
      </c>
    </row>
    <row r="3901">
      <c r="A3901" t="inlineStr">
        <is>
          <t>diesel, burned in passenger train</t>
        </is>
      </c>
      <c r="B3901">
        <v>1.0</v>
      </c>
      <c r="C3901" t="inlineStr">
        <is>
          <t>RER</t>
        </is>
      </c>
      <c r="D3901" t="inlineStr">
        <is>
          <t>megajoule</t>
        </is>
      </c>
      <c r="F3901" t="inlineStr">
        <is>
          <t>production</t>
        </is>
      </c>
      <c r="G3901" t="inlineStr">
        <is>
          <t>heat</t>
        </is>
      </c>
      <c r="I3901">
        <v>0</v>
      </c>
    </row>
    <row r="3902">
      <c r="A3902" t="inlineStr">
        <is>
          <t>market for diesel</t>
        </is>
      </c>
      <c r="B3902">
        <v>0.02325581395348837</v>
      </c>
      <c r="C3902" t="inlineStr">
        <is>
          <t>Europe without Switzerland</t>
        </is>
      </c>
      <c r="D3902" t="inlineStr">
        <is>
          <t>kilogram</t>
        </is>
      </c>
      <c r="F3902" t="inlineStr">
        <is>
          <t>technosphere</t>
        </is>
      </c>
      <c r="G3902" t="inlineStr">
        <is>
          <t>diesel</t>
        </is>
      </c>
      <c r="H390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902">
        <v>0</v>
      </c>
    </row>
    <row r="3903">
      <c r="A3903" t="inlineStr">
        <is>
          <t>fuel tank, for diesel vehicle, adapted to locomotives</t>
        </is>
      </c>
      <c r="B3903">
        <v>1.6548105207134522e-07</v>
      </c>
      <c r="C3903" t="inlineStr">
        <is>
          <t>RER</t>
        </is>
      </c>
      <c r="D3903" t="inlineStr">
        <is>
          <t>kilogram</t>
        </is>
      </c>
      <c r="F3903" t="inlineStr">
        <is>
          <t>technosphere</t>
        </is>
      </c>
      <c r="G3903" t="inlineStr">
        <is>
          <t>fuel tank</t>
        </is>
      </c>
      <c r="H3903"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03">
        <v>0</v>
      </c>
    </row>
    <row r="3904">
      <c r="A3904" t="inlineStr">
        <is>
          <t>internal combustion engine, for lorry, adapted to locomotives</t>
        </is>
      </c>
      <c r="B3904">
        <v>1.7413079443052818e-05</v>
      </c>
      <c r="C3904" t="inlineStr">
        <is>
          <t>RER</t>
        </is>
      </c>
      <c r="D3904" t="inlineStr">
        <is>
          <t>kilogram</t>
        </is>
      </c>
      <c r="F3904" t="inlineStr">
        <is>
          <t>technosphere</t>
        </is>
      </c>
      <c r="G3904" t="inlineStr">
        <is>
          <t>internal combustion engine, for lorry</t>
        </is>
      </c>
      <c r="H3904"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04">
        <v>0</v>
      </c>
    </row>
    <row r="3905">
      <c r="A3905" t="inlineStr">
        <is>
          <t>electronic component production, passive, unspecified</t>
        </is>
      </c>
      <c r="B3905">
        <v>8.00481860964219e-06</v>
      </c>
      <c r="C3905" t="inlineStr">
        <is>
          <t>GLO</t>
        </is>
      </c>
      <c r="D3905" t="inlineStr">
        <is>
          <t>kilogram</t>
        </is>
      </c>
      <c r="F3905" t="inlineStr">
        <is>
          <t>technosphere</t>
        </is>
      </c>
      <c r="G3905" t="inlineStr">
        <is>
          <t>electronic component, passive, unspecified</t>
        </is>
      </c>
      <c r="H3905"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05">
        <v>0</v>
      </c>
    </row>
    <row r="3906">
      <c r="A3906" t="inlineStr">
        <is>
          <t>market for electric motor, electric passenger car</t>
        </is>
      </c>
      <c r="B3906">
        <v>2.3088728506723053e-06</v>
      </c>
      <c r="C3906" t="inlineStr">
        <is>
          <t>GLO</t>
        </is>
      </c>
      <c r="D3906" t="inlineStr">
        <is>
          <t>kilogram</t>
        </is>
      </c>
      <c r="F3906" t="inlineStr">
        <is>
          <t>technosphere</t>
        </is>
      </c>
      <c r="G3906" t="inlineStr">
        <is>
          <t>electric motor, electric passenger car</t>
        </is>
      </c>
      <c r="H3906"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06">
        <v>0</v>
      </c>
    </row>
    <row r="3907">
      <c r="A3907" t="inlineStr">
        <is>
          <t>market for converter, for electric passenger car</t>
        </is>
      </c>
      <c r="B3907">
        <v>8.277091351466727e-06</v>
      </c>
      <c r="C3907" t="inlineStr">
        <is>
          <t>GLO</t>
        </is>
      </c>
      <c r="D3907" t="inlineStr">
        <is>
          <t>kilogram</t>
        </is>
      </c>
      <c r="F3907" t="inlineStr">
        <is>
          <t>technosphere</t>
        </is>
      </c>
      <c r="G3907" t="inlineStr">
        <is>
          <t>converter, for electric passenger car</t>
        </is>
      </c>
      <c r="H3907"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07">
        <v>0</v>
      </c>
    </row>
    <row r="3908">
      <c r="A3908" t="inlineStr">
        <is>
          <t>Ammonia</t>
        </is>
      </c>
      <c r="B3908">
        <v>4.164734622616489e-07</v>
      </c>
      <c r="D3908" t="inlineStr">
        <is>
          <t>kilogram</t>
        </is>
      </c>
      <c r="E3908" t="inlineStr">
        <is>
          <t>air</t>
        </is>
      </c>
      <c r="F3908" t="inlineStr">
        <is>
          <t>biosphere</t>
        </is>
      </c>
      <c r="H3908" t="inlineStr">
        <is>
          <t>2.0E-05 kg/kg fuel for diesel locomotives, according to Spielmann et al. (2007)
Spielmann, M., Bauer, C., Dones, R., Institut, P. S., &amp; Tuchschmid, M. (2007). Transport Services. Swiss Centre for Life Cycle Inventories, ecoinvent report No. 14.</t>
        </is>
      </c>
      <c r="I3908">
        <v>0</v>
      </c>
    </row>
    <row r="3909">
      <c r="A3909" t="inlineStr">
        <is>
          <t>Benzene</t>
        </is>
      </c>
      <c r="B3909">
        <v>2.0823673113082445e-06</v>
      </c>
      <c r="D3909" t="inlineStr">
        <is>
          <t>kilogram</t>
        </is>
      </c>
      <c r="E3909" t="inlineStr">
        <is>
          <t>air</t>
        </is>
      </c>
      <c r="F3909" t="inlineStr">
        <is>
          <t>biosphere</t>
        </is>
      </c>
      <c r="H3909" t="inlineStr">
        <is>
          <t>1.0E-04 kg/kg fuel for diesel locomotives, according to Spielmann et al. (2007)
Spielmann, M., Bauer, C., Dones, R., Institut, P. S., &amp; Tuchschmid, M. (2007). Transport Services. Swiss Centre for Life Cycle Inventories, ecoinvent report No. 14.</t>
        </is>
      </c>
      <c r="I3909">
        <v>0</v>
      </c>
    </row>
    <row r="3910">
      <c r="A3910" t="inlineStr">
        <is>
          <t>Cadmium II</t>
        </is>
      </c>
      <c r="B3910">
        <v>2.0823673113082443e-10</v>
      </c>
      <c r="D3910" t="inlineStr">
        <is>
          <t>kilogram</t>
        </is>
      </c>
      <c r="E3910" t="inlineStr">
        <is>
          <t>air</t>
        </is>
      </c>
      <c r="F3910" t="inlineStr">
        <is>
          <t>biosphere</t>
        </is>
      </c>
      <c r="H3910" t="inlineStr">
        <is>
          <t>1.0E-08 kg/kg fuel for diesel locomotives, according to Spielmann et al. (2007)
Spielmann, M., Bauer, C., Dones, R., Institut, P. S., &amp; Tuchschmid, M. (2007). Transport Services. Swiss Centre for Life Cycle Inventories, ecoinvent report No. 14.</t>
        </is>
      </c>
      <c r="I3910">
        <v>0</v>
      </c>
    </row>
    <row r="3911">
      <c r="A3911" t="inlineStr">
        <is>
          <t>Carbon dioxide, fossil</t>
        </is>
      </c>
      <c r="B3911">
        <v>0.06551127561375737</v>
      </c>
      <c r="D3911" t="inlineStr">
        <is>
          <t>kilogram</t>
        </is>
      </c>
      <c r="E3911" t="inlineStr">
        <is>
          <t>air</t>
        </is>
      </c>
      <c r="F3911" t="inlineStr">
        <is>
          <t>biosphere</t>
        </is>
      </c>
      <c r="H3911" t="inlineStr">
        <is>
          <t>3.146 kg/kg fuel for diesel locomotives, according to Spielmann et al. (2007)
Spielmann, M., Bauer, C., Dones, R., Institut, P. S., &amp; Tuchschmid, M. (2007). Transport Services. Swiss Centre for Life Cycle Inventories, ecoinvent report No. 14.</t>
        </is>
      </c>
      <c r="I3911">
        <v>0</v>
      </c>
    </row>
    <row r="3912">
      <c r="A3912" t="inlineStr">
        <is>
          <t>Carbon monoxide, fossil</t>
        </is>
      </c>
      <c r="B3912">
        <v>0.00032901403518670265</v>
      </c>
      <c r="D3912" t="inlineStr">
        <is>
          <t>kilogram</t>
        </is>
      </c>
      <c r="E3912" t="inlineStr">
        <is>
          <t>air</t>
        </is>
      </c>
      <c r="F3912" t="inlineStr">
        <is>
          <t>biosphere</t>
        </is>
      </c>
      <c r="H3912" t="inlineStr">
        <is>
          <t>1.58E-02 kg/kg fuel for diesel locomotives, according to Spielmann et al. (2007)
Spielmann, M., Bauer, C., Dones, R., Institut, P. S., &amp; Tuchschmid, M. (2007). Transport Services. Swiss Centre for Life Cycle Inventories, ecoinvent report No. 14.</t>
        </is>
      </c>
      <c r="I3912">
        <v>0</v>
      </c>
    </row>
    <row r="3913">
      <c r="A3913" t="inlineStr">
        <is>
          <t>Chromium III</t>
        </is>
      </c>
      <c r="B3913">
        <v>1.0411836556541222e-09</v>
      </c>
      <c r="D3913" t="inlineStr">
        <is>
          <t>kilogram</t>
        </is>
      </c>
      <c r="E3913" t="inlineStr">
        <is>
          <t>air</t>
        </is>
      </c>
      <c r="F3913" t="inlineStr">
        <is>
          <t>biosphere</t>
        </is>
      </c>
      <c r="H3913" t="inlineStr">
        <is>
          <t>5.0E-08 kg/kg fuel for diesel locomotives, according to Spielmann et al. (2007)
Spielmann, M., Bauer, C., Dones, R., Institut, P. S., &amp; Tuchschmid, M. (2007). Transport Services. Swiss Centre for Life Cycle Inventories, ecoinvent report No. 14.</t>
        </is>
      </c>
      <c r="I3913">
        <v>0</v>
      </c>
    </row>
    <row r="3914">
      <c r="A3914" t="inlineStr">
        <is>
          <t>Copper ion</t>
        </is>
      </c>
      <c r="B3914">
        <v>3.5400244292240155e-08</v>
      </c>
      <c r="D3914" t="inlineStr">
        <is>
          <t>kilogram</t>
        </is>
      </c>
      <c r="E3914" t="inlineStr">
        <is>
          <t>air</t>
        </is>
      </c>
      <c r="F3914" t="inlineStr">
        <is>
          <t>biosphere</t>
        </is>
      </c>
      <c r="H3914" t="inlineStr">
        <is>
          <t>1.7E-06 kg/kg fuel for diesel locomotives, according to Spielmann et al. (2007)
Spielmann, M., Bauer, C., Dones, R., Institut, P. S., &amp; Tuchschmid, M. (2007). Transport Services. Swiss Centre for Life Cycle Inventories, ecoinvent report No. 14.</t>
        </is>
      </c>
      <c r="I3914">
        <v>0</v>
      </c>
    </row>
    <row r="3915">
      <c r="A3915" t="inlineStr">
        <is>
          <t>Dinitrogen monoxide</t>
        </is>
      </c>
      <c r="B3915">
        <v>2.0823673113082445e-06</v>
      </c>
      <c r="D3915" t="inlineStr">
        <is>
          <t>kilogram</t>
        </is>
      </c>
      <c r="E3915" t="inlineStr">
        <is>
          <t>air</t>
        </is>
      </c>
      <c r="F3915" t="inlineStr">
        <is>
          <t>biosphere</t>
        </is>
      </c>
      <c r="H3915" t="inlineStr">
        <is>
          <t>1.0E-04 kg/kg fuel for diesel locomotives, according to Spielmann et al. (2007)
Spielmann, M., Bauer, C., Dones, R., Institut, P. S., &amp; Tuchschmid, M. (2007). Transport Services. Swiss Centre for Life Cycle Inventories, ecoinvent report No. 14.</t>
        </is>
      </c>
      <c r="I3915">
        <v>0</v>
      </c>
    </row>
    <row r="3916">
      <c r="A3916" t="inlineStr">
        <is>
          <t>Iron ion</t>
        </is>
      </c>
      <c r="B3916">
        <v>3.165665258907264e-05</v>
      </c>
      <c r="D3916" t="inlineStr">
        <is>
          <t>kilogram</t>
        </is>
      </c>
      <c r="E3916" t="inlineStr">
        <is>
          <t>soil</t>
        </is>
      </c>
      <c r="F3916" t="inlineStr">
        <is>
          <t>biosphere</t>
        </is>
      </c>
      <c r="H391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16">
        <v>0</v>
      </c>
    </row>
    <row r="3917">
      <c r="A3917" t="inlineStr">
        <is>
          <t>Lead II</t>
        </is>
      </c>
      <c r="B3917">
        <v>2.2906040424390686e-12</v>
      </c>
      <c r="D3917" t="inlineStr">
        <is>
          <t>kilogram</t>
        </is>
      </c>
      <c r="E3917" t="inlineStr">
        <is>
          <t>air</t>
        </is>
      </c>
      <c r="F3917" t="inlineStr">
        <is>
          <t>biosphere</t>
        </is>
      </c>
      <c r="H3917" t="inlineStr">
        <is>
          <t>1.1E-10 kg/kg fuel for diesel locomotives, according to Spielmann et al. (2007)
Spielmann, M., Bauer, C., Dones, R., Institut, P. S., &amp; Tuchschmid, M. (2007). Transport Services. Swiss Centre for Life Cycle Inventories, ecoinvent report No. 14.</t>
        </is>
      </c>
      <c r="I3917">
        <v>0</v>
      </c>
    </row>
    <row r="3918">
      <c r="A3918" t="inlineStr">
        <is>
          <t>Mercury II</t>
        </is>
      </c>
      <c r="B3918">
        <v>4.1647346226164887e-13</v>
      </c>
      <c r="D3918" t="inlineStr">
        <is>
          <t>kilogram</t>
        </is>
      </c>
      <c r="E3918" t="inlineStr">
        <is>
          <t>air</t>
        </is>
      </c>
      <c r="F3918" t="inlineStr">
        <is>
          <t>biosphere</t>
        </is>
      </c>
      <c r="H3918" t="inlineStr">
        <is>
          <t>2.0E-11 kg/kg fuel for diesel locomotives, according to Spielmann et al. (2007)
Spielmann, M., Bauer, C., Dones, R., Institut, P. S., &amp; Tuchschmid, M. (2007). Transport Services. Swiss Centre for Life Cycle Inventories, ecoinvent report No. 14.</t>
        </is>
      </c>
      <c r="I3918">
        <v>0</v>
      </c>
    </row>
    <row r="3919">
      <c r="A3919" t="inlineStr">
        <is>
          <t>Methane, fossil</t>
        </is>
      </c>
      <c r="B3919">
        <v>2.7070775047007178e-06</v>
      </c>
      <c r="D3919" t="inlineStr">
        <is>
          <t>kilogram</t>
        </is>
      </c>
      <c r="E3919" t="inlineStr">
        <is>
          <t>air</t>
        </is>
      </c>
      <c r="F3919" t="inlineStr">
        <is>
          <t>biosphere</t>
        </is>
      </c>
      <c r="H3919" t="inlineStr">
        <is>
          <t>1.3E-04 kg/kg fuel for diesel locomotives, according to Spielmann et al. (2007)
Spielmann, M., Bauer, C., Dones, R., Institut, P. S., &amp; Tuchschmid, M. (2007). Transport Services. Swiss Centre for Life Cycle Inventories, ecoinvent report No. 14.</t>
        </is>
      </c>
      <c r="I3919">
        <v>0</v>
      </c>
    </row>
    <row r="3920">
      <c r="A3920" t="inlineStr">
        <is>
          <t>NMVOC, non-methane volatile organic compounds</t>
        </is>
      </c>
      <c r="B3920">
        <v>0.00010932428384368284</v>
      </c>
      <c r="D3920" t="inlineStr">
        <is>
          <t>kilogram</t>
        </is>
      </c>
      <c r="E3920" t="inlineStr">
        <is>
          <t>air</t>
        </is>
      </c>
      <c r="F3920" t="inlineStr">
        <is>
          <t>biosphere</t>
        </is>
      </c>
      <c r="H3920" t="inlineStr">
        <is>
          <t>5.25E-03 kg/kg fuel for diesel locomotives, according to Spielmann et al. (2007)
Spielmann, M., Bauer, C., Dones, R., Institut, P. S., &amp; Tuchschmid, M. (2007). Transport Services. Swiss Centre for Life Cycle Inventories, ecoinvent report No. 14.</t>
        </is>
      </c>
      <c r="I3920">
        <v>0</v>
      </c>
    </row>
    <row r="3921">
      <c r="A3921" t="inlineStr">
        <is>
          <t>Nickel II</t>
        </is>
      </c>
      <c r="B3921">
        <v>1.4576571179157713e-09</v>
      </c>
      <c r="D3921" t="inlineStr">
        <is>
          <t>kilogram</t>
        </is>
      </c>
      <c r="E3921" t="inlineStr">
        <is>
          <t>air</t>
        </is>
      </c>
      <c r="F3921" t="inlineStr">
        <is>
          <t>biosphere</t>
        </is>
      </c>
      <c r="H3921" t="inlineStr">
        <is>
          <t>7.0E-08 kg/kg fuel for diesel locomotives, according to Spielmann et al. (2007)
Spielmann, M., Bauer, C., Dones, R., Institut, P. S., &amp; Tuchschmid, M. (2007). Transport Services. Swiss Centre for Life Cycle Inventories, ecoinvent report No. 14.</t>
        </is>
      </c>
      <c r="I3921">
        <v>0</v>
      </c>
    </row>
    <row r="3922">
      <c r="A3922" t="inlineStr">
        <is>
          <t>Nitrogen oxides</t>
        </is>
      </c>
      <c r="B3922">
        <v>0.0011453020212195343</v>
      </c>
      <c r="D3922" t="inlineStr">
        <is>
          <t>kilogram</t>
        </is>
      </c>
      <c r="E3922" t="inlineStr">
        <is>
          <t>air::unspecified</t>
        </is>
      </c>
      <c r="F3922" t="inlineStr">
        <is>
          <t>biosphere</t>
        </is>
      </c>
      <c r="H3922" t="inlineStr">
        <is>
          <t>5.5E-02 kg/kg fuel for diesel locomotives, according to Spielmann et al. (2007)
Spielmann, M., Bauer, C., Dones, R., Institut, P. S., &amp; Tuchschmid, M. (2007). Transport Services. Swiss Centre for Life Cycle Inventories, ecoinvent report No. 14.</t>
        </is>
      </c>
      <c r="I3922">
        <v>0</v>
      </c>
    </row>
    <row r="3923">
      <c r="A3923" t="inlineStr">
        <is>
          <t>Particulate Matter, &lt; 2.5 um</t>
        </is>
      </c>
      <c r="B3923">
        <v>2.5613117929091406e-05</v>
      </c>
      <c r="D3923" t="inlineStr">
        <is>
          <t>kilogram</t>
        </is>
      </c>
      <c r="E3923" t="inlineStr">
        <is>
          <t>air</t>
        </is>
      </c>
      <c r="F3923" t="inlineStr">
        <is>
          <t>biosphere</t>
        </is>
      </c>
      <c r="H3923" t="inlineStr">
        <is>
          <t>1.28E-03 kg/kg fuel for diesel locomotives, according to Spielmann et al. (2007)
Spielmann, M., Bauer, C., Dones, R., Institut, P. S., &amp; Tuchschmid, M. (2007). Transport Services. Swiss Centre for Life Cycle Inventories, ecoinvent report No. 14.</t>
        </is>
      </c>
      <c r="I3923">
        <v>0</v>
      </c>
    </row>
    <row r="3924">
      <c r="A3924" t="inlineStr">
        <is>
          <t>Particulate Matter, &gt; 10 um</t>
        </is>
      </c>
      <c r="B3924">
        <v>4.633053826895546e-05</v>
      </c>
      <c r="D3924" t="inlineStr">
        <is>
          <t>kilogram</t>
        </is>
      </c>
      <c r="E3924" t="inlineStr">
        <is>
          <t>air</t>
        </is>
      </c>
      <c r="F3924" t="inlineStr">
        <is>
          <t>biosphere</t>
        </is>
      </c>
      <c r="H392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24">
        <v>0</v>
      </c>
    </row>
    <row r="3925">
      <c r="A3925" t="inlineStr">
        <is>
          <t>Particulate Matter, &gt; 2.5 um and &lt; 10um</t>
        </is>
      </c>
      <c r="B3925">
        <v>4.3841313442606596e-05</v>
      </c>
      <c r="D3925" t="inlineStr">
        <is>
          <t>kilogram</t>
        </is>
      </c>
      <c r="E3925" t="inlineStr">
        <is>
          <t>air</t>
        </is>
      </c>
      <c r="F3925" t="inlineStr">
        <is>
          <t>biosphere</t>
        </is>
      </c>
      <c r="H392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25">
        <v>0</v>
      </c>
    </row>
    <row r="3926">
      <c r="A3926" t="inlineStr">
        <is>
          <t>Selenium IV</t>
        </is>
      </c>
      <c r="B3926">
        <v>2.0823673113082443e-10</v>
      </c>
      <c r="D3926" t="inlineStr">
        <is>
          <t>kilogram</t>
        </is>
      </c>
      <c r="E3926" t="inlineStr">
        <is>
          <t>air</t>
        </is>
      </c>
      <c r="F3926" t="inlineStr">
        <is>
          <t>biosphere</t>
        </is>
      </c>
      <c r="H3926" t="inlineStr">
        <is>
          <t>1.0E-08 kg/kg fuel for diesel locomotives, according to Spielmann et al. (2007)
Spielmann, M., Bauer, C., Dones, R., Institut, P. S., &amp; Tuchschmid, M. (2007). Transport Services. Swiss Centre for Life Cycle Inventories, ecoinvent report No. 14.</t>
        </is>
      </c>
      <c r="I3926">
        <v>0</v>
      </c>
    </row>
    <row r="3927">
      <c r="A3927" t="inlineStr">
        <is>
          <t>Sulfur dioxide</t>
        </is>
      </c>
      <c r="B3927">
        <v>1.2494203867849466e-05</v>
      </c>
      <c r="D3927" t="inlineStr">
        <is>
          <t>kilogram</t>
        </is>
      </c>
      <c r="E3927" t="inlineStr">
        <is>
          <t>air</t>
        </is>
      </c>
      <c r="F3927" t="inlineStr">
        <is>
          <t>biosphere</t>
        </is>
      </c>
      <c r="H3927" t="inlineStr">
        <is>
          <t>6.0E-04 kg/kg fuel for diesel locomotives, according to Spielmann et al. (2007)
Spielmann, M., Bauer, C., Dones, R., Institut, P. S., &amp; Tuchschmid, M. (2007). Transport Services. Swiss Centre for Life Cycle Inventories, ecoinvent report No. 14.</t>
        </is>
      </c>
      <c r="I3927">
        <v>0</v>
      </c>
    </row>
    <row r="3928">
      <c r="A3928" t="inlineStr">
        <is>
          <t>Toluene</t>
        </is>
      </c>
      <c r="B3928">
        <v>8.329469245232978e-07</v>
      </c>
      <c r="D3928" t="inlineStr">
        <is>
          <t>kilogram</t>
        </is>
      </c>
      <c r="E3928" t="inlineStr">
        <is>
          <t>air</t>
        </is>
      </c>
      <c r="F3928" t="inlineStr">
        <is>
          <t>biosphere</t>
        </is>
      </c>
      <c r="H3928" t="inlineStr">
        <is>
          <t>4.0E-05 kg/kg fuel for diesel locomotives, according to Spielmann et al. (2007)
Spielmann, M., Bauer, C., Dones, R., Institut, P. S., &amp; Tuchschmid, M. (2007). Transport Services. Swiss Centre for Life Cycle Inventories, ecoinvent report No. 14.</t>
        </is>
      </c>
      <c r="I3928">
        <v>0</v>
      </c>
    </row>
    <row r="3929">
      <c r="A3929" t="inlineStr">
        <is>
          <t>Xylenes, unspecified</t>
        </is>
      </c>
      <c r="B3929">
        <v>8.329469245232978e-07</v>
      </c>
      <c r="D3929" t="inlineStr">
        <is>
          <t>kilogram</t>
        </is>
      </c>
      <c r="E3929" t="inlineStr">
        <is>
          <t>air::unspecified</t>
        </is>
      </c>
      <c r="F3929" t="inlineStr">
        <is>
          <t>biosphere</t>
        </is>
      </c>
      <c r="H3929" t="inlineStr">
        <is>
          <t>4.0E-05 kg/kg fuel for diesel locomotives, according to Spielmann et al. (2007)
Spielmann, M., Bauer, C., Dones, R., Institut, P. S., &amp; Tuchschmid, M. (2007). Transport Services. Swiss Centre for Life Cycle Inventories, ecoinvent report No. 14.</t>
        </is>
      </c>
      <c r="I3929">
        <v>0</v>
      </c>
    </row>
    <row r="3930">
      <c r="A3930" t="inlineStr">
        <is>
          <t>Zinc II</t>
        </is>
      </c>
      <c r="B3930">
        <v>2.0823673113082442e-08</v>
      </c>
      <c r="D3930" t="inlineStr">
        <is>
          <t>kilogram</t>
        </is>
      </c>
      <c r="E3930" t="inlineStr">
        <is>
          <t>air</t>
        </is>
      </c>
      <c r="F3930" t="inlineStr">
        <is>
          <t>biosphere</t>
        </is>
      </c>
      <c r="H3930" t="inlineStr">
        <is>
          <t>1.0E-06 kg/kg fuel for diesel locomotives, according to Spielmann et al. (2007)
Spielmann, M., Bauer, C., Dones, R., Institut, P. S., &amp; Tuchschmid, M. (2007). Transport Services. Swiss Centre for Life Cycle Inventories, ecoinvent report No. 14.</t>
        </is>
      </c>
      <c r="I3930">
        <v>0</v>
      </c>
    </row>
    <row r="3931"/>
    <row r="3932">
      <c r="A3932" t="inlineStr">
        <is>
          <t>Activity</t>
        </is>
      </c>
      <c r="B3932" t="inlineStr">
        <is>
          <t>diesel, synthetic, burned in passenger train</t>
        </is>
      </c>
    </row>
    <row r="3933">
      <c r="A3933" t="inlineStr">
        <is>
          <t>location</t>
        </is>
      </c>
      <c r="B3933" t="inlineStr">
        <is>
          <t>RER</t>
        </is>
      </c>
    </row>
    <row r="3934">
      <c r="A3934" t="inlineStr">
        <is>
          <t>production amount</t>
        </is>
      </c>
      <c r="B3934">
        <v>1</v>
      </c>
    </row>
    <row r="3935">
      <c r="A3935" t="inlineStr">
        <is>
          <t>reference product</t>
        </is>
      </c>
      <c r="B3935" t="inlineStr">
        <is>
          <t>heat</t>
        </is>
      </c>
    </row>
    <row r="3936">
      <c r="A3936" t="inlineStr">
        <is>
          <t>type</t>
        </is>
      </c>
      <c r="B3936" t="inlineStr">
        <is>
          <t>process</t>
        </is>
      </c>
    </row>
    <row r="3937">
      <c r="A3937" t="inlineStr">
        <is>
          <t>unit</t>
        </is>
      </c>
      <c r="B3937" t="inlineStr">
        <is>
          <t>megajoule</t>
        </is>
      </c>
    </row>
    <row r="3938">
      <c r="A3938" t="inlineStr">
        <is>
          <t>energy use source</t>
        </is>
      </c>
      <c r="B3938"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 "vehicle per source service": 7.11e-10, "replacement correction factor": 1.0, "amount per MJ": 8.00481860964219e-06}, {"supplier": ["market for electric motor, electric passenger car", "electric motor, electric passenger car", "GLO", "kilogram"], "amount per vehicle": 1272,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39">
      <c r="A3939" t="inlineStr">
        <is>
          <t>comment</t>
        </is>
      </c>
      <c r="B3939"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40">
      <c r="A3940" t="inlineStr">
        <is>
          <t>Exchanges</t>
        </is>
      </c>
    </row>
    <row r="3941">
      <c r="A3941" t="inlineStr">
        <is>
          <t>name</t>
        </is>
      </c>
      <c r="B3941" t="inlineStr">
        <is>
          <t>amount</t>
        </is>
      </c>
      <c r="C3941" t="inlineStr">
        <is>
          <t>location</t>
        </is>
      </c>
      <c r="D3941" t="inlineStr">
        <is>
          <t>unit</t>
        </is>
      </c>
      <c r="E3941" t="inlineStr">
        <is>
          <t>categories</t>
        </is>
      </c>
      <c r="F3941" t="inlineStr">
        <is>
          <t>type</t>
        </is>
      </c>
      <c r="G3941" t="inlineStr">
        <is>
          <t>reference product</t>
        </is>
      </c>
      <c r="H3941" t="inlineStr">
        <is>
          <t>comment</t>
        </is>
      </c>
      <c r="I3941" t="inlineStr">
        <is>
          <t>uncertainty type</t>
        </is>
      </c>
    </row>
    <row r="3942">
      <c r="A3942" t="inlineStr">
        <is>
          <t>diesel, synthetic, burned in passenger train</t>
        </is>
      </c>
      <c r="B3942">
        <v>1.0</v>
      </c>
      <c r="C3942" t="inlineStr">
        <is>
          <t>RER</t>
        </is>
      </c>
      <c r="D3942" t="inlineStr">
        <is>
          <t>megajoule</t>
        </is>
      </c>
      <c r="F3942" t="inlineStr">
        <is>
          <t>production</t>
        </is>
      </c>
      <c r="G3942" t="inlineStr">
        <is>
          <t>heat</t>
        </is>
      </c>
      <c r="I3942">
        <v>0</v>
      </c>
    </row>
    <row r="3943">
      <c r="A3943" t="inlineStr">
        <is>
          <t>diesel production, synthetic, from Fischer Tropsch process, market-average hydrogen, energy allocation, at fuelling station</t>
        </is>
      </c>
      <c r="B3943">
        <v>0.023255813953488372</v>
      </c>
      <c r="C3943" t="inlineStr">
        <is>
          <t>RER</t>
        </is>
      </c>
      <c r="D3943" t="inlineStr">
        <is>
          <t>kilogram</t>
        </is>
      </c>
      <c r="F3943" t="inlineStr">
        <is>
          <t>technosphere</t>
        </is>
      </c>
      <c r="G3943" t="inlineStr">
        <is>
          <t>diesel, synthetic, vehicle grade</t>
        </is>
      </c>
      <c r="I3943">
        <v>0</v>
      </c>
    </row>
    <row r="3944">
      <c r="A3944" t="inlineStr">
        <is>
          <t>fuel tank, for diesel vehicle, adapted to locomotives</t>
        </is>
      </c>
      <c r="B3944">
        <v>1.6548105207134522e-07</v>
      </c>
      <c r="C3944" t="inlineStr">
        <is>
          <t>RER</t>
        </is>
      </c>
      <c r="D3944" t="inlineStr">
        <is>
          <t>kilogram</t>
        </is>
      </c>
      <c r="F3944" t="inlineStr">
        <is>
          <t>technosphere</t>
        </is>
      </c>
      <c r="G3944" t="inlineStr">
        <is>
          <t>fuel tank</t>
        </is>
      </c>
      <c r="H3944"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44">
        <v>0</v>
      </c>
    </row>
    <row r="3945">
      <c r="A3945" t="inlineStr">
        <is>
          <t>internal combustion engine, for lorry, adapted to locomotives</t>
        </is>
      </c>
      <c r="B3945">
        <v>1.7413079443052818e-05</v>
      </c>
      <c r="C3945" t="inlineStr">
        <is>
          <t>RER</t>
        </is>
      </c>
      <c r="D3945" t="inlineStr">
        <is>
          <t>kilogram</t>
        </is>
      </c>
      <c r="F3945" t="inlineStr">
        <is>
          <t>technosphere</t>
        </is>
      </c>
      <c r="G3945" t="inlineStr">
        <is>
          <t>internal combustion engine, for lorry</t>
        </is>
      </c>
      <c r="H3945"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45">
        <v>0</v>
      </c>
    </row>
    <row r="3946">
      <c r="A3946" t="inlineStr">
        <is>
          <t>electronic component production, passive, unspecified</t>
        </is>
      </c>
      <c r="B3946">
        <v>8.00481860964219e-06</v>
      </c>
      <c r="C3946" t="inlineStr">
        <is>
          <t>GLO</t>
        </is>
      </c>
      <c r="D3946" t="inlineStr">
        <is>
          <t>kilogram</t>
        </is>
      </c>
      <c r="F3946" t="inlineStr">
        <is>
          <t>technosphere</t>
        </is>
      </c>
      <c r="G3946" t="inlineStr">
        <is>
          <t>electronic component, passive, unspecified</t>
        </is>
      </c>
      <c r="H3946"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46">
        <v>0</v>
      </c>
    </row>
    <row r="3947">
      <c r="A3947" t="inlineStr">
        <is>
          <t>market for electric motor, electric passenger car</t>
        </is>
      </c>
      <c r="B3947">
        <v>2.3088728506723053e-06</v>
      </c>
      <c r="C3947" t="inlineStr">
        <is>
          <t>GLO</t>
        </is>
      </c>
      <c r="D3947" t="inlineStr">
        <is>
          <t>kilogram</t>
        </is>
      </c>
      <c r="F3947" t="inlineStr">
        <is>
          <t>technosphere</t>
        </is>
      </c>
      <c r="G3947" t="inlineStr">
        <is>
          <t>electric motor, electric passenger car</t>
        </is>
      </c>
      <c r="H3947"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47">
        <v>0</v>
      </c>
    </row>
    <row r="3948">
      <c r="A3948" t="inlineStr">
        <is>
          <t>market for converter, for electric passenger car</t>
        </is>
      </c>
      <c r="B3948">
        <v>8.277091351466727e-06</v>
      </c>
      <c r="C3948" t="inlineStr">
        <is>
          <t>GLO</t>
        </is>
      </c>
      <c r="D3948" t="inlineStr">
        <is>
          <t>kilogram</t>
        </is>
      </c>
      <c r="F3948" t="inlineStr">
        <is>
          <t>technosphere</t>
        </is>
      </c>
      <c r="G3948" t="inlineStr">
        <is>
          <t>converter, for electric passenger car</t>
        </is>
      </c>
      <c r="H3948"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48">
        <v>0</v>
      </c>
    </row>
    <row r="3949">
      <c r="A3949" t="inlineStr">
        <is>
          <t>Ammonia</t>
        </is>
      </c>
      <c r="B3949">
        <v>4.164734622616489e-07</v>
      </c>
      <c r="D3949" t="inlineStr">
        <is>
          <t>kilogram</t>
        </is>
      </c>
      <c r="E3949" t="inlineStr">
        <is>
          <t>air</t>
        </is>
      </c>
      <c r="F3949" t="inlineStr">
        <is>
          <t>biosphere</t>
        </is>
      </c>
      <c r="H3949" t="inlineStr">
        <is>
          <t>2.0E-05 kg/kg fuel for diesel locomotives, according to Spielmann et al. (2007)
Spielmann, M., Bauer, C., Dones, R., Institut, P. S., &amp; Tuchschmid, M. (2007). Transport Services. Swiss Centre for Life Cycle Inventories, ecoinvent report No. 14.</t>
        </is>
      </c>
      <c r="I3949">
        <v>0</v>
      </c>
    </row>
    <row r="3950">
      <c r="A3950" t="inlineStr">
        <is>
          <t>Benzene</t>
        </is>
      </c>
      <c r="B3950">
        <v>2.0823673113082445e-06</v>
      </c>
      <c r="D3950" t="inlineStr">
        <is>
          <t>kilogram</t>
        </is>
      </c>
      <c r="E3950" t="inlineStr">
        <is>
          <t>air</t>
        </is>
      </c>
      <c r="F3950" t="inlineStr">
        <is>
          <t>biosphere</t>
        </is>
      </c>
      <c r="H3950" t="inlineStr">
        <is>
          <t>1.0E-04 kg/kg fuel for diesel locomotives, according to Spielmann et al. (2007)
Spielmann, M., Bauer, C., Dones, R., Institut, P. S., &amp; Tuchschmid, M. (2007). Transport Services. Swiss Centre for Life Cycle Inventories, ecoinvent report No. 14.</t>
        </is>
      </c>
      <c r="I3950">
        <v>0</v>
      </c>
    </row>
    <row r="3951">
      <c r="A3951" t="inlineStr">
        <is>
          <t>Cadmium II</t>
        </is>
      </c>
      <c r="B3951">
        <v>2.0823673113082443e-10</v>
      </c>
      <c r="D3951" t="inlineStr">
        <is>
          <t>kilogram</t>
        </is>
      </c>
      <c r="E3951" t="inlineStr">
        <is>
          <t>air</t>
        </is>
      </c>
      <c r="F3951" t="inlineStr">
        <is>
          <t>biosphere</t>
        </is>
      </c>
      <c r="H3951" t="inlineStr">
        <is>
          <t>1.0E-08 kg/kg fuel for diesel locomotives, according to Spielmann et al. (2007)
Spielmann, M., Bauer, C., Dones, R., Institut, P. S., &amp; Tuchschmid, M. (2007). Transport Services. Swiss Centre for Life Cycle Inventories, ecoinvent report No. 14.</t>
        </is>
      </c>
      <c r="I3951">
        <v>0</v>
      </c>
    </row>
    <row r="3952">
      <c r="A3952" t="inlineStr">
        <is>
          <t>Carbon monoxide, fossil</t>
        </is>
      </c>
      <c r="B3952">
        <v>0.00032901403518670265</v>
      </c>
      <c r="D3952" t="inlineStr">
        <is>
          <t>kilogram</t>
        </is>
      </c>
      <c r="E3952" t="inlineStr">
        <is>
          <t>air</t>
        </is>
      </c>
      <c r="F3952" t="inlineStr">
        <is>
          <t>biosphere</t>
        </is>
      </c>
      <c r="H3952" t="inlineStr">
        <is>
          <t>1.58E-02 kg/kg fuel for diesel locomotives, according to Spielmann et al. (2007)
Spielmann, M., Bauer, C., Dones, R., Institut, P. S., &amp; Tuchschmid, M. (2007). Transport Services. Swiss Centre for Life Cycle Inventories, ecoinvent report No. 14.</t>
        </is>
      </c>
      <c r="I3952">
        <v>0</v>
      </c>
    </row>
    <row r="3953">
      <c r="A3953" t="inlineStr">
        <is>
          <t>Chromium III</t>
        </is>
      </c>
      <c r="B3953">
        <v>1.0411836556541222e-09</v>
      </c>
      <c r="D3953" t="inlineStr">
        <is>
          <t>kilogram</t>
        </is>
      </c>
      <c r="E3953" t="inlineStr">
        <is>
          <t>air</t>
        </is>
      </c>
      <c r="F3953" t="inlineStr">
        <is>
          <t>biosphere</t>
        </is>
      </c>
      <c r="H3953" t="inlineStr">
        <is>
          <t>5.0E-08 kg/kg fuel for diesel locomotives, according to Spielmann et al. (2007)
Spielmann, M., Bauer, C., Dones, R., Institut, P. S., &amp; Tuchschmid, M. (2007). Transport Services. Swiss Centre for Life Cycle Inventories, ecoinvent report No. 14.</t>
        </is>
      </c>
      <c r="I3953">
        <v>0</v>
      </c>
    </row>
    <row r="3954">
      <c r="A3954" t="inlineStr">
        <is>
          <t>Copper ion</t>
        </is>
      </c>
      <c r="B3954">
        <v>3.5400244292240155e-08</v>
      </c>
      <c r="D3954" t="inlineStr">
        <is>
          <t>kilogram</t>
        </is>
      </c>
      <c r="E3954" t="inlineStr">
        <is>
          <t>air</t>
        </is>
      </c>
      <c r="F3954" t="inlineStr">
        <is>
          <t>biosphere</t>
        </is>
      </c>
      <c r="H3954" t="inlineStr">
        <is>
          <t>1.7E-06 kg/kg fuel for diesel locomotives, according to Spielmann et al. (2007)
Spielmann, M., Bauer, C., Dones, R., Institut, P. S., &amp; Tuchschmid, M. (2007). Transport Services. Swiss Centre for Life Cycle Inventories, ecoinvent report No. 14.</t>
        </is>
      </c>
      <c r="I3954">
        <v>0</v>
      </c>
    </row>
    <row r="3955">
      <c r="A3955" t="inlineStr">
        <is>
          <t>Dinitrogen monoxide</t>
        </is>
      </c>
      <c r="B3955">
        <v>2.0823673113082445e-06</v>
      </c>
      <c r="D3955" t="inlineStr">
        <is>
          <t>kilogram</t>
        </is>
      </c>
      <c r="E3955" t="inlineStr">
        <is>
          <t>air</t>
        </is>
      </c>
      <c r="F3955" t="inlineStr">
        <is>
          <t>biosphere</t>
        </is>
      </c>
      <c r="H3955" t="inlineStr">
        <is>
          <t>1.0E-04 kg/kg fuel for diesel locomotives, according to Spielmann et al. (2007)
Spielmann, M., Bauer, C., Dones, R., Institut, P. S., &amp; Tuchschmid, M. (2007). Transport Services. Swiss Centre for Life Cycle Inventories, ecoinvent report No. 14.</t>
        </is>
      </c>
      <c r="I3955">
        <v>0</v>
      </c>
    </row>
    <row r="3956">
      <c r="A3956" t="inlineStr">
        <is>
          <t>Iron ion</t>
        </is>
      </c>
      <c r="B3956">
        <v>3.165665258907264e-05</v>
      </c>
      <c r="D3956" t="inlineStr">
        <is>
          <t>kilogram</t>
        </is>
      </c>
      <c r="E3956" t="inlineStr">
        <is>
          <t>soil</t>
        </is>
      </c>
      <c r="F3956" t="inlineStr">
        <is>
          <t>biosphere</t>
        </is>
      </c>
      <c r="H39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56">
        <v>0</v>
      </c>
    </row>
    <row r="3957">
      <c r="A3957" t="inlineStr">
        <is>
          <t>Lead II</t>
        </is>
      </c>
      <c r="B3957">
        <v>2.2906040424390686e-12</v>
      </c>
      <c r="D3957" t="inlineStr">
        <is>
          <t>kilogram</t>
        </is>
      </c>
      <c r="E3957" t="inlineStr">
        <is>
          <t>air</t>
        </is>
      </c>
      <c r="F3957" t="inlineStr">
        <is>
          <t>biosphere</t>
        </is>
      </c>
      <c r="H3957" t="inlineStr">
        <is>
          <t>1.1E-10 kg/kg fuel for diesel locomotives, according to Spielmann et al. (2007)
Spielmann, M., Bauer, C., Dones, R., Institut, P. S., &amp; Tuchschmid, M. (2007). Transport Services. Swiss Centre for Life Cycle Inventories, ecoinvent report No. 14.</t>
        </is>
      </c>
      <c r="I3957">
        <v>0</v>
      </c>
    </row>
    <row r="3958">
      <c r="A3958" t="inlineStr">
        <is>
          <t>Mercury II</t>
        </is>
      </c>
      <c r="B3958">
        <v>4.1647346226164887e-13</v>
      </c>
      <c r="D3958" t="inlineStr">
        <is>
          <t>kilogram</t>
        </is>
      </c>
      <c r="E3958" t="inlineStr">
        <is>
          <t>air</t>
        </is>
      </c>
      <c r="F3958" t="inlineStr">
        <is>
          <t>biosphere</t>
        </is>
      </c>
      <c r="H3958" t="inlineStr">
        <is>
          <t>2.0E-11 kg/kg fuel for diesel locomotives, according to Spielmann et al. (2007)
Spielmann, M., Bauer, C., Dones, R., Institut, P. S., &amp; Tuchschmid, M. (2007). Transport Services. Swiss Centre for Life Cycle Inventories, ecoinvent report No. 14.</t>
        </is>
      </c>
      <c r="I3958">
        <v>0</v>
      </c>
    </row>
    <row r="3959">
      <c r="A3959" t="inlineStr">
        <is>
          <t>Methane, fossil</t>
        </is>
      </c>
      <c r="B3959">
        <v>2.7070775047007178e-06</v>
      </c>
      <c r="D3959" t="inlineStr">
        <is>
          <t>kilogram</t>
        </is>
      </c>
      <c r="E3959" t="inlineStr">
        <is>
          <t>air</t>
        </is>
      </c>
      <c r="F3959" t="inlineStr">
        <is>
          <t>biosphere</t>
        </is>
      </c>
      <c r="H3959" t="inlineStr">
        <is>
          <t>1.3E-04 kg/kg fuel for diesel locomotives, according to Spielmann et al. (2007)
Spielmann, M., Bauer, C., Dones, R., Institut, P. S., &amp; Tuchschmid, M. (2007). Transport Services. Swiss Centre for Life Cycle Inventories, ecoinvent report No. 14.</t>
        </is>
      </c>
      <c r="I3959">
        <v>0</v>
      </c>
    </row>
    <row r="3960">
      <c r="A3960" t="inlineStr">
        <is>
          <t>NMVOC, non-methane volatile organic compounds</t>
        </is>
      </c>
      <c r="B3960">
        <v>0.00010932428384368284</v>
      </c>
      <c r="D3960" t="inlineStr">
        <is>
          <t>kilogram</t>
        </is>
      </c>
      <c r="E3960" t="inlineStr">
        <is>
          <t>air</t>
        </is>
      </c>
      <c r="F3960" t="inlineStr">
        <is>
          <t>biosphere</t>
        </is>
      </c>
      <c r="H3960" t="inlineStr">
        <is>
          <t>5.25E-03 kg/kg fuel for diesel locomotives, according to Spielmann et al. (2007)
Spielmann, M., Bauer, C., Dones, R., Institut, P. S., &amp; Tuchschmid, M. (2007). Transport Services. Swiss Centre for Life Cycle Inventories, ecoinvent report No. 14.</t>
        </is>
      </c>
      <c r="I3960">
        <v>0</v>
      </c>
    </row>
    <row r="3961">
      <c r="A3961" t="inlineStr">
        <is>
          <t>Nickel II</t>
        </is>
      </c>
      <c r="B3961">
        <v>1.4576571179157713e-09</v>
      </c>
      <c r="D3961" t="inlineStr">
        <is>
          <t>kilogram</t>
        </is>
      </c>
      <c r="E3961" t="inlineStr">
        <is>
          <t>air</t>
        </is>
      </c>
      <c r="F3961" t="inlineStr">
        <is>
          <t>biosphere</t>
        </is>
      </c>
      <c r="H3961" t="inlineStr">
        <is>
          <t>7.0E-08 kg/kg fuel for diesel locomotives, according to Spielmann et al. (2007)
Spielmann, M., Bauer, C., Dones, R., Institut, P. S., &amp; Tuchschmid, M. (2007). Transport Services. Swiss Centre for Life Cycle Inventories, ecoinvent report No. 14.</t>
        </is>
      </c>
      <c r="I3961">
        <v>0</v>
      </c>
    </row>
    <row r="3962">
      <c r="A3962" t="inlineStr">
        <is>
          <t>Nitrogen oxides</t>
        </is>
      </c>
      <c r="B3962">
        <v>0.0011453020212195343</v>
      </c>
      <c r="D3962" t="inlineStr">
        <is>
          <t>kilogram</t>
        </is>
      </c>
      <c r="E3962" t="inlineStr">
        <is>
          <t>air::unspecified</t>
        </is>
      </c>
      <c r="F3962" t="inlineStr">
        <is>
          <t>biosphere</t>
        </is>
      </c>
      <c r="H3962" t="inlineStr">
        <is>
          <t>5.5E-02 kg/kg fuel for diesel locomotives, according to Spielmann et al. (2007)
Spielmann, M., Bauer, C., Dones, R., Institut, P. S., &amp; Tuchschmid, M. (2007). Transport Services. Swiss Centre for Life Cycle Inventories, ecoinvent report No. 14.</t>
        </is>
      </c>
      <c r="I3962">
        <v>0</v>
      </c>
    </row>
    <row r="3963">
      <c r="A3963" t="inlineStr">
        <is>
          <t>Particulate Matter, &lt; 2.5 um</t>
        </is>
      </c>
      <c r="B3963">
        <v>2.5613117929091406e-05</v>
      </c>
      <c r="D3963" t="inlineStr">
        <is>
          <t>kilogram</t>
        </is>
      </c>
      <c r="E3963" t="inlineStr">
        <is>
          <t>air</t>
        </is>
      </c>
      <c r="F3963" t="inlineStr">
        <is>
          <t>biosphere</t>
        </is>
      </c>
      <c r="H3963" t="inlineStr">
        <is>
          <t>1.28E-03 kg/kg fuel for diesel locomotives, according to Spielmann et al. (2007)
Spielmann, M., Bauer, C., Dones, R., Institut, P. S., &amp; Tuchschmid, M. (2007). Transport Services. Swiss Centre for Life Cycle Inventories, ecoinvent report No. 14.</t>
        </is>
      </c>
      <c r="I3963">
        <v>0</v>
      </c>
    </row>
    <row r="3964">
      <c r="A3964" t="inlineStr">
        <is>
          <t>Particulate Matter, &gt; 10 um</t>
        </is>
      </c>
      <c r="B3964">
        <v>4.633053826895546e-05</v>
      </c>
      <c r="D3964" t="inlineStr">
        <is>
          <t>kilogram</t>
        </is>
      </c>
      <c r="E3964" t="inlineStr">
        <is>
          <t>air</t>
        </is>
      </c>
      <c r="F3964" t="inlineStr">
        <is>
          <t>biosphere</t>
        </is>
      </c>
      <c r="H39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64">
        <v>0</v>
      </c>
    </row>
    <row r="3965">
      <c r="A3965" t="inlineStr">
        <is>
          <t>Particulate Matter, &gt; 2.5 um and &lt; 10um</t>
        </is>
      </c>
      <c r="B3965">
        <v>4.3841313442606596e-05</v>
      </c>
      <c r="D3965" t="inlineStr">
        <is>
          <t>kilogram</t>
        </is>
      </c>
      <c r="E3965" t="inlineStr">
        <is>
          <t>air</t>
        </is>
      </c>
      <c r="F3965" t="inlineStr">
        <is>
          <t>biosphere</t>
        </is>
      </c>
      <c r="H39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65">
        <v>0</v>
      </c>
    </row>
    <row r="3966">
      <c r="A3966" t="inlineStr">
        <is>
          <t>Selenium IV</t>
        </is>
      </c>
      <c r="B3966">
        <v>2.0823673113082443e-10</v>
      </c>
      <c r="D3966" t="inlineStr">
        <is>
          <t>kilogram</t>
        </is>
      </c>
      <c r="E3966" t="inlineStr">
        <is>
          <t>air</t>
        </is>
      </c>
      <c r="F3966" t="inlineStr">
        <is>
          <t>biosphere</t>
        </is>
      </c>
      <c r="H3966" t="inlineStr">
        <is>
          <t>1.0E-08 kg/kg fuel for diesel locomotives, according to Spielmann et al. (2007)
Spielmann, M., Bauer, C., Dones, R., Institut, P. S., &amp; Tuchschmid, M. (2007). Transport Services. Swiss Centre for Life Cycle Inventories, ecoinvent report No. 14.</t>
        </is>
      </c>
      <c r="I3966">
        <v>0</v>
      </c>
    </row>
    <row r="3967">
      <c r="A3967" t="inlineStr">
        <is>
          <t>Sulfur dioxide</t>
        </is>
      </c>
      <c r="B3967">
        <v>1.2494203867849466e-05</v>
      </c>
      <c r="D3967" t="inlineStr">
        <is>
          <t>kilogram</t>
        </is>
      </c>
      <c r="E3967" t="inlineStr">
        <is>
          <t>air</t>
        </is>
      </c>
      <c r="F3967" t="inlineStr">
        <is>
          <t>biosphere</t>
        </is>
      </c>
      <c r="H3967" t="inlineStr">
        <is>
          <t>6.0E-04 kg/kg fuel for diesel locomotives, according to Spielmann et al. (2007)
Spielmann, M., Bauer, C., Dones, R., Institut, P. S., &amp; Tuchschmid, M. (2007). Transport Services. Swiss Centre for Life Cycle Inventories, ecoinvent report No. 14.</t>
        </is>
      </c>
      <c r="I3967">
        <v>0</v>
      </c>
    </row>
    <row r="3968">
      <c r="A3968" t="inlineStr">
        <is>
          <t>Toluene</t>
        </is>
      </c>
      <c r="B3968">
        <v>8.329469245232978e-07</v>
      </c>
      <c r="D3968" t="inlineStr">
        <is>
          <t>kilogram</t>
        </is>
      </c>
      <c r="E3968" t="inlineStr">
        <is>
          <t>air</t>
        </is>
      </c>
      <c r="F3968" t="inlineStr">
        <is>
          <t>biosphere</t>
        </is>
      </c>
      <c r="H3968" t="inlineStr">
        <is>
          <t>4.0E-05 kg/kg fuel for diesel locomotives, according to Spielmann et al. (2007)
Spielmann, M., Bauer, C., Dones, R., Institut, P. S., &amp; Tuchschmid, M. (2007). Transport Services. Swiss Centre for Life Cycle Inventories, ecoinvent report No. 14.</t>
        </is>
      </c>
      <c r="I3968">
        <v>0</v>
      </c>
    </row>
    <row r="3969">
      <c r="A3969" t="inlineStr">
        <is>
          <t>Xylenes, unspecified</t>
        </is>
      </c>
      <c r="B3969">
        <v>8.329469245232978e-07</v>
      </c>
      <c r="D3969" t="inlineStr">
        <is>
          <t>kilogram</t>
        </is>
      </c>
      <c r="E3969" t="inlineStr">
        <is>
          <t>air::unspecified</t>
        </is>
      </c>
      <c r="F3969" t="inlineStr">
        <is>
          <t>biosphere</t>
        </is>
      </c>
      <c r="H3969" t="inlineStr">
        <is>
          <t>4.0E-05 kg/kg fuel for diesel locomotives, according to Spielmann et al. (2007)
Spielmann, M., Bauer, C., Dones, R., Institut, P. S., &amp; Tuchschmid, M. (2007). Transport Services. Swiss Centre for Life Cycle Inventories, ecoinvent report No. 14.</t>
        </is>
      </c>
      <c r="I3969">
        <v>0</v>
      </c>
    </row>
    <row r="3970">
      <c r="A3970" t="inlineStr">
        <is>
          <t>Zinc II</t>
        </is>
      </c>
      <c r="B3970">
        <v>2.0823673113082442e-08</v>
      </c>
      <c r="D3970" t="inlineStr">
        <is>
          <t>kilogram</t>
        </is>
      </c>
      <c r="E3970" t="inlineStr">
        <is>
          <t>air</t>
        </is>
      </c>
      <c r="F3970" t="inlineStr">
        <is>
          <t>biosphere</t>
        </is>
      </c>
      <c r="H3970" t="inlineStr">
        <is>
          <t>1.0E-06 kg/kg fuel for diesel locomotives, according to Spielmann et al. (2007)
Spielmann, M., Bauer, C., Dones, R., Institut, P. S., &amp; Tuchschmid, M. (2007). Transport Services. Swiss Centre for Life Cycle Inventories, ecoinvent report No. 14.</t>
        </is>
      </c>
      <c r="I3970">
        <v>0</v>
      </c>
    </row>
    <row r="3971">
      <c r="A3971" t="inlineStr">
        <is>
          <t>Carbon dioxide, non-fossil</t>
        </is>
      </c>
      <c r="B3971">
        <v>0.0732</v>
      </c>
      <c r="D3971" t="inlineStr">
        <is>
          <t>kilogram</t>
        </is>
      </c>
      <c r="E3971" t="inlineStr">
        <is>
          <t>air</t>
        </is>
      </c>
      <c r="F3971" t="inlineStr">
        <is>
          <t>biosphere</t>
        </is>
      </c>
      <c r="I3971">
        <v>0</v>
      </c>
    </row>
    <row r="3972"/>
    <row r="3973">
      <c r="A3973" t="inlineStr">
        <is>
          <t>Activity</t>
        </is>
      </c>
      <c r="B3973" t="inlineStr">
        <is>
          <t>biodiesel, from residual oily biomass, burned in passenger train</t>
        </is>
      </c>
    </row>
    <row r="3974">
      <c r="A3974" t="inlineStr">
        <is>
          <t>location</t>
        </is>
      </c>
      <c r="B3974" t="inlineStr">
        <is>
          <t>RER</t>
        </is>
      </c>
    </row>
    <row r="3975">
      <c r="A3975" t="inlineStr">
        <is>
          <t>production amount</t>
        </is>
      </c>
      <c r="B3975">
        <v>1</v>
      </c>
    </row>
    <row r="3976">
      <c r="A3976" t="inlineStr">
        <is>
          <t>reference product</t>
        </is>
      </c>
      <c r="B3976" t="inlineStr">
        <is>
          <t>heat</t>
        </is>
      </c>
    </row>
    <row r="3977">
      <c r="A3977" t="inlineStr">
        <is>
          <t>type</t>
        </is>
      </c>
      <c r="B3977" t="inlineStr">
        <is>
          <t>process</t>
        </is>
      </c>
    </row>
    <row r="3978">
      <c r="A3978" t="inlineStr">
        <is>
          <t>unit</t>
        </is>
      </c>
      <c r="B3978" t="inlineStr">
        <is>
          <t>megajoule</t>
        </is>
      </c>
    </row>
    <row r="3979">
      <c r="A3979" t="inlineStr">
        <is>
          <t>energy use source</t>
        </is>
      </c>
      <c r="B39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 "vehicle per source service": 7.11e-10, "replacement correction factor": 1.0, "amount per MJ": 8.00481860964219e-06}, {"supplier": ["market for electric motor, electric passenger car", "electric motor, electric passenger car", "GLO", "kilogram"], "amount per vehicle": 1272,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980">
      <c r="A3980" t="inlineStr">
        <is>
          <t>comment</t>
        </is>
      </c>
      <c r="B3980"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81">
      <c r="A3981" t="inlineStr">
        <is>
          <t>Exchanges</t>
        </is>
      </c>
    </row>
    <row r="3982">
      <c r="A3982" t="inlineStr">
        <is>
          <t>name</t>
        </is>
      </c>
      <c r="B3982" t="inlineStr">
        <is>
          <t>amount</t>
        </is>
      </c>
      <c r="C3982" t="inlineStr">
        <is>
          <t>location</t>
        </is>
      </c>
      <c r="D3982" t="inlineStr">
        <is>
          <t>unit</t>
        </is>
      </c>
      <c r="E3982" t="inlineStr">
        <is>
          <t>categories</t>
        </is>
      </c>
      <c r="F3982" t="inlineStr">
        <is>
          <t>type</t>
        </is>
      </c>
      <c r="G3982" t="inlineStr">
        <is>
          <t>reference product</t>
        </is>
      </c>
      <c r="H3982" t="inlineStr">
        <is>
          <t>comment</t>
        </is>
      </c>
      <c r="I3982" t="inlineStr">
        <is>
          <t>uncertainty type</t>
        </is>
      </c>
    </row>
    <row r="3983">
      <c r="A3983" t="inlineStr">
        <is>
          <t>biodiesel, from residual oily biomass, burned in passenger train</t>
        </is>
      </c>
      <c r="B3983">
        <v>1.0</v>
      </c>
      <c r="C3983" t="inlineStr">
        <is>
          <t>RER</t>
        </is>
      </c>
      <c r="D3983" t="inlineStr">
        <is>
          <t>megajoule</t>
        </is>
      </c>
      <c r="F3983" t="inlineStr">
        <is>
          <t>production</t>
        </is>
      </c>
      <c r="G3983" t="inlineStr">
        <is>
          <t>heat</t>
        </is>
      </c>
      <c r="I3983">
        <v>0</v>
      </c>
    </row>
    <row r="3984">
      <c r="A3984" t="inlineStr">
        <is>
          <t>biodiesel production, via transesterification, from used cooking oil, energy allocation</t>
        </is>
      </c>
      <c r="B3984">
        <v>0.02631578947368421</v>
      </c>
      <c r="C3984" t="inlineStr">
        <is>
          <t>RER</t>
        </is>
      </c>
      <c r="D3984" t="inlineStr">
        <is>
          <t>kilogram</t>
        </is>
      </c>
      <c r="F3984" t="inlineStr">
        <is>
          <t>technosphere</t>
        </is>
      </c>
      <c r="G3984" t="inlineStr">
        <is>
          <t>biodiesel, from cooking oil</t>
        </is>
      </c>
      <c r="I3984">
        <v>0</v>
      </c>
    </row>
    <row r="3985">
      <c r="A3985" t="inlineStr">
        <is>
          <t>fuel tank, for diesel vehicle, adapted to locomotives</t>
        </is>
      </c>
      <c r="B3985">
        <v>1.6548105207134522e-07</v>
      </c>
      <c r="C3985" t="inlineStr">
        <is>
          <t>RER</t>
        </is>
      </c>
      <c r="D3985" t="inlineStr">
        <is>
          <t>kilogram</t>
        </is>
      </c>
      <c r="F3985" t="inlineStr">
        <is>
          <t>technosphere</t>
        </is>
      </c>
      <c r="G3985" t="inlineStr">
        <is>
          <t>fuel tank</t>
        </is>
      </c>
      <c r="H39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85">
        <v>0</v>
      </c>
    </row>
    <row r="3986">
      <c r="A3986" t="inlineStr">
        <is>
          <t>internal combustion engine, for lorry, adapted to locomotives</t>
        </is>
      </c>
      <c r="B3986">
        <v>1.7413079443052818e-05</v>
      </c>
      <c r="C3986" t="inlineStr">
        <is>
          <t>RER</t>
        </is>
      </c>
      <c r="D3986" t="inlineStr">
        <is>
          <t>kilogram</t>
        </is>
      </c>
      <c r="F3986" t="inlineStr">
        <is>
          <t>technosphere</t>
        </is>
      </c>
      <c r="G3986" t="inlineStr">
        <is>
          <t>internal combustion engine, for lorry</t>
        </is>
      </c>
      <c r="H39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86">
        <v>0</v>
      </c>
    </row>
    <row r="3987">
      <c r="A3987" t="inlineStr">
        <is>
          <t>electronic component production, passive, unspecified</t>
        </is>
      </c>
      <c r="B3987">
        <v>8.00481860964219e-06</v>
      </c>
      <c r="C3987" t="inlineStr">
        <is>
          <t>GLO</t>
        </is>
      </c>
      <c r="D3987" t="inlineStr">
        <is>
          <t>kilogram</t>
        </is>
      </c>
      <c r="F3987" t="inlineStr">
        <is>
          <t>technosphere</t>
        </is>
      </c>
      <c r="G3987" t="inlineStr">
        <is>
          <t>electronic component, passive, unspecified</t>
        </is>
      </c>
      <c r="H39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87">
        <v>0</v>
      </c>
    </row>
    <row r="3988">
      <c r="A3988" t="inlineStr">
        <is>
          <t>market for electric motor, electric passenger car</t>
        </is>
      </c>
      <c r="B3988">
        <v>2.3088728506723053e-06</v>
      </c>
      <c r="C3988" t="inlineStr">
        <is>
          <t>GLO</t>
        </is>
      </c>
      <c r="D3988" t="inlineStr">
        <is>
          <t>kilogram</t>
        </is>
      </c>
      <c r="F3988" t="inlineStr">
        <is>
          <t>technosphere</t>
        </is>
      </c>
      <c r="G3988" t="inlineStr">
        <is>
          <t>electric motor, electric passenger car</t>
        </is>
      </c>
      <c r="H3988"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88">
        <v>0</v>
      </c>
    </row>
    <row r="3989">
      <c r="A3989" t="inlineStr">
        <is>
          <t>market for converter, for electric passenger car</t>
        </is>
      </c>
      <c r="B3989">
        <v>8.277091351466727e-06</v>
      </c>
      <c r="C3989" t="inlineStr">
        <is>
          <t>GLO</t>
        </is>
      </c>
      <c r="D3989" t="inlineStr">
        <is>
          <t>kilogram</t>
        </is>
      </c>
      <c r="F3989" t="inlineStr">
        <is>
          <t>technosphere</t>
        </is>
      </c>
      <c r="G3989" t="inlineStr">
        <is>
          <t>converter, for electric passenger car</t>
        </is>
      </c>
      <c r="H39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89">
        <v>0</v>
      </c>
    </row>
    <row r="3990">
      <c r="A3990" t="inlineStr">
        <is>
          <t>Ammonia</t>
        </is>
      </c>
      <c r="B3990">
        <v>4.164734622616489e-07</v>
      </c>
      <c r="D3990" t="inlineStr">
        <is>
          <t>kilogram</t>
        </is>
      </c>
      <c r="E3990" t="inlineStr">
        <is>
          <t>air</t>
        </is>
      </c>
      <c r="F3990" t="inlineStr">
        <is>
          <t>biosphere</t>
        </is>
      </c>
      <c r="H3990" t="inlineStr">
        <is>
          <t>2.0E-05 kg/kg fuel for diesel locomotives, according to Spielmann et al. (2007)
Spielmann, M., Bauer, C., Dones, R., Institut, P. S., &amp; Tuchschmid, M. (2007). Transport Services. Swiss Centre for Life Cycle Inventories, ecoinvent report No. 14.</t>
        </is>
      </c>
      <c r="I3990">
        <v>0</v>
      </c>
    </row>
    <row r="3991">
      <c r="A3991" t="inlineStr">
        <is>
          <t>Benzene</t>
        </is>
      </c>
      <c r="B3991">
        <v>2.0823673113082445e-06</v>
      </c>
      <c r="D3991" t="inlineStr">
        <is>
          <t>kilogram</t>
        </is>
      </c>
      <c r="E3991" t="inlineStr">
        <is>
          <t>air</t>
        </is>
      </c>
      <c r="F3991" t="inlineStr">
        <is>
          <t>biosphere</t>
        </is>
      </c>
      <c r="H3991" t="inlineStr">
        <is>
          <t>1.0E-04 kg/kg fuel for diesel locomotives, according to Spielmann et al. (2007)
Spielmann, M., Bauer, C., Dones, R., Institut, P. S., &amp; Tuchschmid, M. (2007). Transport Services. Swiss Centre for Life Cycle Inventories, ecoinvent report No. 14.</t>
        </is>
      </c>
      <c r="I3991">
        <v>0</v>
      </c>
    </row>
    <row r="3992">
      <c r="A3992" t="inlineStr">
        <is>
          <t>Cadmium II</t>
        </is>
      </c>
      <c r="B3992">
        <v>2.0823673113082443e-10</v>
      </c>
      <c r="D3992" t="inlineStr">
        <is>
          <t>kilogram</t>
        </is>
      </c>
      <c r="E3992" t="inlineStr">
        <is>
          <t>air</t>
        </is>
      </c>
      <c r="F3992" t="inlineStr">
        <is>
          <t>biosphere</t>
        </is>
      </c>
      <c r="H3992" t="inlineStr">
        <is>
          <t>1.0E-08 kg/kg fuel for diesel locomotives, according to Spielmann et al. (2007)
Spielmann, M., Bauer, C., Dones, R., Institut, P. S., &amp; Tuchschmid, M. (2007). Transport Services. Swiss Centre for Life Cycle Inventories, ecoinvent report No. 14.</t>
        </is>
      </c>
      <c r="I3992">
        <v>0</v>
      </c>
    </row>
    <row r="3993">
      <c r="A3993" t="inlineStr">
        <is>
          <t>Carbon monoxide, fossil</t>
        </is>
      </c>
      <c r="B3993">
        <v>0.00032901403518670265</v>
      </c>
      <c r="D3993" t="inlineStr">
        <is>
          <t>kilogram</t>
        </is>
      </c>
      <c r="E3993" t="inlineStr">
        <is>
          <t>air</t>
        </is>
      </c>
      <c r="F3993" t="inlineStr">
        <is>
          <t>biosphere</t>
        </is>
      </c>
      <c r="H3993" t="inlineStr">
        <is>
          <t>1.58E-02 kg/kg fuel for diesel locomotives, according to Spielmann et al. (2007)
Spielmann, M., Bauer, C., Dones, R., Institut, P. S., &amp; Tuchschmid, M. (2007). Transport Services. Swiss Centre for Life Cycle Inventories, ecoinvent report No. 14.</t>
        </is>
      </c>
      <c r="I3993">
        <v>0</v>
      </c>
    </row>
    <row r="3994">
      <c r="A3994" t="inlineStr">
        <is>
          <t>Chromium III</t>
        </is>
      </c>
      <c r="B3994">
        <v>1.0411836556541222e-09</v>
      </c>
      <c r="D3994" t="inlineStr">
        <is>
          <t>kilogram</t>
        </is>
      </c>
      <c r="E3994" t="inlineStr">
        <is>
          <t>air</t>
        </is>
      </c>
      <c r="F3994" t="inlineStr">
        <is>
          <t>biosphere</t>
        </is>
      </c>
      <c r="H3994" t="inlineStr">
        <is>
          <t>5.0E-08 kg/kg fuel for diesel locomotives, according to Spielmann et al. (2007)
Spielmann, M., Bauer, C., Dones, R., Institut, P. S., &amp; Tuchschmid, M. (2007). Transport Services. Swiss Centre for Life Cycle Inventories, ecoinvent report No. 14.</t>
        </is>
      </c>
      <c r="I3994">
        <v>0</v>
      </c>
    </row>
    <row r="3995">
      <c r="A3995" t="inlineStr">
        <is>
          <t>Copper ion</t>
        </is>
      </c>
      <c r="B3995">
        <v>3.5400244292240155e-08</v>
      </c>
      <c r="D3995" t="inlineStr">
        <is>
          <t>kilogram</t>
        </is>
      </c>
      <c r="E3995" t="inlineStr">
        <is>
          <t>air</t>
        </is>
      </c>
      <c r="F3995" t="inlineStr">
        <is>
          <t>biosphere</t>
        </is>
      </c>
      <c r="H3995" t="inlineStr">
        <is>
          <t>1.7E-06 kg/kg fuel for diesel locomotives, according to Spielmann et al. (2007)
Spielmann, M., Bauer, C., Dones, R., Institut, P. S., &amp; Tuchschmid, M. (2007). Transport Services. Swiss Centre for Life Cycle Inventories, ecoinvent report No. 14.</t>
        </is>
      </c>
      <c r="I3995">
        <v>0</v>
      </c>
    </row>
    <row r="3996">
      <c r="A3996" t="inlineStr">
        <is>
          <t>Dinitrogen monoxide</t>
        </is>
      </c>
      <c r="B3996">
        <v>2.0823673113082445e-06</v>
      </c>
      <c r="D3996" t="inlineStr">
        <is>
          <t>kilogram</t>
        </is>
      </c>
      <c r="E3996" t="inlineStr">
        <is>
          <t>air</t>
        </is>
      </c>
      <c r="F3996" t="inlineStr">
        <is>
          <t>biosphere</t>
        </is>
      </c>
      <c r="H3996" t="inlineStr">
        <is>
          <t>1.0E-04 kg/kg fuel for diesel locomotives, according to Spielmann et al. (2007)
Spielmann, M., Bauer, C., Dones, R., Institut, P. S., &amp; Tuchschmid, M. (2007). Transport Services. Swiss Centre for Life Cycle Inventories, ecoinvent report No. 14.</t>
        </is>
      </c>
      <c r="I3996">
        <v>0</v>
      </c>
    </row>
    <row r="3997">
      <c r="A3997" t="inlineStr">
        <is>
          <t>Iron ion</t>
        </is>
      </c>
      <c r="B3997">
        <v>3.165665258907264e-05</v>
      </c>
      <c r="D3997" t="inlineStr">
        <is>
          <t>kilogram</t>
        </is>
      </c>
      <c r="E3997" t="inlineStr">
        <is>
          <t>soil</t>
        </is>
      </c>
      <c r="F3997" t="inlineStr">
        <is>
          <t>biosphere</t>
        </is>
      </c>
      <c r="H3997"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97">
        <v>0</v>
      </c>
    </row>
    <row r="3998">
      <c r="A3998" t="inlineStr">
        <is>
          <t>Lead II</t>
        </is>
      </c>
      <c r="B3998">
        <v>2.2906040424390686e-12</v>
      </c>
      <c r="D3998" t="inlineStr">
        <is>
          <t>kilogram</t>
        </is>
      </c>
      <c r="E3998" t="inlineStr">
        <is>
          <t>air</t>
        </is>
      </c>
      <c r="F3998" t="inlineStr">
        <is>
          <t>biosphere</t>
        </is>
      </c>
      <c r="H3998" t="inlineStr">
        <is>
          <t>1.1E-10 kg/kg fuel for diesel locomotives, according to Spielmann et al. (2007)
Spielmann, M., Bauer, C., Dones, R., Institut, P. S., &amp; Tuchschmid, M. (2007). Transport Services. Swiss Centre for Life Cycle Inventories, ecoinvent report No. 14.</t>
        </is>
      </c>
      <c r="I3998">
        <v>0</v>
      </c>
    </row>
    <row r="3999">
      <c r="A3999" t="inlineStr">
        <is>
          <t>Mercury II</t>
        </is>
      </c>
      <c r="B3999">
        <v>4.1647346226164887e-13</v>
      </c>
      <c r="D3999" t="inlineStr">
        <is>
          <t>kilogram</t>
        </is>
      </c>
      <c r="E3999" t="inlineStr">
        <is>
          <t>air</t>
        </is>
      </c>
      <c r="F3999" t="inlineStr">
        <is>
          <t>biosphere</t>
        </is>
      </c>
      <c r="H3999" t="inlineStr">
        <is>
          <t>2.0E-11 kg/kg fuel for diesel locomotives, according to Spielmann et al. (2007)
Spielmann, M., Bauer, C., Dones, R., Institut, P. S., &amp; Tuchschmid, M. (2007). Transport Services. Swiss Centre for Life Cycle Inventories, ecoinvent report No. 14.</t>
        </is>
      </c>
      <c r="I3999">
        <v>0</v>
      </c>
    </row>
    <row r="4000">
      <c r="A4000" t="inlineStr">
        <is>
          <t>Methane, fossil</t>
        </is>
      </c>
      <c r="B4000">
        <v>2.7070775047007178e-06</v>
      </c>
      <c r="D4000" t="inlineStr">
        <is>
          <t>kilogram</t>
        </is>
      </c>
      <c r="E4000" t="inlineStr">
        <is>
          <t>air</t>
        </is>
      </c>
      <c r="F4000" t="inlineStr">
        <is>
          <t>biosphere</t>
        </is>
      </c>
      <c r="H4000" t="inlineStr">
        <is>
          <t>1.3E-04 kg/kg fuel for diesel locomotives, according to Spielmann et al. (2007)
Spielmann, M., Bauer, C., Dones, R., Institut, P. S., &amp; Tuchschmid, M. (2007). Transport Services. Swiss Centre for Life Cycle Inventories, ecoinvent report No. 14.</t>
        </is>
      </c>
      <c r="I4000">
        <v>0</v>
      </c>
    </row>
    <row r="4001">
      <c r="A4001" t="inlineStr">
        <is>
          <t>NMVOC, non-methane volatile organic compounds</t>
        </is>
      </c>
      <c r="B4001">
        <v>0.00010932428384368284</v>
      </c>
      <c r="D4001" t="inlineStr">
        <is>
          <t>kilogram</t>
        </is>
      </c>
      <c r="E4001" t="inlineStr">
        <is>
          <t>air</t>
        </is>
      </c>
      <c r="F4001" t="inlineStr">
        <is>
          <t>biosphere</t>
        </is>
      </c>
      <c r="H4001" t="inlineStr">
        <is>
          <t>5.25E-03 kg/kg fuel for diesel locomotives, according to Spielmann et al. (2007)
Spielmann, M., Bauer, C., Dones, R., Institut, P. S., &amp; Tuchschmid, M. (2007). Transport Services. Swiss Centre for Life Cycle Inventories, ecoinvent report No. 14.</t>
        </is>
      </c>
      <c r="I4001">
        <v>0</v>
      </c>
    </row>
    <row r="4002">
      <c r="A4002" t="inlineStr">
        <is>
          <t>Nickel II</t>
        </is>
      </c>
      <c r="B4002">
        <v>1.4576571179157713e-09</v>
      </c>
      <c r="D4002" t="inlineStr">
        <is>
          <t>kilogram</t>
        </is>
      </c>
      <c r="E4002" t="inlineStr">
        <is>
          <t>air</t>
        </is>
      </c>
      <c r="F4002" t="inlineStr">
        <is>
          <t>biosphere</t>
        </is>
      </c>
      <c r="H4002" t="inlineStr">
        <is>
          <t>7.0E-08 kg/kg fuel for diesel locomotives, according to Spielmann et al. (2007)
Spielmann, M., Bauer, C., Dones, R., Institut, P. S., &amp; Tuchschmid, M. (2007). Transport Services. Swiss Centre for Life Cycle Inventories, ecoinvent report No. 14.</t>
        </is>
      </c>
      <c r="I4002">
        <v>0</v>
      </c>
    </row>
    <row r="4003">
      <c r="A4003" t="inlineStr">
        <is>
          <t>Nitrogen oxides</t>
        </is>
      </c>
      <c r="B4003">
        <v>0.0011453020212195343</v>
      </c>
      <c r="D4003" t="inlineStr">
        <is>
          <t>kilogram</t>
        </is>
      </c>
      <c r="E4003" t="inlineStr">
        <is>
          <t>air::unspecified</t>
        </is>
      </c>
      <c r="F4003" t="inlineStr">
        <is>
          <t>biosphere</t>
        </is>
      </c>
      <c r="H4003" t="inlineStr">
        <is>
          <t>5.5E-02 kg/kg fuel for diesel locomotives, according to Spielmann et al. (2007)
Spielmann, M., Bauer, C., Dones, R., Institut, P. S., &amp; Tuchschmid, M. (2007). Transport Services. Swiss Centre for Life Cycle Inventories, ecoinvent report No. 14.</t>
        </is>
      </c>
      <c r="I4003">
        <v>0</v>
      </c>
    </row>
    <row r="4004">
      <c r="A4004" t="inlineStr">
        <is>
          <t>Particulate Matter, &lt; 2.5 um</t>
        </is>
      </c>
      <c r="B4004">
        <v>2.5613117929091406e-05</v>
      </c>
      <c r="D4004" t="inlineStr">
        <is>
          <t>kilogram</t>
        </is>
      </c>
      <c r="E4004" t="inlineStr">
        <is>
          <t>air</t>
        </is>
      </c>
      <c r="F4004" t="inlineStr">
        <is>
          <t>biosphere</t>
        </is>
      </c>
      <c r="H4004" t="inlineStr">
        <is>
          <t>1.28E-03 kg/kg fuel for diesel locomotives, according to Spielmann et al. (2007)
Spielmann, M., Bauer, C., Dones, R., Institut, P. S., &amp; Tuchschmid, M. (2007). Transport Services. Swiss Centre for Life Cycle Inventories, ecoinvent report No. 14.</t>
        </is>
      </c>
      <c r="I4004">
        <v>0</v>
      </c>
    </row>
    <row r="4005">
      <c r="A4005" t="inlineStr">
        <is>
          <t>Particulate Matter, &gt; 10 um</t>
        </is>
      </c>
      <c r="B4005">
        <v>4.633053826895546e-05</v>
      </c>
      <c r="D4005" t="inlineStr">
        <is>
          <t>kilogram</t>
        </is>
      </c>
      <c r="E4005" t="inlineStr">
        <is>
          <t>air</t>
        </is>
      </c>
      <c r="F4005" t="inlineStr">
        <is>
          <t>biosphere</t>
        </is>
      </c>
      <c r="H4005"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05">
        <v>0</v>
      </c>
    </row>
    <row r="4006">
      <c r="A4006" t="inlineStr">
        <is>
          <t>Particulate Matter, &gt; 2.5 um and &lt; 10um</t>
        </is>
      </c>
      <c r="B4006">
        <v>4.3841313442606596e-05</v>
      </c>
      <c r="D4006" t="inlineStr">
        <is>
          <t>kilogram</t>
        </is>
      </c>
      <c r="E4006" t="inlineStr">
        <is>
          <t>air</t>
        </is>
      </c>
      <c r="F4006" t="inlineStr">
        <is>
          <t>biosphere</t>
        </is>
      </c>
      <c r="H4006"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06">
        <v>0</v>
      </c>
    </row>
    <row r="4007">
      <c r="A4007" t="inlineStr">
        <is>
          <t>Selenium IV</t>
        </is>
      </c>
      <c r="B4007">
        <v>2.0823673113082443e-10</v>
      </c>
      <c r="D4007" t="inlineStr">
        <is>
          <t>kilogram</t>
        </is>
      </c>
      <c r="E4007" t="inlineStr">
        <is>
          <t>air</t>
        </is>
      </c>
      <c r="F4007" t="inlineStr">
        <is>
          <t>biosphere</t>
        </is>
      </c>
      <c r="H4007" t="inlineStr">
        <is>
          <t>1.0E-08 kg/kg fuel for diesel locomotives, according to Spielmann et al. (2007)
Spielmann, M., Bauer, C., Dones, R., Institut, P. S., &amp; Tuchschmid, M. (2007). Transport Services. Swiss Centre for Life Cycle Inventories, ecoinvent report No. 14.</t>
        </is>
      </c>
      <c r="I4007">
        <v>0</v>
      </c>
    </row>
    <row r="4008">
      <c r="A4008" t="inlineStr">
        <is>
          <t>Sulfur dioxide</t>
        </is>
      </c>
      <c r="B4008">
        <v>1.2494203867849466e-05</v>
      </c>
      <c r="D4008" t="inlineStr">
        <is>
          <t>kilogram</t>
        </is>
      </c>
      <c r="E4008" t="inlineStr">
        <is>
          <t>air</t>
        </is>
      </c>
      <c r="F4008" t="inlineStr">
        <is>
          <t>biosphere</t>
        </is>
      </c>
      <c r="H4008" t="inlineStr">
        <is>
          <t>6.0E-04 kg/kg fuel for diesel locomotives, according to Spielmann et al. (2007)
Spielmann, M., Bauer, C., Dones, R., Institut, P. S., &amp; Tuchschmid, M. (2007). Transport Services. Swiss Centre for Life Cycle Inventories, ecoinvent report No. 14.</t>
        </is>
      </c>
      <c r="I4008">
        <v>0</v>
      </c>
    </row>
    <row r="4009">
      <c r="A4009" t="inlineStr">
        <is>
          <t>Toluene</t>
        </is>
      </c>
      <c r="B4009">
        <v>8.329469245232978e-07</v>
      </c>
      <c r="D4009" t="inlineStr">
        <is>
          <t>kilogram</t>
        </is>
      </c>
      <c r="E4009" t="inlineStr">
        <is>
          <t>air</t>
        </is>
      </c>
      <c r="F4009" t="inlineStr">
        <is>
          <t>biosphere</t>
        </is>
      </c>
      <c r="H4009" t="inlineStr">
        <is>
          <t>4.0E-05 kg/kg fuel for diesel locomotives, according to Spielmann et al. (2007)
Spielmann, M., Bauer, C., Dones, R., Institut, P. S., &amp; Tuchschmid, M. (2007). Transport Services. Swiss Centre for Life Cycle Inventories, ecoinvent report No. 14.</t>
        </is>
      </c>
      <c r="I4009">
        <v>0</v>
      </c>
    </row>
    <row r="4010">
      <c r="A4010" t="inlineStr">
        <is>
          <t>Xylenes, unspecified</t>
        </is>
      </c>
      <c r="B4010">
        <v>8.329469245232978e-07</v>
      </c>
      <c r="D4010" t="inlineStr">
        <is>
          <t>kilogram</t>
        </is>
      </c>
      <c r="E4010" t="inlineStr">
        <is>
          <t>air::unspecified</t>
        </is>
      </c>
      <c r="F4010" t="inlineStr">
        <is>
          <t>biosphere</t>
        </is>
      </c>
      <c r="H4010" t="inlineStr">
        <is>
          <t>4.0E-05 kg/kg fuel for diesel locomotives, according to Spielmann et al. (2007)
Spielmann, M., Bauer, C., Dones, R., Institut, P. S., &amp; Tuchschmid, M. (2007). Transport Services. Swiss Centre for Life Cycle Inventories, ecoinvent report No. 14.</t>
        </is>
      </c>
      <c r="I4010">
        <v>0</v>
      </c>
    </row>
    <row r="4011">
      <c r="A4011" t="inlineStr">
        <is>
          <t>Zinc II</t>
        </is>
      </c>
      <c r="B4011">
        <v>2.0823673113082442e-08</v>
      </c>
      <c r="D4011" t="inlineStr">
        <is>
          <t>kilogram</t>
        </is>
      </c>
      <c r="E4011" t="inlineStr">
        <is>
          <t>air</t>
        </is>
      </c>
      <c r="F4011" t="inlineStr">
        <is>
          <t>biosphere</t>
        </is>
      </c>
      <c r="H4011" t="inlineStr">
        <is>
          <t>1.0E-06 kg/kg fuel for diesel locomotives, according to Spielmann et al. (2007)
Spielmann, M., Bauer, C., Dones, R., Institut, P. S., &amp; Tuchschmid, M. (2007). Transport Services. Swiss Centre for Life Cycle Inventories, ecoinvent report No. 14.</t>
        </is>
      </c>
      <c r="I4011">
        <v>0</v>
      </c>
    </row>
    <row r="4012">
      <c r="A4012" t="inlineStr">
        <is>
          <t>Carbon dioxide, non-fossil</t>
        </is>
      </c>
      <c r="B4012">
        <v>0.0734</v>
      </c>
      <c r="D4012" t="inlineStr">
        <is>
          <t>kilogram</t>
        </is>
      </c>
      <c r="E4012" t="inlineStr">
        <is>
          <t>air</t>
        </is>
      </c>
      <c r="F4012" t="inlineStr">
        <is>
          <t>biosphere</t>
        </is>
      </c>
      <c r="I4012">
        <v>0</v>
      </c>
    </row>
    <row r="4013"/>
    <row r="4014">
      <c r="A4014" t="inlineStr">
        <is>
          <t>Activity</t>
        </is>
      </c>
      <c r="B4014" t="inlineStr">
        <is>
          <t>biodiesel, from non-residual oily biomass, burned in passenger train</t>
        </is>
      </c>
    </row>
    <row r="4015">
      <c r="A4015" t="inlineStr">
        <is>
          <t>location</t>
        </is>
      </c>
      <c r="B4015" t="inlineStr">
        <is>
          <t>RER</t>
        </is>
      </c>
    </row>
    <row r="4016">
      <c r="A4016" t="inlineStr">
        <is>
          <t>production amount</t>
        </is>
      </c>
      <c r="B4016">
        <v>1</v>
      </c>
    </row>
    <row r="4017">
      <c r="A4017" t="inlineStr">
        <is>
          <t>reference product</t>
        </is>
      </c>
      <c r="B4017" t="inlineStr">
        <is>
          <t>heat</t>
        </is>
      </c>
    </row>
    <row r="4018">
      <c r="A4018" t="inlineStr">
        <is>
          <t>type</t>
        </is>
      </c>
      <c r="B4018" t="inlineStr">
        <is>
          <t>process</t>
        </is>
      </c>
    </row>
    <row r="4019">
      <c r="A4019" t="inlineStr">
        <is>
          <t>unit</t>
        </is>
      </c>
      <c r="B4019" t="inlineStr">
        <is>
          <t>megajoule</t>
        </is>
      </c>
    </row>
    <row r="4020">
      <c r="A4020" t="inlineStr">
        <is>
          <t>energy use source</t>
        </is>
      </c>
      <c r="B40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 "vehicle per source service": 7.11e-10, "replacement correction factor": 1.0, "amount per MJ": 8.00481860964219e-06}, {"supplier": ["market for electric motor, electric passenger car", "electric motor, electric passenger car", "GLO", "kilogram"], "amount per vehicle": 1272,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21">
      <c r="A4021" t="inlineStr">
        <is>
          <t>comment</t>
        </is>
      </c>
      <c r="B4021"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22">
      <c r="A4022" t="inlineStr">
        <is>
          <t>Exchanges</t>
        </is>
      </c>
    </row>
    <row r="4023">
      <c r="A4023" t="inlineStr">
        <is>
          <t>name</t>
        </is>
      </c>
      <c r="B4023" t="inlineStr">
        <is>
          <t>amount</t>
        </is>
      </c>
      <c r="C4023" t="inlineStr">
        <is>
          <t>location</t>
        </is>
      </c>
      <c r="D4023" t="inlineStr">
        <is>
          <t>unit</t>
        </is>
      </c>
      <c r="E4023" t="inlineStr">
        <is>
          <t>categories</t>
        </is>
      </c>
      <c r="F4023" t="inlineStr">
        <is>
          <t>type</t>
        </is>
      </c>
      <c r="G4023" t="inlineStr">
        <is>
          <t>reference product</t>
        </is>
      </c>
      <c r="H4023" t="inlineStr">
        <is>
          <t>comment</t>
        </is>
      </c>
      <c r="I4023" t="inlineStr">
        <is>
          <t>uncertainty type</t>
        </is>
      </c>
    </row>
    <row r="4024">
      <c r="A4024" t="inlineStr">
        <is>
          <t>biodiesel, from non-residual oily biomass, burned in passenger train</t>
        </is>
      </c>
      <c r="B4024">
        <v>1.0</v>
      </c>
      <c r="C4024" t="inlineStr">
        <is>
          <t>RER</t>
        </is>
      </c>
      <c r="D4024" t="inlineStr">
        <is>
          <t>megajoule</t>
        </is>
      </c>
      <c r="F4024" t="inlineStr">
        <is>
          <t>production</t>
        </is>
      </c>
      <c r="G4024" t="inlineStr">
        <is>
          <t>heat</t>
        </is>
      </c>
      <c r="I4024">
        <v>0</v>
      </c>
    </row>
    <row r="4025">
      <c r="A4025" t="inlineStr">
        <is>
          <t>biodiesel production, via transesterification, from rapeseed oil, energy allocation</t>
        </is>
      </c>
      <c r="B4025">
        <v>0.02631578947368421</v>
      </c>
      <c r="C4025" t="inlineStr">
        <is>
          <t>RER</t>
        </is>
      </c>
      <c r="D4025" t="inlineStr">
        <is>
          <t>kilogram</t>
        </is>
      </c>
      <c r="F4025" t="inlineStr">
        <is>
          <t>technosphere</t>
        </is>
      </c>
      <c r="G4025" t="inlineStr">
        <is>
          <t>biodiesel, from rapeseed oil</t>
        </is>
      </c>
      <c r="I4025">
        <v>0</v>
      </c>
    </row>
    <row r="4026">
      <c r="A4026" t="inlineStr">
        <is>
          <t>fuel tank, for diesel vehicle, adapted to locomotives</t>
        </is>
      </c>
      <c r="B4026">
        <v>1.6548105207134522e-07</v>
      </c>
      <c r="C4026" t="inlineStr">
        <is>
          <t>RER</t>
        </is>
      </c>
      <c r="D4026" t="inlineStr">
        <is>
          <t>kilogram</t>
        </is>
      </c>
      <c r="F4026" t="inlineStr">
        <is>
          <t>technosphere</t>
        </is>
      </c>
      <c r="G4026" t="inlineStr">
        <is>
          <t>fuel tank</t>
        </is>
      </c>
      <c r="H40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26">
        <v>0</v>
      </c>
    </row>
    <row r="4027">
      <c r="A4027" t="inlineStr">
        <is>
          <t>internal combustion engine, for lorry, adapted to locomotives</t>
        </is>
      </c>
      <c r="B4027">
        <v>1.7413079443052818e-05</v>
      </c>
      <c r="C4027" t="inlineStr">
        <is>
          <t>RER</t>
        </is>
      </c>
      <c r="D4027" t="inlineStr">
        <is>
          <t>kilogram</t>
        </is>
      </c>
      <c r="F4027" t="inlineStr">
        <is>
          <t>technosphere</t>
        </is>
      </c>
      <c r="G4027" t="inlineStr">
        <is>
          <t>internal combustion engine, for lorry</t>
        </is>
      </c>
      <c r="H40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27">
        <v>0</v>
      </c>
    </row>
    <row r="4028">
      <c r="A4028" t="inlineStr">
        <is>
          <t>electronic component production, passive, unspecified</t>
        </is>
      </c>
      <c r="B4028">
        <v>8.00481860964219e-06</v>
      </c>
      <c r="C4028" t="inlineStr">
        <is>
          <t>GLO</t>
        </is>
      </c>
      <c r="D4028" t="inlineStr">
        <is>
          <t>kilogram</t>
        </is>
      </c>
      <c r="F4028" t="inlineStr">
        <is>
          <t>technosphere</t>
        </is>
      </c>
      <c r="G4028" t="inlineStr">
        <is>
          <t>electronic component, passive, unspecified</t>
        </is>
      </c>
      <c r="H40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28">
        <v>0</v>
      </c>
    </row>
    <row r="4029">
      <c r="A4029" t="inlineStr">
        <is>
          <t>market for electric motor, electric passenger car</t>
        </is>
      </c>
      <c r="B4029">
        <v>2.3088728506723053e-06</v>
      </c>
      <c r="C4029" t="inlineStr">
        <is>
          <t>GLO</t>
        </is>
      </c>
      <c r="D4029" t="inlineStr">
        <is>
          <t>kilogram</t>
        </is>
      </c>
      <c r="F4029" t="inlineStr">
        <is>
          <t>technosphere</t>
        </is>
      </c>
      <c r="G4029" t="inlineStr">
        <is>
          <t>electric motor, electric passenger car</t>
        </is>
      </c>
      <c r="H4029"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29">
        <v>0</v>
      </c>
    </row>
    <row r="4030">
      <c r="A4030" t="inlineStr">
        <is>
          <t>market for converter, for electric passenger car</t>
        </is>
      </c>
      <c r="B4030">
        <v>8.277091351466727e-06</v>
      </c>
      <c r="C4030" t="inlineStr">
        <is>
          <t>GLO</t>
        </is>
      </c>
      <c r="D4030" t="inlineStr">
        <is>
          <t>kilogram</t>
        </is>
      </c>
      <c r="F4030" t="inlineStr">
        <is>
          <t>technosphere</t>
        </is>
      </c>
      <c r="G4030" t="inlineStr">
        <is>
          <t>converter, for electric passenger car</t>
        </is>
      </c>
      <c r="H40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30">
        <v>0</v>
      </c>
    </row>
    <row r="4031">
      <c r="A4031" t="inlineStr">
        <is>
          <t>Ammonia</t>
        </is>
      </c>
      <c r="B4031">
        <v>4.164734622616489e-07</v>
      </c>
      <c r="D4031" t="inlineStr">
        <is>
          <t>kilogram</t>
        </is>
      </c>
      <c r="E4031" t="inlineStr">
        <is>
          <t>air</t>
        </is>
      </c>
      <c r="F4031" t="inlineStr">
        <is>
          <t>biosphere</t>
        </is>
      </c>
      <c r="H4031" t="inlineStr">
        <is>
          <t>2.0E-05 kg/kg fuel for diesel locomotives, according to Spielmann et al. (2007)
Spielmann, M., Bauer, C., Dones, R., Institut, P. S., &amp; Tuchschmid, M. (2007). Transport Services. Swiss Centre for Life Cycle Inventories, ecoinvent report No. 14.</t>
        </is>
      </c>
      <c r="I4031">
        <v>0</v>
      </c>
    </row>
    <row r="4032">
      <c r="A4032" t="inlineStr">
        <is>
          <t>Benzene</t>
        </is>
      </c>
      <c r="B4032">
        <v>2.0823673113082445e-06</v>
      </c>
      <c r="D4032" t="inlineStr">
        <is>
          <t>kilogram</t>
        </is>
      </c>
      <c r="E4032" t="inlineStr">
        <is>
          <t>air</t>
        </is>
      </c>
      <c r="F4032" t="inlineStr">
        <is>
          <t>biosphere</t>
        </is>
      </c>
      <c r="H4032" t="inlineStr">
        <is>
          <t>1.0E-04 kg/kg fuel for diesel locomotives, according to Spielmann et al. (2007)
Spielmann, M., Bauer, C., Dones, R., Institut, P. S., &amp; Tuchschmid, M. (2007). Transport Services. Swiss Centre for Life Cycle Inventories, ecoinvent report No. 14.</t>
        </is>
      </c>
      <c r="I4032">
        <v>0</v>
      </c>
    </row>
    <row r="4033">
      <c r="A4033" t="inlineStr">
        <is>
          <t>Cadmium II</t>
        </is>
      </c>
      <c r="B4033">
        <v>2.0823673113082443e-10</v>
      </c>
      <c r="D4033" t="inlineStr">
        <is>
          <t>kilogram</t>
        </is>
      </c>
      <c r="E4033" t="inlineStr">
        <is>
          <t>air</t>
        </is>
      </c>
      <c r="F4033" t="inlineStr">
        <is>
          <t>biosphere</t>
        </is>
      </c>
      <c r="H4033" t="inlineStr">
        <is>
          <t>1.0E-08 kg/kg fuel for diesel locomotives, according to Spielmann et al. (2007)
Spielmann, M., Bauer, C., Dones, R., Institut, P. S., &amp; Tuchschmid, M. (2007). Transport Services. Swiss Centre for Life Cycle Inventories, ecoinvent report No. 14.</t>
        </is>
      </c>
      <c r="I4033">
        <v>0</v>
      </c>
    </row>
    <row r="4034">
      <c r="A4034" t="inlineStr">
        <is>
          <t>Carbon monoxide, fossil</t>
        </is>
      </c>
      <c r="B4034">
        <v>0.00032901403518670265</v>
      </c>
      <c r="D4034" t="inlineStr">
        <is>
          <t>kilogram</t>
        </is>
      </c>
      <c r="E4034" t="inlineStr">
        <is>
          <t>air</t>
        </is>
      </c>
      <c r="F4034" t="inlineStr">
        <is>
          <t>biosphere</t>
        </is>
      </c>
      <c r="H4034" t="inlineStr">
        <is>
          <t>1.58E-02 kg/kg fuel for diesel locomotives, according to Spielmann et al. (2007)
Spielmann, M., Bauer, C., Dones, R., Institut, P. S., &amp; Tuchschmid, M. (2007). Transport Services. Swiss Centre for Life Cycle Inventories, ecoinvent report No. 14.</t>
        </is>
      </c>
      <c r="I4034">
        <v>0</v>
      </c>
    </row>
    <row r="4035">
      <c r="A4035" t="inlineStr">
        <is>
          <t>Chromium III</t>
        </is>
      </c>
      <c r="B4035">
        <v>1.0411836556541222e-09</v>
      </c>
      <c r="D4035" t="inlineStr">
        <is>
          <t>kilogram</t>
        </is>
      </c>
      <c r="E4035" t="inlineStr">
        <is>
          <t>air</t>
        </is>
      </c>
      <c r="F4035" t="inlineStr">
        <is>
          <t>biosphere</t>
        </is>
      </c>
      <c r="H4035" t="inlineStr">
        <is>
          <t>5.0E-08 kg/kg fuel for diesel locomotives, according to Spielmann et al. (2007)
Spielmann, M., Bauer, C., Dones, R., Institut, P. S., &amp; Tuchschmid, M. (2007). Transport Services. Swiss Centre for Life Cycle Inventories, ecoinvent report No. 14.</t>
        </is>
      </c>
      <c r="I4035">
        <v>0</v>
      </c>
    </row>
    <row r="4036">
      <c r="A4036" t="inlineStr">
        <is>
          <t>Copper ion</t>
        </is>
      </c>
      <c r="B4036">
        <v>3.5400244292240155e-08</v>
      </c>
      <c r="D4036" t="inlineStr">
        <is>
          <t>kilogram</t>
        </is>
      </c>
      <c r="E4036" t="inlineStr">
        <is>
          <t>air</t>
        </is>
      </c>
      <c r="F4036" t="inlineStr">
        <is>
          <t>biosphere</t>
        </is>
      </c>
      <c r="H4036" t="inlineStr">
        <is>
          <t>1.7E-06 kg/kg fuel for diesel locomotives, according to Spielmann et al. (2007)
Spielmann, M., Bauer, C., Dones, R., Institut, P. S., &amp; Tuchschmid, M. (2007). Transport Services. Swiss Centre for Life Cycle Inventories, ecoinvent report No. 14.</t>
        </is>
      </c>
      <c r="I4036">
        <v>0</v>
      </c>
    </row>
    <row r="4037">
      <c r="A4037" t="inlineStr">
        <is>
          <t>Dinitrogen monoxide</t>
        </is>
      </c>
      <c r="B4037">
        <v>2.0823673113082445e-06</v>
      </c>
      <c r="D4037" t="inlineStr">
        <is>
          <t>kilogram</t>
        </is>
      </c>
      <c r="E4037" t="inlineStr">
        <is>
          <t>air</t>
        </is>
      </c>
      <c r="F4037" t="inlineStr">
        <is>
          <t>biosphere</t>
        </is>
      </c>
      <c r="H4037" t="inlineStr">
        <is>
          <t>1.0E-04 kg/kg fuel for diesel locomotives, according to Spielmann et al. (2007)
Spielmann, M., Bauer, C., Dones, R., Institut, P. S., &amp; Tuchschmid, M. (2007). Transport Services. Swiss Centre for Life Cycle Inventories, ecoinvent report No. 14.</t>
        </is>
      </c>
      <c r="I4037">
        <v>0</v>
      </c>
    </row>
    <row r="4038">
      <c r="A4038" t="inlineStr">
        <is>
          <t>Iron ion</t>
        </is>
      </c>
      <c r="B4038">
        <v>3.165665258907264e-05</v>
      </c>
      <c r="D4038" t="inlineStr">
        <is>
          <t>kilogram</t>
        </is>
      </c>
      <c r="E4038" t="inlineStr">
        <is>
          <t>soil</t>
        </is>
      </c>
      <c r="F4038" t="inlineStr">
        <is>
          <t>biosphere</t>
        </is>
      </c>
      <c r="H40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38">
        <v>0</v>
      </c>
    </row>
    <row r="4039">
      <c r="A4039" t="inlineStr">
        <is>
          <t>Lead II</t>
        </is>
      </c>
      <c r="B4039">
        <v>2.2906040424390686e-12</v>
      </c>
      <c r="D4039" t="inlineStr">
        <is>
          <t>kilogram</t>
        </is>
      </c>
      <c r="E4039" t="inlineStr">
        <is>
          <t>air</t>
        </is>
      </c>
      <c r="F4039" t="inlineStr">
        <is>
          <t>biosphere</t>
        </is>
      </c>
      <c r="H4039" t="inlineStr">
        <is>
          <t>1.1E-10 kg/kg fuel for diesel locomotives, according to Spielmann et al. (2007)
Spielmann, M., Bauer, C., Dones, R., Institut, P. S., &amp; Tuchschmid, M. (2007). Transport Services. Swiss Centre for Life Cycle Inventories, ecoinvent report No. 14.</t>
        </is>
      </c>
      <c r="I4039">
        <v>0</v>
      </c>
    </row>
    <row r="4040">
      <c r="A4040" t="inlineStr">
        <is>
          <t>Mercury II</t>
        </is>
      </c>
      <c r="B4040">
        <v>4.1647346226164887e-13</v>
      </c>
      <c r="D4040" t="inlineStr">
        <is>
          <t>kilogram</t>
        </is>
      </c>
      <c r="E4040" t="inlineStr">
        <is>
          <t>air</t>
        </is>
      </c>
      <c r="F4040" t="inlineStr">
        <is>
          <t>biosphere</t>
        </is>
      </c>
      <c r="H4040" t="inlineStr">
        <is>
          <t>2.0E-11 kg/kg fuel for diesel locomotives, according to Spielmann et al. (2007)
Spielmann, M., Bauer, C., Dones, R., Institut, P. S., &amp; Tuchschmid, M. (2007). Transport Services. Swiss Centre for Life Cycle Inventories, ecoinvent report No. 14.</t>
        </is>
      </c>
      <c r="I4040">
        <v>0</v>
      </c>
    </row>
    <row r="4041">
      <c r="A4041" t="inlineStr">
        <is>
          <t>Methane, fossil</t>
        </is>
      </c>
      <c r="B4041">
        <v>2.7070775047007178e-06</v>
      </c>
      <c r="D4041" t="inlineStr">
        <is>
          <t>kilogram</t>
        </is>
      </c>
      <c r="E4041" t="inlineStr">
        <is>
          <t>air</t>
        </is>
      </c>
      <c r="F4041" t="inlineStr">
        <is>
          <t>biosphere</t>
        </is>
      </c>
      <c r="H4041" t="inlineStr">
        <is>
          <t>1.3E-04 kg/kg fuel for diesel locomotives, according to Spielmann et al. (2007)
Spielmann, M., Bauer, C., Dones, R., Institut, P. S., &amp; Tuchschmid, M. (2007). Transport Services. Swiss Centre for Life Cycle Inventories, ecoinvent report No. 14.</t>
        </is>
      </c>
      <c r="I4041">
        <v>0</v>
      </c>
    </row>
    <row r="4042">
      <c r="A4042" t="inlineStr">
        <is>
          <t>NMVOC, non-methane volatile organic compounds</t>
        </is>
      </c>
      <c r="B4042">
        <v>0.00010932428384368284</v>
      </c>
      <c r="D4042" t="inlineStr">
        <is>
          <t>kilogram</t>
        </is>
      </c>
      <c r="E4042" t="inlineStr">
        <is>
          <t>air</t>
        </is>
      </c>
      <c r="F4042" t="inlineStr">
        <is>
          <t>biosphere</t>
        </is>
      </c>
      <c r="H4042" t="inlineStr">
        <is>
          <t>5.25E-03 kg/kg fuel for diesel locomotives, according to Spielmann et al. (2007)
Spielmann, M., Bauer, C., Dones, R., Institut, P. S., &amp; Tuchschmid, M. (2007). Transport Services. Swiss Centre for Life Cycle Inventories, ecoinvent report No. 14.</t>
        </is>
      </c>
      <c r="I4042">
        <v>0</v>
      </c>
    </row>
    <row r="4043">
      <c r="A4043" t="inlineStr">
        <is>
          <t>Nickel II</t>
        </is>
      </c>
      <c r="B4043">
        <v>1.4576571179157713e-09</v>
      </c>
      <c r="D4043" t="inlineStr">
        <is>
          <t>kilogram</t>
        </is>
      </c>
      <c r="E4043" t="inlineStr">
        <is>
          <t>air</t>
        </is>
      </c>
      <c r="F4043" t="inlineStr">
        <is>
          <t>biosphere</t>
        </is>
      </c>
      <c r="H4043" t="inlineStr">
        <is>
          <t>7.0E-08 kg/kg fuel for diesel locomotives, according to Spielmann et al. (2007)
Spielmann, M., Bauer, C., Dones, R., Institut, P. S., &amp; Tuchschmid, M. (2007). Transport Services. Swiss Centre for Life Cycle Inventories, ecoinvent report No. 14.</t>
        </is>
      </c>
      <c r="I4043">
        <v>0</v>
      </c>
    </row>
    <row r="4044">
      <c r="A4044" t="inlineStr">
        <is>
          <t>Nitrogen oxides</t>
        </is>
      </c>
      <c r="B4044">
        <v>0.0011453020212195343</v>
      </c>
      <c r="D4044" t="inlineStr">
        <is>
          <t>kilogram</t>
        </is>
      </c>
      <c r="E4044" t="inlineStr">
        <is>
          <t>air::unspecified</t>
        </is>
      </c>
      <c r="F4044" t="inlineStr">
        <is>
          <t>biosphere</t>
        </is>
      </c>
      <c r="H4044" t="inlineStr">
        <is>
          <t>5.5E-02 kg/kg fuel for diesel locomotives, according to Spielmann et al. (2007)
Spielmann, M., Bauer, C., Dones, R., Institut, P. S., &amp; Tuchschmid, M. (2007). Transport Services. Swiss Centre for Life Cycle Inventories, ecoinvent report No. 14.</t>
        </is>
      </c>
      <c r="I4044">
        <v>0</v>
      </c>
    </row>
    <row r="4045">
      <c r="A4045" t="inlineStr">
        <is>
          <t>Particulate Matter, &lt; 2.5 um</t>
        </is>
      </c>
      <c r="B4045">
        <v>2.5613117929091406e-05</v>
      </c>
      <c r="D4045" t="inlineStr">
        <is>
          <t>kilogram</t>
        </is>
      </c>
      <c r="E4045" t="inlineStr">
        <is>
          <t>air</t>
        </is>
      </c>
      <c r="F4045" t="inlineStr">
        <is>
          <t>biosphere</t>
        </is>
      </c>
      <c r="H4045" t="inlineStr">
        <is>
          <t>1.28E-03 kg/kg fuel for diesel locomotives, according to Spielmann et al. (2007)
Spielmann, M., Bauer, C., Dones, R., Institut, P. S., &amp; Tuchschmid, M. (2007). Transport Services. Swiss Centre for Life Cycle Inventories, ecoinvent report No. 14.</t>
        </is>
      </c>
      <c r="I4045">
        <v>0</v>
      </c>
    </row>
    <row r="4046">
      <c r="A4046" t="inlineStr">
        <is>
          <t>Particulate Matter, &gt; 10 um</t>
        </is>
      </c>
      <c r="B4046">
        <v>4.633053826895546e-05</v>
      </c>
      <c r="D4046" t="inlineStr">
        <is>
          <t>kilogram</t>
        </is>
      </c>
      <c r="E4046" t="inlineStr">
        <is>
          <t>air</t>
        </is>
      </c>
      <c r="F4046" t="inlineStr">
        <is>
          <t>biosphere</t>
        </is>
      </c>
      <c r="H40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46">
        <v>0</v>
      </c>
    </row>
    <row r="4047">
      <c r="A4047" t="inlineStr">
        <is>
          <t>Particulate Matter, &gt; 2.5 um and &lt; 10um</t>
        </is>
      </c>
      <c r="B4047">
        <v>4.3841313442606596e-05</v>
      </c>
      <c r="D4047" t="inlineStr">
        <is>
          <t>kilogram</t>
        </is>
      </c>
      <c r="E4047" t="inlineStr">
        <is>
          <t>air</t>
        </is>
      </c>
      <c r="F4047" t="inlineStr">
        <is>
          <t>biosphere</t>
        </is>
      </c>
      <c r="H40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47">
        <v>0</v>
      </c>
    </row>
    <row r="4048">
      <c r="A4048" t="inlineStr">
        <is>
          <t>Selenium IV</t>
        </is>
      </c>
      <c r="B4048">
        <v>2.0823673113082443e-10</v>
      </c>
      <c r="D4048" t="inlineStr">
        <is>
          <t>kilogram</t>
        </is>
      </c>
      <c r="E4048" t="inlineStr">
        <is>
          <t>air</t>
        </is>
      </c>
      <c r="F4048" t="inlineStr">
        <is>
          <t>biosphere</t>
        </is>
      </c>
      <c r="H4048" t="inlineStr">
        <is>
          <t>1.0E-08 kg/kg fuel for diesel locomotives, according to Spielmann et al. (2007)
Spielmann, M., Bauer, C., Dones, R., Institut, P. S., &amp; Tuchschmid, M. (2007). Transport Services. Swiss Centre for Life Cycle Inventories, ecoinvent report No. 14.</t>
        </is>
      </c>
      <c r="I4048">
        <v>0</v>
      </c>
    </row>
    <row r="4049">
      <c r="A4049" t="inlineStr">
        <is>
          <t>Sulfur dioxide</t>
        </is>
      </c>
      <c r="B4049">
        <v>1.2494203867849466e-05</v>
      </c>
      <c r="D4049" t="inlineStr">
        <is>
          <t>kilogram</t>
        </is>
      </c>
      <c r="E4049" t="inlineStr">
        <is>
          <t>air</t>
        </is>
      </c>
      <c r="F4049" t="inlineStr">
        <is>
          <t>biosphere</t>
        </is>
      </c>
      <c r="H4049" t="inlineStr">
        <is>
          <t>6.0E-04 kg/kg fuel for diesel locomotives, according to Spielmann et al. (2007)
Spielmann, M., Bauer, C., Dones, R., Institut, P. S., &amp; Tuchschmid, M. (2007). Transport Services. Swiss Centre for Life Cycle Inventories, ecoinvent report No. 14.</t>
        </is>
      </c>
      <c r="I4049">
        <v>0</v>
      </c>
    </row>
    <row r="4050">
      <c r="A4050" t="inlineStr">
        <is>
          <t>Toluene</t>
        </is>
      </c>
      <c r="B4050">
        <v>8.329469245232978e-07</v>
      </c>
      <c r="D4050" t="inlineStr">
        <is>
          <t>kilogram</t>
        </is>
      </c>
      <c r="E4050" t="inlineStr">
        <is>
          <t>air</t>
        </is>
      </c>
      <c r="F4050" t="inlineStr">
        <is>
          <t>biosphere</t>
        </is>
      </c>
      <c r="H4050" t="inlineStr">
        <is>
          <t>4.0E-05 kg/kg fuel for diesel locomotives, according to Spielmann et al. (2007)
Spielmann, M., Bauer, C., Dones, R., Institut, P. S., &amp; Tuchschmid, M. (2007). Transport Services. Swiss Centre for Life Cycle Inventories, ecoinvent report No. 14.</t>
        </is>
      </c>
      <c r="I4050">
        <v>0</v>
      </c>
    </row>
    <row r="4051">
      <c r="A4051" t="inlineStr">
        <is>
          <t>Xylenes, unspecified</t>
        </is>
      </c>
      <c r="B4051">
        <v>8.329469245232978e-07</v>
      </c>
      <c r="D4051" t="inlineStr">
        <is>
          <t>kilogram</t>
        </is>
      </c>
      <c r="E4051" t="inlineStr">
        <is>
          <t>air::unspecified</t>
        </is>
      </c>
      <c r="F4051" t="inlineStr">
        <is>
          <t>biosphere</t>
        </is>
      </c>
      <c r="H4051" t="inlineStr">
        <is>
          <t>4.0E-05 kg/kg fuel for diesel locomotives, according to Spielmann et al. (2007)
Spielmann, M., Bauer, C., Dones, R., Institut, P. S., &amp; Tuchschmid, M. (2007). Transport Services. Swiss Centre for Life Cycle Inventories, ecoinvent report No. 14.</t>
        </is>
      </c>
      <c r="I4051">
        <v>0</v>
      </c>
    </row>
    <row r="4052">
      <c r="A4052" t="inlineStr">
        <is>
          <t>Zinc II</t>
        </is>
      </c>
      <c r="B4052">
        <v>2.0823673113082442e-08</v>
      </c>
      <c r="D4052" t="inlineStr">
        <is>
          <t>kilogram</t>
        </is>
      </c>
      <c r="E4052" t="inlineStr">
        <is>
          <t>air</t>
        </is>
      </c>
      <c r="F4052" t="inlineStr">
        <is>
          <t>biosphere</t>
        </is>
      </c>
      <c r="H4052" t="inlineStr">
        <is>
          <t>1.0E-06 kg/kg fuel for diesel locomotives, according to Spielmann et al. (2007)
Spielmann, M., Bauer, C., Dones, R., Institut, P. S., &amp; Tuchschmid, M. (2007). Transport Services. Swiss Centre for Life Cycle Inventories, ecoinvent report No. 14.</t>
        </is>
      </c>
      <c r="I4052">
        <v>0</v>
      </c>
    </row>
    <row r="4053">
      <c r="A4053" t="inlineStr">
        <is>
          <t>Carbon dioxide, non-fossil</t>
        </is>
      </c>
      <c r="B4053">
        <v>0.0734</v>
      </c>
      <c r="D4053" t="inlineStr">
        <is>
          <t>kilogram</t>
        </is>
      </c>
      <c r="E4053" t="inlineStr">
        <is>
          <t>air</t>
        </is>
      </c>
      <c r="F4053" t="inlineStr">
        <is>
          <t>biosphere</t>
        </is>
      </c>
      <c r="I4053">
        <v>0</v>
      </c>
    </row>
    <row r="4054"/>
    <row r="4055">
      <c r="A4055" t="inlineStr">
        <is>
          <t>Activity</t>
        </is>
      </c>
      <c r="B4055" t="inlineStr">
        <is>
          <t>biodiesel, from non-residual cellulosic biomass, burned in passenger train</t>
        </is>
      </c>
    </row>
    <row r="4056">
      <c r="A4056" t="inlineStr">
        <is>
          <t>location</t>
        </is>
      </c>
      <c r="B4056" t="inlineStr">
        <is>
          <t>RER</t>
        </is>
      </c>
    </row>
    <row r="4057">
      <c r="A4057" t="inlineStr">
        <is>
          <t>production amount</t>
        </is>
      </c>
      <c r="B4057">
        <v>1</v>
      </c>
    </row>
    <row r="4058">
      <c r="A4058" t="inlineStr">
        <is>
          <t>reference product</t>
        </is>
      </c>
      <c r="B4058" t="inlineStr">
        <is>
          <t>heat</t>
        </is>
      </c>
    </row>
    <row r="4059">
      <c r="A4059" t="inlineStr">
        <is>
          <t>type</t>
        </is>
      </c>
      <c r="B4059" t="inlineStr">
        <is>
          <t>process</t>
        </is>
      </c>
    </row>
    <row r="4060">
      <c r="A4060" t="inlineStr">
        <is>
          <t>unit</t>
        </is>
      </c>
      <c r="B4060" t="inlineStr">
        <is>
          <t>megajoule</t>
        </is>
      </c>
    </row>
    <row r="4061">
      <c r="A4061" t="inlineStr">
        <is>
          <t>energy use source</t>
        </is>
      </c>
      <c r="B40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 "vehicle per source service": 7.11e-10, "replacement correction factor": 1.0, "amount per MJ": 8.00481860964219e-06}, {"supplier": ["market for electric motor, electric passenger car", "electric motor, electric passenger car", "GLO", "kilogram"], "amount per vehicle": 1272,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062">
      <c r="A4062" t="inlineStr">
        <is>
          <t>comment</t>
        </is>
      </c>
      <c r="B4062"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63">
      <c r="A4063" t="inlineStr">
        <is>
          <t>Exchanges</t>
        </is>
      </c>
    </row>
    <row r="4064">
      <c r="A4064" t="inlineStr">
        <is>
          <t>name</t>
        </is>
      </c>
      <c r="B4064" t="inlineStr">
        <is>
          <t>amount</t>
        </is>
      </c>
      <c r="C4064" t="inlineStr">
        <is>
          <t>location</t>
        </is>
      </c>
      <c r="D4064" t="inlineStr">
        <is>
          <t>unit</t>
        </is>
      </c>
      <c r="E4064" t="inlineStr">
        <is>
          <t>categories</t>
        </is>
      </c>
      <c r="F4064" t="inlineStr">
        <is>
          <t>type</t>
        </is>
      </c>
      <c r="G4064" t="inlineStr">
        <is>
          <t>reference product</t>
        </is>
      </c>
      <c r="H4064" t="inlineStr">
        <is>
          <t>comment</t>
        </is>
      </c>
      <c r="I4064" t="inlineStr">
        <is>
          <t>uncertainty type</t>
        </is>
      </c>
    </row>
    <row r="4065">
      <c r="A4065" t="inlineStr">
        <is>
          <t>biodiesel, from non-residual cellulosic biomass, burned in passenger train</t>
        </is>
      </c>
      <c r="B4065">
        <v>1.0</v>
      </c>
      <c r="C4065" t="inlineStr">
        <is>
          <t>RER</t>
        </is>
      </c>
      <c r="D4065" t="inlineStr">
        <is>
          <t>megajoule</t>
        </is>
      </c>
      <c r="F4065" t="inlineStr">
        <is>
          <t>production</t>
        </is>
      </c>
      <c r="G4065" t="inlineStr">
        <is>
          <t>heat</t>
        </is>
      </c>
      <c r="I4065">
        <v>0</v>
      </c>
    </row>
    <row r="4066">
      <c r="A4066" t="inlineStr">
        <is>
          <t>biodiesel production, via Fischer-Tropsch, from forest product (non-residual), energy allocation</t>
        </is>
      </c>
      <c r="B4066">
        <v>0.023255813953488372</v>
      </c>
      <c r="C4066" t="inlineStr">
        <is>
          <t>RER</t>
        </is>
      </c>
      <c r="D4066" t="inlineStr">
        <is>
          <t>kilogram</t>
        </is>
      </c>
      <c r="F4066" t="inlineStr">
        <is>
          <t>technosphere</t>
        </is>
      </c>
      <c r="G4066" t="inlineStr">
        <is>
          <t>biodiesel, from forest residues</t>
        </is>
      </c>
      <c r="I4066">
        <v>0</v>
      </c>
    </row>
    <row r="4067">
      <c r="A4067" t="inlineStr">
        <is>
          <t>fuel tank, for diesel vehicle, adapted to locomotives</t>
        </is>
      </c>
      <c r="B4067">
        <v>1.6548105207134522e-07</v>
      </c>
      <c r="C4067" t="inlineStr">
        <is>
          <t>RER</t>
        </is>
      </c>
      <c r="D4067" t="inlineStr">
        <is>
          <t>kilogram</t>
        </is>
      </c>
      <c r="F4067" t="inlineStr">
        <is>
          <t>technosphere</t>
        </is>
      </c>
      <c r="G4067" t="inlineStr">
        <is>
          <t>fuel tank</t>
        </is>
      </c>
      <c r="H40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67">
        <v>0</v>
      </c>
    </row>
    <row r="4068">
      <c r="A4068" t="inlineStr">
        <is>
          <t>internal combustion engine, for lorry, adapted to locomotives</t>
        </is>
      </c>
      <c r="B4068">
        <v>1.7413079443052818e-05</v>
      </c>
      <c r="C4068" t="inlineStr">
        <is>
          <t>RER</t>
        </is>
      </c>
      <c r="D4068" t="inlineStr">
        <is>
          <t>kilogram</t>
        </is>
      </c>
      <c r="F4068" t="inlineStr">
        <is>
          <t>technosphere</t>
        </is>
      </c>
      <c r="G4068" t="inlineStr">
        <is>
          <t>internal combustion engine, for lorry</t>
        </is>
      </c>
      <c r="H40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68">
        <v>0</v>
      </c>
    </row>
    <row r="4069">
      <c r="A4069" t="inlineStr">
        <is>
          <t>electronic component production, passive, unspecified</t>
        </is>
      </c>
      <c r="B4069">
        <v>8.00481860964219e-06</v>
      </c>
      <c r="C4069" t="inlineStr">
        <is>
          <t>GLO</t>
        </is>
      </c>
      <c r="D4069" t="inlineStr">
        <is>
          <t>kilogram</t>
        </is>
      </c>
      <c r="F4069" t="inlineStr">
        <is>
          <t>technosphere</t>
        </is>
      </c>
      <c r="G4069" t="inlineStr">
        <is>
          <t>electronic component, passive, unspecified</t>
        </is>
      </c>
      <c r="H40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69">
        <v>0</v>
      </c>
    </row>
    <row r="4070">
      <c r="A4070" t="inlineStr">
        <is>
          <t>market for electric motor, electric passenger car</t>
        </is>
      </c>
      <c r="B4070">
        <v>2.3088728506723053e-06</v>
      </c>
      <c r="C4070" t="inlineStr">
        <is>
          <t>GLO</t>
        </is>
      </c>
      <c r="D4070" t="inlineStr">
        <is>
          <t>kilogram</t>
        </is>
      </c>
      <c r="F4070" t="inlineStr">
        <is>
          <t>technosphere</t>
        </is>
      </c>
      <c r="G4070" t="inlineStr">
        <is>
          <t>electric motor, electric passenger car</t>
        </is>
      </c>
      <c r="H4070"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70">
        <v>0</v>
      </c>
    </row>
    <row r="4071">
      <c r="A4071" t="inlineStr">
        <is>
          <t>market for converter, for electric passenger car</t>
        </is>
      </c>
      <c r="B4071">
        <v>8.277091351466727e-06</v>
      </c>
      <c r="C4071" t="inlineStr">
        <is>
          <t>GLO</t>
        </is>
      </c>
      <c r="D4071" t="inlineStr">
        <is>
          <t>kilogram</t>
        </is>
      </c>
      <c r="F4071" t="inlineStr">
        <is>
          <t>technosphere</t>
        </is>
      </c>
      <c r="G4071" t="inlineStr">
        <is>
          <t>converter, for electric passenger car</t>
        </is>
      </c>
      <c r="H40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71">
        <v>0</v>
      </c>
    </row>
    <row r="4072">
      <c r="A4072" t="inlineStr">
        <is>
          <t>Ammonia</t>
        </is>
      </c>
      <c r="B4072">
        <v>4.164734622616489e-07</v>
      </c>
      <c r="D4072" t="inlineStr">
        <is>
          <t>kilogram</t>
        </is>
      </c>
      <c r="E4072" t="inlineStr">
        <is>
          <t>air</t>
        </is>
      </c>
      <c r="F4072" t="inlineStr">
        <is>
          <t>biosphere</t>
        </is>
      </c>
      <c r="H4072" t="inlineStr">
        <is>
          <t>2.0E-05 kg/kg fuel for diesel locomotives, according to Spielmann et al. (2007)
Spielmann, M., Bauer, C., Dones, R., Institut, P. S., &amp; Tuchschmid, M. (2007). Transport Services. Swiss Centre for Life Cycle Inventories, ecoinvent report No. 14.</t>
        </is>
      </c>
      <c r="I4072">
        <v>0</v>
      </c>
    </row>
    <row r="4073">
      <c r="A4073" t="inlineStr">
        <is>
          <t>Benzene</t>
        </is>
      </c>
      <c r="B4073">
        <v>2.0823673113082445e-06</v>
      </c>
      <c r="D4073" t="inlineStr">
        <is>
          <t>kilogram</t>
        </is>
      </c>
      <c r="E4073" t="inlineStr">
        <is>
          <t>air</t>
        </is>
      </c>
      <c r="F4073" t="inlineStr">
        <is>
          <t>biosphere</t>
        </is>
      </c>
      <c r="H4073" t="inlineStr">
        <is>
          <t>1.0E-04 kg/kg fuel for diesel locomotives, according to Spielmann et al. (2007)
Spielmann, M., Bauer, C., Dones, R., Institut, P. S., &amp; Tuchschmid, M. (2007). Transport Services. Swiss Centre for Life Cycle Inventories, ecoinvent report No. 14.</t>
        </is>
      </c>
      <c r="I4073">
        <v>0</v>
      </c>
    </row>
    <row r="4074">
      <c r="A4074" t="inlineStr">
        <is>
          <t>Cadmium II</t>
        </is>
      </c>
      <c r="B4074">
        <v>2.0823673113082443e-10</v>
      </c>
      <c r="D4074" t="inlineStr">
        <is>
          <t>kilogram</t>
        </is>
      </c>
      <c r="E4074" t="inlineStr">
        <is>
          <t>air</t>
        </is>
      </c>
      <c r="F4074" t="inlineStr">
        <is>
          <t>biosphere</t>
        </is>
      </c>
      <c r="H4074" t="inlineStr">
        <is>
          <t>1.0E-08 kg/kg fuel for diesel locomotives, according to Spielmann et al. (2007)
Spielmann, M., Bauer, C., Dones, R., Institut, P. S., &amp; Tuchschmid, M. (2007). Transport Services. Swiss Centre for Life Cycle Inventories, ecoinvent report No. 14.</t>
        </is>
      </c>
      <c r="I4074">
        <v>0</v>
      </c>
    </row>
    <row r="4075">
      <c r="A4075" t="inlineStr">
        <is>
          <t>Carbon monoxide, fossil</t>
        </is>
      </c>
      <c r="B4075">
        <v>0.00032901403518670265</v>
      </c>
      <c r="D4075" t="inlineStr">
        <is>
          <t>kilogram</t>
        </is>
      </c>
      <c r="E4075" t="inlineStr">
        <is>
          <t>air</t>
        </is>
      </c>
      <c r="F4075" t="inlineStr">
        <is>
          <t>biosphere</t>
        </is>
      </c>
      <c r="H4075" t="inlineStr">
        <is>
          <t>1.58E-02 kg/kg fuel for diesel locomotives, according to Spielmann et al. (2007)
Spielmann, M., Bauer, C., Dones, R., Institut, P. S., &amp; Tuchschmid, M. (2007). Transport Services. Swiss Centre for Life Cycle Inventories, ecoinvent report No. 14.</t>
        </is>
      </c>
      <c r="I4075">
        <v>0</v>
      </c>
    </row>
    <row r="4076">
      <c r="A4076" t="inlineStr">
        <is>
          <t>Chromium III</t>
        </is>
      </c>
      <c r="B4076">
        <v>1.0411836556541222e-09</v>
      </c>
      <c r="D4076" t="inlineStr">
        <is>
          <t>kilogram</t>
        </is>
      </c>
      <c r="E4076" t="inlineStr">
        <is>
          <t>air</t>
        </is>
      </c>
      <c r="F4076" t="inlineStr">
        <is>
          <t>biosphere</t>
        </is>
      </c>
      <c r="H4076" t="inlineStr">
        <is>
          <t>5.0E-08 kg/kg fuel for diesel locomotives, according to Spielmann et al. (2007)
Spielmann, M., Bauer, C., Dones, R., Institut, P. S., &amp; Tuchschmid, M. (2007). Transport Services. Swiss Centre for Life Cycle Inventories, ecoinvent report No. 14.</t>
        </is>
      </c>
      <c r="I4076">
        <v>0</v>
      </c>
    </row>
    <row r="4077">
      <c r="A4077" t="inlineStr">
        <is>
          <t>Copper ion</t>
        </is>
      </c>
      <c r="B4077">
        <v>3.5400244292240155e-08</v>
      </c>
      <c r="D4077" t="inlineStr">
        <is>
          <t>kilogram</t>
        </is>
      </c>
      <c r="E4077" t="inlineStr">
        <is>
          <t>air</t>
        </is>
      </c>
      <c r="F4077" t="inlineStr">
        <is>
          <t>biosphere</t>
        </is>
      </c>
      <c r="H4077" t="inlineStr">
        <is>
          <t>1.7E-06 kg/kg fuel for diesel locomotives, according to Spielmann et al. (2007)
Spielmann, M., Bauer, C., Dones, R., Institut, P. S., &amp; Tuchschmid, M. (2007). Transport Services. Swiss Centre for Life Cycle Inventories, ecoinvent report No. 14.</t>
        </is>
      </c>
      <c r="I4077">
        <v>0</v>
      </c>
    </row>
    <row r="4078">
      <c r="A4078" t="inlineStr">
        <is>
          <t>Dinitrogen monoxide</t>
        </is>
      </c>
      <c r="B4078">
        <v>2.0823673113082445e-06</v>
      </c>
      <c r="D4078" t="inlineStr">
        <is>
          <t>kilogram</t>
        </is>
      </c>
      <c r="E4078" t="inlineStr">
        <is>
          <t>air</t>
        </is>
      </c>
      <c r="F4078" t="inlineStr">
        <is>
          <t>biosphere</t>
        </is>
      </c>
      <c r="H4078" t="inlineStr">
        <is>
          <t>1.0E-04 kg/kg fuel for diesel locomotives, according to Spielmann et al. (2007)
Spielmann, M., Bauer, C., Dones, R., Institut, P. S., &amp; Tuchschmid, M. (2007). Transport Services. Swiss Centre for Life Cycle Inventories, ecoinvent report No. 14.</t>
        </is>
      </c>
      <c r="I4078">
        <v>0</v>
      </c>
    </row>
    <row r="4079">
      <c r="A4079" t="inlineStr">
        <is>
          <t>Iron ion</t>
        </is>
      </c>
      <c r="B4079">
        <v>3.165665258907264e-05</v>
      </c>
      <c r="D4079" t="inlineStr">
        <is>
          <t>kilogram</t>
        </is>
      </c>
      <c r="E4079" t="inlineStr">
        <is>
          <t>soil</t>
        </is>
      </c>
      <c r="F4079" t="inlineStr">
        <is>
          <t>biosphere</t>
        </is>
      </c>
      <c r="H40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79">
        <v>0</v>
      </c>
    </row>
    <row r="4080">
      <c r="A4080" t="inlineStr">
        <is>
          <t>Lead II</t>
        </is>
      </c>
      <c r="B4080">
        <v>2.2906040424390686e-12</v>
      </c>
      <c r="D4080" t="inlineStr">
        <is>
          <t>kilogram</t>
        </is>
      </c>
      <c r="E4080" t="inlineStr">
        <is>
          <t>air</t>
        </is>
      </c>
      <c r="F4080" t="inlineStr">
        <is>
          <t>biosphere</t>
        </is>
      </c>
      <c r="H4080" t="inlineStr">
        <is>
          <t>1.1E-10 kg/kg fuel for diesel locomotives, according to Spielmann et al. (2007)
Spielmann, M., Bauer, C., Dones, R., Institut, P. S., &amp; Tuchschmid, M. (2007). Transport Services. Swiss Centre for Life Cycle Inventories, ecoinvent report No. 14.</t>
        </is>
      </c>
      <c r="I4080">
        <v>0</v>
      </c>
    </row>
    <row r="4081">
      <c r="A4081" t="inlineStr">
        <is>
          <t>Mercury II</t>
        </is>
      </c>
      <c r="B4081">
        <v>4.1647346226164887e-13</v>
      </c>
      <c r="D4081" t="inlineStr">
        <is>
          <t>kilogram</t>
        </is>
      </c>
      <c r="E4081" t="inlineStr">
        <is>
          <t>air</t>
        </is>
      </c>
      <c r="F4081" t="inlineStr">
        <is>
          <t>biosphere</t>
        </is>
      </c>
      <c r="H4081" t="inlineStr">
        <is>
          <t>2.0E-11 kg/kg fuel for diesel locomotives, according to Spielmann et al. (2007)
Spielmann, M., Bauer, C., Dones, R., Institut, P. S., &amp; Tuchschmid, M. (2007). Transport Services. Swiss Centre for Life Cycle Inventories, ecoinvent report No. 14.</t>
        </is>
      </c>
      <c r="I4081">
        <v>0</v>
      </c>
    </row>
    <row r="4082">
      <c r="A4082" t="inlineStr">
        <is>
          <t>Methane, fossil</t>
        </is>
      </c>
      <c r="B4082">
        <v>2.7070775047007178e-06</v>
      </c>
      <c r="D4082" t="inlineStr">
        <is>
          <t>kilogram</t>
        </is>
      </c>
      <c r="E4082" t="inlineStr">
        <is>
          <t>air</t>
        </is>
      </c>
      <c r="F4082" t="inlineStr">
        <is>
          <t>biosphere</t>
        </is>
      </c>
      <c r="H4082" t="inlineStr">
        <is>
          <t>1.3E-04 kg/kg fuel for diesel locomotives, according to Spielmann et al. (2007)
Spielmann, M., Bauer, C., Dones, R., Institut, P. S., &amp; Tuchschmid, M. (2007). Transport Services. Swiss Centre for Life Cycle Inventories, ecoinvent report No. 14.</t>
        </is>
      </c>
      <c r="I4082">
        <v>0</v>
      </c>
    </row>
    <row r="4083">
      <c r="A4083" t="inlineStr">
        <is>
          <t>NMVOC, non-methane volatile organic compounds</t>
        </is>
      </c>
      <c r="B4083">
        <v>0.00010932428384368284</v>
      </c>
      <c r="D4083" t="inlineStr">
        <is>
          <t>kilogram</t>
        </is>
      </c>
      <c r="E4083" t="inlineStr">
        <is>
          <t>air</t>
        </is>
      </c>
      <c r="F4083" t="inlineStr">
        <is>
          <t>biosphere</t>
        </is>
      </c>
      <c r="H4083" t="inlineStr">
        <is>
          <t>5.25E-03 kg/kg fuel for diesel locomotives, according to Spielmann et al. (2007)
Spielmann, M., Bauer, C., Dones, R., Institut, P. S., &amp; Tuchschmid, M. (2007). Transport Services. Swiss Centre for Life Cycle Inventories, ecoinvent report No. 14.</t>
        </is>
      </c>
      <c r="I4083">
        <v>0</v>
      </c>
    </row>
    <row r="4084">
      <c r="A4084" t="inlineStr">
        <is>
          <t>Nickel II</t>
        </is>
      </c>
      <c r="B4084">
        <v>1.4576571179157713e-09</v>
      </c>
      <c r="D4084" t="inlineStr">
        <is>
          <t>kilogram</t>
        </is>
      </c>
      <c r="E4084" t="inlineStr">
        <is>
          <t>air</t>
        </is>
      </c>
      <c r="F4084" t="inlineStr">
        <is>
          <t>biosphere</t>
        </is>
      </c>
      <c r="H4084" t="inlineStr">
        <is>
          <t>7.0E-08 kg/kg fuel for diesel locomotives, according to Spielmann et al. (2007)
Spielmann, M., Bauer, C., Dones, R., Institut, P. S., &amp; Tuchschmid, M. (2007). Transport Services. Swiss Centre for Life Cycle Inventories, ecoinvent report No. 14.</t>
        </is>
      </c>
      <c r="I4084">
        <v>0</v>
      </c>
    </row>
    <row r="4085">
      <c r="A4085" t="inlineStr">
        <is>
          <t>Nitrogen oxides</t>
        </is>
      </c>
      <c r="B4085">
        <v>0.0011453020212195343</v>
      </c>
      <c r="D4085" t="inlineStr">
        <is>
          <t>kilogram</t>
        </is>
      </c>
      <c r="E4085" t="inlineStr">
        <is>
          <t>air::unspecified</t>
        </is>
      </c>
      <c r="F4085" t="inlineStr">
        <is>
          <t>biosphere</t>
        </is>
      </c>
      <c r="H4085" t="inlineStr">
        <is>
          <t>5.5E-02 kg/kg fuel for diesel locomotives, according to Spielmann et al. (2007)
Spielmann, M., Bauer, C., Dones, R., Institut, P. S., &amp; Tuchschmid, M. (2007). Transport Services. Swiss Centre for Life Cycle Inventories, ecoinvent report No. 14.</t>
        </is>
      </c>
      <c r="I4085">
        <v>0</v>
      </c>
    </row>
    <row r="4086">
      <c r="A4086" t="inlineStr">
        <is>
          <t>Particulate Matter, &lt; 2.5 um</t>
        </is>
      </c>
      <c r="B4086">
        <v>2.5613117929091406e-05</v>
      </c>
      <c r="D4086" t="inlineStr">
        <is>
          <t>kilogram</t>
        </is>
      </c>
      <c r="E4086" t="inlineStr">
        <is>
          <t>air</t>
        </is>
      </c>
      <c r="F4086" t="inlineStr">
        <is>
          <t>biosphere</t>
        </is>
      </c>
      <c r="H4086" t="inlineStr">
        <is>
          <t>1.28E-03 kg/kg fuel for diesel locomotives, according to Spielmann et al. (2007)
Spielmann, M., Bauer, C., Dones, R., Institut, P. S., &amp; Tuchschmid, M. (2007). Transport Services. Swiss Centre for Life Cycle Inventories, ecoinvent report No. 14.</t>
        </is>
      </c>
      <c r="I4086">
        <v>0</v>
      </c>
    </row>
    <row r="4087">
      <c r="A4087" t="inlineStr">
        <is>
          <t>Particulate Matter, &gt; 10 um</t>
        </is>
      </c>
      <c r="B4087">
        <v>4.633053826895546e-05</v>
      </c>
      <c r="D4087" t="inlineStr">
        <is>
          <t>kilogram</t>
        </is>
      </c>
      <c r="E4087" t="inlineStr">
        <is>
          <t>air</t>
        </is>
      </c>
      <c r="F4087" t="inlineStr">
        <is>
          <t>biosphere</t>
        </is>
      </c>
      <c r="H40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87">
        <v>0</v>
      </c>
    </row>
    <row r="4088">
      <c r="A4088" t="inlineStr">
        <is>
          <t>Particulate Matter, &gt; 2.5 um and &lt; 10um</t>
        </is>
      </c>
      <c r="B4088">
        <v>4.3841313442606596e-05</v>
      </c>
      <c r="D4088" t="inlineStr">
        <is>
          <t>kilogram</t>
        </is>
      </c>
      <c r="E4088" t="inlineStr">
        <is>
          <t>air</t>
        </is>
      </c>
      <c r="F4088" t="inlineStr">
        <is>
          <t>biosphere</t>
        </is>
      </c>
      <c r="H40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88">
        <v>0</v>
      </c>
    </row>
    <row r="4089">
      <c r="A4089" t="inlineStr">
        <is>
          <t>Selenium IV</t>
        </is>
      </c>
      <c r="B4089">
        <v>2.0823673113082443e-10</v>
      </c>
      <c r="D4089" t="inlineStr">
        <is>
          <t>kilogram</t>
        </is>
      </c>
      <c r="E4089" t="inlineStr">
        <is>
          <t>air</t>
        </is>
      </c>
      <c r="F4089" t="inlineStr">
        <is>
          <t>biosphere</t>
        </is>
      </c>
      <c r="H4089" t="inlineStr">
        <is>
          <t>1.0E-08 kg/kg fuel for diesel locomotives, according to Spielmann et al. (2007)
Spielmann, M., Bauer, C., Dones, R., Institut, P. S., &amp; Tuchschmid, M. (2007). Transport Services. Swiss Centre for Life Cycle Inventories, ecoinvent report No. 14.</t>
        </is>
      </c>
      <c r="I4089">
        <v>0</v>
      </c>
    </row>
    <row r="4090">
      <c r="A4090" t="inlineStr">
        <is>
          <t>Sulfur dioxide</t>
        </is>
      </c>
      <c r="B4090">
        <v>1.2494203867849466e-05</v>
      </c>
      <c r="D4090" t="inlineStr">
        <is>
          <t>kilogram</t>
        </is>
      </c>
      <c r="E4090" t="inlineStr">
        <is>
          <t>air</t>
        </is>
      </c>
      <c r="F4090" t="inlineStr">
        <is>
          <t>biosphere</t>
        </is>
      </c>
      <c r="H4090" t="inlineStr">
        <is>
          <t>6.0E-04 kg/kg fuel for diesel locomotives, according to Spielmann et al. (2007)
Spielmann, M., Bauer, C., Dones, R., Institut, P. S., &amp; Tuchschmid, M. (2007). Transport Services. Swiss Centre for Life Cycle Inventories, ecoinvent report No. 14.</t>
        </is>
      </c>
      <c r="I4090">
        <v>0</v>
      </c>
    </row>
    <row r="4091">
      <c r="A4091" t="inlineStr">
        <is>
          <t>Toluene</t>
        </is>
      </c>
      <c r="B4091">
        <v>8.329469245232978e-07</v>
      </c>
      <c r="D4091" t="inlineStr">
        <is>
          <t>kilogram</t>
        </is>
      </c>
      <c r="E4091" t="inlineStr">
        <is>
          <t>air</t>
        </is>
      </c>
      <c r="F4091" t="inlineStr">
        <is>
          <t>biosphere</t>
        </is>
      </c>
      <c r="H4091" t="inlineStr">
        <is>
          <t>4.0E-05 kg/kg fuel for diesel locomotives, according to Spielmann et al. (2007)
Spielmann, M., Bauer, C., Dones, R., Institut, P. S., &amp; Tuchschmid, M. (2007). Transport Services. Swiss Centre for Life Cycle Inventories, ecoinvent report No. 14.</t>
        </is>
      </c>
      <c r="I4091">
        <v>0</v>
      </c>
    </row>
    <row r="4092">
      <c r="A4092" t="inlineStr">
        <is>
          <t>Xylenes, unspecified</t>
        </is>
      </c>
      <c r="B4092">
        <v>8.329469245232978e-07</v>
      </c>
      <c r="D4092" t="inlineStr">
        <is>
          <t>kilogram</t>
        </is>
      </c>
      <c r="E4092" t="inlineStr">
        <is>
          <t>air::unspecified</t>
        </is>
      </c>
      <c r="F4092" t="inlineStr">
        <is>
          <t>biosphere</t>
        </is>
      </c>
      <c r="H4092" t="inlineStr">
        <is>
          <t>4.0E-05 kg/kg fuel for diesel locomotives, according to Spielmann et al. (2007)
Spielmann, M., Bauer, C., Dones, R., Institut, P. S., &amp; Tuchschmid, M. (2007). Transport Services. Swiss Centre for Life Cycle Inventories, ecoinvent report No. 14.</t>
        </is>
      </c>
      <c r="I4092">
        <v>0</v>
      </c>
    </row>
    <row r="4093">
      <c r="A4093" t="inlineStr">
        <is>
          <t>Zinc II</t>
        </is>
      </c>
      <c r="B4093">
        <v>2.0823673113082442e-08</v>
      </c>
      <c r="D4093" t="inlineStr">
        <is>
          <t>kilogram</t>
        </is>
      </c>
      <c r="E4093" t="inlineStr">
        <is>
          <t>air</t>
        </is>
      </c>
      <c r="F4093" t="inlineStr">
        <is>
          <t>biosphere</t>
        </is>
      </c>
      <c r="H4093" t="inlineStr">
        <is>
          <t>1.0E-06 kg/kg fuel for diesel locomotives, according to Spielmann et al. (2007)
Spielmann, M., Bauer, C., Dones, R., Institut, P. S., &amp; Tuchschmid, M. (2007). Transport Services. Swiss Centre for Life Cycle Inventories, ecoinvent report No. 14.</t>
        </is>
      </c>
      <c r="I4093">
        <v>0</v>
      </c>
    </row>
    <row r="4094">
      <c r="A4094" t="inlineStr">
        <is>
          <t>Carbon dioxide, non-fossil</t>
        </is>
      </c>
      <c r="B4094">
        <v>0.0732</v>
      </c>
      <c r="D4094" t="inlineStr">
        <is>
          <t>kilogram</t>
        </is>
      </c>
      <c r="E4094" t="inlineStr">
        <is>
          <t>air</t>
        </is>
      </c>
      <c r="F4094" t="inlineStr">
        <is>
          <t>biosphere</t>
        </is>
      </c>
      <c r="I4094">
        <v>0</v>
      </c>
    </row>
    <row r="4095"/>
    <row r="4096">
      <c r="A4096" t="inlineStr">
        <is>
          <t>Activity</t>
        </is>
      </c>
      <c r="B4096" t="inlineStr">
        <is>
          <t>biodiesel, from residual cellulosic biomass, burned in passenger train</t>
        </is>
      </c>
    </row>
    <row r="4097">
      <c r="A4097" t="inlineStr">
        <is>
          <t>location</t>
        </is>
      </c>
      <c r="B4097" t="inlineStr">
        <is>
          <t>RER</t>
        </is>
      </c>
    </row>
    <row r="4098">
      <c r="A4098" t="inlineStr">
        <is>
          <t>production amount</t>
        </is>
      </c>
      <c r="B4098">
        <v>1</v>
      </c>
    </row>
    <row r="4099">
      <c r="A4099" t="inlineStr">
        <is>
          <t>reference product</t>
        </is>
      </c>
      <c r="B4099" t="inlineStr">
        <is>
          <t>heat</t>
        </is>
      </c>
    </row>
    <row r="4100">
      <c r="A4100" t="inlineStr">
        <is>
          <t>type</t>
        </is>
      </c>
      <c r="B4100" t="inlineStr">
        <is>
          <t>process</t>
        </is>
      </c>
    </row>
    <row r="4101">
      <c r="A4101" t="inlineStr">
        <is>
          <t>unit</t>
        </is>
      </c>
      <c r="B4101" t="inlineStr">
        <is>
          <t>megajoule</t>
        </is>
      </c>
    </row>
    <row r="4102">
      <c r="A4102" t="inlineStr">
        <is>
          <t>energy use source</t>
        </is>
      </c>
      <c r="B41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 "vehicle per source service": 7.11e-10, "replacement correction factor": 1.0, "amount per MJ": 8.00481860964219e-06}, {"supplier": ["market for electric motor, electric passenger car", "electric motor, electric passenger car", "GLO", "kilogram"], "amount per vehicle": 1272, "vehicle per source service": 7.11e-10, "replacement correction factor": 1.0, "amount per MJ": 2.3088728506723053e-06}, {"supplier": ["market for converter, for electric passenger car", "converter, for electric passenger car", "GLO", "kilogram"], "amount per vehicle": 4559.9999999999845, "vehicle per source service": 7.11e-10, "replacement correction factor": 1.0, "amount per MJ": 8.277091351466727e-06}], "excluded": [{"supplier": ["market for locomotive", "locomotive", "GLO", "unit"], "amount per vehicle": 1,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103">
      <c r="A4103" t="inlineStr">
        <is>
          <t>comment</t>
        </is>
      </c>
      <c r="B4103" t="inlineStr">
        <is>
          <t>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104">
      <c r="A4104" t="inlineStr">
        <is>
          <t>Exchanges</t>
        </is>
      </c>
    </row>
    <row r="4105">
      <c r="A4105" t="inlineStr">
        <is>
          <t>name</t>
        </is>
      </c>
      <c r="B4105" t="inlineStr">
        <is>
          <t>amount</t>
        </is>
      </c>
      <c r="C4105" t="inlineStr">
        <is>
          <t>location</t>
        </is>
      </c>
      <c r="D4105" t="inlineStr">
        <is>
          <t>unit</t>
        </is>
      </c>
      <c r="E4105" t="inlineStr">
        <is>
          <t>categories</t>
        </is>
      </c>
      <c r="F4105" t="inlineStr">
        <is>
          <t>type</t>
        </is>
      </c>
      <c r="G4105" t="inlineStr">
        <is>
          <t>reference product</t>
        </is>
      </c>
      <c r="H4105" t="inlineStr">
        <is>
          <t>comment</t>
        </is>
      </c>
      <c r="I4105" t="inlineStr">
        <is>
          <t>uncertainty type</t>
        </is>
      </c>
    </row>
    <row r="4106">
      <c r="A4106" t="inlineStr">
        <is>
          <t>biodiesel, from residual cellulosic biomass, burned in passenger train</t>
        </is>
      </c>
      <c r="B4106">
        <v>1.0</v>
      </c>
      <c r="C4106" t="inlineStr">
        <is>
          <t>RER</t>
        </is>
      </c>
      <c r="D4106" t="inlineStr">
        <is>
          <t>megajoule</t>
        </is>
      </c>
      <c r="F4106" t="inlineStr">
        <is>
          <t>production</t>
        </is>
      </c>
      <c r="G4106" t="inlineStr">
        <is>
          <t>heat</t>
        </is>
      </c>
      <c r="I4106">
        <v>0</v>
      </c>
    </row>
    <row r="4107">
      <c r="A4107" t="inlineStr">
        <is>
          <t>biodiesel production, via Fischer-Tropsch, from forest residues, energy allocation</t>
        </is>
      </c>
      <c r="B4107">
        <v>0.023255813953488372</v>
      </c>
      <c r="C4107" t="inlineStr">
        <is>
          <t>RER</t>
        </is>
      </c>
      <c r="D4107" t="inlineStr">
        <is>
          <t>kilogram</t>
        </is>
      </c>
      <c r="F4107" t="inlineStr">
        <is>
          <t>technosphere</t>
        </is>
      </c>
      <c r="G4107" t="inlineStr">
        <is>
          <t>biodiesel, from forest residues</t>
        </is>
      </c>
      <c r="I4107">
        <v>0</v>
      </c>
    </row>
    <row r="4108">
      <c r="A4108" t="inlineStr">
        <is>
          <t>fuel tank, for diesel vehicle, adapted to locomotives</t>
        </is>
      </c>
      <c r="B4108">
        <v>1.6548105207134522e-07</v>
      </c>
      <c r="C4108" t="inlineStr">
        <is>
          <t>RER</t>
        </is>
      </c>
      <c r="D4108" t="inlineStr">
        <is>
          <t>kilogram</t>
        </is>
      </c>
      <c r="F4108" t="inlineStr">
        <is>
          <t>technosphere</t>
        </is>
      </c>
      <c r="G4108" t="inlineStr">
        <is>
          <t>fuel tank</t>
        </is>
      </c>
      <c r="H41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108">
        <v>0</v>
      </c>
    </row>
    <row r="4109">
      <c r="A4109" t="inlineStr">
        <is>
          <t>internal combustion engine, for lorry, adapted to locomotives</t>
        </is>
      </c>
      <c r="B4109">
        <v>1.7413079443052818e-05</v>
      </c>
      <c r="C4109" t="inlineStr">
        <is>
          <t>RER</t>
        </is>
      </c>
      <c r="D4109" t="inlineStr">
        <is>
          <t>kilogram</t>
        </is>
      </c>
      <c r="F4109" t="inlineStr">
        <is>
          <t>technosphere</t>
        </is>
      </c>
      <c r="G4109" t="inlineStr">
        <is>
          <t>internal combustion engine, for lorry</t>
        </is>
      </c>
      <c r="H41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109">
        <v>0</v>
      </c>
    </row>
    <row r="4110">
      <c r="A4110" t="inlineStr">
        <is>
          <t>electronic component production, passive, unspecified</t>
        </is>
      </c>
      <c r="B4110">
        <v>8.00481860964219e-06</v>
      </c>
      <c r="C4110" t="inlineStr">
        <is>
          <t>GLO</t>
        </is>
      </c>
      <c r="D4110" t="inlineStr">
        <is>
          <t>kilogram</t>
        </is>
      </c>
      <c r="F4110" t="inlineStr">
        <is>
          <t>technosphere</t>
        </is>
      </c>
      <c r="G4110" t="inlineStr">
        <is>
          <t>electronic component, passive, unspecified</t>
        </is>
      </c>
      <c r="H41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110">
        <v>0</v>
      </c>
    </row>
    <row r="4111">
      <c r="A4111" t="inlineStr">
        <is>
          <t>market for electric motor, electric passenger car</t>
        </is>
      </c>
      <c r="B4111">
        <v>2.3088728506723053e-06</v>
      </c>
      <c r="C4111" t="inlineStr">
        <is>
          <t>GLO</t>
        </is>
      </c>
      <c r="D4111" t="inlineStr">
        <is>
          <t>kilogram</t>
        </is>
      </c>
      <c r="F4111" t="inlineStr">
        <is>
          <t>technosphere</t>
        </is>
      </c>
      <c r="G4111" t="inlineStr">
        <is>
          <t>electric motor, electric passenger car</t>
        </is>
      </c>
      <c r="H4111" t="inlineStr">
        <is>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111">
        <v>0</v>
      </c>
    </row>
    <row r="4112">
      <c r="A4112" t="inlineStr">
        <is>
          <t>market for converter, for electric passenger car</t>
        </is>
      </c>
      <c r="B4112">
        <v>8.277091351466727e-06</v>
      </c>
      <c r="C4112" t="inlineStr">
        <is>
          <t>GLO</t>
        </is>
      </c>
      <c r="D4112" t="inlineStr">
        <is>
          <t>kilogram</t>
        </is>
      </c>
      <c r="F4112" t="inlineStr">
        <is>
          <t>technosphere</t>
        </is>
      </c>
      <c r="G4112" t="inlineStr">
        <is>
          <t>converter, for electric passenger car</t>
        </is>
      </c>
      <c r="H41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112">
        <v>0</v>
      </c>
    </row>
    <row r="4113">
      <c r="A4113" t="inlineStr">
        <is>
          <t>Ammonia</t>
        </is>
      </c>
      <c r="B4113">
        <v>4.164734622616489e-07</v>
      </c>
      <c r="D4113" t="inlineStr">
        <is>
          <t>kilogram</t>
        </is>
      </c>
      <c r="E4113" t="inlineStr">
        <is>
          <t>air</t>
        </is>
      </c>
      <c r="F4113" t="inlineStr">
        <is>
          <t>biosphere</t>
        </is>
      </c>
      <c r="H4113" t="inlineStr">
        <is>
          <t>2.0E-05 kg/kg fuel for diesel locomotives, according to Spielmann et al. (2007)
Spielmann, M., Bauer, C., Dones, R., Institut, P. S., &amp; Tuchschmid, M. (2007). Transport Services. Swiss Centre for Life Cycle Inventories, ecoinvent report No. 14.</t>
        </is>
      </c>
      <c r="I4113">
        <v>0</v>
      </c>
    </row>
    <row r="4114">
      <c r="A4114" t="inlineStr">
        <is>
          <t>Benzene</t>
        </is>
      </c>
      <c r="B4114">
        <v>2.0823673113082445e-06</v>
      </c>
      <c r="D4114" t="inlineStr">
        <is>
          <t>kilogram</t>
        </is>
      </c>
      <c r="E4114" t="inlineStr">
        <is>
          <t>air</t>
        </is>
      </c>
      <c r="F4114" t="inlineStr">
        <is>
          <t>biosphere</t>
        </is>
      </c>
      <c r="H4114" t="inlineStr">
        <is>
          <t>1.0E-04 kg/kg fuel for diesel locomotives, according to Spielmann et al. (2007)
Spielmann, M., Bauer, C., Dones, R., Institut, P. S., &amp; Tuchschmid, M. (2007). Transport Services. Swiss Centre for Life Cycle Inventories, ecoinvent report No. 14.</t>
        </is>
      </c>
      <c r="I4114">
        <v>0</v>
      </c>
    </row>
    <row r="4115">
      <c r="A4115" t="inlineStr">
        <is>
          <t>Cadmium II</t>
        </is>
      </c>
      <c r="B4115">
        <v>2.0823673113082443e-10</v>
      </c>
      <c r="D4115" t="inlineStr">
        <is>
          <t>kilogram</t>
        </is>
      </c>
      <c r="E4115" t="inlineStr">
        <is>
          <t>air</t>
        </is>
      </c>
      <c r="F4115" t="inlineStr">
        <is>
          <t>biosphere</t>
        </is>
      </c>
      <c r="H4115" t="inlineStr">
        <is>
          <t>1.0E-08 kg/kg fuel for diesel locomotives, according to Spielmann et al. (2007)
Spielmann, M., Bauer, C., Dones, R., Institut, P. S., &amp; Tuchschmid, M. (2007). Transport Services. Swiss Centre for Life Cycle Inventories, ecoinvent report No. 14.</t>
        </is>
      </c>
      <c r="I4115">
        <v>0</v>
      </c>
    </row>
    <row r="4116">
      <c r="A4116" t="inlineStr">
        <is>
          <t>Carbon monoxide, fossil</t>
        </is>
      </c>
      <c r="B4116">
        <v>0.00032901403518670265</v>
      </c>
      <c r="D4116" t="inlineStr">
        <is>
          <t>kilogram</t>
        </is>
      </c>
      <c r="E4116" t="inlineStr">
        <is>
          <t>air</t>
        </is>
      </c>
      <c r="F4116" t="inlineStr">
        <is>
          <t>biosphere</t>
        </is>
      </c>
      <c r="H4116" t="inlineStr">
        <is>
          <t>1.58E-02 kg/kg fuel for diesel locomotives, according to Spielmann et al. (2007)
Spielmann, M., Bauer, C., Dones, R., Institut, P. S., &amp; Tuchschmid, M. (2007). Transport Services. Swiss Centre for Life Cycle Inventories, ecoinvent report No. 14.</t>
        </is>
      </c>
      <c r="I4116">
        <v>0</v>
      </c>
    </row>
    <row r="4117">
      <c r="A4117" t="inlineStr">
        <is>
          <t>Chromium III</t>
        </is>
      </c>
      <c r="B4117">
        <v>1.0411836556541222e-09</v>
      </c>
      <c r="D4117" t="inlineStr">
        <is>
          <t>kilogram</t>
        </is>
      </c>
      <c r="E4117" t="inlineStr">
        <is>
          <t>air</t>
        </is>
      </c>
      <c r="F4117" t="inlineStr">
        <is>
          <t>biosphere</t>
        </is>
      </c>
      <c r="H4117" t="inlineStr">
        <is>
          <t>5.0E-08 kg/kg fuel for diesel locomotives, according to Spielmann et al. (2007)
Spielmann, M., Bauer, C., Dones, R., Institut, P. S., &amp; Tuchschmid, M. (2007). Transport Services. Swiss Centre for Life Cycle Inventories, ecoinvent report No. 14.</t>
        </is>
      </c>
      <c r="I4117">
        <v>0</v>
      </c>
    </row>
    <row r="4118">
      <c r="A4118" t="inlineStr">
        <is>
          <t>Copper ion</t>
        </is>
      </c>
      <c r="B4118">
        <v>3.5400244292240155e-08</v>
      </c>
      <c r="D4118" t="inlineStr">
        <is>
          <t>kilogram</t>
        </is>
      </c>
      <c r="E4118" t="inlineStr">
        <is>
          <t>air</t>
        </is>
      </c>
      <c r="F4118" t="inlineStr">
        <is>
          <t>biosphere</t>
        </is>
      </c>
      <c r="H4118" t="inlineStr">
        <is>
          <t>1.7E-06 kg/kg fuel for diesel locomotives, according to Spielmann et al. (2007)
Spielmann, M., Bauer, C., Dones, R., Institut, P. S., &amp; Tuchschmid, M. (2007). Transport Services. Swiss Centre for Life Cycle Inventories, ecoinvent report No. 14.</t>
        </is>
      </c>
      <c r="I4118">
        <v>0</v>
      </c>
    </row>
    <row r="4119">
      <c r="A4119" t="inlineStr">
        <is>
          <t>Dinitrogen monoxide</t>
        </is>
      </c>
      <c r="B4119">
        <v>2.0823673113082445e-06</v>
      </c>
      <c r="D4119" t="inlineStr">
        <is>
          <t>kilogram</t>
        </is>
      </c>
      <c r="E4119" t="inlineStr">
        <is>
          <t>air</t>
        </is>
      </c>
      <c r="F4119" t="inlineStr">
        <is>
          <t>biosphere</t>
        </is>
      </c>
      <c r="H4119" t="inlineStr">
        <is>
          <t>1.0E-04 kg/kg fuel for diesel locomotives, according to Spielmann et al. (2007)
Spielmann, M., Bauer, C., Dones, R., Institut, P. S., &amp; Tuchschmid, M. (2007). Transport Services. Swiss Centre for Life Cycle Inventories, ecoinvent report No. 14.</t>
        </is>
      </c>
      <c r="I4119">
        <v>0</v>
      </c>
    </row>
    <row r="4120">
      <c r="A4120" t="inlineStr">
        <is>
          <t>Iron ion</t>
        </is>
      </c>
      <c r="B4120">
        <v>3.165665258907264e-05</v>
      </c>
      <c r="D4120" t="inlineStr">
        <is>
          <t>kilogram</t>
        </is>
      </c>
      <c r="E4120" t="inlineStr">
        <is>
          <t>soil</t>
        </is>
      </c>
      <c r="F4120" t="inlineStr">
        <is>
          <t>biosphere</t>
        </is>
      </c>
      <c r="H41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20">
        <v>0</v>
      </c>
    </row>
    <row r="4121">
      <c r="A4121" t="inlineStr">
        <is>
          <t>Lead II</t>
        </is>
      </c>
      <c r="B4121">
        <v>2.2906040424390686e-12</v>
      </c>
      <c r="D4121" t="inlineStr">
        <is>
          <t>kilogram</t>
        </is>
      </c>
      <c r="E4121" t="inlineStr">
        <is>
          <t>air</t>
        </is>
      </c>
      <c r="F4121" t="inlineStr">
        <is>
          <t>biosphere</t>
        </is>
      </c>
      <c r="H4121" t="inlineStr">
        <is>
          <t>1.1E-10 kg/kg fuel for diesel locomotives, according to Spielmann et al. (2007)
Spielmann, M., Bauer, C., Dones, R., Institut, P. S., &amp; Tuchschmid, M. (2007). Transport Services. Swiss Centre for Life Cycle Inventories, ecoinvent report No. 14.</t>
        </is>
      </c>
      <c r="I4121">
        <v>0</v>
      </c>
    </row>
    <row r="4122">
      <c r="A4122" t="inlineStr">
        <is>
          <t>Mercury II</t>
        </is>
      </c>
      <c r="B4122">
        <v>4.1647346226164887e-13</v>
      </c>
      <c r="D4122" t="inlineStr">
        <is>
          <t>kilogram</t>
        </is>
      </c>
      <c r="E4122" t="inlineStr">
        <is>
          <t>air</t>
        </is>
      </c>
      <c r="F4122" t="inlineStr">
        <is>
          <t>biosphere</t>
        </is>
      </c>
      <c r="H4122" t="inlineStr">
        <is>
          <t>2.0E-11 kg/kg fuel for diesel locomotives, according to Spielmann et al. (2007)
Spielmann, M., Bauer, C., Dones, R., Institut, P. S., &amp; Tuchschmid, M. (2007). Transport Services. Swiss Centre for Life Cycle Inventories, ecoinvent report No. 14.</t>
        </is>
      </c>
      <c r="I4122">
        <v>0</v>
      </c>
    </row>
    <row r="4123">
      <c r="A4123" t="inlineStr">
        <is>
          <t>Methane, fossil</t>
        </is>
      </c>
      <c r="B4123">
        <v>2.7070775047007178e-06</v>
      </c>
      <c r="D4123" t="inlineStr">
        <is>
          <t>kilogram</t>
        </is>
      </c>
      <c r="E4123" t="inlineStr">
        <is>
          <t>air</t>
        </is>
      </c>
      <c r="F4123" t="inlineStr">
        <is>
          <t>biosphere</t>
        </is>
      </c>
      <c r="H4123" t="inlineStr">
        <is>
          <t>1.3E-04 kg/kg fuel for diesel locomotives, according to Spielmann et al. (2007)
Spielmann, M., Bauer, C., Dones, R., Institut, P. S., &amp; Tuchschmid, M. (2007). Transport Services. Swiss Centre for Life Cycle Inventories, ecoinvent report No. 14.</t>
        </is>
      </c>
      <c r="I4123">
        <v>0</v>
      </c>
    </row>
    <row r="4124">
      <c r="A4124" t="inlineStr">
        <is>
          <t>NMVOC, non-methane volatile organic compounds</t>
        </is>
      </c>
      <c r="B4124">
        <v>0.00010932428384368284</v>
      </c>
      <c r="D4124" t="inlineStr">
        <is>
          <t>kilogram</t>
        </is>
      </c>
      <c r="E4124" t="inlineStr">
        <is>
          <t>air</t>
        </is>
      </c>
      <c r="F4124" t="inlineStr">
        <is>
          <t>biosphere</t>
        </is>
      </c>
      <c r="H4124" t="inlineStr">
        <is>
          <t>5.25E-03 kg/kg fuel for diesel locomotives, according to Spielmann et al. (2007)
Spielmann, M., Bauer, C., Dones, R., Institut, P. S., &amp; Tuchschmid, M. (2007). Transport Services. Swiss Centre for Life Cycle Inventories, ecoinvent report No. 14.</t>
        </is>
      </c>
      <c r="I4124">
        <v>0</v>
      </c>
    </row>
    <row r="4125">
      <c r="A4125" t="inlineStr">
        <is>
          <t>Nickel II</t>
        </is>
      </c>
      <c r="B4125">
        <v>1.4576571179157713e-09</v>
      </c>
      <c r="D4125" t="inlineStr">
        <is>
          <t>kilogram</t>
        </is>
      </c>
      <c r="E4125" t="inlineStr">
        <is>
          <t>air</t>
        </is>
      </c>
      <c r="F4125" t="inlineStr">
        <is>
          <t>biosphere</t>
        </is>
      </c>
      <c r="H4125" t="inlineStr">
        <is>
          <t>7.0E-08 kg/kg fuel for diesel locomotives, according to Spielmann et al. (2007)
Spielmann, M., Bauer, C., Dones, R., Institut, P. S., &amp; Tuchschmid, M. (2007). Transport Services. Swiss Centre for Life Cycle Inventories, ecoinvent report No. 14.</t>
        </is>
      </c>
      <c r="I4125">
        <v>0</v>
      </c>
    </row>
    <row r="4126">
      <c r="A4126" t="inlineStr">
        <is>
          <t>Nitrogen oxides</t>
        </is>
      </c>
      <c r="B4126">
        <v>0.0011453020212195343</v>
      </c>
      <c r="D4126" t="inlineStr">
        <is>
          <t>kilogram</t>
        </is>
      </c>
      <c r="E4126" t="inlineStr">
        <is>
          <t>air::unspecified</t>
        </is>
      </c>
      <c r="F4126" t="inlineStr">
        <is>
          <t>biosphere</t>
        </is>
      </c>
      <c r="H4126" t="inlineStr">
        <is>
          <t>5.5E-02 kg/kg fuel for diesel locomotives, according to Spielmann et al. (2007)
Spielmann, M., Bauer, C., Dones, R., Institut, P. S., &amp; Tuchschmid, M. (2007). Transport Services. Swiss Centre for Life Cycle Inventories, ecoinvent report No. 14.</t>
        </is>
      </c>
      <c r="I4126">
        <v>0</v>
      </c>
    </row>
    <row r="4127">
      <c r="A4127" t="inlineStr">
        <is>
          <t>Particulate Matter, &lt; 2.5 um</t>
        </is>
      </c>
      <c r="B4127">
        <v>2.5613117929091406e-05</v>
      </c>
      <c r="D4127" t="inlineStr">
        <is>
          <t>kilogram</t>
        </is>
      </c>
      <c r="E4127" t="inlineStr">
        <is>
          <t>air</t>
        </is>
      </c>
      <c r="F4127" t="inlineStr">
        <is>
          <t>biosphere</t>
        </is>
      </c>
      <c r="H4127" t="inlineStr">
        <is>
          <t>1.28E-03 kg/kg fuel for diesel locomotives, according to Spielmann et al. (2007)
Spielmann, M., Bauer, C., Dones, R., Institut, P. S., &amp; Tuchschmid, M. (2007). Transport Services. Swiss Centre for Life Cycle Inventories, ecoinvent report No. 14.</t>
        </is>
      </c>
      <c r="I4127">
        <v>0</v>
      </c>
    </row>
    <row r="4128">
      <c r="A4128" t="inlineStr">
        <is>
          <t>Particulate Matter, &gt; 10 um</t>
        </is>
      </c>
      <c r="B4128">
        <v>4.633053826895546e-05</v>
      </c>
      <c r="D4128" t="inlineStr">
        <is>
          <t>kilogram</t>
        </is>
      </c>
      <c r="E4128" t="inlineStr">
        <is>
          <t>air</t>
        </is>
      </c>
      <c r="F4128" t="inlineStr">
        <is>
          <t>biosphere</t>
        </is>
      </c>
      <c r="H41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28">
        <v>0</v>
      </c>
    </row>
    <row r="4129">
      <c r="A4129" t="inlineStr">
        <is>
          <t>Particulate Matter, &gt; 2.5 um and &lt; 10um</t>
        </is>
      </c>
      <c r="B4129">
        <v>4.3841313442606596e-05</v>
      </c>
      <c r="D4129" t="inlineStr">
        <is>
          <t>kilogram</t>
        </is>
      </c>
      <c r="E4129" t="inlineStr">
        <is>
          <t>air</t>
        </is>
      </c>
      <c r="F4129" t="inlineStr">
        <is>
          <t>biosphere</t>
        </is>
      </c>
      <c r="H41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29">
        <v>0</v>
      </c>
    </row>
    <row r="4130">
      <c r="A4130" t="inlineStr">
        <is>
          <t>Selenium IV</t>
        </is>
      </c>
      <c r="B4130">
        <v>2.0823673113082443e-10</v>
      </c>
      <c r="D4130" t="inlineStr">
        <is>
          <t>kilogram</t>
        </is>
      </c>
      <c r="E4130" t="inlineStr">
        <is>
          <t>air</t>
        </is>
      </c>
      <c r="F4130" t="inlineStr">
        <is>
          <t>biosphere</t>
        </is>
      </c>
      <c r="H4130" t="inlineStr">
        <is>
          <t>1.0E-08 kg/kg fuel for diesel locomotives, according to Spielmann et al. (2007)
Spielmann, M., Bauer, C., Dones, R., Institut, P. S., &amp; Tuchschmid, M. (2007). Transport Services. Swiss Centre for Life Cycle Inventories, ecoinvent report No. 14.</t>
        </is>
      </c>
      <c r="I4130">
        <v>0</v>
      </c>
    </row>
    <row r="4131">
      <c r="A4131" t="inlineStr">
        <is>
          <t>Sulfur dioxide</t>
        </is>
      </c>
      <c r="B4131">
        <v>1.2494203867849466e-05</v>
      </c>
      <c r="D4131" t="inlineStr">
        <is>
          <t>kilogram</t>
        </is>
      </c>
      <c r="E4131" t="inlineStr">
        <is>
          <t>air</t>
        </is>
      </c>
      <c r="F4131" t="inlineStr">
        <is>
          <t>biosphere</t>
        </is>
      </c>
      <c r="H4131" t="inlineStr">
        <is>
          <t>6.0E-04 kg/kg fuel for diesel locomotives, according to Spielmann et al. (2007)
Spielmann, M., Bauer, C., Dones, R., Institut, P. S., &amp; Tuchschmid, M. (2007). Transport Services. Swiss Centre for Life Cycle Inventories, ecoinvent report No. 14.</t>
        </is>
      </c>
      <c r="I4131">
        <v>0</v>
      </c>
    </row>
    <row r="4132">
      <c r="A4132" t="inlineStr">
        <is>
          <t>Toluene</t>
        </is>
      </c>
      <c r="B4132">
        <v>8.329469245232978e-07</v>
      </c>
      <c r="D4132" t="inlineStr">
        <is>
          <t>kilogram</t>
        </is>
      </c>
      <c r="E4132" t="inlineStr">
        <is>
          <t>air</t>
        </is>
      </c>
      <c r="F4132" t="inlineStr">
        <is>
          <t>biosphere</t>
        </is>
      </c>
      <c r="H4132" t="inlineStr">
        <is>
          <t>4.0E-05 kg/kg fuel for diesel locomotives, according to Spielmann et al. (2007)
Spielmann, M., Bauer, C., Dones, R., Institut, P. S., &amp; Tuchschmid, M. (2007). Transport Services. Swiss Centre for Life Cycle Inventories, ecoinvent report No. 14.</t>
        </is>
      </c>
      <c r="I4132">
        <v>0</v>
      </c>
    </row>
    <row r="4133">
      <c r="A4133" t="inlineStr">
        <is>
          <t>Xylenes, unspecified</t>
        </is>
      </c>
      <c r="B4133">
        <v>8.329469245232978e-07</v>
      </c>
      <c r="D4133" t="inlineStr">
        <is>
          <t>kilogram</t>
        </is>
      </c>
      <c r="E4133" t="inlineStr">
        <is>
          <t>air::unspecified</t>
        </is>
      </c>
      <c r="F4133" t="inlineStr">
        <is>
          <t>biosphere</t>
        </is>
      </c>
      <c r="H4133" t="inlineStr">
        <is>
          <t>4.0E-05 kg/kg fuel for diesel locomotives, according to Spielmann et al. (2007)
Spielmann, M., Bauer, C., Dones, R., Institut, P. S., &amp; Tuchschmid, M. (2007). Transport Services. Swiss Centre for Life Cycle Inventories, ecoinvent report No. 14.</t>
        </is>
      </c>
      <c r="I4133">
        <v>0</v>
      </c>
    </row>
    <row r="4134">
      <c r="A4134" t="inlineStr">
        <is>
          <t>Zinc II</t>
        </is>
      </c>
      <c r="B4134">
        <v>2.0823673113082442e-08</v>
      </c>
      <c r="D4134" t="inlineStr">
        <is>
          <t>kilogram</t>
        </is>
      </c>
      <c r="E4134" t="inlineStr">
        <is>
          <t>air</t>
        </is>
      </c>
      <c r="F4134" t="inlineStr">
        <is>
          <t>biosphere</t>
        </is>
      </c>
      <c r="H4134" t="inlineStr">
        <is>
          <t>1.0E-06 kg/kg fuel for diesel locomotives, according to Spielmann et al. (2007)
Spielmann, M., Bauer, C., Dones, R., Institut, P. S., &amp; Tuchschmid, M. (2007). Transport Services. Swiss Centre for Life Cycle Inventories, ecoinvent report No. 14.</t>
        </is>
      </c>
      <c r="I4134">
        <v>0</v>
      </c>
    </row>
    <row r="4135">
      <c r="A4135" t="inlineStr">
        <is>
          <t>Carbon dioxide, non-fossil</t>
        </is>
      </c>
      <c r="B4135">
        <v>0.0732</v>
      </c>
      <c r="D4135" t="inlineStr">
        <is>
          <t>kilogram</t>
        </is>
      </c>
      <c r="E4135" t="inlineStr">
        <is>
          <t>air</t>
        </is>
      </c>
      <c r="F4135" t="inlineStr">
        <is>
          <t>biosphere</t>
        </is>
      </c>
      <c r="I4135">
        <v>0</v>
      </c>
    </row>
    <row r="4136"/>
    <row r="4137">
      <c r="A4137" t="inlineStr">
        <is>
          <t>Activity</t>
        </is>
      </c>
      <c r="B4137" t="inlineStr">
        <is>
          <t>diesel, burned in passenger car</t>
        </is>
      </c>
    </row>
    <row r="4138">
      <c r="A4138" t="inlineStr">
        <is>
          <t>location</t>
        </is>
      </c>
      <c r="B4138" t="inlineStr">
        <is>
          <t>RER</t>
        </is>
      </c>
    </row>
    <row r="4139">
      <c r="A4139" t="inlineStr">
        <is>
          <t>production amount</t>
        </is>
      </c>
      <c r="B4139">
        <v>1</v>
      </c>
    </row>
    <row r="4140">
      <c r="A4140" t="inlineStr">
        <is>
          <t>reference product</t>
        </is>
      </c>
      <c r="B4140" t="inlineStr">
        <is>
          <t>heat</t>
        </is>
      </c>
    </row>
    <row r="4141">
      <c r="A4141" t="inlineStr">
        <is>
          <t>type</t>
        </is>
      </c>
      <c r="B4141" t="inlineStr">
        <is>
          <t>process</t>
        </is>
      </c>
    </row>
    <row r="4142">
      <c r="A4142" t="inlineStr">
        <is>
          <t>unit</t>
        </is>
      </c>
      <c r="B4142" t="inlineStr">
        <is>
          <t>megajoule</t>
        </is>
      </c>
    </row>
    <row r="4143">
      <c r="A4143" t="inlineStr">
        <is>
          <t>Power, mean</t>
        </is>
      </c>
      <c r="B4143">
        <v>126</v>
      </c>
    </row>
    <row r="4144">
      <c r="A4144" t="inlineStr">
        <is>
          <t>Power, min</t>
        </is>
      </c>
      <c r="B4144">
        <v>54</v>
      </c>
    </row>
    <row r="4145">
      <c r="A4145" t="inlineStr">
        <is>
          <t>Power, max</t>
        </is>
      </c>
      <c r="B4145">
        <v>158</v>
      </c>
    </row>
    <row r="4146">
      <c r="A4146" t="inlineStr">
        <is>
          <t>Lifetime, mean</t>
        </is>
      </c>
      <c r="B4146">
        <v>200000</v>
      </c>
    </row>
    <row r="4147">
      <c r="A4147" t="inlineStr">
        <is>
          <t>Lifetime, min</t>
        </is>
      </c>
      <c r="B4147">
        <v>160000</v>
      </c>
    </row>
    <row r="4148">
      <c r="A4148" t="inlineStr">
        <is>
          <t>Lifetime, max</t>
        </is>
      </c>
      <c r="B4148">
        <v>250000</v>
      </c>
    </row>
    <row r="4149">
      <c r="A4149" t="inlineStr">
        <is>
          <t>Energy use, mean</t>
        </is>
      </c>
      <c r="B4149">
        <v>2250</v>
      </c>
    </row>
    <row r="4150">
      <c r="A4150" t="inlineStr">
        <is>
          <t>Energy use, min</t>
        </is>
      </c>
      <c r="B4150">
        <v>1500</v>
      </c>
    </row>
    <row r="4151">
      <c r="A4151" t="inlineStr">
        <is>
          <t>Energy use, max</t>
        </is>
      </c>
      <c r="B4151">
        <v>2900</v>
      </c>
    </row>
    <row r="4152">
      <c r="A4152" t="inlineStr">
        <is>
          <t>Electric motor, mean</t>
        </is>
      </c>
      <c r="B4152">
        <v>0</v>
      </c>
    </row>
    <row r="4153">
      <c r="A4153" t="inlineStr">
        <is>
          <t>Electric motor, min</t>
        </is>
      </c>
      <c r="B4153">
        <v>0</v>
      </c>
    </row>
    <row r="4154">
      <c r="A4154" t="inlineStr">
        <is>
          <t>Electric motor, max</t>
        </is>
      </c>
      <c r="B4154">
        <v>0</v>
      </c>
    </row>
    <row r="4155">
      <c r="A4155" t="inlineStr">
        <is>
          <t>Combustion engine, mean</t>
        </is>
      </c>
      <c r="B4155">
        <v>169</v>
      </c>
    </row>
    <row r="4156">
      <c r="A4156" t="inlineStr">
        <is>
          <t>Combustion engine, min</t>
        </is>
      </c>
      <c r="B4156">
        <v>111</v>
      </c>
    </row>
    <row r="4157">
      <c r="A4157" t="inlineStr">
        <is>
          <t>Combustion engine, max</t>
        </is>
      </c>
      <c r="B4157">
        <v>194</v>
      </c>
    </row>
    <row r="4158">
      <c r="A4158" t="inlineStr">
        <is>
          <t>Fuel tank, mean</t>
        </is>
      </c>
      <c r="B4158">
        <v>48</v>
      </c>
    </row>
    <row r="4159">
      <c r="A4159" t="inlineStr">
        <is>
          <t>Fuel tank, min</t>
        </is>
      </c>
      <c r="B4159">
        <v>30</v>
      </c>
    </row>
    <row r="4160">
      <c r="A4160" t="inlineStr">
        <is>
          <t>Fuel tank, max</t>
        </is>
      </c>
      <c r="B4160">
        <v>48</v>
      </c>
    </row>
    <row r="4161">
      <c r="A4161" t="inlineStr">
        <is>
          <t>Battery capacity, mean</t>
        </is>
      </c>
      <c r="B4161">
        <v>0</v>
      </c>
    </row>
    <row r="4162">
      <c r="A4162" t="inlineStr">
        <is>
          <t>Battery capacity, min</t>
        </is>
      </c>
      <c r="B4162">
        <v>0</v>
      </c>
    </row>
    <row r="4163">
      <c r="A4163" t="inlineStr">
        <is>
          <t>Battery capacity, max</t>
        </is>
      </c>
      <c r="B4163">
        <v>0</v>
      </c>
    </row>
    <row r="4164">
      <c r="A4164" t="inlineStr">
        <is>
          <t>Battery replacement, mean</t>
        </is>
      </c>
      <c r="B4164">
        <v>0</v>
      </c>
    </row>
    <row r="4165">
      <c r="A4165" t="inlineStr">
        <is>
          <t>Battery replacement, min</t>
        </is>
      </c>
      <c r="B4165">
        <v>0</v>
      </c>
    </row>
    <row r="4166">
      <c r="A4166" t="inlineStr">
        <is>
          <t>Battery replacement, max</t>
        </is>
      </c>
      <c r="B4166">
        <v>0</v>
      </c>
    </row>
    <row r="4167">
      <c r="A4167" t="inlineStr">
        <is>
          <t>Fuel cell system, mean</t>
        </is>
      </c>
      <c r="B4167">
        <v>0</v>
      </c>
    </row>
    <row r="4168">
      <c r="A4168" t="inlineStr">
        <is>
          <t>Fuel cell system, min</t>
        </is>
      </c>
      <c r="B4168">
        <v>0</v>
      </c>
    </row>
    <row r="4169">
      <c r="A4169" t="inlineStr">
        <is>
          <t>Fuel cell system, max</t>
        </is>
      </c>
      <c r="B4169">
        <v>0</v>
      </c>
    </row>
    <row r="4170">
      <c r="A4170" t="inlineStr">
        <is>
          <t>Fuel cell stack replacement, mean</t>
        </is>
      </c>
      <c r="B4170">
        <v>0</v>
      </c>
    </row>
    <row r="4171">
      <c r="A4171" t="inlineStr">
        <is>
          <t>Fuel cell replacement, min</t>
        </is>
      </c>
      <c r="B4171">
        <v>0</v>
      </c>
    </row>
    <row r="4172">
      <c r="A4172" t="inlineStr">
        <is>
          <t>Fuel cell replacement, max</t>
        </is>
      </c>
      <c r="B4172">
        <v>0</v>
      </c>
    </row>
    <row r="4173">
      <c r="A4173" t="inlineStr">
        <is>
          <t>Onboard charger mass</t>
        </is>
      </c>
      <c r="B4173">
        <v>0</v>
      </c>
    </row>
    <row r="4174">
      <c r="A4174" t="inlineStr">
        <is>
          <t>Controller mass</t>
        </is>
      </c>
      <c r="B4174">
        <v>0</v>
      </c>
    </row>
    <row r="4175">
      <c r="A4175" t="inlineStr">
        <is>
          <t>Converter mass</t>
        </is>
      </c>
      <c r="B4175">
        <v>0</v>
      </c>
    </row>
    <row r="4176">
      <c r="A4176" t="inlineStr">
        <is>
          <t>Electrical powertrain mass</t>
        </is>
      </c>
      <c r="B4176">
        <v>0</v>
      </c>
    </row>
    <row r="4177">
      <c r="A4177" t="inlineStr">
        <is>
          <t>Inverter mass</t>
        </is>
      </c>
      <c r="B4177">
        <v>0</v>
      </c>
    </row>
    <row r="4178">
      <c r="A4178" t="inlineStr">
        <is>
          <t>NOx</t>
        </is>
      </c>
      <c r="B4178">
        <v>0.2</v>
      </c>
    </row>
    <row r="4179">
      <c r="A4179" t="inlineStr">
        <is>
          <t>PM 2.5</t>
        </is>
      </c>
      <c r="B4179">
        <v>0.0017499999999999998</v>
      </c>
    </row>
    <row r="4180">
      <c r="A4180" t="inlineStr">
        <is>
          <t>energy use source</t>
        </is>
      </c>
      <c r="B418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4181">
      <c r="A4181" t="inlineStr">
        <is>
          <t>comment</t>
        </is>
      </c>
      <c r="B418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82">
      <c r="A4182" t="inlineStr">
        <is>
          <t>Exchanges</t>
        </is>
      </c>
    </row>
    <row r="4183">
      <c r="A4183" t="inlineStr">
        <is>
          <t>name</t>
        </is>
      </c>
      <c r="B4183" t="inlineStr">
        <is>
          <t>amount</t>
        </is>
      </c>
      <c r="C4183" t="inlineStr">
        <is>
          <t>location</t>
        </is>
      </c>
      <c r="D4183" t="inlineStr">
        <is>
          <t>unit</t>
        </is>
      </c>
      <c r="E4183" t="inlineStr">
        <is>
          <t>categories</t>
        </is>
      </c>
      <c r="F4183" t="inlineStr">
        <is>
          <t>type</t>
        </is>
      </c>
      <c r="G4183" t="inlineStr">
        <is>
          <t>reference product</t>
        </is>
      </c>
      <c r="H4183" t="inlineStr">
        <is>
          <t>comment</t>
        </is>
      </c>
      <c r="I4183" t="inlineStr">
        <is>
          <t>uncertainty type</t>
        </is>
      </c>
    </row>
    <row r="4184">
      <c r="A4184" t="inlineStr">
        <is>
          <t>diesel, burned in passenger car</t>
        </is>
      </c>
      <c r="B4184">
        <v>1.0</v>
      </c>
      <c r="C4184" t="inlineStr">
        <is>
          <t>RER</t>
        </is>
      </c>
      <c r="D4184" t="inlineStr">
        <is>
          <t>megajoule</t>
        </is>
      </c>
      <c r="F4184" t="inlineStr">
        <is>
          <t>production</t>
        </is>
      </c>
      <c r="G4184" t="inlineStr">
        <is>
          <t>heat</t>
        </is>
      </c>
      <c r="I4184">
        <v>0</v>
      </c>
    </row>
    <row r="4185">
      <c r="A4185" t="inlineStr">
        <is>
          <t>market for diesel, low-sulfur</t>
        </is>
      </c>
      <c r="B4185">
        <v>0.023255813953488375</v>
      </c>
      <c r="C4185" t="inlineStr">
        <is>
          <t>Europe without Switzerland</t>
        </is>
      </c>
      <c r="D4185" t="inlineStr">
        <is>
          <t>kilogram</t>
        </is>
      </c>
      <c r="F4185" t="inlineStr">
        <is>
          <t>technosphere</t>
        </is>
      </c>
      <c r="G4185" t="inlineStr">
        <is>
          <t>diesel, low-sulfur</t>
        </is>
      </c>
      <c r="H4185" t="inlineStr">
        <is>
          <t>Default carculator fuel energy preserved (1.86607492037 MJ/vkm); premise reference LHV 43.0 MJ/kg. Regional scenario blend belongs to premise.</t>
        </is>
      </c>
      <c r="I4185">
        <v>0</v>
      </c>
    </row>
    <row r="4186">
      <c r="A4186" t="inlineStr">
        <is>
          <t>treatment of brake wear emissions, passenger car</t>
        </is>
      </c>
      <c r="B4186">
        <v>-7.967052081550097e-06</v>
      </c>
      <c r="C4186" t="inlineStr">
        <is>
          <t>RER</t>
        </is>
      </c>
      <c r="D4186" t="inlineStr">
        <is>
          <t>kilogram</t>
        </is>
      </c>
      <c r="F4186" t="inlineStr">
        <is>
          <t>technosphere</t>
        </is>
      </c>
      <c r="G4186" t="inlineStr">
        <is>
          <t>brake wear emissions, passenger car</t>
        </is>
      </c>
      <c r="I4186">
        <v>0</v>
      </c>
    </row>
    <row r="4187">
      <c r="A4187" t="inlineStr">
        <is>
          <t>treatment of road wear emissions, passenger car</t>
        </is>
      </c>
      <c r="B4187">
        <v>-9.150770397723165e-06</v>
      </c>
      <c r="C4187" t="inlineStr">
        <is>
          <t>RER</t>
        </is>
      </c>
      <c r="D4187" t="inlineStr">
        <is>
          <t>kilogram</t>
        </is>
      </c>
      <c r="F4187" t="inlineStr">
        <is>
          <t>technosphere</t>
        </is>
      </c>
      <c r="G4187" t="inlineStr">
        <is>
          <t>road wear emissions, passenger car</t>
        </is>
      </c>
      <c r="I4187">
        <v>0</v>
      </c>
    </row>
    <row r="4188">
      <c r="A4188" t="inlineStr">
        <is>
          <t>treatment of tyre wear emissions, passenger car</t>
        </is>
      </c>
      <c r="B4188">
        <v>-1.0568832109350394e-05</v>
      </c>
      <c r="C4188" t="inlineStr">
        <is>
          <t>RER</t>
        </is>
      </c>
      <c r="D4188" t="inlineStr">
        <is>
          <t>kilogram</t>
        </is>
      </c>
      <c r="F4188" t="inlineStr">
        <is>
          <t>technosphere</t>
        </is>
      </c>
      <c r="G4188" t="inlineStr">
        <is>
          <t>tyre wear emissions, passenger car</t>
        </is>
      </c>
      <c r="I4188">
        <v>0</v>
      </c>
    </row>
    <row r="4189">
      <c r="A4189" t="inlineStr">
        <is>
          <t>market for tetrafluoroethane, R134a</t>
        </is>
      </c>
      <c r="B4189">
        <v>3.4832470313950515e-06</v>
      </c>
      <c r="C4189" t="inlineStr">
        <is>
          <t>GLO</t>
        </is>
      </c>
      <c r="D4189" t="inlineStr">
        <is>
          <t>kilogram</t>
        </is>
      </c>
      <c r="F4189" t="inlineStr">
        <is>
          <t>technosphere</t>
        </is>
      </c>
      <c r="G4189" t="inlineStr">
        <is>
          <t>tetrafluoroethane, R134a</t>
        </is>
      </c>
      <c r="I4189">
        <v>0</v>
      </c>
    </row>
    <row r="4190">
      <c r="A4190" t="inlineStr">
        <is>
          <t>Toluene</t>
        </is>
      </c>
      <c r="B4190">
        <v>1.8388993477254683e-09</v>
      </c>
      <c r="D4190" t="inlineStr">
        <is>
          <t>kilogram</t>
        </is>
      </c>
      <c r="E4190" t="inlineStr">
        <is>
          <t>air::non-urban air or from high stacks</t>
        </is>
      </c>
      <c r="F4190" t="inlineStr">
        <is>
          <t>biosphere</t>
        </is>
      </c>
      <c r="I4190">
        <v>0</v>
      </c>
    </row>
    <row r="4191">
      <c r="A4191" t="inlineStr">
        <is>
          <t>NMVOC, non-methane volatile organic compounds</t>
        </is>
      </c>
      <c r="B4191">
        <v>1.4657892889270108e-07</v>
      </c>
      <c r="D4191" t="inlineStr">
        <is>
          <t>kilogram</t>
        </is>
      </c>
      <c r="E4191" t="inlineStr">
        <is>
          <t>air::non-urban air or from high stacks</t>
        </is>
      </c>
      <c r="F4191" t="inlineStr">
        <is>
          <t>biosphere</t>
        </is>
      </c>
      <c r="I4191">
        <v>0</v>
      </c>
    </row>
    <row r="4192">
      <c r="A4192" t="inlineStr">
        <is>
          <t>Dinitrogen monoxide</t>
        </is>
      </c>
      <c r="B4192">
        <v>1.3837910754355256e-06</v>
      </c>
      <c r="D4192" t="inlineStr">
        <is>
          <t>kilogram</t>
        </is>
      </c>
      <c r="E4192" t="inlineStr">
        <is>
          <t>air::non-urban air or from high stacks</t>
        </is>
      </c>
      <c r="F4192" t="inlineStr">
        <is>
          <t>biosphere</t>
        </is>
      </c>
      <c r="I4192">
        <v>0</v>
      </c>
    </row>
    <row r="4193">
      <c r="A4193" t="inlineStr">
        <is>
          <t>Ethane</t>
        </is>
      </c>
      <c r="B4193">
        <v>4.072149787837132e-09</v>
      </c>
      <c r="D4193" t="inlineStr">
        <is>
          <t>kilogram</t>
        </is>
      </c>
      <c r="E4193" t="inlineStr">
        <is>
          <t>air::urban air close to ground</t>
        </is>
      </c>
      <c r="F4193" t="inlineStr">
        <is>
          <t>biosphere</t>
        </is>
      </c>
      <c r="I4193">
        <v>0</v>
      </c>
    </row>
    <row r="4194">
      <c r="A4194" t="inlineStr">
        <is>
          <t>Pentane</t>
        </is>
      </c>
      <c r="B4194">
        <v>4.935939064657017e-10</v>
      </c>
      <c r="D4194" t="inlineStr">
        <is>
          <t>kilogram</t>
        </is>
      </c>
      <c r="E4194" t="inlineStr">
        <is>
          <t>air::urban air close to ground</t>
        </is>
      </c>
      <c r="F4194" t="inlineStr">
        <is>
          <t>biosphere</t>
        </is>
      </c>
      <c r="I4194">
        <v>0</v>
      </c>
    </row>
    <row r="4195">
      <c r="A4195" t="inlineStr">
        <is>
          <t>Selenium IV</t>
        </is>
      </c>
      <c r="B4195">
        <v>1.4312488373385127e-12</v>
      </c>
      <c r="D4195" t="inlineStr">
        <is>
          <t>kilogram</t>
        </is>
      </c>
      <c r="E4195" t="inlineStr">
        <is>
          <t>air::non-urban air or from high stacks</t>
        </is>
      </c>
      <c r="F4195" t="inlineStr">
        <is>
          <t>biosphere</t>
        </is>
      </c>
      <c r="I4195">
        <v>0</v>
      </c>
    </row>
    <row r="4196">
      <c r="A4196" t="inlineStr">
        <is>
          <t>Arsenic ion</t>
        </is>
      </c>
      <c r="B4196">
        <v>1.4312488373385127e-12</v>
      </c>
      <c r="D4196" t="inlineStr">
        <is>
          <t>kilogram</t>
        </is>
      </c>
      <c r="E4196" t="inlineStr">
        <is>
          <t>air::non-urban air or from high stacks</t>
        </is>
      </c>
      <c r="F4196" t="inlineStr">
        <is>
          <t>biosphere</t>
        </is>
      </c>
      <c r="I4196">
        <v>0</v>
      </c>
    </row>
    <row r="4197">
      <c r="A4197" t="inlineStr">
        <is>
          <t>Arsenic ion</t>
        </is>
      </c>
      <c r="B4197">
        <v>8.98750956554421e-13</v>
      </c>
      <c r="D4197" t="inlineStr">
        <is>
          <t>kilogram</t>
        </is>
      </c>
      <c r="E4197" t="inlineStr">
        <is>
          <t>air::urban air close to ground</t>
        </is>
      </c>
      <c r="F4197" t="inlineStr">
        <is>
          <t>biosphere</t>
        </is>
      </c>
      <c r="I4197">
        <v>0</v>
      </c>
    </row>
    <row r="4198">
      <c r="A4198" t="inlineStr">
        <is>
          <t>Propylene</t>
        </is>
      </c>
      <c r="B4198">
        <v>9.594256886963272e-09</v>
      </c>
      <c r="D4198" t="inlineStr">
        <is>
          <t>kilogram</t>
        </is>
      </c>
      <c r="E4198" t="inlineStr">
        <is>
          <t>air::non-urban air or from high stacks</t>
        </is>
      </c>
      <c r="F4198" t="inlineStr">
        <is>
          <t>biosphere</t>
        </is>
      </c>
      <c r="I4198">
        <v>0</v>
      </c>
    </row>
    <row r="4199">
      <c r="A4199" t="inlineStr">
        <is>
          <t>Particulate Matter, &lt; 2.5 um</t>
        </is>
      </c>
      <c r="B4199">
        <v>1.636891619531532e-07</v>
      </c>
      <c r="D4199" t="inlineStr">
        <is>
          <t>kilogram</t>
        </is>
      </c>
      <c r="E4199" t="inlineStr">
        <is>
          <t>air::urban air close to ground</t>
        </is>
      </c>
      <c r="F4199" t="inlineStr">
        <is>
          <t>biosphere</t>
        </is>
      </c>
      <c r="I4199">
        <v>0</v>
      </c>
    </row>
    <row r="4200">
      <c r="A4200" t="inlineStr">
        <is>
          <t>Nickel II</t>
        </is>
      </c>
      <c r="B4200">
        <v>2.856355271045539e-12</v>
      </c>
      <c r="D4200" t="inlineStr">
        <is>
          <t>kilogram</t>
        </is>
      </c>
      <c r="E4200" t="inlineStr">
        <is>
          <t>air::non-urban air or from high stacks</t>
        </is>
      </c>
      <c r="F4200" t="inlineStr">
        <is>
          <t>biosphere</t>
        </is>
      </c>
      <c r="I4200">
        <v>0</v>
      </c>
    </row>
    <row r="4201">
      <c r="A4201" t="inlineStr">
        <is>
          <t>Methane, fossil</t>
        </is>
      </c>
      <c r="B4201">
        <v>2.3985624245130236e-06</v>
      </c>
      <c r="D4201" t="inlineStr">
        <is>
          <t>kilogram</t>
        </is>
      </c>
      <c r="E4201" t="inlineStr">
        <is>
          <t>air::non-urban air or from high stacks</t>
        </is>
      </c>
      <c r="F4201" t="inlineStr">
        <is>
          <t>biosphere</t>
        </is>
      </c>
      <c r="I4201">
        <v>0</v>
      </c>
    </row>
    <row r="4202">
      <c r="A4202" t="inlineStr">
        <is>
          <t>Mercury II</t>
        </is>
      </c>
      <c r="B4202">
        <v>7.555519944566824e-11</v>
      </c>
      <c r="D4202" t="inlineStr">
        <is>
          <t>kilogram</t>
        </is>
      </c>
      <c r="E4202" t="inlineStr">
        <is>
          <t>air::non-urban air or from high stacks</t>
        </is>
      </c>
      <c r="F4202" t="inlineStr">
        <is>
          <t>biosphere</t>
        </is>
      </c>
      <c r="I4202">
        <v>0</v>
      </c>
    </row>
    <row r="4203">
      <c r="A4203" t="inlineStr">
        <is>
          <t>Ammonia</t>
        </is>
      </c>
      <c r="B4203">
        <v>8.515878173642505e-07</v>
      </c>
      <c r="D4203" t="inlineStr">
        <is>
          <t>kilogram</t>
        </is>
      </c>
      <c r="E4203" t="inlineStr">
        <is>
          <t>air::non-urban air or from high stacks</t>
        </is>
      </c>
      <c r="F4203" t="inlineStr">
        <is>
          <t>biosphere</t>
        </is>
      </c>
      <c r="I4203">
        <v>0</v>
      </c>
    </row>
    <row r="4204">
      <c r="A4204" t="inlineStr">
        <is>
          <t>Ethane</t>
        </is>
      </c>
      <c r="B4204">
        <v>8.794736114330666e-10</v>
      </c>
      <c r="D4204" t="inlineStr">
        <is>
          <t>kilogram</t>
        </is>
      </c>
      <c r="E4204" t="inlineStr">
        <is>
          <t>air::non-urban air or from high stacks</t>
        </is>
      </c>
      <c r="F4204" t="inlineStr">
        <is>
          <t>biosphere</t>
        </is>
      </c>
      <c r="I4204">
        <v>0</v>
      </c>
    </row>
    <row r="4205">
      <c r="A4205" t="inlineStr">
        <is>
          <t>Nickel II</t>
        </is>
      </c>
      <c r="B4205">
        <v>1.7936446091257316e-12</v>
      </c>
      <c r="D4205" t="inlineStr">
        <is>
          <t>kilogram</t>
        </is>
      </c>
      <c r="E4205" t="inlineStr">
        <is>
          <t>air::urban air close to ground</t>
        </is>
      </c>
      <c r="F4205" t="inlineStr">
        <is>
          <t>biosphere</t>
        </is>
      </c>
      <c r="I4205">
        <v>0</v>
      </c>
    </row>
    <row r="4206">
      <c r="A4206" t="inlineStr">
        <is>
          <t>Cadmium II</t>
        </is>
      </c>
      <c r="B4206">
        <v>7.12553100652158e-13</v>
      </c>
      <c r="D4206" t="inlineStr">
        <is>
          <t>kilogram</t>
        </is>
      </c>
      <c r="E4206" t="inlineStr">
        <is>
          <t>air::non-urban air or from high stacks</t>
        </is>
      </c>
      <c r="F4206" t="inlineStr">
        <is>
          <t>biosphere</t>
        </is>
      </c>
      <c r="I4206">
        <v>0</v>
      </c>
    </row>
    <row r="4207">
      <c r="A4207" t="inlineStr">
        <is>
          <t>Ammonia</t>
        </is>
      </c>
      <c r="B4207">
        <v>5.347535547726079e-07</v>
      </c>
      <c r="D4207" t="inlineStr">
        <is>
          <t>kilogram</t>
        </is>
      </c>
      <c r="E4207" t="inlineStr">
        <is>
          <t>air::urban air close to ground</t>
        </is>
      </c>
      <c r="F4207" t="inlineStr">
        <is>
          <t>biosphere</t>
        </is>
      </c>
      <c r="I4207">
        <v>0</v>
      </c>
    </row>
    <row r="4208">
      <c r="A4208" t="inlineStr">
        <is>
          <t>Butane</t>
        </is>
      </c>
      <c r="B4208">
        <v>2.9315788039353776e-10</v>
      </c>
      <c r="D4208" t="inlineStr">
        <is>
          <t>kilogram</t>
        </is>
      </c>
      <c r="E4208" t="inlineStr">
        <is>
          <t>air::non-urban air or from high stacks</t>
        </is>
      </c>
      <c r="F4208" t="inlineStr">
        <is>
          <t>biosphere</t>
        </is>
      </c>
      <c r="I4208">
        <v>0</v>
      </c>
    </row>
    <row r="4209">
      <c r="A4209" t="inlineStr">
        <is>
          <t>PAH, polycyclic aromatic hydrocarbons</t>
        </is>
      </c>
      <c r="B4209">
        <v>5.091636535281869e-10</v>
      </c>
      <c r="D4209" t="inlineStr">
        <is>
          <t>kilogram</t>
        </is>
      </c>
      <c r="E4209" t="inlineStr">
        <is>
          <t>air::urban air close to ground</t>
        </is>
      </c>
      <c r="F4209" t="inlineStr">
        <is>
          <t>biosphere</t>
        </is>
      </c>
      <c r="I4209">
        <v>0</v>
      </c>
    </row>
    <row r="4210">
      <c r="A4210" t="inlineStr">
        <is>
          <t>Copper ion</t>
        </is>
      </c>
      <c r="B4210">
        <v>8.16979042710669e-11</v>
      </c>
      <c r="D4210" t="inlineStr">
        <is>
          <t>kilogram</t>
        </is>
      </c>
      <c r="E4210" t="inlineStr">
        <is>
          <t>air::non-urban air or from high stacks</t>
        </is>
      </c>
      <c r="F4210" t="inlineStr">
        <is>
          <t>biosphere</t>
        </is>
      </c>
      <c r="I4210">
        <v>0</v>
      </c>
    </row>
    <row r="4211">
      <c r="A4211" t="inlineStr">
        <is>
          <t>Nitrogen oxides</t>
        </is>
      </c>
      <c r="B4211">
        <v>1.2205207650351623e-05</v>
      </c>
      <c r="D4211" t="inlineStr">
        <is>
          <t>kilogram</t>
        </is>
      </c>
      <c r="E4211" t="inlineStr">
        <is>
          <t>air::non-urban air or from high stacks</t>
        </is>
      </c>
      <c r="F4211" t="inlineStr">
        <is>
          <t>biosphere</t>
        </is>
      </c>
      <c r="I4211">
        <v>0</v>
      </c>
    </row>
    <row r="4212">
      <c r="A4212" t="inlineStr">
        <is>
          <t>Butane</t>
        </is>
      </c>
      <c r="B4212">
        <v>1.3573831832855856e-09</v>
      </c>
      <c r="D4212" t="inlineStr">
        <is>
          <t>kilogram</t>
        </is>
      </c>
      <c r="E4212" t="inlineStr">
        <is>
          <t>air::urban air close to ground</t>
        </is>
      </c>
      <c r="F4212" t="inlineStr">
        <is>
          <t>biosphere</t>
        </is>
      </c>
      <c r="I4212">
        <v>0</v>
      </c>
    </row>
    <row r="4213">
      <c r="A4213" t="inlineStr">
        <is>
          <t>Copper ion</t>
        </is>
      </c>
      <c r="B4213">
        <v>5.130209510040208e-11</v>
      </c>
      <c r="D4213" t="inlineStr">
        <is>
          <t>kilogram</t>
        </is>
      </c>
      <c r="E4213" t="inlineStr">
        <is>
          <t>air::urban air close to ground</t>
        </is>
      </c>
      <c r="F4213" t="inlineStr">
        <is>
          <t>biosphere</t>
        </is>
      </c>
      <c r="I4213">
        <v>0</v>
      </c>
    </row>
    <row r="4214">
      <c r="A4214" t="inlineStr">
        <is>
          <t>Chromium III</t>
        </is>
      </c>
      <c r="B4214">
        <v>7.637454356709601e-11</v>
      </c>
      <c r="D4214" t="inlineStr">
        <is>
          <t>kilogram</t>
        </is>
      </c>
      <c r="E4214" t="inlineStr">
        <is>
          <t>air::urban air close to ground</t>
        </is>
      </c>
      <c r="F4214" t="inlineStr">
        <is>
          <t>biosphere</t>
        </is>
      </c>
      <c r="I4214">
        <v>0</v>
      </c>
    </row>
    <row r="4215">
      <c r="A4215" t="inlineStr">
        <is>
          <t>Propane</t>
        </is>
      </c>
      <c r="B4215">
        <v>1.3573831832855856e-09</v>
      </c>
      <c r="D4215" t="inlineStr">
        <is>
          <t>kilogram</t>
        </is>
      </c>
      <c r="E4215" t="inlineStr">
        <is>
          <t>air::urban air close to ground</t>
        </is>
      </c>
      <c r="F4215" t="inlineStr">
        <is>
          <t>biosphere</t>
        </is>
      </c>
      <c r="I4215">
        <v>0</v>
      </c>
    </row>
    <row r="4216">
      <c r="A4216" t="inlineStr">
        <is>
          <t>Toluene</t>
        </is>
      </c>
      <c r="B4216">
        <v>8.514495184008822e-09</v>
      </c>
      <c r="D4216" t="inlineStr">
        <is>
          <t>kilogram</t>
        </is>
      </c>
      <c r="E4216" t="inlineStr">
        <is>
          <t>air::urban air close to ground</t>
        </is>
      </c>
      <c r="F4216" t="inlineStr">
        <is>
          <t>biosphere</t>
        </is>
      </c>
      <c r="I4216">
        <v>0</v>
      </c>
    </row>
    <row r="4217">
      <c r="A4217" t="inlineStr">
        <is>
          <t>Dinitrogen monoxide</t>
        </is>
      </c>
      <c r="B4217">
        <v>8.68949829854063e-07</v>
      </c>
      <c r="D4217" t="inlineStr">
        <is>
          <t>kilogram</t>
        </is>
      </c>
      <c r="E4217" t="inlineStr">
        <is>
          <t>air::urban air close to ground</t>
        </is>
      </c>
      <c r="F4217" t="inlineStr">
        <is>
          <t>biosphere</t>
        </is>
      </c>
      <c r="I4217">
        <v>0</v>
      </c>
    </row>
    <row r="4218">
      <c r="A4218" t="inlineStr">
        <is>
          <t>Zinc II</t>
        </is>
      </c>
      <c r="B4218">
        <v>1.6162087653443074e-10</v>
      </c>
      <c r="D4218" t="inlineStr">
        <is>
          <t>kilogram</t>
        </is>
      </c>
      <c r="E4218" t="inlineStr">
        <is>
          <t>air::urban air close to ground</t>
        </is>
      </c>
      <c r="F4218" t="inlineStr">
        <is>
          <t>biosphere</t>
        </is>
      </c>
      <c r="I4218">
        <v>0</v>
      </c>
    </row>
    <row r="4219">
      <c r="A4219" t="inlineStr">
        <is>
          <t>Chromium VI</t>
        </is>
      </c>
      <c r="B4219">
        <v>2.426366216798939e-13</v>
      </c>
      <c r="D4219" t="inlineStr">
        <is>
          <t>kilogram</t>
        </is>
      </c>
      <c r="E4219" t="inlineStr">
        <is>
          <t>air::non-urban air or from high stacks</t>
        </is>
      </c>
      <c r="F4219" t="inlineStr">
        <is>
          <t>biosphere</t>
        </is>
      </c>
      <c r="I4219">
        <v>0</v>
      </c>
    </row>
    <row r="4220">
      <c r="A4220" t="inlineStr">
        <is>
          <t>Benzene</t>
        </is>
      </c>
      <c r="B4220">
        <v>2.1320570436842153e-08</v>
      </c>
      <c r="D4220" t="inlineStr">
        <is>
          <t>kilogram</t>
        </is>
      </c>
      <c r="E4220" t="inlineStr">
        <is>
          <t>air::non-urban air or from high stacks</t>
        </is>
      </c>
      <c r="F4220" t="inlineStr">
        <is>
          <t>biosphere</t>
        </is>
      </c>
      <c r="I4220">
        <v>0</v>
      </c>
    </row>
    <row r="4221">
      <c r="A4221" t="inlineStr">
        <is>
          <t>Carbon monoxide, fossil</t>
        </is>
      </c>
      <c r="B4221">
        <v>4.486574608647261e-06</v>
      </c>
      <c r="D4221" t="inlineStr">
        <is>
          <t>kilogram</t>
        </is>
      </c>
      <c r="E4221" t="inlineStr">
        <is>
          <t>air::non-urban air or from high stacks</t>
        </is>
      </c>
      <c r="F4221" t="inlineStr">
        <is>
          <t>biosphere</t>
        </is>
      </c>
      <c r="I4221">
        <v>0</v>
      </c>
    </row>
    <row r="4222">
      <c r="A4222" t="inlineStr">
        <is>
          <t>Chromium VI</t>
        </is>
      </c>
      <c r="B4222">
        <v>1.5236336208114335e-13</v>
      </c>
      <c r="D4222" t="inlineStr">
        <is>
          <t>kilogram</t>
        </is>
      </c>
      <c r="E4222" t="inlineStr">
        <is>
          <t>air::urban air close to ground</t>
        </is>
      </c>
      <c r="F4222" t="inlineStr">
        <is>
          <t>biosphere</t>
        </is>
      </c>
      <c r="I4222">
        <v>0</v>
      </c>
    </row>
    <row r="4223">
      <c r="A4223" t="inlineStr">
        <is>
          <t>Methane, fossil</t>
        </is>
      </c>
      <c r="B4223">
        <v>1.5324029278860158e-06</v>
      </c>
      <c r="D4223" t="inlineStr">
        <is>
          <t>kilogram</t>
        </is>
      </c>
      <c r="E4223" t="inlineStr">
        <is>
          <t>air::urban air close to ground</t>
        </is>
      </c>
      <c r="F4223" t="inlineStr">
        <is>
          <t>biosphere</t>
        </is>
      </c>
      <c r="I4223">
        <v>0</v>
      </c>
    </row>
    <row r="4224">
      <c r="A4224" t="inlineStr">
        <is>
          <t>Sulfur dioxide</t>
        </is>
      </c>
      <c r="B4224">
        <v>4.6773094625996215e-07</v>
      </c>
      <c r="D4224" t="inlineStr">
        <is>
          <t>kilogram</t>
        </is>
      </c>
      <c r="E4224" t="inlineStr">
        <is>
          <t>air</t>
        </is>
      </c>
      <c r="F4224" t="inlineStr">
        <is>
          <t>biosphere</t>
        </is>
      </c>
      <c r="I4224">
        <v>0</v>
      </c>
    </row>
    <row r="4225">
      <c r="A4225" t="inlineStr">
        <is>
          <t>NMVOC, non-methane volatile organic compounds</t>
        </is>
      </c>
      <c r="B4225">
        <v>6.786915792678135e-07</v>
      </c>
      <c r="D4225" t="inlineStr">
        <is>
          <t>kilogram</t>
        </is>
      </c>
      <c r="E4225" t="inlineStr">
        <is>
          <t>air::urban air close to ground</t>
        </is>
      </c>
      <c r="F4225" t="inlineStr">
        <is>
          <t>biosphere</t>
        </is>
      </c>
      <c r="I4225">
        <v>0</v>
      </c>
    </row>
    <row r="4226">
      <c r="A4226" t="inlineStr">
        <is>
          <t>Formaldehyde</t>
        </is>
      </c>
      <c r="B4226">
        <v>1.4807816718010298e-07</v>
      </c>
      <c r="D4226" t="inlineStr">
        <is>
          <t>kilogram</t>
        </is>
      </c>
      <c r="E4226" t="inlineStr">
        <is>
          <t>air::urban air close to ground</t>
        </is>
      </c>
      <c r="F4226" t="inlineStr">
        <is>
          <t>biosphere</t>
        </is>
      </c>
      <c r="I4226">
        <v>0</v>
      </c>
    </row>
    <row r="4227">
      <c r="A4227" t="inlineStr">
        <is>
          <t>Nitrogen oxides</t>
        </is>
      </c>
      <c r="B4227">
        <v>1.6646759692298164e-05</v>
      </c>
      <c r="D4227" t="inlineStr">
        <is>
          <t>kilogram</t>
        </is>
      </c>
      <c r="E4227" t="inlineStr">
        <is>
          <t>air::urban air close to ground</t>
        </is>
      </c>
      <c r="F4227" t="inlineStr">
        <is>
          <t>biosphere</t>
        </is>
      </c>
      <c r="I4227">
        <v>0</v>
      </c>
    </row>
    <row r="4228">
      <c r="A4228" t="inlineStr">
        <is>
          <t>Formaldehyde</t>
        </is>
      </c>
      <c r="B4228">
        <v>3.198085755910623e-08</v>
      </c>
      <c r="D4228" t="inlineStr">
        <is>
          <t>kilogram</t>
        </is>
      </c>
      <c r="E4228" t="inlineStr">
        <is>
          <t>air::non-urban air or from high stacks</t>
        </is>
      </c>
      <c r="F4228" t="inlineStr">
        <is>
          <t>biosphere</t>
        </is>
      </c>
      <c r="I4228">
        <v>0</v>
      </c>
    </row>
    <row r="4229">
      <c r="A4229" t="inlineStr">
        <is>
          <t>Zinc II</t>
        </is>
      </c>
      <c r="B4229">
        <v>2.5737910759022457e-10</v>
      </c>
      <c r="D4229" t="inlineStr">
        <is>
          <t>kilogram</t>
        </is>
      </c>
      <c r="E4229" t="inlineStr">
        <is>
          <t>air::non-urban air or from high stacks</t>
        </is>
      </c>
      <c r="F4229" t="inlineStr">
        <is>
          <t>biosphere</t>
        </is>
      </c>
      <c r="I4229">
        <v>0</v>
      </c>
    </row>
    <row r="4230">
      <c r="A4230" t="inlineStr">
        <is>
          <t>Carbon monoxide, fossil</t>
        </is>
      </c>
      <c r="B4230">
        <v>1.4237602031170576e-05</v>
      </c>
      <c r="D4230" t="inlineStr">
        <is>
          <t>kilogram</t>
        </is>
      </c>
      <c r="E4230" t="inlineStr">
        <is>
          <t>air::urban air close to ground</t>
        </is>
      </c>
      <c r="F4230" t="inlineStr">
        <is>
          <t>biosphere</t>
        </is>
      </c>
      <c r="I4230">
        <v>0</v>
      </c>
    </row>
    <row r="4231">
      <c r="A4231" t="inlineStr">
        <is>
          <t>m-Xylene</t>
        </is>
      </c>
      <c r="B4231">
        <v>7.527306895116669e-09</v>
      </c>
      <c r="D4231" t="inlineStr">
        <is>
          <t>kilogram</t>
        </is>
      </c>
      <c r="E4231" t="inlineStr">
        <is>
          <t>air::urban air close to ground</t>
        </is>
      </c>
      <c r="F4231" t="inlineStr">
        <is>
          <t>biosphere</t>
        </is>
      </c>
      <c r="I4231">
        <v>0</v>
      </c>
    </row>
    <row r="4232">
      <c r="A4232" t="inlineStr">
        <is>
          <t>PAH, polycyclic aromatic hydrocarbons</t>
        </is>
      </c>
      <c r="B4232">
        <v>8.108362635164032e-10</v>
      </c>
      <c r="D4232" t="inlineStr">
        <is>
          <t>kilogram</t>
        </is>
      </c>
      <c r="E4232" t="inlineStr">
        <is>
          <t>air::non-urban air or from high stacks</t>
        </is>
      </c>
      <c r="F4232" t="inlineStr">
        <is>
          <t>biosphere</t>
        </is>
      </c>
      <c r="I4232">
        <v>0</v>
      </c>
    </row>
    <row r="4233">
      <c r="A4233" t="inlineStr">
        <is>
          <t>Particulate Matter, &lt; 2.5 um</t>
        </is>
      </c>
      <c r="B4233">
        <v>1.5058152272837298e-07</v>
      </c>
      <c r="D4233" t="inlineStr">
        <is>
          <t>kilogram</t>
        </is>
      </c>
      <c r="E4233" t="inlineStr">
        <is>
          <t>air::non-urban air or from high stacks</t>
        </is>
      </c>
      <c r="F4233" t="inlineStr">
        <is>
          <t>biosphere</t>
        </is>
      </c>
      <c r="I4233">
        <v>0</v>
      </c>
    </row>
    <row r="4234">
      <c r="A4234" t="inlineStr">
        <is>
          <t>Pentane</t>
        </is>
      </c>
      <c r="B4234">
        <v>1.0660286289332767e-10</v>
      </c>
      <c r="D4234" t="inlineStr">
        <is>
          <t>kilogram</t>
        </is>
      </c>
      <c r="E4234" t="inlineStr">
        <is>
          <t>air::non-urban air or from high stacks</t>
        </is>
      </c>
      <c r="F4234" t="inlineStr">
        <is>
          <t>biosphere</t>
        </is>
      </c>
      <c r="I4234">
        <v>0</v>
      </c>
    </row>
    <row r="4235">
      <c r="A4235" t="inlineStr">
        <is>
          <t>1,1,1,2-Tetrafluoroethane</t>
        </is>
      </c>
      <c r="B4235">
        <v>2.00956556691731e-06</v>
      </c>
      <c r="D4235" t="inlineStr">
        <is>
          <t>kilogram</t>
        </is>
      </c>
      <c r="E4235" t="inlineStr">
        <is>
          <t>air</t>
        </is>
      </c>
      <c r="F4235" t="inlineStr">
        <is>
          <t>biosphere</t>
        </is>
      </c>
      <c r="I4235">
        <v>0</v>
      </c>
    </row>
    <row r="4236">
      <c r="A4236" t="inlineStr">
        <is>
          <t>Acetaldehyde</t>
        </is>
      </c>
      <c r="B4236">
        <v>7.983881383537138e-08</v>
      </c>
      <c r="D4236" t="inlineStr">
        <is>
          <t>kilogram</t>
        </is>
      </c>
      <c r="E4236" t="inlineStr">
        <is>
          <t>air::urban air close to ground</t>
        </is>
      </c>
      <c r="F4236" t="inlineStr">
        <is>
          <t>biosphere</t>
        </is>
      </c>
      <c r="I4236">
        <v>0</v>
      </c>
    </row>
    <row r="4237">
      <c r="A4237" t="inlineStr">
        <is>
          <t>Benzene</t>
        </is>
      </c>
      <c r="B4237">
        <v>2.617468470906676e-08</v>
      </c>
      <c r="D4237" t="inlineStr">
        <is>
          <t>kilogram</t>
        </is>
      </c>
      <c r="E4237" t="inlineStr">
        <is>
          <t>air::urban air close to ground</t>
        </is>
      </c>
      <c r="F4237" t="inlineStr">
        <is>
          <t>biosphere</t>
        </is>
      </c>
      <c r="I4237">
        <v>0</v>
      </c>
    </row>
    <row r="4238">
      <c r="A4238" t="inlineStr">
        <is>
          <t>Mercury II</t>
        </is>
      </c>
      <c r="B4238">
        <v>4.74447939061248e-11</v>
      </c>
      <c r="D4238" t="inlineStr">
        <is>
          <t>kilogram</t>
        </is>
      </c>
      <c r="E4238" t="inlineStr">
        <is>
          <t>air::urban air close to ground</t>
        </is>
      </c>
      <c r="F4238" t="inlineStr">
        <is>
          <t>biosphere</t>
        </is>
      </c>
      <c r="I4238">
        <v>0</v>
      </c>
    </row>
    <row r="4239">
      <c r="A4239" t="inlineStr">
        <is>
          <t>Cadmium II</t>
        </is>
      </c>
      <c r="B4239">
        <v>4.4744682628565553e-13</v>
      </c>
      <c r="D4239" t="inlineStr">
        <is>
          <t>kilogram</t>
        </is>
      </c>
      <c r="E4239" t="inlineStr">
        <is>
          <t>air::urban air close to ground</t>
        </is>
      </c>
      <c r="F4239" t="inlineStr">
        <is>
          <t>biosphere</t>
        </is>
      </c>
      <c r="I4239">
        <v>0</v>
      </c>
    </row>
    <row r="4240">
      <c r="A4240" t="inlineStr">
        <is>
          <t>Propane</t>
        </is>
      </c>
      <c r="B4240">
        <v>2.9315788039353776e-10</v>
      </c>
      <c r="D4240" t="inlineStr">
        <is>
          <t>kilogram</t>
        </is>
      </c>
      <c r="E4240" t="inlineStr">
        <is>
          <t>air::non-urban air or from high stacks</t>
        </is>
      </c>
      <c r="F4240" t="inlineStr">
        <is>
          <t>biosphere</t>
        </is>
      </c>
      <c r="I4240">
        <v>0</v>
      </c>
    </row>
    <row r="4241">
      <c r="A4241" t="inlineStr">
        <is>
          <t>Chromium III</t>
        </is>
      </c>
      <c r="B4241">
        <v>1.2162544101483783e-10</v>
      </c>
      <c r="D4241" t="inlineStr">
        <is>
          <t>kilogram</t>
        </is>
      </c>
      <c r="E4241" t="inlineStr">
        <is>
          <t>air::non-urban air or from high stacks</t>
        </is>
      </c>
      <c r="F4241" t="inlineStr">
        <is>
          <t>biosphere</t>
        </is>
      </c>
      <c r="I4241">
        <v>0</v>
      </c>
    </row>
    <row r="4242">
      <c r="A4242" t="inlineStr">
        <is>
          <t>Acetone</t>
        </is>
      </c>
      <c r="B4242">
        <v>3.627915248219963e-08</v>
      </c>
      <c r="D4242" t="inlineStr">
        <is>
          <t>kilogram</t>
        </is>
      </c>
      <c r="E4242" t="inlineStr">
        <is>
          <t>air::urban air close to ground</t>
        </is>
      </c>
      <c r="F4242" t="inlineStr">
        <is>
          <t>biosphere</t>
        </is>
      </c>
      <c r="I4242">
        <v>0</v>
      </c>
    </row>
    <row r="4243">
      <c r="A4243" t="inlineStr">
        <is>
          <t>Acrolein</t>
        </is>
      </c>
      <c r="B4243">
        <v>4.4176654985650857e-08</v>
      </c>
      <c r="D4243" t="inlineStr">
        <is>
          <t>kilogram</t>
        </is>
      </c>
      <c r="E4243" t="inlineStr">
        <is>
          <t>air::urban air close to ground</t>
        </is>
      </c>
      <c r="F4243" t="inlineStr">
        <is>
          <t>biosphere</t>
        </is>
      </c>
      <c r="I4243">
        <v>0</v>
      </c>
    </row>
    <row r="4244">
      <c r="A4244" t="inlineStr">
        <is>
          <t>Benzaldehyde</t>
        </is>
      </c>
      <c r="B4244">
        <v>1.061226839406165e-08</v>
      </c>
      <c r="D4244" t="inlineStr">
        <is>
          <t>kilogram</t>
        </is>
      </c>
      <c r="E4244" t="inlineStr">
        <is>
          <t>air::urban air close to ground</t>
        </is>
      </c>
      <c r="F4244" t="inlineStr">
        <is>
          <t>biosphere</t>
        </is>
      </c>
      <c r="I4244">
        <v>0</v>
      </c>
    </row>
    <row r="4245">
      <c r="A4245" t="inlineStr">
        <is>
          <t>Cyclohexane</t>
        </is>
      </c>
      <c r="B4245">
        <v>8.020901039562743e-09</v>
      </c>
      <c r="D4245" t="inlineStr">
        <is>
          <t>kilogram</t>
        </is>
      </c>
      <c r="E4245" t="inlineStr">
        <is>
          <t>air::urban air close to ground</t>
        </is>
      </c>
      <c r="F4245" t="inlineStr">
        <is>
          <t>biosphere</t>
        </is>
      </c>
      <c r="I4245">
        <v>0</v>
      </c>
    </row>
    <row r="4246">
      <c r="A4246" t="inlineStr">
        <is>
          <t>Heptane</t>
        </is>
      </c>
      <c r="B4246">
        <v>2.4679695323285083e-09</v>
      </c>
      <c r="D4246" t="inlineStr">
        <is>
          <t>kilogram</t>
        </is>
      </c>
      <c r="E4246" t="inlineStr">
        <is>
          <t>air::urban air close to ground</t>
        </is>
      </c>
      <c r="F4246" t="inlineStr">
        <is>
          <t>biosphere</t>
        </is>
      </c>
      <c r="I4246">
        <v>0</v>
      </c>
    </row>
    <row r="4247">
      <c r="A4247" t="inlineStr">
        <is>
          <t>Methyl ethyl ketone</t>
        </is>
      </c>
      <c r="B4247">
        <v>1.4807816718010298e-08</v>
      </c>
      <c r="D4247" t="inlineStr">
        <is>
          <t>kilogram</t>
        </is>
      </c>
      <c r="E4247" t="inlineStr">
        <is>
          <t>air::urban air close to ground</t>
        </is>
      </c>
      <c r="F4247" t="inlineStr">
        <is>
          <t>biosphere</t>
        </is>
      </c>
      <c r="I4247">
        <v>0</v>
      </c>
    </row>
    <row r="4248">
      <c r="A4248" t="inlineStr">
        <is>
          <t>o-Xylene</t>
        </is>
      </c>
      <c r="B4248">
        <v>3.331758809148392e-09</v>
      </c>
      <c r="D4248" t="inlineStr">
        <is>
          <t>kilogram</t>
        </is>
      </c>
      <c r="E4248" t="inlineStr">
        <is>
          <t>air::urban air close to ground</t>
        </is>
      </c>
      <c r="F4248" t="inlineStr">
        <is>
          <t>biosphere</t>
        </is>
      </c>
      <c r="I4248">
        <v>0</v>
      </c>
    </row>
    <row r="4249">
      <c r="A4249" t="inlineStr">
        <is>
          <t>Propylene</t>
        </is>
      </c>
      <c r="B4249">
        <v>4.4423450154030895e-08</v>
      </c>
      <c r="D4249" t="inlineStr">
        <is>
          <t>kilogram</t>
        </is>
      </c>
      <c r="E4249" t="inlineStr">
        <is>
          <t>air::urban air close to ground</t>
        </is>
      </c>
      <c r="F4249" t="inlineStr">
        <is>
          <t>biosphere</t>
        </is>
      </c>
      <c r="I4249">
        <v>0</v>
      </c>
    </row>
    <row r="4250">
      <c r="A4250" t="inlineStr">
        <is>
          <t>Selenium IV</t>
        </is>
      </c>
      <c r="B4250">
        <v>8.98750956554421e-13</v>
      </c>
      <c r="D4250" t="inlineStr">
        <is>
          <t>kilogram</t>
        </is>
      </c>
      <c r="E4250" t="inlineStr">
        <is>
          <t>air::urban air close to ground</t>
        </is>
      </c>
      <c r="F4250" t="inlineStr">
        <is>
          <t>biosphere</t>
        </is>
      </c>
      <c r="I4250">
        <v>0</v>
      </c>
    </row>
    <row r="4251">
      <c r="A4251" t="inlineStr">
        <is>
          <t>Styrene</t>
        </is>
      </c>
      <c r="B4251">
        <v>4.5657434563224585e-09</v>
      </c>
      <c r="D4251" t="inlineStr">
        <is>
          <t>kilogram</t>
        </is>
      </c>
      <c r="E4251" t="inlineStr">
        <is>
          <t>air::urban air close to ground</t>
        </is>
      </c>
      <c r="F4251" t="inlineStr">
        <is>
          <t>biosphere</t>
        </is>
      </c>
      <c r="I4251">
        <v>0</v>
      </c>
    </row>
    <row r="4252">
      <c r="A4252" t="inlineStr">
        <is>
          <t>Acetaldehyde</t>
        </is>
      </c>
      <c r="B4252">
        <v>1.7243010879114162e-08</v>
      </c>
      <c r="D4252" t="inlineStr">
        <is>
          <t>kilogram</t>
        </is>
      </c>
      <c r="E4252" t="inlineStr">
        <is>
          <t>air::non-urban air or from high stacks</t>
        </is>
      </c>
      <c r="F4252" t="inlineStr">
        <is>
          <t>biosphere</t>
        </is>
      </c>
      <c r="I4252">
        <v>0</v>
      </c>
    </row>
    <row r="4253">
      <c r="A4253" t="inlineStr">
        <is>
          <t>Acetone</t>
        </is>
      </c>
      <c r="B4253">
        <v>7.835309664097135e-09</v>
      </c>
      <c r="D4253" t="inlineStr">
        <is>
          <t>kilogram</t>
        </is>
      </c>
      <c r="E4253" t="inlineStr">
        <is>
          <t>air::non-urban air or from high stacks</t>
        </is>
      </c>
      <c r="F4253" t="inlineStr">
        <is>
          <t>biosphere</t>
        </is>
      </c>
      <c r="I4253">
        <v>0</v>
      </c>
    </row>
    <row r="4254">
      <c r="A4254" t="inlineStr">
        <is>
          <t>Acrolein</t>
        </is>
      </c>
      <c r="B4254">
        <v>9.540955946351132e-09</v>
      </c>
      <c r="D4254" t="inlineStr">
        <is>
          <t>kilogram</t>
        </is>
      </c>
      <c r="E4254" t="inlineStr">
        <is>
          <t>air::non-urban air or from high stacks</t>
        </is>
      </c>
      <c r="F4254" t="inlineStr">
        <is>
          <t>biosphere</t>
        </is>
      </c>
      <c r="I4254">
        <v>0</v>
      </c>
    </row>
    <row r="4255">
      <c r="A4255" t="inlineStr">
        <is>
          <t>Benzaldehyde</t>
        </is>
      </c>
      <c r="B4255">
        <v>2.291961388595036e-09</v>
      </c>
      <c r="D4255" t="inlineStr">
        <is>
          <t>kilogram</t>
        </is>
      </c>
      <c r="E4255" t="inlineStr">
        <is>
          <t>air::non-urban air or from high stacks</t>
        </is>
      </c>
      <c r="F4255" t="inlineStr">
        <is>
          <t>biosphere</t>
        </is>
      </c>
      <c r="I4255">
        <v>0</v>
      </c>
    </row>
    <row r="4256">
      <c r="A4256" t="inlineStr">
        <is>
          <t>Cyclohexane</t>
        </is>
      </c>
      <c r="B4256">
        <v>1.7322965145796874e-09</v>
      </c>
      <c r="D4256" t="inlineStr">
        <is>
          <t>kilogram</t>
        </is>
      </c>
      <c r="E4256" t="inlineStr">
        <is>
          <t>air::non-urban air or from high stacks</t>
        </is>
      </c>
      <c r="F4256" t="inlineStr">
        <is>
          <t>biosphere</t>
        </is>
      </c>
      <c r="I4256">
        <v>0</v>
      </c>
    </row>
    <row r="4257">
      <c r="A4257" t="inlineStr">
        <is>
          <t>Heptane</t>
        </is>
      </c>
      <c r="B4257">
        <v>5.330142847190914e-10</v>
      </c>
      <c r="D4257" t="inlineStr">
        <is>
          <t>kilogram</t>
        </is>
      </c>
      <c r="E4257" t="inlineStr">
        <is>
          <t>air::non-urban air or from high stacks</t>
        </is>
      </c>
      <c r="F4257" t="inlineStr">
        <is>
          <t>biosphere</t>
        </is>
      </c>
      <c r="I4257">
        <v>0</v>
      </c>
    </row>
    <row r="4258">
      <c r="A4258" t="inlineStr">
        <is>
          <t>Methyl ethyl ketone</t>
        </is>
      </c>
      <c r="B4258">
        <v>3.198085708314548e-09</v>
      </c>
      <c r="D4258" t="inlineStr">
        <is>
          <t>kilogram</t>
        </is>
      </c>
      <c r="E4258" t="inlineStr">
        <is>
          <t>air::non-urban air or from high stacks</t>
        </is>
      </c>
      <c r="F4258" t="inlineStr">
        <is>
          <t>biosphere</t>
        </is>
      </c>
      <c r="I4258">
        <v>0</v>
      </c>
    </row>
    <row r="4259">
      <c r="A4259" t="inlineStr">
        <is>
          <t>m-Xylene</t>
        </is>
      </c>
      <c r="B4259">
        <v>1.6256935624437191e-09</v>
      </c>
      <c r="D4259" t="inlineStr">
        <is>
          <t>kilogram</t>
        </is>
      </c>
      <c r="E4259" t="inlineStr">
        <is>
          <t>air::non-urban air or from high stacks</t>
        </is>
      </c>
      <c r="F4259" t="inlineStr">
        <is>
          <t>biosphere</t>
        </is>
      </c>
      <c r="I4259">
        <v>0</v>
      </c>
    </row>
    <row r="4260">
      <c r="A4260" t="inlineStr">
        <is>
          <t>o-Xylene</t>
        </is>
      </c>
      <c r="B4260">
        <v>7.195693022193013e-10</v>
      </c>
      <c r="D4260" t="inlineStr">
        <is>
          <t>kilogram</t>
        </is>
      </c>
      <c r="E4260" t="inlineStr">
        <is>
          <t>air::non-urban air or from high stacks</t>
        </is>
      </c>
      <c r="F4260" t="inlineStr">
        <is>
          <t>biosphere</t>
        </is>
      </c>
      <c r="I4260">
        <v>0</v>
      </c>
    </row>
    <row r="4261">
      <c r="A4261" t="inlineStr">
        <is>
          <t>Styrene</t>
        </is>
      </c>
      <c r="B4261">
        <v>9.86076444578847e-10</v>
      </c>
      <c r="D4261" t="inlineStr">
        <is>
          <t>kilogram</t>
        </is>
      </c>
      <c r="E4261" t="inlineStr">
        <is>
          <t>air::non-urban air or from high stacks</t>
        </is>
      </c>
      <c r="F4261" t="inlineStr">
        <is>
          <t>biosphere</t>
        </is>
      </c>
      <c r="I4261">
        <v>0</v>
      </c>
    </row>
    <row r="4262">
      <c r="A4262" t="inlineStr">
        <is>
          <t>Ethylene</t>
        </is>
      </c>
      <c r="B4262">
        <v>1.3536812652791e-07</v>
      </c>
      <c r="D4262" t="inlineStr">
        <is>
          <t>kilogram</t>
        </is>
      </c>
      <c r="E4262" t="inlineStr">
        <is>
          <t>air::urban air close to ground</t>
        </is>
      </c>
      <c r="F4262" t="inlineStr">
        <is>
          <t>biosphere</t>
        </is>
      </c>
      <c r="I4262">
        <v>0</v>
      </c>
    </row>
    <row r="4263">
      <c r="A4263" t="inlineStr">
        <is>
          <t>Ethylene</t>
        </is>
      </c>
      <c r="B4263">
        <v>2.923583389166125e-08</v>
      </c>
      <c r="D4263" t="inlineStr">
        <is>
          <t>kilogram</t>
        </is>
      </c>
      <c r="E4263" t="inlineStr">
        <is>
          <t>air::non-urban air or from high stacks</t>
        </is>
      </c>
      <c r="F4263" t="inlineStr">
        <is>
          <t>biosphere</t>
        </is>
      </c>
      <c r="I4263">
        <v>0</v>
      </c>
    </row>
    <row r="4264">
      <c r="A4264" t="inlineStr">
        <is>
          <t>market for internal combustion engine, passenger car</t>
        </is>
      </c>
      <c r="B4264">
        <v>0.0007866161325923368</v>
      </c>
      <c r="C4264" t="inlineStr">
        <is>
          <t>GLO</t>
        </is>
      </c>
      <c r="D4264" t="inlineStr">
        <is>
          <t>kilogram</t>
        </is>
      </c>
      <c r="F4264" t="inlineStr">
        <is>
          <t>technosphere</t>
        </is>
      </c>
      <c r="G4264" t="inlineStr">
        <is>
          <t>internal combustion engine, passenger car</t>
        </is>
      </c>
      <c r="H4264" t="inlineStr">
        <is>
          <t> Energy-use allocation: 293.5769348144531 * 4.999999873689376e-06 / 1.866074920371751 MJ per kilometer.</t>
        </is>
      </c>
      <c r="I4264">
        <v>0</v>
      </c>
    </row>
    <row r="4265">
      <c r="A4265" t="inlineStr">
        <is>
          <t>market for waste plastic, industrial electronics</t>
        </is>
      </c>
      <c r="B4265">
        <v>-0.00013127930051786527</v>
      </c>
      <c r="C4265" t="inlineStr">
        <is>
          <t>CH</t>
        </is>
      </c>
      <c r="D4265" t="inlineStr">
        <is>
          <t>kilogram</t>
        </is>
      </c>
      <c r="F4265" t="inlineStr">
        <is>
          <t>technosphere</t>
        </is>
      </c>
      <c r="G4265" t="inlineStr">
        <is>
          <t>waste plastic, industrial electronics</t>
        </is>
      </c>
      <c r="H4265" t="inlineStr">
        <is>
          <t> Energy-use allocation: -48.99540328979492 * 4.999999873689376e-06 / 1.866074920371751 MJ per kilometer.</t>
        </is>
      </c>
      <c r="I4265">
        <v>0</v>
      </c>
    </row>
    <row r="4266">
      <c r="A4266" t="inlineStr">
        <is>
          <t>polyethylene production, high density, granulate</t>
        </is>
      </c>
      <c r="B4266">
        <v>0.00013127930051786527</v>
      </c>
      <c r="C4266" t="inlineStr">
        <is>
          <t>RER</t>
        </is>
      </c>
      <c r="D4266" t="inlineStr">
        <is>
          <t>kilogram</t>
        </is>
      </c>
      <c r="F4266" t="inlineStr">
        <is>
          <t>technosphere</t>
        </is>
      </c>
      <c r="G4266" t="inlineStr">
        <is>
          <t>polyethylene, high density, granulate</t>
        </is>
      </c>
      <c r="H4266" t="inlineStr">
        <is>
          <t> Energy-use allocation: 48.99540328979492 * 4.999999873689376e-06 / 1.866074920371751 MJ per kilometer.</t>
        </is>
      </c>
      <c r="I4266">
        <v>0</v>
      </c>
    </row>
    <row r="4267">
      <c r="A4267" t="inlineStr">
        <is>
          <t>Carbon dioxide, fossil</t>
        </is>
      </c>
      <c r="B4267">
        <v>0.07320000000000003</v>
      </c>
      <c r="D4267" t="inlineStr">
        <is>
          <t>kilogram</t>
        </is>
      </c>
      <c r="E4267" t="inlineStr">
        <is>
          <t>air</t>
        </is>
      </c>
      <c r="F4267" t="inlineStr">
        <is>
          <t>biosphere</t>
        </is>
      </c>
      <c r="H4267" t="inlineStr">
        <is>
          <t>Reference fuel full-oxidation CO2; premise reclassifies fossil/biogenic emissions with its regional blend. Other carbon pollutants remain model defaults (not an elemental closure).</t>
        </is>
      </c>
      <c r="I4267">
        <v>0</v>
      </c>
    </row>
    <row r="4268"/>
    <row r="4269">
      <c r="A4269" t="inlineStr">
        <is>
          <t>Activity</t>
        </is>
      </c>
      <c r="B4269" t="inlineStr">
        <is>
          <t>biodiesel, from residual oily biomass, burned in passenger car</t>
        </is>
      </c>
    </row>
    <row r="4270">
      <c r="A4270" t="inlineStr">
        <is>
          <t>location</t>
        </is>
      </c>
      <c r="B4270" t="inlineStr">
        <is>
          <t>RER</t>
        </is>
      </c>
    </row>
    <row r="4271">
      <c r="A4271" t="inlineStr">
        <is>
          <t>production amount</t>
        </is>
      </c>
      <c r="B4271">
        <v>1</v>
      </c>
    </row>
    <row r="4272">
      <c r="A4272" t="inlineStr">
        <is>
          <t>reference product</t>
        </is>
      </c>
      <c r="B4272" t="inlineStr">
        <is>
          <t>heat</t>
        </is>
      </c>
    </row>
    <row r="4273">
      <c r="A4273" t="inlineStr">
        <is>
          <t>type</t>
        </is>
      </c>
      <c r="B4273" t="inlineStr">
        <is>
          <t>process</t>
        </is>
      </c>
    </row>
    <row r="4274">
      <c r="A4274" t="inlineStr">
        <is>
          <t>unit</t>
        </is>
      </c>
      <c r="B4274" t="inlineStr">
        <is>
          <t>megajoule</t>
        </is>
      </c>
    </row>
    <row r="4275">
      <c r="A4275" t="inlineStr">
        <is>
          <t>Power, mean</t>
        </is>
      </c>
      <c r="B4275">
        <v>126</v>
      </c>
    </row>
    <row r="4276">
      <c r="A4276" t="inlineStr">
        <is>
          <t>Power, min</t>
        </is>
      </c>
      <c r="B4276">
        <v>54</v>
      </c>
    </row>
    <row r="4277">
      <c r="A4277" t="inlineStr">
        <is>
          <t>Power, max</t>
        </is>
      </c>
      <c r="B4277">
        <v>158</v>
      </c>
    </row>
    <row r="4278">
      <c r="A4278" t="inlineStr">
        <is>
          <t>Lifetime, mean</t>
        </is>
      </c>
      <c r="B4278">
        <v>200000</v>
      </c>
    </row>
    <row r="4279">
      <c r="A4279" t="inlineStr">
        <is>
          <t>Lifetime, min</t>
        </is>
      </c>
      <c r="B4279">
        <v>160000</v>
      </c>
    </row>
    <row r="4280">
      <c r="A4280" t="inlineStr">
        <is>
          <t>Lifetime, max</t>
        </is>
      </c>
      <c r="B4280">
        <v>250000</v>
      </c>
    </row>
    <row r="4281">
      <c r="A4281" t="inlineStr">
        <is>
          <t>Energy use, mean</t>
        </is>
      </c>
      <c r="B4281">
        <v>2250</v>
      </c>
    </row>
    <row r="4282">
      <c r="A4282" t="inlineStr">
        <is>
          <t>Energy use, min</t>
        </is>
      </c>
      <c r="B4282">
        <v>1500</v>
      </c>
    </row>
    <row r="4283">
      <c r="A4283" t="inlineStr">
        <is>
          <t>Energy use, max</t>
        </is>
      </c>
      <c r="B4283">
        <v>2900</v>
      </c>
    </row>
    <row r="4284">
      <c r="A4284" t="inlineStr">
        <is>
          <t>Electric motor, mean</t>
        </is>
      </c>
      <c r="B4284">
        <v>0</v>
      </c>
    </row>
    <row r="4285">
      <c r="A4285" t="inlineStr">
        <is>
          <t>Electric motor, min</t>
        </is>
      </c>
      <c r="B4285">
        <v>0</v>
      </c>
    </row>
    <row r="4286">
      <c r="A4286" t="inlineStr">
        <is>
          <t>Electric motor, max</t>
        </is>
      </c>
      <c r="B4286">
        <v>0</v>
      </c>
    </row>
    <row r="4287">
      <c r="A4287" t="inlineStr">
        <is>
          <t>Combustion engine, mean</t>
        </is>
      </c>
      <c r="B4287">
        <v>169</v>
      </c>
    </row>
    <row r="4288">
      <c r="A4288" t="inlineStr">
        <is>
          <t>Combustion engine, min</t>
        </is>
      </c>
      <c r="B4288">
        <v>111</v>
      </c>
    </row>
    <row r="4289">
      <c r="A4289" t="inlineStr">
        <is>
          <t>Combustion engine, max</t>
        </is>
      </c>
      <c r="B4289">
        <v>194</v>
      </c>
    </row>
    <row r="4290">
      <c r="A4290" t="inlineStr">
        <is>
          <t>Fuel tank, mean</t>
        </is>
      </c>
      <c r="B4290">
        <v>48</v>
      </c>
    </row>
    <row r="4291">
      <c r="A4291" t="inlineStr">
        <is>
          <t>Fuel tank, min</t>
        </is>
      </c>
      <c r="B4291">
        <v>30</v>
      </c>
    </row>
    <row r="4292">
      <c r="A4292" t="inlineStr">
        <is>
          <t>Fuel tank, max</t>
        </is>
      </c>
      <c r="B4292">
        <v>48</v>
      </c>
    </row>
    <row r="4293">
      <c r="A4293" t="inlineStr">
        <is>
          <t>Battery capacity, mean</t>
        </is>
      </c>
      <c r="B4293">
        <v>0</v>
      </c>
    </row>
    <row r="4294">
      <c r="A4294" t="inlineStr">
        <is>
          <t>Battery capacity, min</t>
        </is>
      </c>
      <c r="B4294">
        <v>0</v>
      </c>
    </row>
    <row r="4295">
      <c r="A4295" t="inlineStr">
        <is>
          <t>Battery capacity, max</t>
        </is>
      </c>
      <c r="B4295">
        <v>0</v>
      </c>
    </row>
    <row r="4296">
      <c r="A4296" t="inlineStr">
        <is>
          <t>Battery replacement, mean</t>
        </is>
      </c>
      <c r="B4296">
        <v>0</v>
      </c>
    </row>
    <row r="4297">
      <c r="A4297" t="inlineStr">
        <is>
          <t>Battery replacement, min</t>
        </is>
      </c>
      <c r="B4297">
        <v>0</v>
      </c>
    </row>
    <row r="4298">
      <c r="A4298" t="inlineStr">
        <is>
          <t>Battery replacement, max</t>
        </is>
      </c>
      <c r="B4298">
        <v>0</v>
      </c>
    </row>
    <row r="4299">
      <c r="A4299" t="inlineStr">
        <is>
          <t>Fuel cell system, mean</t>
        </is>
      </c>
      <c r="B4299">
        <v>0</v>
      </c>
    </row>
    <row r="4300">
      <c r="A4300" t="inlineStr">
        <is>
          <t>Fuel cell system, min</t>
        </is>
      </c>
      <c r="B4300">
        <v>0</v>
      </c>
    </row>
    <row r="4301">
      <c r="A4301" t="inlineStr">
        <is>
          <t>Fuel cell system, max</t>
        </is>
      </c>
      <c r="B4301">
        <v>0</v>
      </c>
    </row>
    <row r="4302">
      <c r="A4302" t="inlineStr">
        <is>
          <t>Fuel cell stack replacement, mean</t>
        </is>
      </c>
      <c r="B4302">
        <v>0</v>
      </c>
    </row>
    <row r="4303">
      <c r="A4303" t="inlineStr">
        <is>
          <t>Fuel cell replacement, min</t>
        </is>
      </c>
      <c r="B4303">
        <v>0</v>
      </c>
    </row>
    <row r="4304">
      <c r="A4304" t="inlineStr">
        <is>
          <t>Fuel cell replacement, max</t>
        </is>
      </c>
      <c r="B4304">
        <v>0</v>
      </c>
    </row>
    <row r="4305">
      <c r="A4305" t="inlineStr">
        <is>
          <t>Onboard charger mass</t>
        </is>
      </c>
      <c r="B4305">
        <v>0</v>
      </c>
    </row>
    <row r="4306">
      <c r="A4306" t="inlineStr">
        <is>
          <t>Controller mass</t>
        </is>
      </c>
      <c r="B4306">
        <v>0</v>
      </c>
    </row>
    <row r="4307">
      <c r="A4307" t="inlineStr">
        <is>
          <t>Converter mass</t>
        </is>
      </c>
      <c r="B4307">
        <v>0</v>
      </c>
    </row>
    <row r="4308">
      <c r="A4308" t="inlineStr">
        <is>
          <t>Electrical powertrain mass</t>
        </is>
      </c>
      <c r="B4308">
        <v>0</v>
      </c>
    </row>
    <row r="4309">
      <c r="A4309" t="inlineStr">
        <is>
          <t>Inverter mass</t>
        </is>
      </c>
      <c r="B4309">
        <v>0</v>
      </c>
    </row>
    <row r="4310">
      <c r="A4310" t="inlineStr">
        <is>
          <t>NOx</t>
        </is>
      </c>
      <c r="B4310">
        <v>0.2</v>
      </c>
    </row>
    <row r="4311">
      <c r="A4311" t="inlineStr">
        <is>
          <t>PM 2.5</t>
        </is>
      </c>
      <c r="B4311">
        <v>0.0017499999999999998</v>
      </c>
    </row>
    <row r="4312">
      <c r="A4312" t="inlineStr">
        <is>
          <t>energy use source</t>
        </is>
      </c>
      <c r="B431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13">
      <c r="A4313" t="inlineStr">
        <is>
          <t>comment</t>
        </is>
      </c>
      <c r="B431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314">
      <c r="A4314" t="inlineStr">
        <is>
          <t>Exchanges</t>
        </is>
      </c>
    </row>
    <row r="4315">
      <c r="A4315" t="inlineStr">
        <is>
          <t>name</t>
        </is>
      </c>
      <c r="B4315" t="inlineStr">
        <is>
          <t>amount</t>
        </is>
      </c>
      <c r="C4315" t="inlineStr">
        <is>
          <t>location</t>
        </is>
      </c>
      <c r="D4315" t="inlineStr">
        <is>
          <t>unit</t>
        </is>
      </c>
      <c r="E4315" t="inlineStr">
        <is>
          <t>categories</t>
        </is>
      </c>
      <c r="F4315" t="inlineStr">
        <is>
          <t>type</t>
        </is>
      </c>
      <c r="G4315" t="inlineStr">
        <is>
          <t>reference product</t>
        </is>
      </c>
      <c r="H4315" t="inlineStr">
        <is>
          <t>comment</t>
        </is>
      </c>
      <c r="I4315" t="inlineStr">
        <is>
          <t>uncertainty type</t>
        </is>
      </c>
    </row>
    <row r="4316">
      <c r="A4316" t="inlineStr">
        <is>
          <t>biodiesel, from residual oily biomass, burned in passenger car</t>
        </is>
      </c>
      <c r="B4316">
        <v>1.0</v>
      </c>
      <c r="C4316" t="inlineStr">
        <is>
          <t>RER</t>
        </is>
      </c>
      <c r="D4316" t="inlineStr">
        <is>
          <t>megajoule</t>
        </is>
      </c>
      <c r="F4316" t="inlineStr">
        <is>
          <t>production</t>
        </is>
      </c>
      <c r="G4316" t="inlineStr">
        <is>
          <t>heat</t>
        </is>
      </c>
      <c r="I4316">
        <v>0</v>
      </c>
    </row>
    <row r="4317">
      <c r="A4317" t="inlineStr">
        <is>
          <t>biodiesel production, via transesterification, from used cooking oil, energy allocation</t>
        </is>
      </c>
      <c r="B4317">
        <v>0.02631578947368421</v>
      </c>
      <c r="C4317" t="inlineStr">
        <is>
          <t>RER</t>
        </is>
      </c>
      <c r="D4317" t="inlineStr">
        <is>
          <t>kilogram</t>
        </is>
      </c>
      <c r="F4317" t="inlineStr">
        <is>
          <t>technosphere</t>
        </is>
      </c>
      <c r="G4317" t="inlineStr">
        <is>
          <t>biodiesel, from cooking oil</t>
        </is>
      </c>
      <c r="I4317">
        <v>0</v>
      </c>
    </row>
    <row r="4318">
      <c r="A4318" t="inlineStr">
        <is>
          <t>treatment of brake wear emissions, passenger car</t>
        </is>
      </c>
      <c r="B4318">
        <v>-7.967052081550097e-06</v>
      </c>
      <c r="C4318" t="inlineStr">
        <is>
          <t>RER</t>
        </is>
      </c>
      <c r="D4318" t="inlineStr">
        <is>
          <t>kilogram</t>
        </is>
      </c>
      <c r="F4318" t="inlineStr">
        <is>
          <t>technosphere</t>
        </is>
      </c>
      <c r="G4318" t="inlineStr">
        <is>
          <t>brake wear emissions, passenger car</t>
        </is>
      </c>
      <c r="I4318">
        <v>0</v>
      </c>
    </row>
    <row r="4319">
      <c r="A4319" t="inlineStr">
        <is>
          <t>treatment of road wear emissions, passenger car</t>
        </is>
      </c>
      <c r="B4319">
        <v>-9.150770397723165e-06</v>
      </c>
      <c r="C4319" t="inlineStr">
        <is>
          <t>RER</t>
        </is>
      </c>
      <c r="D4319" t="inlineStr">
        <is>
          <t>kilogram</t>
        </is>
      </c>
      <c r="F4319" t="inlineStr">
        <is>
          <t>technosphere</t>
        </is>
      </c>
      <c r="G4319" t="inlineStr">
        <is>
          <t>road wear emissions, passenger car</t>
        </is>
      </c>
      <c r="I4319">
        <v>0</v>
      </c>
    </row>
    <row r="4320">
      <c r="A4320" t="inlineStr">
        <is>
          <t>treatment of tyre wear emissions, passenger car</t>
        </is>
      </c>
      <c r="B4320">
        <v>-1.0568832109350394e-05</v>
      </c>
      <c r="C4320" t="inlineStr">
        <is>
          <t>RER</t>
        </is>
      </c>
      <c r="D4320" t="inlineStr">
        <is>
          <t>kilogram</t>
        </is>
      </c>
      <c r="F4320" t="inlineStr">
        <is>
          <t>technosphere</t>
        </is>
      </c>
      <c r="G4320" t="inlineStr">
        <is>
          <t>tyre wear emissions, passenger car</t>
        </is>
      </c>
      <c r="I4320">
        <v>0</v>
      </c>
    </row>
    <row r="4321">
      <c r="A4321" t="inlineStr">
        <is>
          <t>market for tetrafluoroethane, R134a</t>
        </is>
      </c>
      <c r="B4321">
        <v>3.4832470313950515e-06</v>
      </c>
      <c r="C4321" t="inlineStr">
        <is>
          <t>GLO</t>
        </is>
      </c>
      <c r="D4321" t="inlineStr">
        <is>
          <t>kilogram</t>
        </is>
      </c>
      <c r="F4321" t="inlineStr">
        <is>
          <t>technosphere</t>
        </is>
      </c>
      <c r="G4321" t="inlineStr">
        <is>
          <t>tetrafluoroethane, R134a</t>
        </is>
      </c>
      <c r="I4321">
        <v>0</v>
      </c>
    </row>
    <row r="4322">
      <c r="A4322" t="inlineStr">
        <is>
          <t>Toluene</t>
        </is>
      </c>
      <c r="B4322">
        <v>1.8388993477254683e-09</v>
      </c>
      <c r="D4322" t="inlineStr">
        <is>
          <t>kilogram</t>
        </is>
      </c>
      <c r="E4322" t="inlineStr">
        <is>
          <t>air::non-urban air or from high stacks</t>
        </is>
      </c>
      <c r="F4322" t="inlineStr">
        <is>
          <t>biosphere</t>
        </is>
      </c>
      <c r="I4322">
        <v>0</v>
      </c>
    </row>
    <row r="4323">
      <c r="A4323" t="inlineStr">
        <is>
          <t>NMVOC, non-methane volatile organic compounds</t>
        </is>
      </c>
      <c r="B4323">
        <v>1.4657892889270108e-07</v>
      </c>
      <c r="D4323" t="inlineStr">
        <is>
          <t>kilogram</t>
        </is>
      </c>
      <c r="E4323" t="inlineStr">
        <is>
          <t>air::non-urban air or from high stacks</t>
        </is>
      </c>
      <c r="F4323" t="inlineStr">
        <is>
          <t>biosphere</t>
        </is>
      </c>
      <c r="I4323">
        <v>0</v>
      </c>
    </row>
    <row r="4324">
      <c r="A4324" t="inlineStr">
        <is>
          <t>Dinitrogen monoxide</t>
        </is>
      </c>
      <c r="B4324">
        <v>1.3837910754355256e-06</v>
      </c>
      <c r="D4324" t="inlineStr">
        <is>
          <t>kilogram</t>
        </is>
      </c>
      <c r="E4324" t="inlineStr">
        <is>
          <t>air::non-urban air or from high stacks</t>
        </is>
      </c>
      <c r="F4324" t="inlineStr">
        <is>
          <t>biosphere</t>
        </is>
      </c>
      <c r="I4324">
        <v>0</v>
      </c>
    </row>
    <row r="4325">
      <c r="A4325" t="inlineStr">
        <is>
          <t>Ethane</t>
        </is>
      </c>
      <c r="B4325">
        <v>4.072149787837132e-09</v>
      </c>
      <c r="D4325" t="inlineStr">
        <is>
          <t>kilogram</t>
        </is>
      </c>
      <c r="E4325" t="inlineStr">
        <is>
          <t>air::urban air close to ground</t>
        </is>
      </c>
      <c r="F4325" t="inlineStr">
        <is>
          <t>biosphere</t>
        </is>
      </c>
      <c r="I4325">
        <v>0</v>
      </c>
    </row>
    <row r="4326">
      <c r="A4326" t="inlineStr">
        <is>
          <t>Pentane</t>
        </is>
      </c>
      <c r="B4326">
        <v>4.935939064657017e-10</v>
      </c>
      <c r="D4326" t="inlineStr">
        <is>
          <t>kilogram</t>
        </is>
      </c>
      <c r="E4326" t="inlineStr">
        <is>
          <t>air::urban air close to ground</t>
        </is>
      </c>
      <c r="F4326" t="inlineStr">
        <is>
          <t>biosphere</t>
        </is>
      </c>
      <c r="I4326">
        <v>0</v>
      </c>
    </row>
    <row r="4327">
      <c r="A4327" t="inlineStr">
        <is>
          <t>Selenium IV</t>
        </is>
      </c>
      <c r="B4327">
        <v>1.4312488373385127e-12</v>
      </c>
      <c r="D4327" t="inlineStr">
        <is>
          <t>kilogram</t>
        </is>
      </c>
      <c r="E4327" t="inlineStr">
        <is>
          <t>air::non-urban air or from high stacks</t>
        </is>
      </c>
      <c r="F4327" t="inlineStr">
        <is>
          <t>biosphere</t>
        </is>
      </c>
      <c r="I4327">
        <v>0</v>
      </c>
    </row>
    <row r="4328">
      <c r="A4328" t="inlineStr">
        <is>
          <t>Arsenic ion</t>
        </is>
      </c>
      <c r="B4328">
        <v>1.4312488373385127e-12</v>
      </c>
      <c r="D4328" t="inlineStr">
        <is>
          <t>kilogram</t>
        </is>
      </c>
      <c r="E4328" t="inlineStr">
        <is>
          <t>air::non-urban air or from high stacks</t>
        </is>
      </c>
      <c r="F4328" t="inlineStr">
        <is>
          <t>biosphere</t>
        </is>
      </c>
      <c r="I4328">
        <v>0</v>
      </c>
    </row>
    <row r="4329">
      <c r="A4329" t="inlineStr">
        <is>
          <t>Arsenic ion</t>
        </is>
      </c>
      <c r="B4329">
        <v>8.98750956554421e-13</v>
      </c>
      <c r="D4329" t="inlineStr">
        <is>
          <t>kilogram</t>
        </is>
      </c>
      <c r="E4329" t="inlineStr">
        <is>
          <t>air::urban air close to ground</t>
        </is>
      </c>
      <c r="F4329" t="inlineStr">
        <is>
          <t>biosphere</t>
        </is>
      </c>
      <c r="I4329">
        <v>0</v>
      </c>
    </row>
    <row r="4330">
      <c r="A4330" t="inlineStr">
        <is>
          <t>Propylene</t>
        </is>
      </c>
      <c r="B4330">
        <v>9.594256886963272e-09</v>
      </c>
      <c r="D4330" t="inlineStr">
        <is>
          <t>kilogram</t>
        </is>
      </c>
      <c r="E4330" t="inlineStr">
        <is>
          <t>air::non-urban air or from high stacks</t>
        </is>
      </c>
      <c r="F4330" t="inlineStr">
        <is>
          <t>biosphere</t>
        </is>
      </c>
      <c r="I4330">
        <v>0</v>
      </c>
    </row>
    <row r="4331">
      <c r="A4331" t="inlineStr">
        <is>
          <t>Particulate Matter, &lt; 2.5 um</t>
        </is>
      </c>
      <c r="B4331">
        <v>1.636891619531532e-07</v>
      </c>
      <c r="D4331" t="inlineStr">
        <is>
          <t>kilogram</t>
        </is>
      </c>
      <c r="E4331" t="inlineStr">
        <is>
          <t>air::urban air close to ground</t>
        </is>
      </c>
      <c r="F4331" t="inlineStr">
        <is>
          <t>biosphere</t>
        </is>
      </c>
      <c r="I4331">
        <v>0</v>
      </c>
    </row>
    <row r="4332">
      <c r="A4332" t="inlineStr">
        <is>
          <t>Nickel II</t>
        </is>
      </c>
      <c r="B4332">
        <v>2.856355271045539e-12</v>
      </c>
      <c r="D4332" t="inlineStr">
        <is>
          <t>kilogram</t>
        </is>
      </c>
      <c r="E4332" t="inlineStr">
        <is>
          <t>air::non-urban air or from high stacks</t>
        </is>
      </c>
      <c r="F4332" t="inlineStr">
        <is>
          <t>biosphere</t>
        </is>
      </c>
      <c r="I4332">
        <v>0</v>
      </c>
    </row>
    <row r="4333">
      <c r="A4333" t="inlineStr">
        <is>
          <t>Methane, fossil</t>
        </is>
      </c>
      <c r="B4333">
        <v>2.3985624245130236e-06</v>
      </c>
      <c r="D4333" t="inlineStr">
        <is>
          <t>kilogram</t>
        </is>
      </c>
      <c r="E4333" t="inlineStr">
        <is>
          <t>air::non-urban air or from high stacks</t>
        </is>
      </c>
      <c r="F4333" t="inlineStr">
        <is>
          <t>biosphere</t>
        </is>
      </c>
      <c r="I4333">
        <v>0</v>
      </c>
    </row>
    <row r="4334">
      <c r="A4334" t="inlineStr">
        <is>
          <t>Mercury II</t>
        </is>
      </c>
      <c r="B4334">
        <v>7.555519944566824e-11</v>
      </c>
      <c r="D4334" t="inlineStr">
        <is>
          <t>kilogram</t>
        </is>
      </c>
      <c r="E4334" t="inlineStr">
        <is>
          <t>air::non-urban air or from high stacks</t>
        </is>
      </c>
      <c r="F4334" t="inlineStr">
        <is>
          <t>biosphere</t>
        </is>
      </c>
      <c r="I4334">
        <v>0</v>
      </c>
    </row>
    <row r="4335">
      <c r="A4335" t="inlineStr">
        <is>
          <t>Ammonia</t>
        </is>
      </c>
      <c r="B4335">
        <v>8.515878173642505e-07</v>
      </c>
      <c r="D4335" t="inlineStr">
        <is>
          <t>kilogram</t>
        </is>
      </c>
      <c r="E4335" t="inlineStr">
        <is>
          <t>air::non-urban air or from high stacks</t>
        </is>
      </c>
      <c r="F4335" t="inlineStr">
        <is>
          <t>biosphere</t>
        </is>
      </c>
      <c r="I4335">
        <v>0</v>
      </c>
    </row>
    <row r="4336">
      <c r="A4336" t="inlineStr">
        <is>
          <t>Ethane</t>
        </is>
      </c>
      <c r="B4336">
        <v>8.794736114330666e-10</v>
      </c>
      <c r="D4336" t="inlineStr">
        <is>
          <t>kilogram</t>
        </is>
      </c>
      <c r="E4336" t="inlineStr">
        <is>
          <t>air::non-urban air or from high stacks</t>
        </is>
      </c>
      <c r="F4336" t="inlineStr">
        <is>
          <t>biosphere</t>
        </is>
      </c>
      <c r="I4336">
        <v>0</v>
      </c>
    </row>
    <row r="4337">
      <c r="A4337" t="inlineStr">
        <is>
          <t>Nickel II</t>
        </is>
      </c>
      <c r="B4337">
        <v>1.7936446091257316e-12</v>
      </c>
      <c r="D4337" t="inlineStr">
        <is>
          <t>kilogram</t>
        </is>
      </c>
      <c r="E4337" t="inlineStr">
        <is>
          <t>air::urban air close to ground</t>
        </is>
      </c>
      <c r="F4337" t="inlineStr">
        <is>
          <t>biosphere</t>
        </is>
      </c>
      <c r="I4337">
        <v>0</v>
      </c>
    </row>
    <row r="4338">
      <c r="A4338" t="inlineStr">
        <is>
          <t>Cadmium II</t>
        </is>
      </c>
      <c r="B4338">
        <v>7.12553100652158e-13</v>
      </c>
      <c r="D4338" t="inlineStr">
        <is>
          <t>kilogram</t>
        </is>
      </c>
      <c r="E4338" t="inlineStr">
        <is>
          <t>air::non-urban air or from high stacks</t>
        </is>
      </c>
      <c r="F4338" t="inlineStr">
        <is>
          <t>biosphere</t>
        </is>
      </c>
      <c r="I4338">
        <v>0</v>
      </c>
    </row>
    <row r="4339">
      <c r="A4339" t="inlineStr">
        <is>
          <t>Ammonia</t>
        </is>
      </c>
      <c r="B4339">
        <v>5.347535547726079e-07</v>
      </c>
      <c r="D4339" t="inlineStr">
        <is>
          <t>kilogram</t>
        </is>
      </c>
      <c r="E4339" t="inlineStr">
        <is>
          <t>air::urban air close to ground</t>
        </is>
      </c>
      <c r="F4339" t="inlineStr">
        <is>
          <t>biosphere</t>
        </is>
      </c>
      <c r="I4339">
        <v>0</v>
      </c>
    </row>
    <row r="4340">
      <c r="A4340" t="inlineStr">
        <is>
          <t>Butane</t>
        </is>
      </c>
      <c r="B4340">
        <v>2.9315788039353776e-10</v>
      </c>
      <c r="D4340" t="inlineStr">
        <is>
          <t>kilogram</t>
        </is>
      </c>
      <c r="E4340" t="inlineStr">
        <is>
          <t>air::non-urban air or from high stacks</t>
        </is>
      </c>
      <c r="F4340" t="inlineStr">
        <is>
          <t>biosphere</t>
        </is>
      </c>
      <c r="I4340">
        <v>0</v>
      </c>
    </row>
    <row r="4341">
      <c r="A4341" t="inlineStr">
        <is>
          <t>PAH, polycyclic aromatic hydrocarbons</t>
        </is>
      </c>
      <c r="B4341">
        <v>5.091636535281869e-10</v>
      </c>
      <c r="D4341" t="inlineStr">
        <is>
          <t>kilogram</t>
        </is>
      </c>
      <c r="E4341" t="inlineStr">
        <is>
          <t>air::urban air close to ground</t>
        </is>
      </c>
      <c r="F4341" t="inlineStr">
        <is>
          <t>biosphere</t>
        </is>
      </c>
      <c r="I4341">
        <v>0</v>
      </c>
    </row>
    <row r="4342">
      <c r="A4342" t="inlineStr">
        <is>
          <t>Copper ion</t>
        </is>
      </c>
      <c r="B4342">
        <v>8.16979042710669e-11</v>
      </c>
      <c r="D4342" t="inlineStr">
        <is>
          <t>kilogram</t>
        </is>
      </c>
      <c r="E4342" t="inlineStr">
        <is>
          <t>air::non-urban air or from high stacks</t>
        </is>
      </c>
      <c r="F4342" t="inlineStr">
        <is>
          <t>biosphere</t>
        </is>
      </c>
      <c r="I4342">
        <v>0</v>
      </c>
    </row>
    <row r="4343">
      <c r="A4343" t="inlineStr">
        <is>
          <t>Nitrogen oxides</t>
        </is>
      </c>
      <c r="B4343">
        <v>1.2205207650351623e-05</v>
      </c>
      <c r="D4343" t="inlineStr">
        <is>
          <t>kilogram</t>
        </is>
      </c>
      <c r="E4343" t="inlineStr">
        <is>
          <t>air::non-urban air or from high stacks</t>
        </is>
      </c>
      <c r="F4343" t="inlineStr">
        <is>
          <t>biosphere</t>
        </is>
      </c>
      <c r="I4343">
        <v>0</v>
      </c>
    </row>
    <row r="4344">
      <c r="A4344" t="inlineStr">
        <is>
          <t>Butane</t>
        </is>
      </c>
      <c r="B4344">
        <v>1.3573831832855856e-09</v>
      </c>
      <c r="D4344" t="inlineStr">
        <is>
          <t>kilogram</t>
        </is>
      </c>
      <c r="E4344" t="inlineStr">
        <is>
          <t>air::urban air close to ground</t>
        </is>
      </c>
      <c r="F4344" t="inlineStr">
        <is>
          <t>biosphere</t>
        </is>
      </c>
      <c r="I4344">
        <v>0</v>
      </c>
    </row>
    <row r="4345">
      <c r="A4345" t="inlineStr">
        <is>
          <t>Copper ion</t>
        </is>
      </c>
      <c r="B4345">
        <v>5.130209510040208e-11</v>
      </c>
      <c r="D4345" t="inlineStr">
        <is>
          <t>kilogram</t>
        </is>
      </c>
      <c r="E4345" t="inlineStr">
        <is>
          <t>air::urban air close to ground</t>
        </is>
      </c>
      <c r="F4345" t="inlineStr">
        <is>
          <t>biosphere</t>
        </is>
      </c>
      <c r="I4345">
        <v>0</v>
      </c>
    </row>
    <row r="4346">
      <c r="A4346" t="inlineStr">
        <is>
          <t>Chromium III</t>
        </is>
      </c>
      <c r="B4346">
        <v>7.637454356709601e-11</v>
      </c>
      <c r="D4346" t="inlineStr">
        <is>
          <t>kilogram</t>
        </is>
      </c>
      <c r="E4346" t="inlineStr">
        <is>
          <t>air::urban air close to ground</t>
        </is>
      </c>
      <c r="F4346" t="inlineStr">
        <is>
          <t>biosphere</t>
        </is>
      </c>
      <c r="I4346">
        <v>0</v>
      </c>
    </row>
    <row r="4347">
      <c r="A4347" t="inlineStr">
        <is>
          <t>Propane</t>
        </is>
      </c>
      <c r="B4347">
        <v>1.3573831832855856e-09</v>
      </c>
      <c r="D4347" t="inlineStr">
        <is>
          <t>kilogram</t>
        </is>
      </c>
      <c r="E4347" t="inlineStr">
        <is>
          <t>air::urban air close to ground</t>
        </is>
      </c>
      <c r="F4347" t="inlineStr">
        <is>
          <t>biosphere</t>
        </is>
      </c>
      <c r="I4347">
        <v>0</v>
      </c>
    </row>
    <row r="4348">
      <c r="A4348" t="inlineStr">
        <is>
          <t>Toluene</t>
        </is>
      </c>
      <c r="B4348">
        <v>8.514495184008822e-09</v>
      </c>
      <c r="D4348" t="inlineStr">
        <is>
          <t>kilogram</t>
        </is>
      </c>
      <c r="E4348" t="inlineStr">
        <is>
          <t>air::urban air close to ground</t>
        </is>
      </c>
      <c r="F4348" t="inlineStr">
        <is>
          <t>biosphere</t>
        </is>
      </c>
      <c r="I4348">
        <v>0</v>
      </c>
    </row>
    <row r="4349">
      <c r="A4349" t="inlineStr">
        <is>
          <t>Dinitrogen monoxide</t>
        </is>
      </c>
      <c r="B4349">
        <v>8.68949829854063e-07</v>
      </c>
      <c r="D4349" t="inlineStr">
        <is>
          <t>kilogram</t>
        </is>
      </c>
      <c r="E4349" t="inlineStr">
        <is>
          <t>air::urban air close to ground</t>
        </is>
      </c>
      <c r="F4349" t="inlineStr">
        <is>
          <t>biosphere</t>
        </is>
      </c>
      <c r="I4349">
        <v>0</v>
      </c>
    </row>
    <row r="4350">
      <c r="A4350" t="inlineStr">
        <is>
          <t>Zinc II</t>
        </is>
      </c>
      <c r="B4350">
        <v>1.6162087653443074e-10</v>
      </c>
      <c r="D4350" t="inlineStr">
        <is>
          <t>kilogram</t>
        </is>
      </c>
      <c r="E4350" t="inlineStr">
        <is>
          <t>air::urban air close to ground</t>
        </is>
      </c>
      <c r="F4350" t="inlineStr">
        <is>
          <t>biosphere</t>
        </is>
      </c>
      <c r="I4350">
        <v>0</v>
      </c>
    </row>
    <row r="4351">
      <c r="A4351" t="inlineStr">
        <is>
          <t>Chromium VI</t>
        </is>
      </c>
      <c r="B4351">
        <v>2.426366216798939e-13</v>
      </c>
      <c r="D4351" t="inlineStr">
        <is>
          <t>kilogram</t>
        </is>
      </c>
      <c r="E4351" t="inlineStr">
        <is>
          <t>air::non-urban air or from high stacks</t>
        </is>
      </c>
      <c r="F4351" t="inlineStr">
        <is>
          <t>biosphere</t>
        </is>
      </c>
      <c r="I4351">
        <v>0</v>
      </c>
    </row>
    <row r="4352">
      <c r="A4352" t="inlineStr">
        <is>
          <t>Benzene</t>
        </is>
      </c>
      <c r="B4352">
        <v>2.1320570436842153e-08</v>
      </c>
      <c r="D4352" t="inlineStr">
        <is>
          <t>kilogram</t>
        </is>
      </c>
      <c r="E4352" t="inlineStr">
        <is>
          <t>air::non-urban air or from high stacks</t>
        </is>
      </c>
      <c r="F4352" t="inlineStr">
        <is>
          <t>biosphere</t>
        </is>
      </c>
      <c r="I4352">
        <v>0</v>
      </c>
    </row>
    <row r="4353">
      <c r="A4353" t="inlineStr">
        <is>
          <t>Carbon monoxide, fossil</t>
        </is>
      </c>
      <c r="B4353">
        <v>4.486574608647261e-06</v>
      </c>
      <c r="D4353" t="inlineStr">
        <is>
          <t>kilogram</t>
        </is>
      </c>
      <c r="E4353" t="inlineStr">
        <is>
          <t>air::non-urban air or from high stacks</t>
        </is>
      </c>
      <c r="F4353" t="inlineStr">
        <is>
          <t>biosphere</t>
        </is>
      </c>
      <c r="I4353">
        <v>0</v>
      </c>
    </row>
    <row r="4354">
      <c r="A4354" t="inlineStr">
        <is>
          <t>Chromium VI</t>
        </is>
      </c>
      <c r="B4354">
        <v>1.5236336208114335e-13</v>
      </c>
      <c r="D4354" t="inlineStr">
        <is>
          <t>kilogram</t>
        </is>
      </c>
      <c r="E4354" t="inlineStr">
        <is>
          <t>air::urban air close to ground</t>
        </is>
      </c>
      <c r="F4354" t="inlineStr">
        <is>
          <t>biosphere</t>
        </is>
      </c>
      <c r="I4354">
        <v>0</v>
      </c>
    </row>
    <row r="4355">
      <c r="A4355" t="inlineStr">
        <is>
          <t>Methane, fossil</t>
        </is>
      </c>
      <c r="B4355">
        <v>1.5324029278860158e-06</v>
      </c>
      <c r="D4355" t="inlineStr">
        <is>
          <t>kilogram</t>
        </is>
      </c>
      <c r="E4355" t="inlineStr">
        <is>
          <t>air::urban air close to ground</t>
        </is>
      </c>
      <c r="F4355" t="inlineStr">
        <is>
          <t>biosphere</t>
        </is>
      </c>
      <c r="I4355">
        <v>0</v>
      </c>
    </row>
    <row r="4356">
      <c r="A4356" t="inlineStr">
        <is>
          <t>Sulfur dioxide</t>
        </is>
      </c>
      <c r="B4356">
        <v>4.6773094625996215e-07</v>
      </c>
      <c r="D4356" t="inlineStr">
        <is>
          <t>kilogram</t>
        </is>
      </c>
      <c r="E4356" t="inlineStr">
        <is>
          <t>air</t>
        </is>
      </c>
      <c r="F4356" t="inlineStr">
        <is>
          <t>biosphere</t>
        </is>
      </c>
      <c r="I4356">
        <v>0</v>
      </c>
    </row>
    <row r="4357">
      <c r="A4357" t="inlineStr">
        <is>
          <t>NMVOC, non-methane volatile organic compounds</t>
        </is>
      </c>
      <c r="B4357">
        <v>6.786915792678135e-07</v>
      </c>
      <c r="D4357" t="inlineStr">
        <is>
          <t>kilogram</t>
        </is>
      </c>
      <c r="E4357" t="inlineStr">
        <is>
          <t>air::urban air close to ground</t>
        </is>
      </c>
      <c r="F4357" t="inlineStr">
        <is>
          <t>biosphere</t>
        </is>
      </c>
      <c r="I4357">
        <v>0</v>
      </c>
    </row>
    <row r="4358">
      <c r="A4358" t="inlineStr">
        <is>
          <t>Formaldehyde</t>
        </is>
      </c>
      <c r="B4358">
        <v>1.4807816718010298e-07</v>
      </c>
      <c r="D4358" t="inlineStr">
        <is>
          <t>kilogram</t>
        </is>
      </c>
      <c r="E4358" t="inlineStr">
        <is>
          <t>air::urban air close to ground</t>
        </is>
      </c>
      <c r="F4358" t="inlineStr">
        <is>
          <t>biosphere</t>
        </is>
      </c>
      <c r="I4358">
        <v>0</v>
      </c>
    </row>
    <row r="4359">
      <c r="A4359" t="inlineStr">
        <is>
          <t>Nitrogen oxides</t>
        </is>
      </c>
      <c r="B4359">
        <v>1.6646759692298164e-05</v>
      </c>
      <c r="D4359" t="inlineStr">
        <is>
          <t>kilogram</t>
        </is>
      </c>
      <c r="E4359" t="inlineStr">
        <is>
          <t>air::urban air close to ground</t>
        </is>
      </c>
      <c r="F4359" t="inlineStr">
        <is>
          <t>biosphere</t>
        </is>
      </c>
      <c r="I4359">
        <v>0</v>
      </c>
    </row>
    <row r="4360">
      <c r="A4360" t="inlineStr">
        <is>
          <t>Formaldehyde</t>
        </is>
      </c>
      <c r="B4360">
        <v>3.198085755910623e-08</v>
      </c>
      <c r="D4360" t="inlineStr">
        <is>
          <t>kilogram</t>
        </is>
      </c>
      <c r="E4360" t="inlineStr">
        <is>
          <t>air::non-urban air or from high stacks</t>
        </is>
      </c>
      <c r="F4360" t="inlineStr">
        <is>
          <t>biosphere</t>
        </is>
      </c>
      <c r="I4360">
        <v>0</v>
      </c>
    </row>
    <row r="4361">
      <c r="A4361" t="inlineStr">
        <is>
          <t>Zinc II</t>
        </is>
      </c>
      <c r="B4361">
        <v>2.5737910759022457e-10</v>
      </c>
      <c r="D4361" t="inlineStr">
        <is>
          <t>kilogram</t>
        </is>
      </c>
      <c r="E4361" t="inlineStr">
        <is>
          <t>air::non-urban air or from high stacks</t>
        </is>
      </c>
      <c r="F4361" t="inlineStr">
        <is>
          <t>biosphere</t>
        </is>
      </c>
      <c r="I4361">
        <v>0</v>
      </c>
    </row>
    <row r="4362">
      <c r="A4362" t="inlineStr">
        <is>
          <t>Carbon monoxide, fossil</t>
        </is>
      </c>
      <c r="B4362">
        <v>1.4237602031170576e-05</v>
      </c>
      <c r="D4362" t="inlineStr">
        <is>
          <t>kilogram</t>
        </is>
      </c>
      <c r="E4362" t="inlineStr">
        <is>
          <t>air::urban air close to ground</t>
        </is>
      </c>
      <c r="F4362" t="inlineStr">
        <is>
          <t>biosphere</t>
        </is>
      </c>
      <c r="I4362">
        <v>0</v>
      </c>
    </row>
    <row r="4363">
      <c r="A4363" t="inlineStr">
        <is>
          <t>m-Xylene</t>
        </is>
      </c>
      <c r="B4363">
        <v>7.527306895116669e-09</v>
      </c>
      <c r="D4363" t="inlineStr">
        <is>
          <t>kilogram</t>
        </is>
      </c>
      <c r="E4363" t="inlineStr">
        <is>
          <t>air::urban air close to ground</t>
        </is>
      </c>
      <c r="F4363" t="inlineStr">
        <is>
          <t>biosphere</t>
        </is>
      </c>
      <c r="I4363">
        <v>0</v>
      </c>
    </row>
    <row r="4364">
      <c r="A4364" t="inlineStr">
        <is>
          <t>PAH, polycyclic aromatic hydrocarbons</t>
        </is>
      </c>
      <c r="B4364">
        <v>8.108362635164032e-10</v>
      </c>
      <c r="D4364" t="inlineStr">
        <is>
          <t>kilogram</t>
        </is>
      </c>
      <c r="E4364" t="inlineStr">
        <is>
          <t>air::non-urban air or from high stacks</t>
        </is>
      </c>
      <c r="F4364" t="inlineStr">
        <is>
          <t>biosphere</t>
        </is>
      </c>
      <c r="I4364">
        <v>0</v>
      </c>
    </row>
    <row r="4365">
      <c r="A4365" t="inlineStr">
        <is>
          <t>Particulate Matter, &lt; 2.5 um</t>
        </is>
      </c>
      <c r="B4365">
        <v>1.5058152272837298e-07</v>
      </c>
      <c r="D4365" t="inlineStr">
        <is>
          <t>kilogram</t>
        </is>
      </c>
      <c r="E4365" t="inlineStr">
        <is>
          <t>air::non-urban air or from high stacks</t>
        </is>
      </c>
      <c r="F4365" t="inlineStr">
        <is>
          <t>biosphere</t>
        </is>
      </c>
      <c r="I4365">
        <v>0</v>
      </c>
    </row>
    <row r="4366">
      <c r="A4366" t="inlineStr">
        <is>
          <t>Pentane</t>
        </is>
      </c>
      <c r="B4366">
        <v>1.0660286289332767e-10</v>
      </c>
      <c r="D4366" t="inlineStr">
        <is>
          <t>kilogram</t>
        </is>
      </c>
      <c r="E4366" t="inlineStr">
        <is>
          <t>air::non-urban air or from high stacks</t>
        </is>
      </c>
      <c r="F4366" t="inlineStr">
        <is>
          <t>biosphere</t>
        </is>
      </c>
      <c r="I4366">
        <v>0</v>
      </c>
    </row>
    <row r="4367">
      <c r="A4367" t="inlineStr">
        <is>
          <t>1,1,1,2-Tetrafluoroethane</t>
        </is>
      </c>
      <c r="B4367">
        <v>2.00956556691731e-06</v>
      </c>
      <c r="D4367" t="inlineStr">
        <is>
          <t>kilogram</t>
        </is>
      </c>
      <c r="E4367" t="inlineStr">
        <is>
          <t>air</t>
        </is>
      </c>
      <c r="F4367" t="inlineStr">
        <is>
          <t>biosphere</t>
        </is>
      </c>
      <c r="I4367">
        <v>0</v>
      </c>
    </row>
    <row r="4368">
      <c r="A4368" t="inlineStr">
        <is>
          <t>Acetaldehyde</t>
        </is>
      </c>
      <c r="B4368">
        <v>7.983881383537138e-08</v>
      </c>
      <c r="D4368" t="inlineStr">
        <is>
          <t>kilogram</t>
        </is>
      </c>
      <c r="E4368" t="inlineStr">
        <is>
          <t>air::urban air close to ground</t>
        </is>
      </c>
      <c r="F4368" t="inlineStr">
        <is>
          <t>biosphere</t>
        </is>
      </c>
      <c r="I4368">
        <v>0</v>
      </c>
    </row>
    <row r="4369">
      <c r="A4369" t="inlineStr">
        <is>
          <t>Benzene</t>
        </is>
      </c>
      <c r="B4369">
        <v>2.617468470906676e-08</v>
      </c>
      <c r="D4369" t="inlineStr">
        <is>
          <t>kilogram</t>
        </is>
      </c>
      <c r="E4369" t="inlineStr">
        <is>
          <t>air::urban air close to ground</t>
        </is>
      </c>
      <c r="F4369" t="inlineStr">
        <is>
          <t>biosphere</t>
        </is>
      </c>
      <c r="I4369">
        <v>0</v>
      </c>
    </row>
    <row r="4370">
      <c r="A4370" t="inlineStr">
        <is>
          <t>Mercury II</t>
        </is>
      </c>
      <c r="B4370">
        <v>4.74447939061248e-11</v>
      </c>
      <c r="D4370" t="inlineStr">
        <is>
          <t>kilogram</t>
        </is>
      </c>
      <c r="E4370" t="inlineStr">
        <is>
          <t>air::urban air close to ground</t>
        </is>
      </c>
      <c r="F4370" t="inlineStr">
        <is>
          <t>biosphere</t>
        </is>
      </c>
      <c r="I4370">
        <v>0</v>
      </c>
    </row>
    <row r="4371">
      <c r="A4371" t="inlineStr">
        <is>
          <t>Cadmium II</t>
        </is>
      </c>
      <c r="B4371">
        <v>4.4744682628565553e-13</v>
      </c>
      <c r="D4371" t="inlineStr">
        <is>
          <t>kilogram</t>
        </is>
      </c>
      <c r="E4371" t="inlineStr">
        <is>
          <t>air::urban air close to ground</t>
        </is>
      </c>
      <c r="F4371" t="inlineStr">
        <is>
          <t>biosphere</t>
        </is>
      </c>
      <c r="I4371">
        <v>0</v>
      </c>
    </row>
    <row r="4372">
      <c r="A4372" t="inlineStr">
        <is>
          <t>Propane</t>
        </is>
      </c>
      <c r="B4372">
        <v>2.9315788039353776e-10</v>
      </c>
      <c r="D4372" t="inlineStr">
        <is>
          <t>kilogram</t>
        </is>
      </c>
      <c r="E4372" t="inlineStr">
        <is>
          <t>air::non-urban air or from high stacks</t>
        </is>
      </c>
      <c r="F4372" t="inlineStr">
        <is>
          <t>biosphere</t>
        </is>
      </c>
      <c r="I4372">
        <v>0</v>
      </c>
    </row>
    <row r="4373">
      <c r="A4373" t="inlineStr">
        <is>
          <t>Chromium III</t>
        </is>
      </c>
      <c r="B4373">
        <v>1.2162544101483783e-10</v>
      </c>
      <c r="D4373" t="inlineStr">
        <is>
          <t>kilogram</t>
        </is>
      </c>
      <c r="E4373" t="inlineStr">
        <is>
          <t>air::non-urban air or from high stacks</t>
        </is>
      </c>
      <c r="F4373" t="inlineStr">
        <is>
          <t>biosphere</t>
        </is>
      </c>
      <c r="I4373">
        <v>0</v>
      </c>
    </row>
    <row r="4374">
      <c r="A4374" t="inlineStr">
        <is>
          <t>Acetone</t>
        </is>
      </c>
      <c r="B4374">
        <v>3.627915248219963e-08</v>
      </c>
      <c r="D4374" t="inlineStr">
        <is>
          <t>kilogram</t>
        </is>
      </c>
      <c r="E4374" t="inlineStr">
        <is>
          <t>air::urban air close to ground</t>
        </is>
      </c>
      <c r="F4374" t="inlineStr">
        <is>
          <t>biosphere</t>
        </is>
      </c>
      <c r="I4374">
        <v>0</v>
      </c>
    </row>
    <row r="4375">
      <c r="A4375" t="inlineStr">
        <is>
          <t>Acrolein</t>
        </is>
      </c>
      <c r="B4375">
        <v>4.4176654985650857e-08</v>
      </c>
      <c r="D4375" t="inlineStr">
        <is>
          <t>kilogram</t>
        </is>
      </c>
      <c r="E4375" t="inlineStr">
        <is>
          <t>air::urban air close to ground</t>
        </is>
      </c>
      <c r="F4375" t="inlineStr">
        <is>
          <t>biosphere</t>
        </is>
      </c>
      <c r="I4375">
        <v>0</v>
      </c>
    </row>
    <row r="4376">
      <c r="A4376" t="inlineStr">
        <is>
          <t>Benzaldehyde</t>
        </is>
      </c>
      <c r="B4376">
        <v>1.061226839406165e-08</v>
      </c>
      <c r="D4376" t="inlineStr">
        <is>
          <t>kilogram</t>
        </is>
      </c>
      <c r="E4376" t="inlineStr">
        <is>
          <t>air::urban air close to ground</t>
        </is>
      </c>
      <c r="F4376" t="inlineStr">
        <is>
          <t>biosphere</t>
        </is>
      </c>
      <c r="I4376">
        <v>0</v>
      </c>
    </row>
    <row r="4377">
      <c r="A4377" t="inlineStr">
        <is>
          <t>Cyclohexane</t>
        </is>
      </c>
      <c r="B4377">
        <v>8.020901039562743e-09</v>
      </c>
      <c r="D4377" t="inlineStr">
        <is>
          <t>kilogram</t>
        </is>
      </c>
      <c r="E4377" t="inlineStr">
        <is>
          <t>air::urban air close to ground</t>
        </is>
      </c>
      <c r="F4377" t="inlineStr">
        <is>
          <t>biosphere</t>
        </is>
      </c>
      <c r="I4377">
        <v>0</v>
      </c>
    </row>
    <row r="4378">
      <c r="A4378" t="inlineStr">
        <is>
          <t>Heptane</t>
        </is>
      </c>
      <c r="B4378">
        <v>2.4679695323285083e-09</v>
      </c>
      <c r="D4378" t="inlineStr">
        <is>
          <t>kilogram</t>
        </is>
      </c>
      <c r="E4378" t="inlineStr">
        <is>
          <t>air::urban air close to ground</t>
        </is>
      </c>
      <c r="F4378" t="inlineStr">
        <is>
          <t>biosphere</t>
        </is>
      </c>
      <c r="I4378">
        <v>0</v>
      </c>
    </row>
    <row r="4379">
      <c r="A4379" t="inlineStr">
        <is>
          <t>Methyl ethyl ketone</t>
        </is>
      </c>
      <c r="B4379">
        <v>1.4807816718010298e-08</v>
      </c>
      <c r="D4379" t="inlineStr">
        <is>
          <t>kilogram</t>
        </is>
      </c>
      <c r="E4379" t="inlineStr">
        <is>
          <t>air::urban air close to ground</t>
        </is>
      </c>
      <c r="F4379" t="inlineStr">
        <is>
          <t>biosphere</t>
        </is>
      </c>
      <c r="I4379">
        <v>0</v>
      </c>
    </row>
    <row r="4380">
      <c r="A4380" t="inlineStr">
        <is>
          <t>o-Xylene</t>
        </is>
      </c>
      <c r="B4380">
        <v>3.331758809148392e-09</v>
      </c>
      <c r="D4380" t="inlineStr">
        <is>
          <t>kilogram</t>
        </is>
      </c>
      <c r="E4380" t="inlineStr">
        <is>
          <t>air::urban air close to ground</t>
        </is>
      </c>
      <c r="F4380" t="inlineStr">
        <is>
          <t>biosphere</t>
        </is>
      </c>
      <c r="I4380">
        <v>0</v>
      </c>
    </row>
    <row r="4381">
      <c r="A4381" t="inlineStr">
        <is>
          <t>Propylene</t>
        </is>
      </c>
      <c r="B4381">
        <v>4.4423450154030895e-08</v>
      </c>
      <c r="D4381" t="inlineStr">
        <is>
          <t>kilogram</t>
        </is>
      </c>
      <c r="E4381" t="inlineStr">
        <is>
          <t>air::urban air close to ground</t>
        </is>
      </c>
      <c r="F4381" t="inlineStr">
        <is>
          <t>biosphere</t>
        </is>
      </c>
      <c r="I4381">
        <v>0</v>
      </c>
    </row>
    <row r="4382">
      <c r="A4382" t="inlineStr">
        <is>
          <t>Selenium IV</t>
        </is>
      </c>
      <c r="B4382">
        <v>8.98750956554421e-13</v>
      </c>
      <c r="D4382" t="inlineStr">
        <is>
          <t>kilogram</t>
        </is>
      </c>
      <c r="E4382" t="inlineStr">
        <is>
          <t>air::urban air close to ground</t>
        </is>
      </c>
      <c r="F4382" t="inlineStr">
        <is>
          <t>biosphere</t>
        </is>
      </c>
      <c r="I4382">
        <v>0</v>
      </c>
    </row>
    <row r="4383">
      <c r="A4383" t="inlineStr">
        <is>
          <t>Styrene</t>
        </is>
      </c>
      <c r="B4383">
        <v>4.5657434563224585e-09</v>
      </c>
      <c r="D4383" t="inlineStr">
        <is>
          <t>kilogram</t>
        </is>
      </c>
      <c r="E4383" t="inlineStr">
        <is>
          <t>air::urban air close to ground</t>
        </is>
      </c>
      <c r="F4383" t="inlineStr">
        <is>
          <t>biosphere</t>
        </is>
      </c>
      <c r="I4383">
        <v>0</v>
      </c>
    </row>
    <row r="4384">
      <c r="A4384" t="inlineStr">
        <is>
          <t>Acetaldehyde</t>
        </is>
      </c>
      <c r="B4384">
        <v>1.7243010879114162e-08</v>
      </c>
      <c r="D4384" t="inlineStr">
        <is>
          <t>kilogram</t>
        </is>
      </c>
      <c r="E4384" t="inlineStr">
        <is>
          <t>air::non-urban air or from high stacks</t>
        </is>
      </c>
      <c r="F4384" t="inlineStr">
        <is>
          <t>biosphere</t>
        </is>
      </c>
      <c r="I4384">
        <v>0</v>
      </c>
    </row>
    <row r="4385">
      <c r="A4385" t="inlineStr">
        <is>
          <t>Acetone</t>
        </is>
      </c>
      <c r="B4385">
        <v>7.835309664097135e-09</v>
      </c>
      <c r="D4385" t="inlineStr">
        <is>
          <t>kilogram</t>
        </is>
      </c>
      <c r="E4385" t="inlineStr">
        <is>
          <t>air::non-urban air or from high stacks</t>
        </is>
      </c>
      <c r="F4385" t="inlineStr">
        <is>
          <t>biosphere</t>
        </is>
      </c>
      <c r="I4385">
        <v>0</v>
      </c>
    </row>
    <row r="4386">
      <c r="A4386" t="inlineStr">
        <is>
          <t>Acrolein</t>
        </is>
      </c>
      <c r="B4386">
        <v>9.540955946351132e-09</v>
      </c>
      <c r="D4386" t="inlineStr">
        <is>
          <t>kilogram</t>
        </is>
      </c>
      <c r="E4386" t="inlineStr">
        <is>
          <t>air::non-urban air or from high stacks</t>
        </is>
      </c>
      <c r="F4386" t="inlineStr">
        <is>
          <t>biosphere</t>
        </is>
      </c>
      <c r="I4386">
        <v>0</v>
      </c>
    </row>
    <row r="4387">
      <c r="A4387" t="inlineStr">
        <is>
          <t>Benzaldehyde</t>
        </is>
      </c>
      <c r="B4387">
        <v>2.291961388595036e-09</v>
      </c>
      <c r="D4387" t="inlineStr">
        <is>
          <t>kilogram</t>
        </is>
      </c>
      <c r="E4387" t="inlineStr">
        <is>
          <t>air::non-urban air or from high stacks</t>
        </is>
      </c>
      <c r="F4387" t="inlineStr">
        <is>
          <t>biosphere</t>
        </is>
      </c>
      <c r="I4387">
        <v>0</v>
      </c>
    </row>
    <row r="4388">
      <c r="A4388" t="inlineStr">
        <is>
          <t>Cyclohexane</t>
        </is>
      </c>
      <c r="B4388">
        <v>1.7322965145796874e-09</v>
      </c>
      <c r="D4388" t="inlineStr">
        <is>
          <t>kilogram</t>
        </is>
      </c>
      <c r="E4388" t="inlineStr">
        <is>
          <t>air::non-urban air or from high stacks</t>
        </is>
      </c>
      <c r="F4388" t="inlineStr">
        <is>
          <t>biosphere</t>
        </is>
      </c>
      <c r="I4388">
        <v>0</v>
      </c>
    </row>
    <row r="4389">
      <c r="A4389" t="inlineStr">
        <is>
          <t>Heptane</t>
        </is>
      </c>
      <c r="B4389">
        <v>5.330142847190914e-10</v>
      </c>
      <c r="D4389" t="inlineStr">
        <is>
          <t>kilogram</t>
        </is>
      </c>
      <c r="E4389" t="inlineStr">
        <is>
          <t>air::non-urban air or from high stacks</t>
        </is>
      </c>
      <c r="F4389" t="inlineStr">
        <is>
          <t>biosphere</t>
        </is>
      </c>
      <c r="I4389">
        <v>0</v>
      </c>
    </row>
    <row r="4390">
      <c r="A4390" t="inlineStr">
        <is>
          <t>Methyl ethyl ketone</t>
        </is>
      </c>
      <c r="B4390">
        <v>3.198085708314548e-09</v>
      </c>
      <c r="D4390" t="inlineStr">
        <is>
          <t>kilogram</t>
        </is>
      </c>
      <c r="E4390" t="inlineStr">
        <is>
          <t>air::non-urban air or from high stacks</t>
        </is>
      </c>
      <c r="F4390" t="inlineStr">
        <is>
          <t>biosphere</t>
        </is>
      </c>
      <c r="I4390">
        <v>0</v>
      </c>
    </row>
    <row r="4391">
      <c r="A4391" t="inlineStr">
        <is>
          <t>m-Xylene</t>
        </is>
      </c>
      <c r="B4391">
        <v>1.6256935624437191e-09</v>
      </c>
      <c r="D4391" t="inlineStr">
        <is>
          <t>kilogram</t>
        </is>
      </c>
      <c r="E4391" t="inlineStr">
        <is>
          <t>air::non-urban air or from high stacks</t>
        </is>
      </c>
      <c r="F4391" t="inlineStr">
        <is>
          <t>biosphere</t>
        </is>
      </c>
      <c r="I4391">
        <v>0</v>
      </c>
    </row>
    <row r="4392">
      <c r="A4392" t="inlineStr">
        <is>
          <t>o-Xylene</t>
        </is>
      </c>
      <c r="B4392">
        <v>7.195693022193013e-10</v>
      </c>
      <c r="D4392" t="inlineStr">
        <is>
          <t>kilogram</t>
        </is>
      </c>
      <c r="E4392" t="inlineStr">
        <is>
          <t>air::non-urban air or from high stacks</t>
        </is>
      </c>
      <c r="F4392" t="inlineStr">
        <is>
          <t>biosphere</t>
        </is>
      </c>
      <c r="I4392">
        <v>0</v>
      </c>
    </row>
    <row r="4393">
      <c r="A4393" t="inlineStr">
        <is>
          <t>Styrene</t>
        </is>
      </c>
      <c r="B4393">
        <v>9.86076444578847e-10</v>
      </c>
      <c r="D4393" t="inlineStr">
        <is>
          <t>kilogram</t>
        </is>
      </c>
      <c r="E4393" t="inlineStr">
        <is>
          <t>air::non-urban air or from high stacks</t>
        </is>
      </c>
      <c r="F4393" t="inlineStr">
        <is>
          <t>biosphere</t>
        </is>
      </c>
      <c r="I4393">
        <v>0</v>
      </c>
    </row>
    <row r="4394">
      <c r="A4394" t="inlineStr">
        <is>
          <t>Ethylene</t>
        </is>
      </c>
      <c r="B4394">
        <v>1.3536812652791e-07</v>
      </c>
      <c r="D4394" t="inlineStr">
        <is>
          <t>kilogram</t>
        </is>
      </c>
      <c r="E4394" t="inlineStr">
        <is>
          <t>air::urban air close to ground</t>
        </is>
      </c>
      <c r="F4394" t="inlineStr">
        <is>
          <t>biosphere</t>
        </is>
      </c>
      <c r="I4394">
        <v>0</v>
      </c>
    </row>
    <row r="4395">
      <c r="A4395" t="inlineStr">
        <is>
          <t>Ethylene</t>
        </is>
      </c>
      <c r="B4395">
        <v>2.923583389166125e-08</v>
      </c>
      <c r="D4395" t="inlineStr">
        <is>
          <t>kilogram</t>
        </is>
      </c>
      <c r="E4395" t="inlineStr">
        <is>
          <t>air::non-urban air or from high stacks</t>
        </is>
      </c>
      <c r="F4395" t="inlineStr">
        <is>
          <t>biosphere</t>
        </is>
      </c>
      <c r="I4395">
        <v>0</v>
      </c>
    </row>
    <row r="4396">
      <c r="A4396" t="inlineStr">
        <is>
          <t>market for internal combustion engine, passenger car</t>
        </is>
      </c>
      <c r="B4396">
        <v>0.0007866161325923368</v>
      </c>
      <c r="C4396" t="inlineStr">
        <is>
          <t>GLO</t>
        </is>
      </c>
      <c r="D4396" t="inlineStr">
        <is>
          <t>kilogram</t>
        </is>
      </c>
      <c r="F4396" t="inlineStr">
        <is>
          <t>technosphere</t>
        </is>
      </c>
      <c r="G4396" t="inlineStr">
        <is>
          <t>internal combustion engine, passenger car</t>
        </is>
      </c>
      <c r="H4396" t="inlineStr">
        <is>
          <t> Energy-use allocation: 293.5769348144531 * 4.999999873689376e-06 / 1.866074920371751 MJ per kilometer.</t>
        </is>
      </c>
      <c r="I4396">
        <v>0</v>
      </c>
    </row>
    <row r="4397">
      <c r="A4397" t="inlineStr">
        <is>
          <t>market for waste plastic, industrial electronics</t>
        </is>
      </c>
      <c r="B4397">
        <v>-0.00013127930051786527</v>
      </c>
      <c r="C4397" t="inlineStr">
        <is>
          <t>CH</t>
        </is>
      </c>
      <c r="D4397" t="inlineStr">
        <is>
          <t>kilogram</t>
        </is>
      </c>
      <c r="F4397" t="inlineStr">
        <is>
          <t>technosphere</t>
        </is>
      </c>
      <c r="G4397" t="inlineStr">
        <is>
          <t>waste plastic, industrial electronics</t>
        </is>
      </c>
      <c r="H4397" t="inlineStr">
        <is>
          <t> Energy-use allocation: -48.99540328979492 * 4.999999873689376e-06 / 1.866074920371751 MJ per kilometer.</t>
        </is>
      </c>
      <c r="I4397">
        <v>0</v>
      </c>
    </row>
    <row r="4398">
      <c r="A4398" t="inlineStr">
        <is>
          <t>polyethylene production, high density, granulate</t>
        </is>
      </c>
      <c r="B4398">
        <v>0.00013127930051786527</v>
      </c>
      <c r="C4398" t="inlineStr">
        <is>
          <t>RER</t>
        </is>
      </c>
      <c r="D4398" t="inlineStr">
        <is>
          <t>kilogram</t>
        </is>
      </c>
      <c r="F4398" t="inlineStr">
        <is>
          <t>technosphere</t>
        </is>
      </c>
      <c r="G4398" t="inlineStr">
        <is>
          <t>polyethylene, high density, granulate</t>
        </is>
      </c>
      <c r="H4398" t="inlineStr">
        <is>
          <t> Energy-use allocation: 48.99540328979492 * 4.999999873689376e-06 / 1.866074920371751 MJ per kilometer.</t>
        </is>
      </c>
      <c r="I4398">
        <v>0</v>
      </c>
    </row>
    <row r="4399">
      <c r="A4399" t="inlineStr">
        <is>
          <t>Carbon dioxide, non-fossil</t>
        </is>
      </c>
      <c r="B4399">
        <v>0.0734</v>
      </c>
      <c r="D4399" t="inlineStr">
        <is>
          <t>kilogram</t>
        </is>
      </c>
      <c r="E4399" t="inlineStr">
        <is>
          <t>air::urban air close to ground</t>
        </is>
      </c>
      <c r="F4399" t="inlineStr">
        <is>
          <t>biosphere</t>
        </is>
      </c>
      <c r="I4399">
        <v>0</v>
      </c>
    </row>
    <row r="4400"/>
    <row r="4401">
      <c r="A4401" t="inlineStr">
        <is>
          <t>Activity</t>
        </is>
      </c>
      <c r="B4401" t="inlineStr">
        <is>
          <t>biodiesel, from non-residual cellulosic biomass, burned in passenger car</t>
        </is>
      </c>
    </row>
    <row r="4402">
      <c r="A4402" t="inlineStr">
        <is>
          <t>location</t>
        </is>
      </c>
      <c r="B4402" t="inlineStr">
        <is>
          <t>RER</t>
        </is>
      </c>
    </row>
    <row r="4403">
      <c r="A4403" t="inlineStr">
        <is>
          <t>production amount</t>
        </is>
      </c>
      <c r="B4403">
        <v>1</v>
      </c>
    </row>
    <row r="4404">
      <c r="A4404" t="inlineStr">
        <is>
          <t>reference product</t>
        </is>
      </c>
      <c r="B4404" t="inlineStr">
        <is>
          <t>heat</t>
        </is>
      </c>
    </row>
    <row r="4405">
      <c r="A4405" t="inlineStr">
        <is>
          <t>type</t>
        </is>
      </c>
      <c r="B4405" t="inlineStr">
        <is>
          <t>process</t>
        </is>
      </c>
    </row>
    <row r="4406">
      <c r="A4406" t="inlineStr">
        <is>
          <t>unit</t>
        </is>
      </c>
      <c r="B4406" t="inlineStr">
        <is>
          <t>megajoule</t>
        </is>
      </c>
    </row>
    <row r="4407">
      <c r="A4407" t="inlineStr">
        <is>
          <t>Power, mean</t>
        </is>
      </c>
      <c r="B4407">
        <v>126</v>
      </c>
    </row>
    <row r="4408">
      <c r="A4408" t="inlineStr">
        <is>
          <t>Power, min</t>
        </is>
      </c>
      <c r="B4408">
        <v>54</v>
      </c>
    </row>
    <row r="4409">
      <c r="A4409" t="inlineStr">
        <is>
          <t>Power, max</t>
        </is>
      </c>
      <c r="B4409">
        <v>158</v>
      </c>
    </row>
    <row r="4410">
      <c r="A4410" t="inlineStr">
        <is>
          <t>Lifetime, mean</t>
        </is>
      </c>
      <c r="B4410">
        <v>200000</v>
      </c>
    </row>
    <row r="4411">
      <c r="A4411" t="inlineStr">
        <is>
          <t>Lifetime, min</t>
        </is>
      </c>
      <c r="B4411">
        <v>160000</v>
      </c>
    </row>
    <row r="4412">
      <c r="A4412" t="inlineStr">
        <is>
          <t>Lifetime, max</t>
        </is>
      </c>
      <c r="B4412">
        <v>250000</v>
      </c>
    </row>
    <row r="4413">
      <c r="A4413" t="inlineStr">
        <is>
          <t>Energy use, mean</t>
        </is>
      </c>
      <c r="B4413">
        <v>2250</v>
      </c>
    </row>
    <row r="4414">
      <c r="A4414" t="inlineStr">
        <is>
          <t>Energy use, min</t>
        </is>
      </c>
      <c r="B4414">
        <v>1500</v>
      </c>
    </row>
    <row r="4415">
      <c r="A4415" t="inlineStr">
        <is>
          <t>Energy use, max</t>
        </is>
      </c>
      <c r="B4415">
        <v>2900</v>
      </c>
    </row>
    <row r="4416">
      <c r="A4416" t="inlineStr">
        <is>
          <t>Electric motor, mean</t>
        </is>
      </c>
      <c r="B4416">
        <v>0</v>
      </c>
    </row>
    <row r="4417">
      <c r="A4417" t="inlineStr">
        <is>
          <t>Electric motor, min</t>
        </is>
      </c>
      <c r="B4417">
        <v>0</v>
      </c>
    </row>
    <row r="4418">
      <c r="A4418" t="inlineStr">
        <is>
          <t>Electric motor, max</t>
        </is>
      </c>
      <c r="B4418">
        <v>0</v>
      </c>
    </row>
    <row r="4419">
      <c r="A4419" t="inlineStr">
        <is>
          <t>Combustion engine, mean</t>
        </is>
      </c>
      <c r="B4419">
        <v>169</v>
      </c>
    </row>
    <row r="4420">
      <c r="A4420" t="inlineStr">
        <is>
          <t>Combustion engine, min</t>
        </is>
      </c>
      <c r="B4420">
        <v>111</v>
      </c>
    </row>
    <row r="4421">
      <c r="A4421" t="inlineStr">
        <is>
          <t>Combustion engine, max</t>
        </is>
      </c>
      <c r="B4421">
        <v>194</v>
      </c>
    </row>
    <row r="4422">
      <c r="A4422" t="inlineStr">
        <is>
          <t>Fuel tank, mean</t>
        </is>
      </c>
      <c r="B4422">
        <v>48</v>
      </c>
    </row>
    <row r="4423">
      <c r="A4423" t="inlineStr">
        <is>
          <t>Fuel tank, min</t>
        </is>
      </c>
      <c r="B4423">
        <v>30</v>
      </c>
    </row>
    <row r="4424">
      <c r="A4424" t="inlineStr">
        <is>
          <t>Fuel tank, max</t>
        </is>
      </c>
      <c r="B4424">
        <v>48</v>
      </c>
    </row>
    <row r="4425">
      <c r="A4425" t="inlineStr">
        <is>
          <t>Battery capacity, mean</t>
        </is>
      </c>
      <c r="B4425">
        <v>0</v>
      </c>
    </row>
    <row r="4426">
      <c r="A4426" t="inlineStr">
        <is>
          <t>Battery capacity, min</t>
        </is>
      </c>
      <c r="B4426">
        <v>0</v>
      </c>
    </row>
    <row r="4427">
      <c r="A4427" t="inlineStr">
        <is>
          <t>Battery capacity, max</t>
        </is>
      </c>
      <c r="B4427">
        <v>0</v>
      </c>
    </row>
    <row r="4428">
      <c r="A4428" t="inlineStr">
        <is>
          <t>Battery replacement, mean</t>
        </is>
      </c>
      <c r="B4428">
        <v>0</v>
      </c>
    </row>
    <row r="4429">
      <c r="A4429" t="inlineStr">
        <is>
          <t>Battery replacement, min</t>
        </is>
      </c>
      <c r="B4429">
        <v>0</v>
      </c>
    </row>
    <row r="4430">
      <c r="A4430" t="inlineStr">
        <is>
          <t>Battery replacement, max</t>
        </is>
      </c>
      <c r="B4430">
        <v>0</v>
      </c>
    </row>
    <row r="4431">
      <c r="A4431" t="inlineStr">
        <is>
          <t>Fuel cell system, mean</t>
        </is>
      </c>
      <c r="B4431">
        <v>0</v>
      </c>
    </row>
    <row r="4432">
      <c r="A4432" t="inlineStr">
        <is>
          <t>Fuel cell system, min</t>
        </is>
      </c>
      <c r="B4432">
        <v>0</v>
      </c>
    </row>
    <row r="4433">
      <c r="A4433" t="inlineStr">
        <is>
          <t>Fuel cell system, max</t>
        </is>
      </c>
      <c r="B4433">
        <v>0</v>
      </c>
    </row>
    <row r="4434">
      <c r="A4434" t="inlineStr">
        <is>
          <t>Fuel cell stack replacement, mean</t>
        </is>
      </c>
      <c r="B4434">
        <v>0</v>
      </c>
    </row>
    <row r="4435">
      <c r="A4435" t="inlineStr">
        <is>
          <t>Fuel cell replacement, min</t>
        </is>
      </c>
      <c r="B4435">
        <v>0</v>
      </c>
    </row>
    <row r="4436">
      <c r="A4436" t="inlineStr">
        <is>
          <t>Fuel cell replacement, max</t>
        </is>
      </c>
      <c r="B4436">
        <v>0</v>
      </c>
    </row>
    <row r="4437">
      <c r="A4437" t="inlineStr">
        <is>
          <t>Onboard charger mass</t>
        </is>
      </c>
      <c r="B4437">
        <v>0</v>
      </c>
    </row>
    <row r="4438">
      <c r="A4438" t="inlineStr">
        <is>
          <t>Controller mass</t>
        </is>
      </c>
      <c r="B4438">
        <v>0</v>
      </c>
    </row>
    <row r="4439">
      <c r="A4439" t="inlineStr">
        <is>
          <t>Converter mass</t>
        </is>
      </c>
      <c r="B4439">
        <v>0</v>
      </c>
    </row>
    <row r="4440">
      <c r="A4440" t="inlineStr">
        <is>
          <t>Electrical powertrain mass</t>
        </is>
      </c>
      <c r="B4440">
        <v>0</v>
      </c>
    </row>
    <row r="4441">
      <c r="A4441" t="inlineStr">
        <is>
          <t>Inverter mass</t>
        </is>
      </c>
      <c r="B4441">
        <v>0</v>
      </c>
    </row>
    <row r="4442">
      <c r="A4442" t="inlineStr">
        <is>
          <t>NOx</t>
        </is>
      </c>
      <c r="B4442">
        <v>0.2</v>
      </c>
    </row>
    <row r="4443">
      <c r="A4443" t="inlineStr">
        <is>
          <t>PM 2.5</t>
        </is>
      </c>
      <c r="B4443">
        <v>0.0017499999999999998</v>
      </c>
    </row>
    <row r="4444">
      <c r="A4444" t="inlineStr">
        <is>
          <t>energy use source</t>
        </is>
      </c>
      <c r="B444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45">
      <c r="A4445" t="inlineStr">
        <is>
          <t>comment</t>
        </is>
      </c>
      <c r="B444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46">
      <c r="A4446" t="inlineStr">
        <is>
          <t>Exchanges</t>
        </is>
      </c>
    </row>
    <row r="4447">
      <c r="A4447" t="inlineStr">
        <is>
          <t>name</t>
        </is>
      </c>
      <c r="B4447" t="inlineStr">
        <is>
          <t>amount</t>
        </is>
      </c>
      <c r="C4447" t="inlineStr">
        <is>
          <t>location</t>
        </is>
      </c>
      <c r="D4447" t="inlineStr">
        <is>
          <t>unit</t>
        </is>
      </c>
      <c r="E4447" t="inlineStr">
        <is>
          <t>categories</t>
        </is>
      </c>
      <c r="F4447" t="inlineStr">
        <is>
          <t>type</t>
        </is>
      </c>
      <c r="G4447" t="inlineStr">
        <is>
          <t>reference product</t>
        </is>
      </c>
      <c r="H4447" t="inlineStr">
        <is>
          <t>comment</t>
        </is>
      </c>
      <c r="I4447" t="inlineStr">
        <is>
          <t>uncertainty type</t>
        </is>
      </c>
    </row>
    <row r="4448">
      <c r="A4448" t="inlineStr">
        <is>
          <t>biodiesel, from non-residual cellulosic biomass, burned in passenger car</t>
        </is>
      </c>
      <c r="B4448">
        <v>1.0</v>
      </c>
      <c r="C4448" t="inlineStr">
        <is>
          <t>RER</t>
        </is>
      </c>
      <c r="D4448" t="inlineStr">
        <is>
          <t>megajoule</t>
        </is>
      </c>
      <c r="F4448" t="inlineStr">
        <is>
          <t>production</t>
        </is>
      </c>
      <c r="G4448" t="inlineStr">
        <is>
          <t>heat</t>
        </is>
      </c>
      <c r="I4448">
        <v>0</v>
      </c>
    </row>
    <row r="4449">
      <c r="A4449" t="inlineStr">
        <is>
          <t>biodiesel production, via Fischer-Tropsch, from forest product (non-residual), energy allocation</t>
        </is>
      </c>
      <c r="B4449">
        <v>0.023255813953488372</v>
      </c>
      <c r="C4449" t="inlineStr">
        <is>
          <t>RER</t>
        </is>
      </c>
      <c r="D4449" t="inlineStr">
        <is>
          <t>kilogram</t>
        </is>
      </c>
      <c r="F4449" t="inlineStr">
        <is>
          <t>technosphere</t>
        </is>
      </c>
      <c r="G4449" t="inlineStr">
        <is>
          <t>biodiesel, from forest residues</t>
        </is>
      </c>
      <c r="I4449">
        <v>0</v>
      </c>
    </row>
    <row r="4450">
      <c r="A4450" t="inlineStr">
        <is>
          <t>treatment of brake wear emissions, passenger car</t>
        </is>
      </c>
      <c r="B4450">
        <v>-7.967052081550097e-06</v>
      </c>
      <c r="C4450" t="inlineStr">
        <is>
          <t>RER</t>
        </is>
      </c>
      <c r="D4450" t="inlineStr">
        <is>
          <t>kilogram</t>
        </is>
      </c>
      <c r="F4450" t="inlineStr">
        <is>
          <t>technosphere</t>
        </is>
      </c>
      <c r="G4450" t="inlineStr">
        <is>
          <t>brake wear emissions, passenger car</t>
        </is>
      </c>
      <c r="I4450">
        <v>0</v>
      </c>
    </row>
    <row r="4451">
      <c r="A4451" t="inlineStr">
        <is>
          <t>treatment of road wear emissions, passenger car</t>
        </is>
      </c>
      <c r="B4451">
        <v>-9.150770397723165e-06</v>
      </c>
      <c r="C4451" t="inlineStr">
        <is>
          <t>RER</t>
        </is>
      </c>
      <c r="D4451" t="inlineStr">
        <is>
          <t>kilogram</t>
        </is>
      </c>
      <c r="F4451" t="inlineStr">
        <is>
          <t>technosphere</t>
        </is>
      </c>
      <c r="G4451" t="inlineStr">
        <is>
          <t>road wear emissions, passenger car</t>
        </is>
      </c>
      <c r="I4451">
        <v>0</v>
      </c>
    </row>
    <row r="4452">
      <c r="A4452" t="inlineStr">
        <is>
          <t>treatment of tyre wear emissions, passenger car</t>
        </is>
      </c>
      <c r="B4452">
        <v>-1.0568832109350394e-05</v>
      </c>
      <c r="C4452" t="inlineStr">
        <is>
          <t>RER</t>
        </is>
      </c>
      <c r="D4452" t="inlineStr">
        <is>
          <t>kilogram</t>
        </is>
      </c>
      <c r="F4452" t="inlineStr">
        <is>
          <t>technosphere</t>
        </is>
      </c>
      <c r="G4452" t="inlineStr">
        <is>
          <t>tyre wear emissions, passenger car</t>
        </is>
      </c>
      <c r="I4452">
        <v>0</v>
      </c>
    </row>
    <row r="4453">
      <c r="A4453" t="inlineStr">
        <is>
          <t>market for tetrafluoroethane, R134a</t>
        </is>
      </c>
      <c r="B4453">
        <v>3.4832470313950515e-06</v>
      </c>
      <c r="C4453" t="inlineStr">
        <is>
          <t>GLO</t>
        </is>
      </c>
      <c r="D4453" t="inlineStr">
        <is>
          <t>kilogram</t>
        </is>
      </c>
      <c r="F4453" t="inlineStr">
        <is>
          <t>technosphere</t>
        </is>
      </c>
      <c r="G4453" t="inlineStr">
        <is>
          <t>tetrafluoroethane, R134a</t>
        </is>
      </c>
      <c r="I4453">
        <v>0</v>
      </c>
    </row>
    <row r="4454">
      <c r="A4454" t="inlineStr">
        <is>
          <t>Toluene</t>
        </is>
      </c>
      <c r="B4454">
        <v>1.8388993477254683e-09</v>
      </c>
      <c r="D4454" t="inlineStr">
        <is>
          <t>kilogram</t>
        </is>
      </c>
      <c r="E4454" t="inlineStr">
        <is>
          <t>air::non-urban air or from high stacks</t>
        </is>
      </c>
      <c r="F4454" t="inlineStr">
        <is>
          <t>biosphere</t>
        </is>
      </c>
      <c r="I4454">
        <v>0</v>
      </c>
    </row>
    <row r="4455">
      <c r="A4455" t="inlineStr">
        <is>
          <t>NMVOC, non-methane volatile organic compounds</t>
        </is>
      </c>
      <c r="B4455">
        <v>1.4657892889270108e-07</v>
      </c>
      <c r="D4455" t="inlineStr">
        <is>
          <t>kilogram</t>
        </is>
      </c>
      <c r="E4455" t="inlineStr">
        <is>
          <t>air::non-urban air or from high stacks</t>
        </is>
      </c>
      <c r="F4455" t="inlineStr">
        <is>
          <t>biosphere</t>
        </is>
      </c>
      <c r="I4455">
        <v>0</v>
      </c>
    </row>
    <row r="4456">
      <c r="A4456" t="inlineStr">
        <is>
          <t>Dinitrogen monoxide</t>
        </is>
      </c>
      <c r="B4456">
        <v>1.3837910754355256e-06</v>
      </c>
      <c r="D4456" t="inlineStr">
        <is>
          <t>kilogram</t>
        </is>
      </c>
      <c r="E4456" t="inlineStr">
        <is>
          <t>air::non-urban air or from high stacks</t>
        </is>
      </c>
      <c r="F4456" t="inlineStr">
        <is>
          <t>biosphere</t>
        </is>
      </c>
      <c r="I4456">
        <v>0</v>
      </c>
    </row>
    <row r="4457">
      <c r="A4457" t="inlineStr">
        <is>
          <t>Ethane</t>
        </is>
      </c>
      <c r="B4457">
        <v>4.072149787837132e-09</v>
      </c>
      <c r="D4457" t="inlineStr">
        <is>
          <t>kilogram</t>
        </is>
      </c>
      <c r="E4457" t="inlineStr">
        <is>
          <t>air::urban air close to ground</t>
        </is>
      </c>
      <c r="F4457" t="inlineStr">
        <is>
          <t>biosphere</t>
        </is>
      </c>
      <c r="I4457">
        <v>0</v>
      </c>
    </row>
    <row r="4458">
      <c r="A4458" t="inlineStr">
        <is>
          <t>Pentane</t>
        </is>
      </c>
      <c r="B4458">
        <v>4.935939064657017e-10</v>
      </c>
      <c r="D4458" t="inlineStr">
        <is>
          <t>kilogram</t>
        </is>
      </c>
      <c r="E4458" t="inlineStr">
        <is>
          <t>air::urban air close to ground</t>
        </is>
      </c>
      <c r="F4458" t="inlineStr">
        <is>
          <t>biosphere</t>
        </is>
      </c>
      <c r="I4458">
        <v>0</v>
      </c>
    </row>
    <row r="4459">
      <c r="A4459" t="inlineStr">
        <is>
          <t>Selenium IV</t>
        </is>
      </c>
      <c r="B4459">
        <v>1.4312488373385127e-12</v>
      </c>
      <c r="D4459" t="inlineStr">
        <is>
          <t>kilogram</t>
        </is>
      </c>
      <c r="E4459" t="inlineStr">
        <is>
          <t>air::non-urban air or from high stacks</t>
        </is>
      </c>
      <c r="F4459" t="inlineStr">
        <is>
          <t>biosphere</t>
        </is>
      </c>
      <c r="I4459">
        <v>0</v>
      </c>
    </row>
    <row r="4460">
      <c r="A4460" t="inlineStr">
        <is>
          <t>Arsenic ion</t>
        </is>
      </c>
      <c r="B4460">
        <v>1.4312488373385127e-12</v>
      </c>
      <c r="D4460" t="inlineStr">
        <is>
          <t>kilogram</t>
        </is>
      </c>
      <c r="E4460" t="inlineStr">
        <is>
          <t>air::non-urban air or from high stacks</t>
        </is>
      </c>
      <c r="F4460" t="inlineStr">
        <is>
          <t>biosphere</t>
        </is>
      </c>
      <c r="I4460">
        <v>0</v>
      </c>
    </row>
    <row r="4461">
      <c r="A4461" t="inlineStr">
        <is>
          <t>Arsenic ion</t>
        </is>
      </c>
      <c r="B4461">
        <v>8.98750956554421e-13</v>
      </c>
      <c r="D4461" t="inlineStr">
        <is>
          <t>kilogram</t>
        </is>
      </c>
      <c r="E4461" t="inlineStr">
        <is>
          <t>air::urban air close to ground</t>
        </is>
      </c>
      <c r="F4461" t="inlineStr">
        <is>
          <t>biosphere</t>
        </is>
      </c>
      <c r="I4461">
        <v>0</v>
      </c>
    </row>
    <row r="4462">
      <c r="A4462" t="inlineStr">
        <is>
          <t>Propylene</t>
        </is>
      </c>
      <c r="B4462">
        <v>9.594256886963272e-09</v>
      </c>
      <c r="D4462" t="inlineStr">
        <is>
          <t>kilogram</t>
        </is>
      </c>
      <c r="E4462" t="inlineStr">
        <is>
          <t>air::non-urban air or from high stacks</t>
        </is>
      </c>
      <c r="F4462" t="inlineStr">
        <is>
          <t>biosphere</t>
        </is>
      </c>
      <c r="I4462">
        <v>0</v>
      </c>
    </row>
    <row r="4463">
      <c r="A4463" t="inlineStr">
        <is>
          <t>Particulate Matter, &lt; 2.5 um</t>
        </is>
      </c>
      <c r="B4463">
        <v>1.636891619531532e-07</v>
      </c>
      <c r="D4463" t="inlineStr">
        <is>
          <t>kilogram</t>
        </is>
      </c>
      <c r="E4463" t="inlineStr">
        <is>
          <t>air::urban air close to ground</t>
        </is>
      </c>
      <c r="F4463" t="inlineStr">
        <is>
          <t>biosphere</t>
        </is>
      </c>
      <c r="I4463">
        <v>0</v>
      </c>
    </row>
    <row r="4464">
      <c r="A4464" t="inlineStr">
        <is>
          <t>Nickel II</t>
        </is>
      </c>
      <c r="B4464">
        <v>2.856355271045539e-12</v>
      </c>
      <c r="D4464" t="inlineStr">
        <is>
          <t>kilogram</t>
        </is>
      </c>
      <c r="E4464" t="inlineStr">
        <is>
          <t>air::non-urban air or from high stacks</t>
        </is>
      </c>
      <c r="F4464" t="inlineStr">
        <is>
          <t>biosphere</t>
        </is>
      </c>
      <c r="I4464">
        <v>0</v>
      </c>
    </row>
    <row r="4465">
      <c r="A4465" t="inlineStr">
        <is>
          <t>Methane, fossil</t>
        </is>
      </c>
      <c r="B4465">
        <v>2.3985624245130236e-06</v>
      </c>
      <c r="D4465" t="inlineStr">
        <is>
          <t>kilogram</t>
        </is>
      </c>
      <c r="E4465" t="inlineStr">
        <is>
          <t>air::non-urban air or from high stacks</t>
        </is>
      </c>
      <c r="F4465" t="inlineStr">
        <is>
          <t>biosphere</t>
        </is>
      </c>
      <c r="I4465">
        <v>0</v>
      </c>
    </row>
    <row r="4466">
      <c r="A4466" t="inlineStr">
        <is>
          <t>Mercury II</t>
        </is>
      </c>
      <c r="B4466">
        <v>7.555519944566824e-11</v>
      </c>
      <c r="D4466" t="inlineStr">
        <is>
          <t>kilogram</t>
        </is>
      </c>
      <c r="E4466" t="inlineStr">
        <is>
          <t>air::non-urban air or from high stacks</t>
        </is>
      </c>
      <c r="F4466" t="inlineStr">
        <is>
          <t>biosphere</t>
        </is>
      </c>
      <c r="I4466">
        <v>0</v>
      </c>
    </row>
    <row r="4467">
      <c r="A4467" t="inlineStr">
        <is>
          <t>Ammonia</t>
        </is>
      </c>
      <c r="B4467">
        <v>8.515878173642505e-07</v>
      </c>
      <c r="D4467" t="inlineStr">
        <is>
          <t>kilogram</t>
        </is>
      </c>
      <c r="E4467" t="inlineStr">
        <is>
          <t>air::non-urban air or from high stacks</t>
        </is>
      </c>
      <c r="F4467" t="inlineStr">
        <is>
          <t>biosphere</t>
        </is>
      </c>
      <c r="I4467">
        <v>0</v>
      </c>
    </row>
    <row r="4468">
      <c r="A4468" t="inlineStr">
        <is>
          <t>Ethane</t>
        </is>
      </c>
      <c r="B4468">
        <v>8.794736114330666e-10</v>
      </c>
      <c r="D4468" t="inlineStr">
        <is>
          <t>kilogram</t>
        </is>
      </c>
      <c r="E4468" t="inlineStr">
        <is>
          <t>air::non-urban air or from high stacks</t>
        </is>
      </c>
      <c r="F4468" t="inlineStr">
        <is>
          <t>biosphere</t>
        </is>
      </c>
      <c r="I4468">
        <v>0</v>
      </c>
    </row>
    <row r="4469">
      <c r="A4469" t="inlineStr">
        <is>
          <t>Nickel II</t>
        </is>
      </c>
      <c r="B4469">
        <v>1.7936446091257316e-12</v>
      </c>
      <c r="D4469" t="inlineStr">
        <is>
          <t>kilogram</t>
        </is>
      </c>
      <c r="E4469" t="inlineStr">
        <is>
          <t>air::urban air close to ground</t>
        </is>
      </c>
      <c r="F4469" t="inlineStr">
        <is>
          <t>biosphere</t>
        </is>
      </c>
      <c r="I4469">
        <v>0</v>
      </c>
    </row>
    <row r="4470">
      <c r="A4470" t="inlineStr">
        <is>
          <t>Cadmium II</t>
        </is>
      </c>
      <c r="B4470">
        <v>7.12553100652158e-13</v>
      </c>
      <c r="D4470" t="inlineStr">
        <is>
          <t>kilogram</t>
        </is>
      </c>
      <c r="E4470" t="inlineStr">
        <is>
          <t>air::non-urban air or from high stacks</t>
        </is>
      </c>
      <c r="F4470" t="inlineStr">
        <is>
          <t>biosphere</t>
        </is>
      </c>
      <c r="I4470">
        <v>0</v>
      </c>
    </row>
    <row r="4471">
      <c r="A4471" t="inlineStr">
        <is>
          <t>Ammonia</t>
        </is>
      </c>
      <c r="B4471">
        <v>5.347535547726079e-07</v>
      </c>
      <c r="D4471" t="inlineStr">
        <is>
          <t>kilogram</t>
        </is>
      </c>
      <c r="E4471" t="inlineStr">
        <is>
          <t>air::urban air close to ground</t>
        </is>
      </c>
      <c r="F4471" t="inlineStr">
        <is>
          <t>biosphere</t>
        </is>
      </c>
      <c r="I4471">
        <v>0</v>
      </c>
    </row>
    <row r="4472">
      <c r="A4472" t="inlineStr">
        <is>
          <t>Butane</t>
        </is>
      </c>
      <c r="B4472">
        <v>2.9315788039353776e-10</v>
      </c>
      <c r="D4472" t="inlineStr">
        <is>
          <t>kilogram</t>
        </is>
      </c>
      <c r="E4472" t="inlineStr">
        <is>
          <t>air::non-urban air or from high stacks</t>
        </is>
      </c>
      <c r="F4472" t="inlineStr">
        <is>
          <t>biosphere</t>
        </is>
      </c>
      <c r="I4472">
        <v>0</v>
      </c>
    </row>
    <row r="4473">
      <c r="A4473" t="inlineStr">
        <is>
          <t>PAH, polycyclic aromatic hydrocarbons</t>
        </is>
      </c>
      <c r="B4473">
        <v>5.091636535281869e-10</v>
      </c>
      <c r="D4473" t="inlineStr">
        <is>
          <t>kilogram</t>
        </is>
      </c>
      <c r="E4473" t="inlineStr">
        <is>
          <t>air::urban air close to ground</t>
        </is>
      </c>
      <c r="F4473" t="inlineStr">
        <is>
          <t>biosphere</t>
        </is>
      </c>
      <c r="I4473">
        <v>0</v>
      </c>
    </row>
    <row r="4474">
      <c r="A4474" t="inlineStr">
        <is>
          <t>Copper ion</t>
        </is>
      </c>
      <c r="B4474">
        <v>8.16979042710669e-11</v>
      </c>
      <c r="D4474" t="inlineStr">
        <is>
          <t>kilogram</t>
        </is>
      </c>
      <c r="E4474" t="inlineStr">
        <is>
          <t>air::non-urban air or from high stacks</t>
        </is>
      </c>
      <c r="F4474" t="inlineStr">
        <is>
          <t>biosphere</t>
        </is>
      </c>
      <c r="I4474">
        <v>0</v>
      </c>
    </row>
    <row r="4475">
      <c r="A4475" t="inlineStr">
        <is>
          <t>Nitrogen oxides</t>
        </is>
      </c>
      <c r="B4475">
        <v>1.2205207650351623e-05</v>
      </c>
      <c r="D4475" t="inlineStr">
        <is>
          <t>kilogram</t>
        </is>
      </c>
      <c r="E4475" t="inlineStr">
        <is>
          <t>air::non-urban air or from high stacks</t>
        </is>
      </c>
      <c r="F4475" t="inlineStr">
        <is>
          <t>biosphere</t>
        </is>
      </c>
      <c r="I4475">
        <v>0</v>
      </c>
    </row>
    <row r="4476">
      <c r="A4476" t="inlineStr">
        <is>
          <t>Butane</t>
        </is>
      </c>
      <c r="B4476">
        <v>1.3573831832855856e-09</v>
      </c>
      <c r="D4476" t="inlineStr">
        <is>
          <t>kilogram</t>
        </is>
      </c>
      <c r="E4476" t="inlineStr">
        <is>
          <t>air::urban air close to ground</t>
        </is>
      </c>
      <c r="F4476" t="inlineStr">
        <is>
          <t>biosphere</t>
        </is>
      </c>
      <c r="I4476">
        <v>0</v>
      </c>
    </row>
    <row r="4477">
      <c r="A4477" t="inlineStr">
        <is>
          <t>Copper ion</t>
        </is>
      </c>
      <c r="B4477">
        <v>5.130209510040208e-11</v>
      </c>
      <c r="D4477" t="inlineStr">
        <is>
          <t>kilogram</t>
        </is>
      </c>
      <c r="E4477" t="inlineStr">
        <is>
          <t>air::urban air close to ground</t>
        </is>
      </c>
      <c r="F4477" t="inlineStr">
        <is>
          <t>biosphere</t>
        </is>
      </c>
      <c r="I4477">
        <v>0</v>
      </c>
    </row>
    <row r="4478">
      <c r="A4478" t="inlineStr">
        <is>
          <t>Chromium III</t>
        </is>
      </c>
      <c r="B4478">
        <v>7.637454356709601e-11</v>
      </c>
      <c r="D4478" t="inlineStr">
        <is>
          <t>kilogram</t>
        </is>
      </c>
      <c r="E4478" t="inlineStr">
        <is>
          <t>air::urban air close to ground</t>
        </is>
      </c>
      <c r="F4478" t="inlineStr">
        <is>
          <t>biosphere</t>
        </is>
      </c>
      <c r="I4478">
        <v>0</v>
      </c>
    </row>
    <row r="4479">
      <c r="A4479" t="inlineStr">
        <is>
          <t>Propane</t>
        </is>
      </c>
      <c r="B4479">
        <v>1.3573831832855856e-09</v>
      </c>
      <c r="D4479" t="inlineStr">
        <is>
          <t>kilogram</t>
        </is>
      </c>
      <c r="E4479" t="inlineStr">
        <is>
          <t>air::urban air close to ground</t>
        </is>
      </c>
      <c r="F4479" t="inlineStr">
        <is>
          <t>biosphere</t>
        </is>
      </c>
      <c r="I4479">
        <v>0</v>
      </c>
    </row>
    <row r="4480">
      <c r="A4480" t="inlineStr">
        <is>
          <t>Toluene</t>
        </is>
      </c>
      <c r="B4480">
        <v>8.514495184008822e-09</v>
      </c>
      <c r="D4480" t="inlineStr">
        <is>
          <t>kilogram</t>
        </is>
      </c>
      <c r="E4480" t="inlineStr">
        <is>
          <t>air::urban air close to ground</t>
        </is>
      </c>
      <c r="F4480" t="inlineStr">
        <is>
          <t>biosphere</t>
        </is>
      </c>
      <c r="I4480">
        <v>0</v>
      </c>
    </row>
    <row r="4481">
      <c r="A4481" t="inlineStr">
        <is>
          <t>Dinitrogen monoxide</t>
        </is>
      </c>
      <c r="B4481">
        <v>8.68949829854063e-07</v>
      </c>
      <c r="D4481" t="inlineStr">
        <is>
          <t>kilogram</t>
        </is>
      </c>
      <c r="E4481" t="inlineStr">
        <is>
          <t>air::urban air close to ground</t>
        </is>
      </c>
      <c r="F4481" t="inlineStr">
        <is>
          <t>biosphere</t>
        </is>
      </c>
      <c r="I4481">
        <v>0</v>
      </c>
    </row>
    <row r="4482">
      <c r="A4482" t="inlineStr">
        <is>
          <t>Zinc II</t>
        </is>
      </c>
      <c r="B4482">
        <v>1.6162087653443074e-10</v>
      </c>
      <c r="D4482" t="inlineStr">
        <is>
          <t>kilogram</t>
        </is>
      </c>
      <c r="E4482" t="inlineStr">
        <is>
          <t>air::urban air close to ground</t>
        </is>
      </c>
      <c r="F4482" t="inlineStr">
        <is>
          <t>biosphere</t>
        </is>
      </c>
      <c r="I4482">
        <v>0</v>
      </c>
    </row>
    <row r="4483">
      <c r="A4483" t="inlineStr">
        <is>
          <t>Chromium VI</t>
        </is>
      </c>
      <c r="B4483">
        <v>2.426366216798939e-13</v>
      </c>
      <c r="D4483" t="inlineStr">
        <is>
          <t>kilogram</t>
        </is>
      </c>
      <c r="E4483" t="inlineStr">
        <is>
          <t>air::non-urban air or from high stacks</t>
        </is>
      </c>
      <c r="F4483" t="inlineStr">
        <is>
          <t>biosphere</t>
        </is>
      </c>
      <c r="I4483">
        <v>0</v>
      </c>
    </row>
    <row r="4484">
      <c r="A4484" t="inlineStr">
        <is>
          <t>Benzene</t>
        </is>
      </c>
      <c r="B4484">
        <v>2.1320570436842153e-08</v>
      </c>
      <c r="D4484" t="inlineStr">
        <is>
          <t>kilogram</t>
        </is>
      </c>
      <c r="E4484" t="inlineStr">
        <is>
          <t>air::non-urban air or from high stacks</t>
        </is>
      </c>
      <c r="F4484" t="inlineStr">
        <is>
          <t>biosphere</t>
        </is>
      </c>
      <c r="I4484">
        <v>0</v>
      </c>
    </row>
    <row r="4485">
      <c r="A4485" t="inlineStr">
        <is>
          <t>Carbon monoxide, fossil</t>
        </is>
      </c>
      <c r="B4485">
        <v>4.486574608647261e-06</v>
      </c>
      <c r="D4485" t="inlineStr">
        <is>
          <t>kilogram</t>
        </is>
      </c>
      <c r="E4485" t="inlineStr">
        <is>
          <t>air::non-urban air or from high stacks</t>
        </is>
      </c>
      <c r="F4485" t="inlineStr">
        <is>
          <t>biosphere</t>
        </is>
      </c>
      <c r="I4485">
        <v>0</v>
      </c>
    </row>
    <row r="4486">
      <c r="A4486" t="inlineStr">
        <is>
          <t>Chromium VI</t>
        </is>
      </c>
      <c r="B4486">
        <v>1.5236336208114335e-13</v>
      </c>
      <c r="D4486" t="inlineStr">
        <is>
          <t>kilogram</t>
        </is>
      </c>
      <c r="E4486" t="inlineStr">
        <is>
          <t>air::urban air close to ground</t>
        </is>
      </c>
      <c r="F4486" t="inlineStr">
        <is>
          <t>biosphere</t>
        </is>
      </c>
      <c r="I4486">
        <v>0</v>
      </c>
    </row>
    <row r="4487">
      <c r="A4487" t="inlineStr">
        <is>
          <t>Methane, fossil</t>
        </is>
      </c>
      <c r="B4487">
        <v>1.5324029278860158e-06</v>
      </c>
      <c r="D4487" t="inlineStr">
        <is>
          <t>kilogram</t>
        </is>
      </c>
      <c r="E4487" t="inlineStr">
        <is>
          <t>air::urban air close to ground</t>
        </is>
      </c>
      <c r="F4487" t="inlineStr">
        <is>
          <t>biosphere</t>
        </is>
      </c>
      <c r="I4487">
        <v>0</v>
      </c>
    </row>
    <row r="4488">
      <c r="A4488" t="inlineStr">
        <is>
          <t>Sulfur dioxide</t>
        </is>
      </c>
      <c r="B4488">
        <v>4.6773094625996215e-07</v>
      </c>
      <c r="D4488" t="inlineStr">
        <is>
          <t>kilogram</t>
        </is>
      </c>
      <c r="E4488" t="inlineStr">
        <is>
          <t>air</t>
        </is>
      </c>
      <c r="F4488" t="inlineStr">
        <is>
          <t>biosphere</t>
        </is>
      </c>
      <c r="I4488">
        <v>0</v>
      </c>
    </row>
    <row r="4489">
      <c r="A4489" t="inlineStr">
        <is>
          <t>NMVOC, non-methane volatile organic compounds</t>
        </is>
      </c>
      <c r="B4489">
        <v>6.786915792678135e-07</v>
      </c>
      <c r="D4489" t="inlineStr">
        <is>
          <t>kilogram</t>
        </is>
      </c>
      <c r="E4489" t="inlineStr">
        <is>
          <t>air::urban air close to ground</t>
        </is>
      </c>
      <c r="F4489" t="inlineStr">
        <is>
          <t>biosphere</t>
        </is>
      </c>
      <c r="I4489">
        <v>0</v>
      </c>
    </row>
    <row r="4490">
      <c r="A4490" t="inlineStr">
        <is>
          <t>Formaldehyde</t>
        </is>
      </c>
      <c r="B4490">
        <v>1.4807816718010298e-07</v>
      </c>
      <c r="D4490" t="inlineStr">
        <is>
          <t>kilogram</t>
        </is>
      </c>
      <c r="E4490" t="inlineStr">
        <is>
          <t>air::urban air close to ground</t>
        </is>
      </c>
      <c r="F4490" t="inlineStr">
        <is>
          <t>biosphere</t>
        </is>
      </c>
      <c r="I4490">
        <v>0</v>
      </c>
    </row>
    <row r="4491">
      <c r="A4491" t="inlineStr">
        <is>
          <t>Nitrogen oxides</t>
        </is>
      </c>
      <c r="B4491">
        <v>1.6646759692298164e-05</v>
      </c>
      <c r="D4491" t="inlineStr">
        <is>
          <t>kilogram</t>
        </is>
      </c>
      <c r="E4491" t="inlineStr">
        <is>
          <t>air::urban air close to ground</t>
        </is>
      </c>
      <c r="F4491" t="inlineStr">
        <is>
          <t>biosphere</t>
        </is>
      </c>
      <c r="I4491">
        <v>0</v>
      </c>
    </row>
    <row r="4492">
      <c r="A4492" t="inlineStr">
        <is>
          <t>Formaldehyde</t>
        </is>
      </c>
      <c r="B4492">
        <v>3.198085755910623e-08</v>
      </c>
      <c r="D4492" t="inlineStr">
        <is>
          <t>kilogram</t>
        </is>
      </c>
      <c r="E4492" t="inlineStr">
        <is>
          <t>air::non-urban air or from high stacks</t>
        </is>
      </c>
      <c r="F4492" t="inlineStr">
        <is>
          <t>biosphere</t>
        </is>
      </c>
      <c r="I4492">
        <v>0</v>
      </c>
    </row>
    <row r="4493">
      <c r="A4493" t="inlineStr">
        <is>
          <t>Zinc II</t>
        </is>
      </c>
      <c r="B4493">
        <v>2.5737910759022457e-10</v>
      </c>
      <c r="D4493" t="inlineStr">
        <is>
          <t>kilogram</t>
        </is>
      </c>
      <c r="E4493" t="inlineStr">
        <is>
          <t>air::non-urban air or from high stacks</t>
        </is>
      </c>
      <c r="F4493" t="inlineStr">
        <is>
          <t>biosphere</t>
        </is>
      </c>
      <c r="I4493">
        <v>0</v>
      </c>
    </row>
    <row r="4494">
      <c r="A4494" t="inlineStr">
        <is>
          <t>Carbon monoxide, fossil</t>
        </is>
      </c>
      <c r="B4494">
        <v>1.4237602031170576e-05</v>
      </c>
      <c r="D4494" t="inlineStr">
        <is>
          <t>kilogram</t>
        </is>
      </c>
      <c r="E4494" t="inlineStr">
        <is>
          <t>air::urban air close to ground</t>
        </is>
      </c>
      <c r="F4494" t="inlineStr">
        <is>
          <t>biosphere</t>
        </is>
      </c>
      <c r="I4494">
        <v>0</v>
      </c>
    </row>
    <row r="4495">
      <c r="A4495" t="inlineStr">
        <is>
          <t>m-Xylene</t>
        </is>
      </c>
      <c r="B4495">
        <v>7.527306895116669e-09</v>
      </c>
      <c r="D4495" t="inlineStr">
        <is>
          <t>kilogram</t>
        </is>
      </c>
      <c r="E4495" t="inlineStr">
        <is>
          <t>air::urban air close to ground</t>
        </is>
      </c>
      <c r="F4495" t="inlineStr">
        <is>
          <t>biosphere</t>
        </is>
      </c>
      <c r="I4495">
        <v>0</v>
      </c>
    </row>
    <row r="4496">
      <c r="A4496" t="inlineStr">
        <is>
          <t>PAH, polycyclic aromatic hydrocarbons</t>
        </is>
      </c>
      <c r="B4496">
        <v>8.108362635164032e-10</v>
      </c>
      <c r="D4496" t="inlineStr">
        <is>
          <t>kilogram</t>
        </is>
      </c>
      <c r="E4496" t="inlineStr">
        <is>
          <t>air::non-urban air or from high stacks</t>
        </is>
      </c>
      <c r="F4496" t="inlineStr">
        <is>
          <t>biosphere</t>
        </is>
      </c>
      <c r="I4496">
        <v>0</v>
      </c>
    </row>
    <row r="4497">
      <c r="A4497" t="inlineStr">
        <is>
          <t>Particulate Matter, &lt; 2.5 um</t>
        </is>
      </c>
      <c r="B4497">
        <v>1.5058152272837298e-07</v>
      </c>
      <c r="D4497" t="inlineStr">
        <is>
          <t>kilogram</t>
        </is>
      </c>
      <c r="E4497" t="inlineStr">
        <is>
          <t>air::non-urban air or from high stacks</t>
        </is>
      </c>
      <c r="F4497" t="inlineStr">
        <is>
          <t>biosphere</t>
        </is>
      </c>
      <c r="I4497">
        <v>0</v>
      </c>
    </row>
    <row r="4498">
      <c r="A4498" t="inlineStr">
        <is>
          <t>Pentane</t>
        </is>
      </c>
      <c r="B4498">
        <v>1.0660286289332767e-10</v>
      </c>
      <c r="D4498" t="inlineStr">
        <is>
          <t>kilogram</t>
        </is>
      </c>
      <c r="E4498" t="inlineStr">
        <is>
          <t>air::non-urban air or from high stacks</t>
        </is>
      </c>
      <c r="F4498" t="inlineStr">
        <is>
          <t>biosphere</t>
        </is>
      </c>
      <c r="I4498">
        <v>0</v>
      </c>
    </row>
    <row r="4499">
      <c r="A4499" t="inlineStr">
        <is>
          <t>1,1,1,2-Tetrafluoroethane</t>
        </is>
      </c>
      <c r="B4499">
        <v>2.00956556691731e-06</v>
      </c>
      <c r="D4499" t="inlineStr">
        <is>
          <t>kilogram</t>
        </is>
      </c>
      <c r="E4499" t="inlineStr">
        <is>
          <t>air</t>
        </is>
      </c>
      <c r="F4499" t="inlineStr">
        <is>
          <t>biosphere</t>
        </is>
      </c>
      <c r="I4499">
        <v>0</v>
      </c>
    </row>
    <row r="4500">
      <c r="A4500" t="inlineStr">
        <is>
          <t>Acetaldehyde</t>
        </is>
      </c>
      <c r="B4500">
        <v>7.983881383537138e-08</v>
      </c>
      <c r="D4500" t="inlineStr">
        <is>
          <t>kilogram</t>
        </is>
      </c>
      <c r="E4500" t="inlineStr">
        <is>
          <t>air::urban air close to ground</t>
        </is>
      </c>
      <c r="F4500" t="inlineStr">
        <is>
          <t>biosphere</t>
        </is>
      </c>
      <c r="I4500">
        <v>0</v>
      </c>
    </row>
    <row r="4501">
      <c r="A4501" t="inlineStr">
        <is>
          <t>Benzene</t>
        </is>
      </c>
      <c r="B4501">
        <v>2.617468470906676e-08</v>
      </c>
      <c r="D4501" t="inlineStr">
        <is>
          <t>kilogram</t>
        </is>
      </c>
      <c r="E4501" t="inlineStr">
        <is>
          <t>air::urban air close to ground</t>
        </is>
      </c>
      <c r="F4501" t="inlineStr">
        <is>
          <t>biosphere</t>
        </is>
      </c>
      <c r="I4501">
        <v>0</v>
      </c>
    </row>
    <row r="4502">
      <c r="A4502" t="inlineStr">
        <is>
          <t>Mercury II</t>
        </is>
      </c>
      <c r="B4502">
        <v>4.74447939061248e-11</v>
      </c>
      <c r="D4502" t="inlineStr">
        <is>
          <t>kilogram</t>
        </is>
      </c>
      <c r="E4502" t="inlineStr">
        <is>
          <t>air::urban air close to ground</t>
        </is>
      </c>
      <c r="F4502" t="inlineStr">
        <is>
          <t>biosphere</t>
        </is>
      </c>
      <c r="I4502">
        <v>0</v>
      </c>
    </row>
    <row r="4503">
      <c r="A4503" t="inlineStr">
        <is>
          <t>Cadmium II</t>
        </is>
      </c>
      <c r="B4503">
        <v>4.4744682628565553e-13</v>
      </c>
      <c r="D4503" t="inlineStr">
        <is>
          <t>kilogram</t>
        </is>
      </c>
      <c r="E4503" t="inlineStr">
        <is>
          <t>air::urban air close to ground</t>
        </is>
      </c>
      <c r="F4503" t="inlineStr">
        <is>
          <t>biosphere</t>
        </is>
      </c>
      <c r="I4503">
        <v>0</v>
      </c>
    </row>
    <row r="4504">
      <c r="A4504" t="inlineStr">
        <is>
          <t>Propane</t>
        </is>
      </c>
      <c r="B4504">
        <v>2.9315788039353776e-10</v>
      </c>
      <c r="D4504" t="inlineStr">
        <is>
          <t>kilogram</t>
        </is>
      </c>
      <c r="E4504" t="inlineStr">
        <is>
          <t>air::non-urban air or from high stacks</t>
        </is>
      </c>
      <c r="F4504" t="inlineStr">
        <is>
          <t>biosphere</t>
        </is>
      </c>
      <c r="I4504">
        <v>0</v>
      </c>
    </row>
    <row r="4505">
      <c r="A4505" t="inlineStr">
        <is>
          <t>Chromium III</t>
        </is>
      </c>
      <c r="B4505">
        <v>1.2162544101483783e-10</v>
      </c>
      <c r="D4505" t="inlineStr">
        <is>
          <t>kilogram</t>
        </is>
      </c>
      <c r="E4505" t="inlineStr">
        <is>
          <t>air::non-urban air or from high stacks</t>
        </is>
      </c>
      <c r="F4505" t="inlineStr">
        <is>
          <t>biosphere</t>
        </is>
      </c>
      <c r="I4505">
        <v>0</v>
      </c>
    </row>
    <row r="4506">
      <c r="A4506" t="inlineStr">
        <is>
          <t>Acetone</t>
        </is>
      </c>
      <c r="B4506">
        <v>3.627915248219963e-08</v>
      </c>
      <c r="D4506" t="inlineStr">
        <is>
          <t>kilogram</t>
        </is>
      </c>
      <c r="E4506" t="inlineStr">
        <is>
          <t>air::urban air close to ground</t>
        </is>
      </c>
      <c r="F4506" t="inlineStr">
        <is>
          <t>biosphere</t>
        </is>
      </c>
      <c r="I4506">
        <v>0</v>
      </c>
    </row>
    <row r="4507">
      <c r="A4507" t="inlineStr">
        <is>
          <t>Acrolein</t>
        </is>
      </c>
      <c r="B4507">
        <v>4.4176654985650857e-08</v>
      </c>
      <c r="D4507" t="inlineStr">
        <is>
          <t>kilogram</t>
        </is>
      </c>
      <c r="E4507" t="inlineStr">
        <is>
          <t>air::urban air close to ground</t>
        </is>
      </c>
      <c r="F4507" t="inlineStr">
        <is>
          <t>biosphere</t>
        </is>
      </c>
      <c r="I4507">
        <v>0</v>
      </c>
    </row>
    <row r="4508">
      <c r="A4508" t="inlineStr">
        <is>
          <t>Benzaldehyde</t>
        </is>
      </c>
      <c r="B4508">
        <v>1.061226839406165e-08</v>
      </c>
      <c r="D4508" t="inlineStr">
        <is>
          <t>kilogram</t>
        </is>
      </c>
      <c r="E4508" t="inlineStr">
        <is>
          <t>air::urban air close to ground</t>
        </is>
      </c>
      <c r="F4508" t="inlineStr">
        <is>
          <t>biosphere</t>
        </is>
      </c>
      <c r="I4508">
        <v>0</v>
      </c>
    </row>
    <row r="4509">
      <c r="A4509" t="inlineStr">
        <is>
          <t>Cyclohexane</t>
        </is>
      </c>
      <c r="B4509">
        <v>8.020901039562743e-09</v>
      </c>
      <c r="D4509" t="inlineStr">
        <is>
          <t>kilogram</t>
        </is>
      </c>
      <c r="E4509" t="inlineStr">
        <is>
          <t>air::urban air close to ground</t>
        </is>
      </c>
      <c r="F4509" t="inlineStr">
        <is>
          <t>biosphere</t>
        </is>
      </c>
      <c r="I4509">
        <v>0</v>
      </c>
    </row>
    <row r="4510">
      <c r="A4510" t="inlineStr">
        <is>
          <t>Heptane</t>
        </is>
      </c>
      <c r="B4510">
        <v>2.4679695323285083e-09</v>
      </c>
      <c r="D4510" t="inlineStr">
        <is>
          <t>kilogram</t>
        </is>
      </c>
      <c r="E4510" t="inlineStr">
        <is>
          <t>air::urban air close to ground</t>
        </is>
      </c>
      <c r="F4510" t="inlineStr">
        <is>
          <t>biosphere</t>
        </is>
      </c>
      <c r="I4510">
        <v>0</v>
      </c>
    </row>
    <row r="4511">
      <c r="A4511" t="inlineStr">
        <is>
          <t>Methyl ethyl ketone</t>
        </is>
      </c>
      <c r="B4511">
        <v>1.4807816718010298e-08</v>
      </c>
      <c r="D4511" t="inlineStr">
        <is>
          <t>kilogram</t>
        </is>
      </c>
      <c r="E4511" t="inlineStr">
        <is>
          <t>air::urban air close to ground</t>
        </is>
      </c>
      <c r="F4511" t="inlineStr">
        <is>
          <t>biosphere</t>
        </is>
      </c>
      <c r="I4511">
        <v>0</v>
      </c>
    </row>
    <row r="4512">
      <c r="A4512" t="inlineStr">
        <is>
          <t>o-Xylene</t>
        </is>
      </c>
      <c r="B4512">
        <v>3.331758809148392e-09</v>
      </c>
      <c r="D4512" t="inlineStr">
        <is>
          <t>kilogram</t>
        </is>
      </c>
      <c r="E4512" t="inlineStr">
        <is>
          <t>air::urban air close to ground</t>
        </is>
      </c>
      <c r="F4512" t="inlineStr">
        <is>
          <t>biosphere</t>
        </is>
      </c>
      <c r="I4512">
        <v>0</v>
      </c>
    </row>
    <row r="4513">
      <c r="A4513" t="inlineStr">
        <is>
          <t>Propylene</t>
        </is>
      </c>
      <c r="B4513">
        <v>4.4423450154030895e-08</v>
      </c>
      <c r="D4513" t="inlineStr">
        <is>
          <t>kilogram</t>
        </is>
      </c>
      <c r="E4513" t="inlineStr">
        <is>
          <t>air::urban air close to ground</t>
        </is>
      </c>
      <c r="F4513" t="inlineStr">
        <is>
          <t>biosphere</t>
        </is>
      </c>
      <c r="I4513">
        <v>0</v>
      </c>
    </row>
    <row r="4514">
      <c r="A4514" t="inlineStr">
        <is>
          <t>Selenium IV</t>
        </is>
      </c>
      <c r="B4514">
        <v>8.98750956554421e-13</v>
      </c>
      <c r="D4514" t="inlineStr">
        <is>
          <t>kilogram</t>
        </is>
      </c>
      <c r="E4514" t="inlineStr">
        <is>
          <t>air::urban air close to ground</t>
        </is>
      </c>
      <c r="F4514" t="inlineStr">
        <is>
          <t>biosphere</t>
        </is>
      </c>
      <c r="I4514">
        <v>0</v>
      </c>
    </row>
    <row r="4515">
      <c r="A4515" t="inlineStr">
        <is>
          <t>Styrene</t>
        </is>
      </c>
      <c r="B4515">
        <v>4.5657434563224585e-09</v>
      </c>
      <c r="D4515" t="inlineStr">
        <is>
          <t>kilogram</t>
        </is>
      </c>
      <c r="E4515" t="inlineStr">
        <is>
          <t>air::urban air close to ground</t>
        </is>
      </c>
      <c r="F4515" t="inlineStr">
        <is>
          <t>biosphere</t>
        </is>
      </c>
      <c r="I4515">
        <v>0</v>
      </c>
    </row>
    <row r="4516">
      <c r="A4516" t="inlineStr">
        <is>
          <t>Acetaldehyde</t>
        </is>
      </c>
      <c r="B4516">
        <v>1.7243010879114162e-08</v>
      </c>
      <c r="D4516" t="inlineStr">
        <is>
          <t>kilogram</t>
        </is>
      </c>
      <c r="E4516" t="inlineStr">
        <is>
          <t>air::non-urban air or from high stacks</t>
        </is>
      </c>
      <c r="F4516" t="inlineStr">
        <is>
          <t>biosphere</t>
        </is>
      </c>
      <c r="I4516">
        <v>0</v>
      </c>
    </row>
    <row r="4517">
      <c r="A4517" t="inlineStr">
        <is>
          <t>Acetone</t>
        </is>
      </c>
      <c r="B4517">
        <v>7.835309664097135e-09</v>
      </c>
      <c r="D4517" t="inlineStr">
        <is>
          <t>kilogram</t>
        </is>
      </c>
      <c r="E4517" t="inlineStr">
        <is>
          <t>air::non-urban air or from high stacks</t>
        </is>
      </c>
      <c r="F4517" t="inlineStr">
        <is>
          <t>biosphere</t>
        </is>
      </c>
      <c r="I4517">
        <v>0</v>
      </c>
    </row>
    <row r="4518">
      <c r="A4518" t="inlineStr">
        <is>
          <t>Acrolein</t>
        </is>
      </c>
      <c r="B4518">
        <v>9.540955946351132e-09</v>
      </c>
      <c r="D4518" t="inlineStr">
        <is>
          <t>kilogram</t>
        </is>
      </c>
      <c r="E4518" t="inlineStr">
        <is>
          <t>air::non-urban air or from high stacks</t>
        </is>
      </c>
      <c r="F4518" t="inlineStr">
        <is>
          <t>biosphere</t>
        </is>
      </c>
      <c r="I4518">
        <v>0</v>
      </c>
    </row>
    <row r="4519">
      <c r="A4519" t="inlineStr">
        <is>
          <t>Benzaldehyde</t>
        </is>
      </c>
      <c r="B4519">
        <v>2.291961388595036e-09</v>
      </c>
      <c r="D4519" t="inlineStr">
        <is>
          <t>kilogram</t>
        </is>
      </c>
      <c r="E4519" t="inlineStr">
        <is>
          <t>air::non-urban air or from high stacks</t>
        </is>
      </c>
      <c r="F4519" t="inlineStr">
        <is>
          <t>biosphere</t>
        </is>
      </c>
      <c r="I4519">
        <v>0</v>
      </c>
    </row>
    <row r="4520">
      <c r="A4520" t="inlineStr">
        <is>
          <t>Cyclohexane</t>
        </is>
      </c>
      <c r="B4520">
        <v>1.7322965145796874e-09</v>
      </c>
      <c r="D4520" t="inlineStr">
        <is>
          <t>kilogram</t>
        </is>
      </c>
      <c r="E4520" t="inlineStr">
        <is>
          <t>air::non-urban air or from high stacks</t>
        </is>
      </c>
      <c r="F4520" t="inlineStr">
        <is>
          <t>biosphere</t>
        </is>
      </c>
      <c r="I4520">
        <v>0</v>
      </c>
    </row>
    <row r="4521">
      <c r="A4521" t="inlineStr">
        <is>
          <t>Heptane</t>
        </is>
      </c>
      <c r="B4521">
        <v>5.330142847190914e-10</v>
      </c>
      <c r="D4521" t="inlineStr">
        <is>
          <t>kilogram</t>
        </is>
      </c>
      <c r="E4521" t="inlineStr">
        <is>
          <t>air::non-urban air or from high stacks</t>
        </is>
      </c>
      <c r="F4521" t="inlineStr">
        <is>
          <t>biosphere</t>
        </is>
      </c>
      <c r="I4521">
        <v>0</v>
      </c>
    </row>
    <row r="4522">
      <c r="A4522" t="inlineStr">
        <is>
          <t>Methyl ethyl ketone</t>
        </is>
      </c>
      <c r="B4522">
        <v>3.198085708314548e-09</v>
      </c>
      <c r="D4522" t="inlineStr">
        <is>
          <t>kilogram</t>
        </is>
      </c>
      <c r="E4522" t="inlineStr">
        <is>
          <t>air::non-urban air or from high stacks</t>
        </is>
      </c>
      <c r="F4522" t="inlineStr">
        <is>
          <t>biosphere</t>
        </is>
      </c>
      <c r="I4522">
        <v>0</v>
      </c>
    </row>
    <row r="4523">
      <c r="A4523" t="inlineStr">
        <is>
          <t>m-Xylene</t>
        </is>
      </c>
      <c r="B4523">
        <v>1.6256935624437191e-09</v>
      </c>
      <c r="D4523" t="inlineStr">
        <is>
          <t>kilogram</t>
        </is>
      </c>
      <c r="E4523" t="inlineStr">
        <is>
          <t>air::non-urban air or from high stacks</t>
        </is>
      </c>
      <c r="F4523" t="inlineStr">
        <is>
          <t>biosphere</t>
        </is>
      </c>
      <c r="I4523">
        <v>0</v>
      </c>
    </row>
    <row r="4524">
      <c r="A4524" t="inlineStr">
        <is>
          <t>o-Xylene</t>
        </is>
      </c>
      <c r="B4524">
        <v>7.195693022193013e-10</v>
      </c>
      <c r="D4524" t="inlineStr">
        <is>
          <t>kilogram</t>
        </is>
      </c>
      <c r="E4524" t="inlineStr">
        <is>
          <t>air::non-urban air or from high stacks</t>
        </is>
      </c>
      <c r="F4524" t="inlineStr">
        <is>
          <t>biosphere</t>
        </is>
      </c>
      <c r="I4524">
        <v>0</v>
      </c>
    </row>
    <row r="4525">
      <c r="A4525" t="inlineStr">
        <is>
          <t>Styrene</t>
        </is>
      </c>
      <c r="B4525">
        <v>9.86076444578847e-10</v>
      </c>
      <c r="D4525" t="inlineStr">
        <is>
          <t>kilogram</t>
        </is>
      </c>
      <c r="E4525" t="inlineStr">
        <is>
          <t>air::non-urban air or from high stacks</t>
        </is>
      </c>
      <c r="F4525" t="inlineStr">
        <is>
          <t>biosphere</t>
        </is>
      </c>
      <c r="I4525">
        <v>0</v>
      </c>
    </row>
    <row r="4526">
      <c r="A4526" t="inlineStr">
        <is>
          <t>Ethylene</t>
        </is>
      </c>
      <c r="B4526">
        <v>1.3536812652791e-07</v>
      </c>
      <c r="D4526" t="inlineStr">
        <is>
          <t>kilogram</t>
        </is>
      </c>
      <c r="E4526" t="inlineStr">
        <is>
          <t>air::urban air close to ground</t>
        </is>
      </c>
      <c r="F4526" t="inlineStr">
        <is>
          <t>biosphere</t>
        </is>
      </c>
      <c r="I4526">
        <v>0</v>
      </c>
    </row>
    <row r="4527">
      <c r="A4527" t="inlineStr">
        <is>
          <t>Ethylene</t>
        </is>
      </c>
      <c r="B4527">
        <v>2.923583389166125e-08</v>
      </c>
      <c r="D4527" t="inlineStr">
        <is>
          <t>kilogram</t>
        </is>
      </c>
      <c r="E4527" t="inlineStr">
        <is>
          <t>air::non-urban air or from high stacks</t>
        </is>
      </c>
      <c r="F4527" t="inlineStr">
        <is>
          <t>biosphere</t>
        </is>
      </c>
      <c r="I4527">
        <v>0</v>
      </c>
    </row>
    <row r="4528">
      <c r="A4528" t="inlineStr">
        <is>
          <t>market for internal combustion engine, passenger car</t>
        </is>
      </c>
      <c r="B4528">
        <v>0.0007866161325923368</v>
      </c>
      <c r="C4528" t="inlineStr">
        <is>
          <t>GLO</t>
        </is>
      </c>
      <c r="D4528" t="inlineStr">
        <is>
          <t>kilogram</t>
        </is>
      </c>
      <c r="F4528" t="inlineStr">
        <is>
          <t>technosphere</t>
        </is>
      </c>
      <c r="G4528" t="inlineStr">
        <is>
          <t>internal combustion engine, passenger car</t>
        </is>
      </c>
      <c r="H4528" t="inlineStr">
        <is>
          <t> Energy-use allocation: 293.5769348144531 * 4.999999873689376e-06 / 1.866074920371751 MJ per kilometer.</t>
        </is>
      </c>
      <c r="I4528">
        <v>0</v>
      </c>
    </row>
    <row r="4529">
      <c r="A4529" t="inlineStr">
        <is>
          <t>market for waste plastic, industrial electronics</t>
        </is>
      </c>
      <c r="B4529">
        <v>-0.00013127930051786527</v>
      </c>
      <c r="C4529" t="inlineStr">
        <is>
          <t>CH</t>
        </is>
      </c>
      <c r="D4529" t="inlineStr">
        <is>
          <t>kilogram</t>
        </is>
      </c>
      <c r="F4529" t="inlineStr">
        <is>
          <t>technosphere</t>
        </is>
      </c>
      <c r="G4529" t="inlineStr">
        <is>
          <t>waste plastic, industrial electronics</t>
        </is>
      </c>
      <c r="H4529" t="inlineStr">
        <is>
          <t> Energy-use allocation: -48.99540328979492 * 4.999999873689376e-06 / 1.866074920371751 MJ per kilometer.</t>
        </is>
      </c>
      <c r="I4529">
        <v>0</v>
      </c>
    </row>
    <row r="4530">
      <c r="A4530" t="inlineStr">
        <is>
          <t>polyethylene production, high density, granulate</t>
        </is>
      </c>
      <c r="B4530">
        <v>0.00013127930051786527</v>
      </c>
      <c r="C4530" t="inlineStr">
        <is>
          <t>RER</t>
        </is>
      </c>
      <c r="D4530" t="inlineStr">
        <is>
          <t>kilogram</t>
        </is>
      </c>
      <c r="F4530" t="inlineStr">
        <is>
          <t>technosphere</t>
        </is>
      </c>
      <c r="G4530" t="inlineStr">
        <is>
          <t>polyethylene, high density, granulate</t>
        </is>
      </c>
      <c r="H4530" t="inlineStr">
        <is>
          <t> Energy-use allocation: 48.99540328979492 * 4.999999873689376e-06 / 1.866074920371751 MJ per kilometer.</t>
        </is>
      </c>
      <c r="I4530">
        <v>0</v>
      </c>
    </row>
    <row r="4531">
      <c r="A4531" t="inlineStr">
        <is>
          <t>Carbon dioxide, non-fossil</t>
        </is>
      </c>
      <c r="B4531">
        <v>0.0732</v>
      </c>
      <c r="D4531" t="inlineStr">
        <is>
          <t>kilogram</t>
        </is>
      </c>
      <c r="E4531" t="inlineStr">
        <is>
          <t>air::urban air close to ground</t>
        </is>
      </c>
      <c r="F4531" t="inlineStr">
        <is>
          <t>biosphere</t>
        </is>
      </c>
      <c r="I4531">
        <v>0</v>
      </c>
    </row>
    <row r="4532"/>
    <row r="4533">
      <c r="A4533" t="inlineStr">
        <is>
          <t>Activity</t>
        </is>
      </c>
      <c r="B4533" t="inlineStr">
        <is>
          <t>biodiesel, from residual cellulosic biomass, burned in passenger car</t>
        </is>
      </c>
    </row>
    <row r="4534">
      <c r="A4534" t="inlineStr">
        <is>
          <t>location</t>
        </is>
      </c>
      <c r="B4534" t="inlineStr">
        <is>
          <t>RER</t>
        </is>
      </c>
    </row>
    <row r="4535">
      <c r="A4535" t="inlineStr">
        <is>
          <t>production amount</t>
        </is>
      </c>
      <c r="B4535">
        <v>1</v>
      </c>
    </row>
    <row r="4536">
      <c r="A4536" t="inlineStr">
        <is>
          <t>reference product</t>
        </is>
      </c>
      <c r="B4536" t="inlineStr">
        <is>
          <t>heat</t>
        </is>
      </c>
    </row>
    <row r="4537">
      <c r="A4537" t="inlineStr">
        <is>
          <t>type</t>
        </is>
      </c>
      <c r="B4537" t="inlineStr">
        <is>
          <t>process</t>
        </is>
      </c>
    </row>
    <row r="4538">
      <c r="A4538" t="inlineStr">
        <is>
          <t>unit</t>
        </is>
      </c>
      <c r="B4538" t="inlineStr">
        <is>
          <t>megajoule</t>
        </is>
      </c>
    </row>
    <row r="4539">
      <c r="A4539" t="inlineStr">
        <is>
          <t>Power, mean</t>
        </is>
      </c>
      <c r="B4539">
        <v>126</v>
      </c>
    </row>
    <row r="4540">
      <c r="A4540" t="inlineStr">
        <is>
          <t>Power, min</t>
        </is>
      </c>
      <c r="B4540">
        <v>54</v>
      </c>
    </row>
    <row r="4541">
      <c r="A4541" t="inlineStr">
        <is>
          <t>Power, max</t>
        </is>
      </c>
      <c r="B4541">
        <v>158</v>
      </c>
    </row>
    <row r="4542">
      <c r="A4542" t="inlineStr">
        <is>
          <t>Lifetime, mean</t>
        </is>
      </c>
      <c r="B4542">
        <v>200000</v>
      </c>
    </row>
    <row r="4543">
      <c r="A4543" t="inlineStr">
        <is>
          <t>Lifetime, min</t>
        </is>
      </c>
      <c r="B4543">
        <v>160000</v>
      </c>
    </row>
    <row r="4544">
      <c r="A4544" t="inlineStr">
        <is>
          <t>Lifetime, max</t>
        </is>
      </c>
      <c r="B4544">
        <v>250000</v>
      </c>
    </row>
    <row r="4545">
      <c r="A4545" t="inlineStr">
        <is>
          <t>Energy use, mean</t>
        </is>
      </c>
      <c r="B4545">
        <v>2250</v>
      </c>
    </row>
    <row r="4546">
      <c r="A4546" t="inlineStr">
        <is>
          <t>Energy use, min</t>
        </is>
      </c>
      <c r="B4546">
        <v>1500</v>
      </c>
    </row>
    <row r="4547">
      <c r="A4547" t="inlineStr">
        <is>
          <t>Energy use, max</t>
        </is>
      </c>
      <c r="B4547">
        <v>2900</v>
      </c>
    </row>
    <row r="4548">
      <c r="A4548" t="inlineStr">
        <is>
          <t>Electric motor, mean</t>
        </is>
      </c>
      <c r="B4548">
        <v>0</v>
      </c>
    </row>
    <row r="4549">
      <c r="A4549" t="inlineStr">
        <is>
          <t>Electric motor, min</t>
        </is>
      </c>
      <c r="B4549">
        <v>0</v>
      </c>
    </row>
    <row r="4550">
      <c r="A4550" t="inlineStr">
        <is>
          <t>Electric motor, max</t>
        </is>
      </c>
      <c r="B4550">
        <v>0</v>
      </c>
    </row>
    <row r="4551">
      <c r="A4551" t="inlineStr">
        <is>
          <t>Combustion engine, mean</t>
        </is>
      </c>
      <c r="B4551">
        <v>169</v>
      </c>
    </row>
    <row r="4552">
      <c r="A4552" t="inlineStr">
        <is>
          <t>Combustion engine, min</t>
        </is>
      </c>
      <c r="B4552">
        <v>111</v>
      </c>
    </row>
    <row r="4553">
      <c r="A4553" t="inlineStr">
        <is>
          <t>Combustion engine, max</t>
        </is>
      </c>
      <c r="B4553">
        <v>194</v>
      </c>
    </row>
    <row r="4554">
      <c r="A4554" t="inlineStr">
        <is>
          <t>Fuel tank, mean</t>
        </is>
      </c>
      <c r="B4554">
        <v>48</v>
      </c>
    </row>
    <row r="4555">
      <c r="A4555" t="inlineStr">
        <is>
          <t>Fuel tank, min</t>
        </is>
      </c>
      <c r="B4555">
        <v>30</v>
      </c>
    </row>
    <row r="4556">
      <c r="A4556" t="inlineStr">
        <is>
          <t>Fuel tank, max</t>
        </is>
      </c>
      <c r="B4556">
        <v>48</v>
      </c>
    </row>
    <row r="4557">
      <c r="A4557" t="inlineStr">
        <is>
          <t>Battery capacity, mean</t>
        </is>
      </c>
      <c r="B4557">
        <v>0</v>
      </c>
    </row>
    <row r="4558">
      <c r="A4558" t="inlineStr">
        <is>
          <t>Battery capacity, min</t>
        </is>
      </c>
      <c r="B4558">
        <v>0</v>
      </c>
    </row>
    <row r="4559">
      <c r="A4559" t="inlineStr">
        <is>
          <t>Battery capacity, max</t>
        </is>
      </c>
      <c r="B4559">
        <v>0</v>
      </c>
    </row>
    <row r="4560">
      <c r="A4560" t="inlineStr">
        <is>
          <t>Battery replacement, mean</t>
        </is>
      </c>
      <c r="B4560">
        <v>0</v>
      </c>
    </row>
    <row r="4561">
      <c r="A4561" t="inlineStr">
        <is>
          <t>Battery replacement, min</t>
        </is>
      </c>
      <c r="B4561">
        <v>0</v>
      </c>
    </row>
    <row r="4562">
      <c r="A4562" t="inlineStr">
        <is>
          <t>Battery replacement, max</t>
        </is>
      </c>
      <c r="B4562">
        <v>0</v>
      </c>
    </row>
    <row r="4563">
      <c r="A4563" t="inlineStr">
        <is>
          <t>Fuel cell system, mean</t>
        </is>
      </c>
      <c r="B4563">
        <v>0</v>
      </c>
    </row>
    <row r="4564">
      <c r="A4564" t="inlineStr">
        <is>
          <t>Fuel cell system, min</t>
        </is>
      </c>
      <c r="B4564">
        <v>0</v>
      </c>
    </row>
    <row r="4565">
      <c r="A4565" t="inlineStr">
        <is>
          <t>Fuel cell system, max</t>
        </is>
      </c>
      <c r="B4565">
        <v>0</v>
      </c>
    </row>
    <row r="4566">
      <c r="A4566" t="inlineStr">
        <is>
          <t>Fuel cell stack replacement, mean</t>
        </is>
      </c>
      <c r="B4566">
        <v>0</v>
      </c>
    </row>
    <row r="4567">
      <c r="A4567" t="inlineStr">
        <is>
          <t>Fuel cell replacement, min</t>
        </is>
      </c>
      <c r="B4567">
        <v>0</v>
      </c>
    </row>
    <row r="4568">
      <c r="A4568" t="inlineStr">
        <is>
          <t>Fuel cell replacement, max</t>
        </is>
      </c>
      <c r="B4568">
        <v>0</v>
      </c>
    </row>
    <row r="4569">
      <c r="A4569" t="inlineStr">
        <is>
          <t>Onboard charger mass</t>
        </is>
      </c>
      <c r="B4569">
        <v>0</v>
      </c>
    </row>
    <row r="4570">
      <c r="A4570" t="inlineStr">
        <is>
          <t>Controller mass</t>
        </is>
      </c>
      <c r="B4570">
        <v>0</v>
      </c>
    </row>
    <row r="4571">
      <c r="A4571" t="inlineStr">
        <is>
          <t>Converter mass</t>
        </is>
      </c>
      <c r="B4571">
        <v>0</v>
      </c>
    </row>
    <row r="4572">
      <c r="A4572" t="inlineStr">
        <is>
          <t>Electrical powertrain mass</t>
        </is>
      </c>
      <c r="B4572">
        <v>0</v>
      </c>
    </row>
    <row r="4573">
      <c r="A4573" t="inlineStr">
        <is>
          <t>Inverter mass</t>
        </is>
      </c>
      <c r="B4573">
        <v>0</v>
      </c>
    </row>
    <row r="4574">
      <c r="A4574" t="inlineStr">
        <is>
          <t>NOx</t>
        </is>
      </c>
      <c r="B4574">
        <v>0.2</v>
      </c>
    </row>
    <row r="4575">
      <c r="A4575" t="inlineStr">
        <is>
          <t>PM 2.5</t>
        </is>
      </c>
      <c r="B4575">
        <v>0.0017499999999999998</v>
      </c>
    </row>
    <row r="4576">
      <c r="A4576" t="inlineStr">
        <is>
          <t>energy use source</t>
        </is>
      </c>
      <c r="B457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77">
      <c r="A4577" t="inlineStr">
        <is>
          <t>comment</t>
        </is>
      </c>
      <c r="B457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78">
      <c r="A4578" t="inlineStr">
        <is>
          <t>Exchanges</t>
        </is>
      </c>
    </row>
    <row r="4579">
      <c r="A4579" t="inlineStr">
        <is>
          <t>name</t>
        </is>
      </c>
      <c r="B4579" t="inlineStr">
        <is>
          <t>amount</t>
        </is>
      </c>
      <c r="C4579" t="inlineStr">
        <is>
          <t>location</t>
        </is>
      </c>
      <c r="D4579" t="inlineStr">
        <is>
          <t>unit</t>
        </is>
      </c>
      <c r="E4579" t="inlineStr">
        <is>
          <t>categories</t>
        </is>
      </c>
      <c r="F4579" t="inlineStr">
        <is>
          <t>type</t>
        </is>
      </c>
      <c r="G4579" t="inlineStr">
        <is>
          <t>reference product</t>
        </is>
      </c>
      <c r="H4579" t="inlineStr">
        <is>
          <t>comment</t>
        </is>
      </c>
      <c r="I4579" t="inlineStr">
        <is>
          <t>uncertainty type</t>
        </is>
      </c>
    </row>
    <row r="4580">
      <c r="A4580" t="inlineStr">
        <is>
          <t>biodiesel, from residual cellulosic biomass, burned in passenger car</t>
        </is>
      </c>
      <c r="B4580">
        <v>1.0</v>
      </c>
      <c r="C4580" t="inlineStr">
        <is>
          <t>RER</t>
        </is>
      </c>
      <c r="D4580" t="inlineStr">
        <is>
          <t>megajoule</t>
        </is>
      </c>
      <c r="F4580" t="inlineStr">
        <is>
          <t>production</t>
        </is>
      </c>
      <c r="G4580" t="inlineStr">
        <is>
          <t>heat</t>
        </is>
      </c>
      <c r="I4580">
        <v>0</v>
      </c>
    </row>
    <row r="4581">
      <c r="A4581" t="inlineStr">
        <is>
          <t>biodiesel production, via Fischer-Tropsch, from forest residues, energy allocation</t>
        </is>
      </c>
      <c r="B4581">
        <v>0.023255813953488372</v>
      </c>
      <c r="C4581" t="inlineStr">
        <is>
          <t>RER</t>
        </is>
      </c>
      <c r="D4581" t="inlineStr">
        <is>
          <t>kilogram</t>
        </is>
      </c>
      <c r="F4581" t="inlineStr">
        <is>
          <t>technosphere</t>
        </is>
      </c>
      <c r="G4581" t="inlineStr">
        <is>
          <t>biodiesel, from forest residues</t>
        </is>
      </c>
      <c r="I4581">
        <v>0</v>
      </c>
    </row>
    <row r="4582">
      <c r="A4582" t="inlineStr">
        <is>
          <t>treatment of brake wear emissions, passenger car</t>
        </is>
      </c>
      <c r="B4582">
        <v>-7.967052081550097e-06</v>
      </c>
      <c r="C4582" t="inlineStr">
        <is>
          <t>RER</t>
        </is>
      </c>
      <c r="D4582" t="inlineStr">
        <is>
          <t>kilogram</t>
        </is>
      </c>
      <c r="F4582" t="inlineStr">
        <is>
          <t>technosphere</t>
        </is>
      </c>
      <c r="G4582" t="inlineStr">
        <is>
          <t>brake wear emissions, passenger car</t>
        </is>
      </c>
      <c r="I4582">
        <v>0</v>
      </c>
    </row>
    <row r="4583">
      <c r="A4583" t="inlineStr">
        <is>
          <t>treatment of road wear emissions, passenger car</t>
        </is>
      </c>
      <c r="B4583">
        <v>-9.150770397723165e-06</v>
      </c>
      <c r="C4583" t="inlineStr">
        <is>
          <t>RER</t>
        </is>
      </c>
      <c r="D4583" t="inlineStr">
        <is>
          <t>kilogram</t>
        </is>
      </c>
      <c r="F4583" t="inlineStr">
        <is>
          <t>technosphere</t>
        </is>
      </c>
      <c r="G4583" t="inlineStr">
        <is>
          <t>road wear emissions, passenger car</t>
        </is>
      </c>
      <c r="I4583">
        <v>0</v>
      </c>
    </row>
    <row r="4584">
      <c r="A4584" t="inlineStr">
        <is>
          <t>treatment of tyre wear emissions, passenger car</t>
        </is>
      </c>
      <c r="B4584">
        <v>-1.0568832109350394e-05</v>
      </c>
      <c r="C4584" t="inlineStr">
        <is>
          <t>RER</t>
        </is>
      </c>
      <c r="D4584" t="inlineStr">
        <is>
          <t>kilogram</t>
        </is>
      </c>
      <c r="F4584" t="inlineStr">
        <is>
          <t>technosphere</t>
        </is>
      </c>
      <c r="G4584" t="inlineStr">
        <is>
          <t>tyre wear emissions, passenger car</t>
        </is>
      </c>
      <c r="I4584">
        <v>0</v>
      </c>
    </row>
    <row r="4585">
      <c r="A4585" t="inlineStr">
        <is>
          <t>market for tetrafluoroethane, R134a</t>
        </is>
      </c>
      <c r="B4585">
        <v>3.4832470313950515e-06</v>
      </c>
      <c r="C4585" t="inlineStr">
        <is>
          <t>GLO</t>
        </is>
      </c>
      <c r="D4585" t="inlineStr">
        <is>
          <t>kilogram</t>
        </is>
      </c>
      <c r="F4585" t="inlineStr">
        <is>
          <t>technosphere</t>
        </is>
      </c>
      <c r="G4585" t="inlineStr">
        <is>
          <t>tetrafluoroethane, R134a</t>
        </is>
      </c>
      <c r="I4585">
        <v>0</v>
      </c>
    </row>
    <row r="4586">
      <c r="A4586" t="inlineStr">
        <is>
          <t>Toluene</t>
        </is>
      </c>
      <c r="B4586">
        <v>1.8388993477254683e-09</v>
      </c>
      <c r="D4586" t="inlineStr">
        <is>
          <t>kilogram</t>
        </is>
      </c>
      <c r="E4586" t="inlineStr">
        <is>
          <t>air::non-urban air or from high stacks</t>
        </is>
      </c>
      <c r="F4586" t="inlineStr">
        <is>
          <t>biosphere</t>
        </is>
      </c>
      <c r="I4586">
        <v>0</v>
      </c>
    </row>
    <row r="4587">
      <c r="A4587" t="inlineStr">
        <is>
          <t>NMVOC, non-methane volatile organic compounds</t>
        </is>
      </c>
      <c r="B4587">
        <v>1.4657892889270108e-07</v>
      </c>
      <c r="D4587" t="inlineStr">
        <is>
          <t>kilogram</t>
        </is>
      </c>
      <c r="E4587" t="inlineStr">
        <is>
          <t>air::non-urban air or from high stacks</t>
        </is>
      </c>
      <c r="F4587" t="inlineStr">
        <is>
          <t>biosphere</t>
        </is>
      </c>
      <c r="I4587">
        <v>0</v>
      </c>
    </row>
    <row r="4588">
      <c r="A4588" t="inlineStr">
        <is>
          <t>Dinitrogen monoxide</t>
        </is>
      </c>
      <c r="B4588">
        <v>1.3837910754355256e-06</v>
      </c>
      <c r="D4588" t="inlineStr">
        <is>
          <t>kilogram</t>
        </is>
      </c>
      <c r="E4588" t="inlineStr">
        <is>
          <t>air::non-urban air or from high stacks</t>
        </is>
      </c>
      <c r="F4588" t="inlineStr">
        <is>
          <t>biosphere</t>
        </is>
      </c>
      <c r="I4588">
        <v>0</v>
      </c>
    </row>
    <row r="4589">
      <c r="A4589" t="inlineStr">
        <is>
          <t>Ethane</t>
        </is>
      </c>
      <c r="B4589">
        <v>4.072149787837132e-09</v>
      </c>
      <c r="D4589" t="inlineStr">
        <is>
          <t>kilogram</t>
        </is>
      </c>
      <c r="E4589" t="inlineStr">
        <is>
          <t>air::urban air close to ground</t>
        </is>
      </c>
      <c r="F4589" t="inlineStr">
        <is>
          <t>biosphere</t>
        </is>
      </c>
      <c r="I4589">
        <v>0</v>
      </c>
    </row>
    <row r="4590">
      <c r="A4590" t="inlineStr">
        <is>
          <t>Pentane</t>
        </is>
      </c>
      <c r="B4590">
        <v>4.935939064657017e-10</v>
      </c>
      <c r="D4590" t="inlineStr">
        <is>
          <t>kilogram</t>
        </is>
      </c>
      <c r="E4590" t="inlineStr">
        <is>
          <t>air::urban air close to ground</t>
        </is>
      </c>
      <c r="F4590" t="inlineStr">
        <is>
          <t>biosphere</t>
        </is>
      </c>
      <c r="I4590">
        <v>0</v>
      </c>
    </row>
    <row r="4591">
      <c r="A4591" t="inlineStr">
        <is>
          <t>Selenium IV</t>
        </is>
      </c>
      <c r="B4591">
        <v>1.4312488373385127e-12</v>
      </c>
      <c r="D4591" t="inlineStr">
        <is>
          <t>kilogram</t>
        </is>
      </c>
      <c r="E4591" t="inlineStr">
        <is>
          <t>air::non-urban air or from high stacks</t>
        </is>
      </c>
      <c r="F4591" t="inlineStr">
        <is>
          <t>biosphere</t>
        </is>
      </c>
      <c r="I4591">
        <v>0</v>
      </c>
    </row>
    <row r="4592">
      <c r="A4592" t="inlineStr">
        <is>
          <t>Arsenic ion</t>
        </is>
      </c>
      <c r="B4592">
        <v>1.4312488373385127e-12</v>
      </c>
      <c r="D4592" t="inlineStr">
        <is>
          <t>kilogram</t>
        </is>
      </c>
      <c r="E4592" t="inlineStr">
        <is>
          <t>air::non-urban air or from high stacks</t>
        </is>
      </c>
      <c r="F4592" t="inlineStr">
        <is>
          <t>biosphere</t>
        </is>
      </c>
      <c r="I4592">
        <v>0</v>
      </c>
    </row>
    <row r="4593">
      <c r="A4593" t="inlineStr">
        <is>
          <t>Arsenic ion</t>
        </is>
      </c>
      <c r="B4593">
        <v>8.98750956554421e-13</v>
      </c>
      <c r="D4593" t="inlineStr">
        <is>
          <t>kilogram</t>
        </is>
      </c>
      <c r="E4593" t="inlineStr">
        <is>
          <t>air::urban air close to ground</t>
        </is>
      </c>
      <c r="F4593" t="inlineStr">
        <is>
          <t>biosphere</t>
        </is>
      </c>
      <c r="I4593">
        <v>0</v>
      </c>
    </row>
    <row r="4594">
      <c r="A4594" t="inlineStr">
        <is>
          <t>Propylene</t>
        </is>
      </c>
      <c r="B4594">
        <v>9.594256886963272e-09</v>
      </c>
      <c r="D4594" t="inlineStr">
        <is>
          <t>kilogram</t>
        </is>
      </c>
      <c r="E4594" t="inlineStr">
        <is>
          <t>air::non-urban air or from high stacks</t>
        </is>
      </c>
      <c r="F4594" t="inlineStr">
        <is>
          <t>biosphere</t>
        </is>
      </c>
      <c r="I4594">
        <v>0</v>
      </c>
    </row>
    <row r="4595">
      <c r="A4595" t="inlineStr">
        <is>
          <t>Particulate Matter, &lt; 2.5 um</t>
        </is>
      </c>
      <c r="B4595">
        <v>1.636891619531532e-07</v>
      </c>
      <c r="D4595" t="inlineStr">
        <is>
          <t>kilogram</t>
        </is>
      </c>
      <c r="E4595" t="inlineStr">
        <is>
          <t>air::urban air close to ground</t>
        </is>
      </c>
      <c r="F4595" t="inlineStr">
        <is>
          <t>biosphere</t>
        </is>
      </c>
      <c r="I4595">
        <v>0</v>
      </c>
    </row>
    <row r="4596">
      <c r="A4596" t="inlineStr">
        <is>
          <t>Nickel II</t>
        </is>
      </c>
      <c r="B4596">
        <v>2.856355271045539e-12</v>
      </c>
      <c r="D4596" t="inlineStr">
        <is>
          <t>kilogram</t>
        </is>
      </c>
      <c r="E4596" t="inlineStr">
        <is>
          <t>air::non-urban air or from high stacks</t>
        </is>
      </c>
      <c r="F4596" t="inlineStr">
        <is>
          <t>biosphere</t>
        </is>
      </c>
      <c r="I4596">
        <v>0</v>
      </c>
    </row>
    <row r="4597">
      <c r="A4597" t="inlineStr">
        <is>
          <t>Methane, fossil</t>
        </is>
      </c>
      <c r="B4597">
        <v>2.3985624245130236e-06</v>
      </c>
      <c r="D4597" t="inlineStr">
        <is>
          <t>kilogram</t>
        </is>
      </c>
      <c r="E4597" t="inlineStr">
        <is>
          <t>air::non-urban air or from high stacks</t>
        </is>
      </c>
      <c r="F4597" t="inlineStr">
        <is>
          <t>biosphere</t>
        </is>
      </c>
      <c r="I4597">
        <v>0</v>
      </c>
    </row>
    <row r="4598">
      <c r="A4598" t="inlineStr">
        <is>
          <t>Mercury II</t>
        </is>
      </c>
      <c r="B4598">
        <v>7.555519944566824e-11</v>
      </c>
      <c r="D4598" t="inlineStr">
        <is>
          <t>kilogram</t>
        </is>
      </c>
      <c r="E4598" t="inlineStr">
        <is>
          <t>air::non-urban air or from high stacks</t>
        </is>
      </c>
      <c r="F4598" t="inlineStr">
        <is>
          <t>biosphere</t>
        </is>
      </c>
      <c r="I4598">
        <v>0</v>
      </c>
    </row>
    <row r="4599">
      <c r="A4599" t="inlineStr">
        <is>
          <t>Ammonia</t>
        </is>
      </c>
      <c r="B4599">
        <v>8.515878173642505e-07</v>
      </c>
      <c r="D4599" t="inlineStr">
        <is>
          <t>kilogram</t>
        </is>
      </c>
      <c r="E4599" t="inlineStr">
        <is>
          <t>air::non-urban air or from high stacks</t>
        </is>
      </c>
      <c r="F4599" t="inlineStr">
        <is>
          <t>biosphere</t>
        </is>
      </c>
      <c r="I4599">
        <v>0</v>
      </c>
    </row>
    <row r="4600">
      <c r="A4600" t="inlineStr">
        <is>
          <t>Ethane</t>
        </is>
      </c>
      <c r="B4600">
        <v>8.794736114330666e-10</v>
      </c>
      <c r="D4600" t="inlineStr">
        <is>
          <t>kilogram</t>
        </is>
      </c>
      <c r="E4600" t="inlineStr">
        <is>
          <t>air::non-urban air or from high stacks</t>
        </is>
      </c>
      <c r="F4600" t="inlineStr">
        <is>
          <t>biosphere</t>
        </is>
      </c>
      <c r="I4600">
        <v>0</v>
      </c>
    </row>
    <row r="4601">
      <c r="A4601" t="inlineStr">
        <is>
          <t>Nickel II</t>
        </is>
      </c>
      <c r="B4601">
        <v>1.7936446091257316e-12</v>
      </c>
      <c r="D4601" t="inlineStr">
        <is>
          <t>kilogram</t>
        </is>
      </c>
      <c r="E4601" t="inlineStr">
        <is>
          <t>air::urban air close to ground</t>
        </is>
      </c>
      <c r="F4601" t="inlineStr">
        <is>
          <t>biosphere</t>
        </is>
      </c>
      <c r="I4601">
        <v>0</v>
      </c>
    </row>
    <row r="4602">
      <c r="A4602" t="inlineStr">
        <is>
          <t>Cadmium II</t>
        </is>
      </c>
      <c r="B4602">
        <v>7.12553100652158e-13</v>
      </c>
      <c r="D4602" t="inlineStr">
        <is>
          <t>kilogram</t>
        </is>
      </c>
      <c r="E4602" t="inlineStr">
        <is>
          <t>air::non-urban air or from high stacks</t>
        </is>
      </c>
      <c r="F4602" t="inlineStr">
        <is>
          <t>biosphere</t>
        </is>
      </c>
      <c r="I4602">
        <v>0</v>
      </c>
    </row>
    <row r="4603">
      <c r="A4603" t="inlineStr">
        <is>
          <t>Ammonia</t>
        </is>
      </c>
      <c r="B4603">
        <v>5.347535547726079e-07</v>
      </c>
      <c r="D4603" t="inlineStr">
        <is>
          <t>kilogram</t>
        </is>
      </c>
      <c r="E4603" t="inlineStr">
        <is>
          <t>air::urban air close to ground</t>
        </is>
      </c>
      <c r="F4603" t="inlineStr">
        <is>
          <t>biosphere</t>
        </is>
      </c>
      <c r="I4603">
        <v>0</v>
      </c>
    </row>
    <row r="4604">
      <c r="A4604" t="inlineStr">
        <is>
          <t>Butane</t>
        </is>
      </c>
      <c r="B4604">
        <v>2.9315788039353776e-10</v>
      </c>
      <c r="D4604" t="inlineStr">
        <is>
          <t>kilogram</t>
        </is>
      </c>
      <c r="E4604" t="inlineStr">
        <is>
          <t>air::non-urban air or from high stacks</t>
        </is>
      </c>
      <c r="F4604" t="inlineStr">
        <is>
          <t>biosphere</t>
        </is>
      </c>
      <c r="I4604">
        <v>0</v>
      </c>
    </row>
    <row r="4605">
      <c r="A4605" t="inlineStr">
        <is>
          <t>PAH, polycyclic aromatic hydrocarbons</t>
        </is>
      </c>
      <c r="B4605">
        <v>5.091636535281869e-10</v>
      </c>
      <c r="D4605" t="inlineStr">
        <is>
          <t>kilogram</t>
        </is>
      </c>
      <c r="E4605" t="inlineStr">
        <is>
          <t>air::urban air close to ground</t>
        </is>
      </c>
      <c r="F4605" t="inlineStr">
        <is>
          <t>biosphere</t>
        </is>
      </c>
      <c r="I4605">
        <v>0</v>
      </c>
    </row>
    <row r="4606">
      <c r="A4606" t="inlineStr">
        <is>
          <t>Copper ion</t>
        </is>
      </c>
      <c r="B4606">
        <v>8.16979042710669e-11</v>
      </c>
      <c r="D4606" t="inlineStr">
        <is>
          <t>kilogram</t>
        </is>
      </c>
      <c r="E4606" t="inlineStr">
        <is>
          <t>air::non-urban air or from high stacks</t>
        </is>
      </c>
      <c r="F4606" t="inlineStr">
        <is>
          <t>biosphere</t>
        </is>
      </c>
      <c r="I4606">
        <v>0</v>
      </c>
    </row>
    <row r="4607">
      <c r="A4607" t="inlineStr">
        <is>
          <t>Nitrogen oxides</t>
        </is>
      </c>
      <c r="B4607">
        <v>1.2205207650351623e-05</v>
      </c>
      <c r="D4607" t="inlineStr">
        <is>
          <t>kilogram</t>
        </is>
      </c>
      <c r="E4607" t="inlineStr">
        <is>
          <t>air::non-urban air or from high stacks</t>
        </is>
      </c>
      <c r="F4607" t="inlineStr">
        <is>
          <t>biosphere</t>
        </is>
      </c>
      <c r="I4607">
        <v>0</v>
      </c>
    </row>
    <row r="4608">
      <c r="A4608" t="inlineStr">
        <is>
          <t>Butane</t>
        </is>
      </c>
      <c r="B4608">
        <v>1.3573831832855856e-09</v>
      </c>
      <c r="D4608" t="inlineStr">
        <is>
          <t>kilogram</t>
        </is>
      </c>
      <c r="E4608" t="inlineStr">
        <is>
          <t>air::urban air close to ground</t>
        </is>
      </c>
      <c r="F4608" t="inlineStr">
        <is>
          <t>biosphere</t>
        </is>
      </c>
      <c r="I4608">
        <v>0</v>
      </c>
    </row>
    <row r="4609">
      <c r="A4609" t="inlineStr">
        <is>
          <t>Copper ion</t>
        </is>
      </c>
      <c r="B4609">
        <v>5.130209510040208e-11</v>
      </c>
      <c r="D4609" t="inlineStr">
        <is>
          <t>kilogram</t>
        </is>
      </c>
      <c r="E4609" t="inlineStr">
        <is>
          <t>air::urban air close to ground</t>
        </is>
      </c>
      <c r="F4609" t="inlineStr">
        <is>
          <t>biosphere</t>
        </is>
      </c>
      <c r="I4609">
        <v>0</v>
      </c>
    </row>
    <row r="4610">
      <c r="A4610" t="inlineStr">
        <is>
          <t>Chromium III</t>
        </is>
      </c>
      <c r="B4610">
        <v>7.637454356709601e-11</v>
      </c>
      <c r="D4610" t="inlineStr">
        <is>
          <t>kilogram</t>
        </is>
      </c>
      <c r="E4610" t="inlineStr">
        <is>
          <t>air::urban air close to ground</t>
        </is>
      </c>
      <c r="F4610" t="inlineStr">
        <is>
          <t>biosphere</t>
        </is>
      </c>
      <c r="I4610">
        <v>0</v>
      </c>
    </row>
    <row r="4611">
      <c r="A4611" t="inlineStr">
        <is>
          <t>Propane</t>
        </is>
      </c>
      <c r="B4611">
        <v>1.3573831832855856e-09</v>
      </c>
      <c r="D4611" t="inlineStr">
        <is>
          <t>kilogram</t>
        </is>
      </c>
      <c r="E4611" t="inlineStr">
        <is>
          <t>air::urban air close to ground</t>
        </is>
      </c>
      <c r="F4611" t="inlineStr">
        <is>
          <t>biosphere</t>
        </is>
      </c>
      <c r="I4611">
        <v>0</v>
      </c>
    </row>
    <row r="4612">
      <c r="A4612" t="inlineStr">
        <is>
          <t>Toluene</t>
        </is>
      </c>
      <c r="B4612">
        <v>8.514495184008822e-09</v>
      </c>
      <c r="D4612" t="inlineStr">
        <is>
          <t>kilogram</t>
        </is>
      </c>
      <c r="E4612" t="inlineStr">
        <is>
          <t>air::urban air close to ground</t>
        </is>
      </c>
      <c r="F4612" t="inlineStr">
        <is>
          <t>biosphere</t>
        </is>
      </c>
      <c r="I4612">
        <v>0</v>
      </c>
    </row>
    <row r="4613">
      <c r="A4613" t="inlineStr">
        <is>
          <t>Dinitrogen monoxide</t>
        </is>
      </c>
      <c r="B4613">
        <v>8.68949829854063e-07</v>
      </c>
      <c r="D4613" t="inlineStr">
        <is>
          <t>kilogram</t>
        </is>
      </c>
      <c r="E4613" t="inlineStr">
        <is>
          <t>air::urban air close to ground</t>
        </is>
      </c>
      <c r="F4613" t="inlineStr">
        <is>
          <t>biosphere</t>
        </is>
      </c>
      <c r="I4613">
        <v>0</v>
      </c>
    </row>
    <row r="4614">
      <c r="A4614" t="inlineStr">
        <is>
          <t>Zinc II</t>
        </is>
      </c>
      <c r="B4614">
        <v>1.6162087653443074e-10</v>
      </c>
      <c r="D4614" t="inlineStr">
        <is>
          <t>kilogram</t>
        </is>
      </c>
      <c r="E4614" t="inlineStr">
        <is>
          <t>air::urban air close to ground</t>
        </is>
      </c>
      <c r="F4614" t="inlineStr">
        <is>
          <t>biosphere</t>
        </is>
      </c>
      <c r="I4614">
        <v>0</v>
      </c>
    </row>
    <row r="4615">
      <c r="A4615" t="inlineStr">
        <is>
          <t>Chromium VI</t>
        </is>
      </c>
      <c r="B4615">
        <v>2.426366216798939e-13</v>
      </c>
      <c r="D4615" t="inlineStr">
        <is>
          <t>kilogram</t>
        </is>
      </c>
      <c r="E4615" t="inlineStr">
        <is>
          <t>air::non-urban air or from high stacks</t>
        </is>
      </c>
      <c r="F4615" t="inlineStr">
        <is>
          <t>biosphere</t>
        </is>
      </c>
      <c r="I4615">
        <v>0</v>
      </c>
    </row>
    <row r="4616">
      <c r="A4616" t="inlineStr">
        <is>
          <t>Benzene</t>
        </is>
      </c>
      <c r="B4616">
        <v>2.1320570436842153e-08</v>
      </c>
      <c r="D4616" t="inlineStr">
        <is>
          <t>kilogram</t>
        </is>
      </c>
      <c r="E4616" t="inlineStr">
        <is>
          <t>air::non-urban air or from high stacks</t>
        </is>
      </c>
      <c r="F4616" t="inlineStr">
        <is>
          <t>biosphere</t>
        </is>
      </c>
      <c r="I4616">
        <v>0</v>
      </c>
    </row>
    <row r="4617">
      <c r="A4617" t="inlineStr">
        <is>
          <t>Carbon monoxide, fossil</t>
        </is>
      </c>
      <c r="B4617">
        <v>4.486574608647261e-06</v>
      </c>
      <c r="D4617" t="inlineStr">
        <is>
          <t>kilogram</t>
        </is>
      </c>
      <c r="E4617" t="inlineStr">
        <is>
          <t>air::non-urban air or from high stacks</t>
        </is>
      </c>
      <c r="F4617" t="inlineStr">
        <is>
          <t>biosphere</t>
        </is>
      </c>
      <c r="I4617">
        <v>0</v>
      </c>
    </row>
    <row r="4618">
      <c r="A4618" t="inlineStr">
        <is>
          <t>Chromium VI</t>
        </is>
      </c>
      <c r="B4618">
        <v>1.5236336208114335e-13</v>
      </c>
      <c r="D4618" t="inlineStr">
        <is>
          <t>kilogram</t>
        </is>
      </c>
      <c r="E4618" t="inlineStr">
        <is>
          <t>air::urban air close to ground</t>
        </is>
      </c>
      <c r="F4618" t="inlineStr">
        <is>
          <t>biosphere</t>
        </is>
      </c>
      <c r="I4618">
        <v>0</v>
      </c>
    </row>
    <row r="4619">
      <c r="A4619" t="inlineStr">
        <is>
          <t>Methane, fossil</t>
        </is>
      </c>
      <c r="B4619">
        <v>1.5324029278860158e-06</v>
      </c>
      <c r="D4619" t="inlineStr">
        <is>
          <t>kilogram</t>
        </is>
      </c>
      <c r="E4619" t="inlineStr">
        <is>
          <t>air::urban air close to ground</t>
        </is>
      </c>
      <c r="F4619" t="inlineStr">
        <is>
          <t>biosphere</t>
        </is>
      </c>
      <c r="I4619">
        <v>0</v>
      </c>
    </row>
    <row r="4620">
      <c r="A4620" t="inlineStr">
        <is>
          <t>Sulfur dioxide</t>
        </is>
      </c>
      <c r="B4620">
        <v>4.6773094625996215e-07</v>
      </c>
      <c r="D4620" t="inlineStr">
        <is>
          <t>kilogram</t>
        </is>
      </c>
      <c r="E4620" t="inlineStr">
        <is>
          <t>air</t>
        </is>
      </c>
      <c r="F4620" t="inlineStr">
        <is>
          <t>biosphere</t>
        </is>
      </c>
      <c r="I4620">
        <v>0</v>
      </c>
    </row>
    <row r="4621">
      <c r="A4621" t="inlineStr">
        <is>
          <t>NMVOC, non-methane volatile organic compounds</t>
        </is>
      </c>
      <c r="B4621">
        <v>6.786915792678135e-07</v>
      </c>
      <c r="D4621" t="inlineStr">
        <is>
          <t>kilogram</t>
        </is>
      </c>
      <c r="E4621" t="inlineStr">
        <is>
          <t>air::urban air close to ground</t>
        </is>
      </c>
      <c r="F4621" t="inlineStr">
        <is>
          <t>biosphere</t>
        </is>
      </c>
      <c r="I4621">
        <v>0</v>
      </c>
    </row>
    <row r="4622">
      <c r="A4622" t="inlineStr">
        <is>
          <t>Formaldehyde</t>
        </is>
      </c>
      <c r="B4622">
        <v>1.4807816718010298e-07</v>
      </c>
      <c r="D4622" t="inlineStr">
        <is>
          <t>kilogram</t>
        </is>
      </c>
      <c r="E4622" t="inlineStr">
        <is>
          <t>air::urban air close to ground</t>
        </is>
      </c>
      <c r="F4622" t="inlineStr">
        <is>
          <t>biosphere</t>
        </is>
      </c>
      <c r="I4622">
        <v>0</v>
      </c>
    </row>
    <row r="4623">
      <c r="A4623" t="inlineStr">
        <is>
          <t>Nitrogen oxides</t>
        </is>
      </c>
      <c r="B4623">
        <v>1.6646759692298164e-05</v>
      </c>
      <c r="D4623" t="inlineStr">
        <is>
          <t>kilogram</t>
        </is>
      </c>
      <c r="E4623" t="inlineStr">
        <is>
          <t>air::urban air close to ground</t>
        </is>
      </c>
      <c r="F4623" t="inlineStr">
        <is>
          <t>biosphere</t>
        </is>
      </c>
      <c r="I4623">
        <v>0</v>
      </c>
    </row>
    <row r="4624">
      <c r="A4624" t="inlineStr">
        <is>
          <t>Formaldehyde</t>
        </is>
      </c>
      <c r="B4624">
        <v>3.198085755910623e-08</v>
      </c>
      <c r="D4624" t="inlineStr">
        <is>
          <t>kilogram</t>
        </is>
      </c>
      <c r="E4624" t="inlineStr">
        <is>
          <t>air::non-urban air or from high stacks</t>
        </is>
      </c>
      <c r="F4624" t="inlineStr">
        <is>
          <t>biosphere</t>
        </is>
      </c>
      <c r="I4624">
        <v>0</v>
      </c>
    </row>
    <row r="4625">
      <c r="A4625" t="inlineStr">
        <is>
          <t>Zinc II</t>
        </is>
      </c>
      <c r="B4625">
        <v>2.5737910759022457e-10</v>
      </c>
      <c r="D4625" t="inlineStr">
        <is>
          <t>kilogram</t>
        </is>
      </c>
      <c r="E4625" t="inlineStr">
        <is>
          <t>air::non-urban air or from high stacks</t>
        </is>
      </c>
      <c r="F4625" t="inlineStr">
        <is>
          <t>biosphere</t>
        </is>
      </c>
      <c r="I4625">
        <v>0</v>
      </c>
    </row>
    <row r="4626">
      <c r="A4626" t="inlineStr">
        <is>
          <t>Carbon monoxide, fossil</t>
        </is>
      </c>
      <c r="B4626">
        <v>1.4237602031170576e-05</v>
      </c>
      <c r="D4626" t="inlineStr">
        <is>
          <t>kilogram</t>
        </is>
      </c>
      <c r="E4626" t="inlineStr">
        <is>
          <t>air::urban air close to ground</t>
        </is>
      </c>
      <c r="F4626" t="inlineStr">
        <is>
          <t>biosphere</t>
        </is>
      </c>
      <c r="I4626">
        <v>0</v>
      </c>
    </row>
    <row r="4627">
      <c r="A4627" t="inlineStr">
        <is>
          <t>m-Xylene</t>
        </is>
      </c>
      <c r="B4627">
        <v>7.527306895116669e-09</v>
      </c>
      <c r="D4627" t="inlineStr">
        <is>
          <t>kilogram</t>
        </is>
      </c>
      <c r="E4627" t="inlineStr">
        <is>
          <t>air::urban air close to ground</t>
        </is>
      </c>
      <c r="F4627" t="inlineStr">
        <is>
          <t>biosphere</t>
        </is>
      </c>
      <c r="I4627">
        <v>0</v>
      </c>
    </row>
    <row r="4628">
      <c r="A4628" t="inlineStr">
        <is>
          <t>PAH, polycyclic aromatic hydrocarbons</t>
        </is>
      </c>
      <c r="B4628">
        <v>8.108362635164032e-10</v>
      </c>
      <c r="D4628" t="inlineStr">
        <is>
          <t>kilogram</t>
        </is>
      </c>
      <c r="E4628" t="inlineStr">
        <is>
          <t>air::non-urban air or from high stacks</t>
        </is>
      </c>
      <c r="F4628" t="inlineStr">
        <is>
          <t>biosphere</t>
        </is>
      </c>
      <c r="I4628">
        <v>0</v>
      </c>
    </row>
    <row r="4629">
      <c r="A4629" t="inlineStr">
        <is>
          <t>Particulate Matter, &lt; 2.5 um</t>
        </is>
      </c>
      <c r="B4629">
        <v>1.5058152272837298e-07</v>
      </c>
      <c r="D4629" t="inlineStr">
        <is>
          <t>kilogram</t>
        </is>
      </c>
      <c r="E4629" t="inlineStr">
        <is>
          <t>air::non-urban air or from high stacks</t>
        </is>
      </c>
      <c r="F4629" t="inlineStr">
        <is>
          <t>biosphere</t>
        </is>
      </c>
      <c r="I4629">
        <v>0</v>
      </c>
    </row>
    <row r="4630">
      <c r="A4630" t="inlineStr">
        <is>
          <t>Pentane</t>
        </is>
      </c>
      <c r="B4630">
        <v>1.0660286289332767e-10</v>
      </c>
      <c r="D4630" t="inlineStr">
        <is>
          <t>kilogram</t>
        </is>
      </c>
      <c r="E4630" t="inlineStr">
        <is>
          <t>air::non-urban air or from high stacks</t>
        </is>
      </c>
      <c r="F4630" t="inlineStr">
        <is>
          <t>biosphere</t>
        </is>
      </c>
      <c r="I4630">
        <v>0</v>
      </c>
    </row>
    <row r="4631">
      <c r="A4631" t="inlineStr">
        <is>
          <t>1,1,1,2-Tetrafluoroethane</t>
        </is>
      </c>
      <c r="B4631">
        <v>2.00956556691731e-06</v>
      </c>
      <c r="D4631" t="inlineStr">
        <is>
          <t>kilogram</t>
        </is>
      </c>
      <c r="E4631" t="inlineStr">
        <is>
          <t>air</t>
        </is>
      </c>
      <c r="F4631" t="inlineStr">
        <is>
          <t>biosphere</t>
        </is>
      </c>
      <c r="I4631">
        <v>0</v>
      </c>
    </row>
    <row r="4632">
      <c r="A4632" t="inlineStr">
        <is>
          <t>Acetaldehyde</t>
        </is>
      </c>
      <c r="B4632">
        <v>7.983881383537138e-08</v>
      </c>
      <c r="D4632" t="inlineStr">
        <is>
          <t>kilogram</t>
        </is>
      </c>
      <c r="E4632" t="inlineStr">
        <is>
          <t>air::urban air close to ground</t>
        </is>
      </c>
      <c r="F4632" t="inlineStr">
        <is>
          <t>biosphere</t>
        </is>
      </c>
      <c r="I4632">
        <v>0</v>
      </c>
    </row>
    <row r="4633">
      <c r="A4633" t="inlineStr">
        <is>
          <t>Benzene</t>
        </is>
      </c>
      <c r="B4633">
        <v>2.617468470906676e-08</v>
      </c>
      <c r="D4633" t="inlineStr">
        <is>
          <t>kilogram</t>
        </is>
      </c>
      <c r="E4633" t="inlineStr">
        <is>
          <t>air::urban air close to ground</t>
        </is>
      </c>
      <c r="F4633" t="inlineStr">
        <is>
          <t>biosphere</t>
        </is>
      </c>
      <c r="I4633">
        <v>0</v>
      </c>
    </row>
    <row r="4634">
      <c r="A4634" t="inlineStr">
        <is>
          <t>Mercury II</t>
        </is>
      </c>
      <c r="B4634">
        <v>4.74447939061248e-11</v>
      </c>
      <c r="D4634" t="inlineStr">
        <is>
          <t>kilogram</t>
        </is>
      </c>
      <c r="E4634" t="inlineStr">
        <is>
          <t>air::urban air close to ground</t>
        </is>
      </c>
      <c r="F4634" t="inlineStr">
        <is>
          <t>biosphere</t>
        </is>
      </c>
      <c r="I4634">
        <v>0</v>
      </c>
    </row>
    <row r="4635">
      <c r="A4635" t="inlineStr">
        <is>
          <t>Cadmium II</t>
        </is>
      </c>
      <c r="B4635">
        <v>4.4744682628565553e-13</v>
      </c>
      <c r="D4635" t="inlineStr">
        <is>
          <t>kilogram</t>
        </is>
      </c>
      <c r="E4635" t="inlineStr">
        <is>
          <t>air::urban air close to ground</t>
        </is>
      </c>
      <c r="F4635" t="inlineStr">
        <is>
          <t>biosphere</t>
        </is>
      </c>
      <c r="I4635">
        <v>0</v>
      </c>
    </row>
    <row r="4636">
      <c r="A4636" t="inlineStr">
        <is>
          <t>Propane</t>
        </is>
      </c>
      <c r="B4636">
        <v>2.9315788039353776e-10</v>
      </c>
      <c r="D4636" t="inlineStr">
        <is>
          <t>kilogram</t>
        </is>
      </c>
      <c r="E4636" t="inlineStr">
        <is>
          <t>air::non-urban air or from high stacks</t>
        </is>
      </c>
      <c r="F4636" t="inlineStr">
        <is>
          <t>biosphere</t>
        </is>
      </c>
      <c r="I4636">
        <v>0</v>
      </c>
    </row>
    <row r="4637">
      <c r="A4637" t="inlineStr">
        <is>
          <t>Chromium III</t>
        </is>
      </c>
      <c r="B4637">
        <v>1.2162544101483783e-10</v>
      </c>
      <c r="D4637" t="inlineStr">
        <is>
          <t>kilogram</t>
        </is>
      </c>
      <c r="E4637" t="inlineStr">
        <is>
          <t>air::non-urban air or from high stacks</t>
        </is>
      </c>
      <c r="F4637" t="inlineStr">
        <is>
          <t>biosphere</t>
        </is>
      </c>
      <c r="I4637">
        <v>0</v>
      </c>
    </row>
    <row r="4638">
      <c r="A4638" t="inlineStr">
        <is>
          <t>Acetone</t>
        </is>
      </c>
      <c r="B4638">
        <v>3.627915248219963e-08</v>
      </c>
      <c r="D4638" t="inlineStr">
        <is>
          <t>kilogram</t>
        </is>
      </c>
      <c r="E4638" t="inlineStr">
        <is>
          <t>air::urban air close to ground</t>
        </is>
      </c>
      <c r="F4638" t="inlineStr">
        <is>
          <t>biosphere</t>
        </is>
      </c>
      <c r="I4638">
        <v>0</v>
      </c>
    </row>
    <row r="4639">
      <c r="A4639" t="inlineStr">
        <is>
          <t>Acrolein</t>
        </is>
      </c>
      <c r="B4639">
        <v>4.4176654985650857e-08</v>
      </c>
      <c r="D4639" t="inlineStr">
        <is>
          <t>kilogram</t>
        </is>
      </c>
      <c r="E4639" t="inlineStr">
        <is>
          <t>air::urban air close to ground</t>
        </is>
      </c>
      <c r="F4639" t="inlineStr">
        <is>
          <t>biosphere</t>
        </is>
      </c>
      <c r="I4639">
        <v>0</v>
      </c>
    </row>
    <row r="4640">
      <c r="A4640" t="inlineStr">
        <is>
          <t>Benzaldehyde</t>
        </is>
      </c>
      <c r="B4640">
        <v>1.061226839406165e-08</v>
      </c>
      <c r="D4640" t="inlineStr">
        <is>
          <t>kilogram</t>
        </is>
      </c>
      <c r="E4640" t="inlineStr">
        <is>
          <t>air::urban air close to ground</t>
        </is>
      </c>
      <c r="F4640" t="inlineStr">
        <is>
          <t>biosphere</t>
        </is>
      </c>
      <c r="I4640">
        <v>0</v>
      </c>
    </row>
    <row r="4641">
      <c r="A4641" t="inlineStr">
        <is>
          <t>Cyclohexane</t>
        </is>
      </c>
      <c r="B4641">
        <v>8.020901039562743e-09</v>
      </c>
      <c r="D4641" t="inlineStr">
        <is>
          <t>kilogram</t>
        </is>
      </c>
      <c r="E4641" t="inlineStr">
        <is>
          <t>air::urban air close to ground</t>
        </is>
      </c>
      <c r="F4641" t="inlineStr">
        <is>
          <t>biosphere</t>
        </is>
      </c>
      <c r="I4641">
        <v>0</v>
      </c>
    </row>
    <row r="4642">
      <c r="A4642" t="inlineStr">
        <is>
          <t>Heptane</t>
        </is>
      </c>
      <c r="B4642">
        <v>2.4679695323285083e-09</v>
      </c>
      <c r="D4642" t="inlineStr">
        <is>
          <t>kilogram</t>
        </is>
      </c>
      <c r="E4642" t="inlineStr">
        <is>
          <t>air::urban air close to ground</t>
        </is>
      </c>
      <c r="F4642" t="inlineStr">
        <is>
          <t>biosphere</t>
        </is>
      </c>
      <c r="I4642">
        <v>0</v>
      </c>
    </row>
    <row r="4643">
      <c r="A4643" t="inlineStr">
        <is>
          <t>Methyl ethyl ketone</t>
        </is>
      </c>
      <c r="B4643">
        <v>1.4807816718010298e-08</v>
      </c>
      <c r="D4643" t="inlineStr">
        <is>
          <t>kilogram</t>
        </is>
      </c>
      <c r="E4643" t="inlineStr">
        <is>
          <t>air::urban air close to ground</t>
        </is>
      </c>
      <c r="F4643" t="inlineStr">
        <is>
          <t>biosphere</t>
        </is>
      </c>
      <c r="I4643">
        <v>0</v>
      </c>
    </row>
    <row r="4644">
      <c r="A4644" t="inlineStr">
        <is>
          <t>o-Xylene</t>
        </is>
      </c>
      <c r="B4644">
        <v>3.331758809148392e-09</v>
      </c>
      <c r="D4644" t="inlineStr">
        <is>
          <t>kilogram</t>
        </is>
      </c>
      <c r="E4644" t="inlineStr">
        <is>
          <t>air::urban air close to ground</t>
        </is>
      </c>
      <c r="F4644" t="inlineStr">
        <is>
          <t>biosphere</t>
        </is>
      </c>
      <c r="I4644">
        <v>0</v>
      </c>
    </row>
    <row r="4645">
      <c r="A4645" t="inlineStr">
        <is>
          <t>Propylene</t>
        </is>
      </c>
      <c r="B4645">
        <v>4.4423450154030895e-08</v>
      </c>
      <c r="D4645" t="inlineStr">
        <is>
          <t>kilogram</t>
        </is>
      </c>
      <c r="E4645" t="inlineStr">
        <is>
          <t>air::urban air close to ground</t>
        </is>
      </c>
      <c r="F4645" t="inlineStr">
        <is>
          <t>biosphere</t>
        </is>
      </c>
      <c r="I4645">
        <v>0</v>
      </c>
    </row>
    <row r="4646">
      <c r="A4646" t="inlineStr">
        <is>
          <t>Selenium IV</t>
        </is>
      </c>
      <c r="B4646">
        <v>8.98750956554421e-13</v>
      </c>
      <c r="D4646" t="inlineStr">
        <is>
          <t>kilogram</t>
        </is>
      </c>
      <c r="E4646" t="inlineStr">
        <is>
          <t>air::urban air close to ground</t>
        </is>
      </c>
      <c r="F4646" t="inlineStr">
        <is>
          <t>biosphere</t>
        </is>
      </c>
      <c r="I4646">
        <v>0</v>
      </c>
    </row>
    <row r="4647">
      <c r="A4647" t="inlineStr">
        <is>
          <t>Styrene</t>
        </is>
      </c>
      <c r="B4647">
        <v>4.5657434563224585e-09</v>
      </c>
      <c r="D4647" t="inlineStr">
        <is>
          <t>kilogram</t>
        </is>
      </c>
      <c r="E4647" t="inlineStr">
        <is>
          <t>air::urban air close to ground</t>
        </is>
      </c>
      <c r="F4647" t="inlineStr">
        <is>
          <t>biosphere</t>
        </is>
      </c>
      <c r="I4647">
        <v>0</v>
      </c>
    </row>
    <row r="4648">
      <c r="A4648" t="inlineStr">
        <is>
          <t>Acetaldehyde</t>
        </is>
      </c>
      <c r="B4648">
        <v>1.7243010879114162e-08</v>
      </c>
      <c r="D4648" t="inlineStr">
        <is>
          <t>kilogram</t>
        </is>
      </c>
      <c r="E4648" t="inlineStr">
        <is>
          <t>air::non-urban air or from high stacks</t>
        </is>
      </c>
      <c r="F4648" t="inlineStr">
        <is>
          <t>biosphere</t>
        </is>
      </c>
      <c r="I4648">
        <v>0</v>
      </c>
    </row>
    <row r="4649">
      <c r="A4649" t="inlineStr">
        <is>
          <t>Acetone</t>
        </is>
      </c>
      <c r="B4649">
        <v>7.835309664097135e-09</v>
      </c>
      <c r="D4649" t="inlineStr">
        <is>
          <t>kilogram</t>
        </is>
      </c>
      <c r="E4649" t="inlineStr">
        <is>
          <t>air::non-urban air or from high stacks</t>
        </is>
      </c>
      <c r="F4649" t="inlineStr">
        <is>
          <t>biosphere</t>
        </is>
      </c>
      <c r="I4649">
        <v>0</v>
      </c>
    </row>
    <row r="4650">
      <c r="A4650" t="inlineStr">
        <is>
          <t>Acrolein</t>
        </is>
      </c>
      <c r="B4650">
        <v>9.540955946351132e-09</v>
      </c>
      <c r="D4650" t="inlineStr">
        <is>
          <t>kilogram</t>
        </is>
      </c>
      <c r="E4650" t="inlineStr">
        <is>
          <t>air::non-urban air or from high stacks</t>
        </is>
      </c>
      <c r="F4650" t="inlineStr">
        <is>
          <t>biosphere</t>
        </is>
      </c>
      <c r="I4650">
        <v>0</v>
      </c>
    </row>
    <row r="4651">
      <c r="A4651" t="inlineStr">
        <is>
          <t>Benzaldehyde</t>
        </is>
      </c>
      <c r="B4651">
        <v>2.291961388595036e-09</v>
      </c>
      <c r="D4651" t="inlineStr">
        <is>
          <t>kilogram</t>
        </is>
      </c>
      <c r="E4651" t="inlineStr">
        <is>
          <t>air::non-urban air or from high stacks</t>
        </is>
      </c>
      <c r="F4651" t="inlineStr">
        <is>
          <t>biosphere</t>
        </is>
      </c>
      <c r="I4651">
        <v>0</v>
      </c>
    </row>
    <row r="4652">
      <c r="A4652" t="inlineStr">
        <is>
          <t>Cyclohexane</t>
        </is>
      </c>
      <c r="B4652">
        <v>1.7322965145796874e-09</v>
      </c>
      <c r="D4652" t="inlineStr">
        <is>
          <t>kilogram</t>
        </is>
      </c>
      <c r="E4652" t="inlineStr">
        <is>
          <t>air::non-urban air or from high stacks</t>
        </is>
      </c>
      <c r="F4652" t="inlineStr">
        <is>
          <t>biosphere</t>
        </is>
      </c>
      <c r="I4652">
        <v>0</v>
      </c>
    </row>
    <row r="4653">
      <c r="A4653" t="inlineStr">
        <is>
          <t>Heptane</t>
        </is>
      </c>
      <c r="B4653">
        <v>5.330142847190914e-10</v>
      </c>
      <c r="D4653" t="inlineStr">
        <is>
          <t>kilogram</t>
        </is>
      </c>
      <c r="E4653" t="inlineStr">
        <is>
          <t>air::non-urban air or from high stacks</t>
        </is>
      </c>
      <c r="F4653" t="inlineStr">
        <is>
          <t>biosphere</t>
        </is>
      </c>
      <c r="I4653">
        <v>0</v>
      </c>
    </row>
    <row r="4654">
      <c r="A4654" t="inlineStr">
        <is>
          <t>Methyl ethyl ketone</t>
        </is>
      </c>
      <c r="B4654">
        <v>3.198085708314548e-09</v>
      </c>
      <c r="D4654" t="inlineStr">
        <is>
          <t>kilogram</t>
        </is>
      </c>
      <c r="E4654" t="inlineStr">
        <is>
          <t>air::non-urban air or from high stacks</t>
        </is>
      </c>
      <c r="F4654" t="inlineStr">
        <is>
          <t>biosphere</t>
        </is>
      </c>
      <c r="I4654">
        <v>0</v>
      </c>
    </row>
    <row r="4655">
      <c r="A4655" t="inlineStr">
        <is>
          <t>m-Xylene</t>
        </is>
      </c>
      <c r="B4655">
        <v>1.6256935624437191e-09</v>
      </c>
      <c r="D4655" t="inlineStr">
        <is>
          <t>kilogram</t>
        </is>
      </c>
      <c r="E4655" t="inlineStr">
        <is>
          <t>air::non-urban air or from high stacks</t>
        </is>
      </c>
      <c r="F4655" t="inlineStr">
        <is>
          <t>biosphere</t>
        </is>
      </c>
      <c r="I4655">
        <v>0</v>
      </c>
    </row>
    <row r="4656">
      <c r="A4656" t="inlineStr">
        <is>
          <t>o-Xylene</t>
        </is>
      </c>
      <c r="B4656">
        <v>7.195693022193013e-10</v>
      </c>
      <c r="D4656" t="inlineStr">
        <is>
          <t>kilogram</t>
        </is>
      </c>
      <c r="E4656" t="inlineStr">
        <is>
          <t>air::non-urban air or from high stacks</t>
        </is>
      </c>
      <c r="F4656" t="inlineStr">
        <is>
          <t>biosphere</t>
        </is>
      </c>
      <c r="I4656">
        <v>0</v>
      </c>
    </row>
    <row r="4657">
      <c r="A4657" t="inlineStr">
        <is>
          <t>Styrene</t>
        </is>
      </c>
      <c r="B4657">
        <v>9.86076444578847e-10</v>
      </c>
      <c r="D4657" t="inlineStr">
        <is>
          <t>kilogram</t>
        </is>
      </c>
      <c r="E4657" t="inlineStr">
        <is>
          <t>air::non-urban air or from high stacks</t>
        </is>
      </c>
      <c r="F4657" t="inlineStr">
        <is>
          <t>biosphere</t>
        </is>
      </c>
      <c r="I4657">
        <v>0</v>
      </c>
    </row>
    <row r="4658">
      <c r="A4658" t="inlineStr">
        <is>
          <t>Ethylene</t>
        </is>
      </c>
      <c r="B4658">
        <v>1.3536812652791e-07</v>
      </c>
      <c r="D4658" t="inlineStr">
        <is>
          <t>kilogram</t>
        </is>
      </c>
      <c r="E4658" t="inlineStr">
        <is>
          <t>air::urban air close to ground</t>
        </is>
      </c>
      <c r="F4658" t="inlineStr">
        <is>
          <t>biosphere</t>
        </is>
      </c>
      <c r="I4658">
        <v>0</v>
      </c>
    </row>
    <row r="4659">
      <c r="A4659" t="inlineStr">
        <is>
          <t>Ethylene</t>
        </is>
      </c>
      <c r="B4659">
        <v>2.923583389166125e-08</v>
      </c>
      <c r="D4659" t="inlineStr">
        <is>
          <t>kilogram</t>
        </is>
      </c>
      <c r="E4659" t="inlineStr">
        <is>
          <t>air::non-urban air or from high stacks</t>
        </is>
      </c>
      <c r="F4659" t="inlineStr">
        <is>
          <t>biosphere</t>
        </is>
      </c>
      <c r="I4659">
        <v>0</v>
      </c>
    </row>
    <row r="4660">
      <c r="A4660" t="inlineStr">
        <is>
          <t>market for internal combustion engine, passenger car</t>
        </is>
      </c>
      <c r="B4660">
        <v>0.0007866161325923368</v>
      </c>
      <c r="C4660" t="inlineStr">
        <is>
          <t>GLO</t>
        </is>
      </c>
      <c r="D4660" t="inlineStr">
        <is>
          <t>kilogram</t>
        </is>
      </c>
      <c r="F4660" t="inlineStr">
        <is>
          <t>technosphere</t>
        </is>
      </c>
      <c r="G4660" t="inlineStr">
        <is>
          <t>internal combustion engine, passenger car</t>
        </is>
      </c>
      <c r="H4660" t="inlineStr">
        <is>
          <t> Energy-use allocation: 293.5769348144531 * 4.999999873689376e-06 / 1.866074920371751 MJ per kilometer.</t>
        </is>
      </c>
      <c r="I4660">
        <v>0</v>
      </c>
    </row>
    <row r="4661">
      <c r="A4661" t="inlineStr">
        <is>
          <t>market for waste plastic, industrial electronics</t>
        </is>
      </c>
      <c r="B4661">
        <v>-0.00013127930051786527</v>
      </c>
      <c r="C4661" t="inlineStr">
        <is>
          <t>CH</t>
        </is>
      </c>
      <c r="D4661" t="inlineStr">
        <is>
          <t>kilogram</t>
        </is>
      </c>
      <c r="F4661" t="inlineStr">
        <is>
          <t>technosphere</t>
        </is>
      </c>
      <c r="G4661" t="inlineStr">
        <is>
          <t>waste plastic, industrial electronics</t>
        </is>
      </c>
      <c r="H4661" t="inlineStr">
        <is>
          <t> Energy-use allocation: -48.99540328979492 * 4.999999873689376e-06 / 1.866074920371751 MJ per kilometer.</t>
        </is>
      </c>
      <c r="I4661">
        <v>0</v>
      </c>
    </row>
    <row r="4662">
      <c r="A4662" t="inlineStr">
        <is>
          <t>polyethylene production, high density, granulate</t>
        </is>
      </c>
      <c r="B4662">
        <v>0.00013127930051786527</v>
      </c>
      <c r="C4662" t="inlineStr">
        <is>
          <t>RER</t>
        </is>
      </c>
      <c r="D4662" t="inlineStr">
        <is>
          <t>kilogram</t>
        </is>
      </c>
      <c r="F4662" t="inlineStr">
        <is>
          <t>technosphere</t>
        </is>
      </c>
      <c r="G4662" t="inlineStr">
        <is>
          <t>polyethylene, high density, granulate</t>
        </is>
      </c>
      <c r="H4662" t="inlineStr">
        <is>
          <t> Energy-use allocation: 48.99540328979492 * 4.999999873689376e-06 / 1.866074920371751 MJ per kilometer.</t>
        </is>
      </c>
      <c r="I4662">
        <v>0</v>
      </c>
    </row>
    <row r="4663">
      <c r="A4663" t="inlineStr">
        <is>
          <t>Carbon dioxide, non-fossil</t>
        </is>
      </c>
      <c r="B4663">
        <v>0.0732</v>
      </c>
      <c r="D4663" t="inlineStr">
        <is>
          <t>kilogram</t>
        </is>
      </c>
      <c r="E4663" t="inlineStr">
        <is>
          <t>air::urban air close to ground</t>
        </is>
      </c>
      <c r="F4663" t="inlineStr">
        <is>
          <t>biosphere</t>
        </is>
      </c>
      <c r="I4663">
        <v>0</v>
      </c>
    </row>
    <row r="4664"/>
    <row r="4665">
      <c r="A4665" t="inlineStr">
        <is>
          <t>Activity</t>
        </is>
      </c>
      <c r="B4665" t="inlineStr">
        <is>
          <t>diesel, synthetic, burned in passenger car</t>
        </is>
      </c>
    </row>
    <row r="4666">
      <c r="A4666" t="inlineStr">
        <is>
          <t>location</t>
        </is>
      </c>
      <c r="B4666" t="inlineStr">
        <is>
          <t>RER</t>
        </is>
      </c>
    </row>
    <row r="4667">
      <c r="A4667" t="inlineStr">
        <is>
          <t>production amount</t>
        </is>
      </c>
      <c r="B4667">
        <v>1</v>
      </c>
    </row>
    <row r="4668">
      <c r="A4668" t="inlineStr">
        <is>
          <t>reference product</t>
        </is>
      </c>
      <c r="B4668" t="inlineStr">
        <is>
          <t>heat</t>
        </is>
      </c>
    </row>
    <row r="4669">
      <c r="A4669" t="inlineStr">
        <is>
          <t>type</t>
        </is>
      </c>
      <c r="B4669" t="inlineStr">
        <is>
          <t>process</t>
        </is>
      </c>
    </row>
    <row r="4670">
      <c r="A4670" t="inlineStr">
        <is>
          <t>unit</t>
        </is>
      </c>
      <c r="B4670" t="inlineStr">
        <is>
          <t>megajoule</t>
        </is>
      </c>
    </row>
    <row r="4671">
      <c r="A4671" t="inlineStr">
        <is>
          <t>Power, mean</t>
        </is>
      </c>
      <c r="B4671">
        <v>126</v>
      </c>
    </row>
    <row r="4672">
      <c r="A4672" t="inlineStr">
        <is>
          <t>Power, min</t>
        </is>
      </c>
      <c r="B4672">
        <v>54</v>
      </c>
    </row>
    <row r="4673">
      <c r="A4673" t="inlineStr">
        <is>
          <t>Power, max</t>
        </is>
      </c>
      <c r="B4673">
        <v>158</v>
      </c>
    </row>
    <row r="4674">
      <c r="A4674" t="inlineStr">
        <is>
          <t>Lifetime, mean</t>
        </is>
      </c>
      <c r="B4674">
        <v>200000</v>
      </c>
    </row>
    <row r="4675">
      <c r="A4675" t="inlineStr">
        <is>
          <t>Lifetime, min</t>
        </is>
      </c>
      <c r="B4675">
        <v>160000</v>
      </c>
    </row>
    <row r="4676">
      <c r="A4676" t="inlineStr">
        <is>
          <t>Lifetime, max</t>
        </is>
      </c>
      <c r="B4676">
        <v>250000</v>
      </c>
    </row>
    <row r="4677">
      <c r="A4677" t="inlineStr">
        <is>
          <t>Energy use, mean</t>
        </is>
      </c>
      <c r="B4677">
        <v>2250</v>
      </c>
    </row>
    <row r="4678">
      <c r="A4678" t="inlineStr">
        <is>
          <t>Energy use, min</t>
        </is>
      </c>
      <c r="B4678">
        <v>1500</v>
      </c>
    </row>
    <row r="4679">
      <c r="A4679" t="inlineStr">
        <is>
          <t>Energy use, max</t>
        </is>
      </c>
      <c r="B4679">
        <v>2900</v>
      </c>
    </row>
    <row r="4680">
      <c r="A4680" t="inlineStr">
        <is>
          <t>Electric motor, mean</t>
        </is>
      </c>
      <c r="B4680">
        <v>0</v>
      </c>
    </row>
    <row r="4681">
      <c r="A4681" t="inlineStr">
        <is>
          <t>Electric motor, min</t>
        </is>
      </c>
      <c r="B4681">
        <v>0</v>
      </c>
    </row>
    <row r="4682">
      <c r="A4682" t="inlineStr">
        <is>
          <t>Electric motor, max</t>
        </is>
      </c>
      <c r="B4682">
        <v>0</v>
      </c>
    </row>
    <row r="4683">
      <c r="A4683" t="inlineStr">
        <is>
          <t>Combustion engine, mean</t>
        </is>
      </c>
      <c r="B4683">
        <v>169</v>
      </c>
    </row>
    <row r="4684">
      <c r="A4684" t="inlineStr">
        <is>
          <t>Combustion engine, min</t>
        </is>
      </c>
      <c r="B4684">
        <v>111</v>
      </c>
    </row>
    <row r="4685">
      <c r="A4685" t="inlineStr">
        <is>
          <t>Combustion engine, max</t>
        </is>
      </c>
      <c r="B4685">
        <v>194</v>
      </c>
    </row>
    <row r="4686">
      <c r="A4686" t="inlineStr">
        <is>
          <t>Fuel tank, mean</t>
        </is>
      </c>
      <c r="B4686">
        <v>48</v>
      </c>
    </row>
    <row r="4687">
      <c r="A4687" t="inlineStr">
        <is>
          <t>Fuel tank, min</t>
        </is>
      </c>
      <c r="B4687">
        <v>30</v>
      </c>
    </row>
    <row r="4688">
      <c r="A4688" t="inlineStr">
        <is>
          <t>Fuel tank, max</t>
        </is>
      </c>
      <c r="B4688">
        <v>60</v>
      </c>
    </row>
    <row r="4689">
      <c r="A4689" t="inlineStr">
        <is>
          <t>Battery capacity, mean</t>
        </is>
      </c>
      <c r="B4689">
        <v>0</v>
      </c>
    </row>
    <row r="4690">
      <c r="A4690" t="inlineStr">
        <is>
          <t>Battery capacity, min</t>
        </is>
      </c>
      <c r="B4690">
        <v>0</v>
      </c>
    </row>
    <row r="4691">
      <c r="A4691" t="inlineStr">
        <is>
          <t>Battery capacity, max</t>
        </is>
      </c>
      <c r="B4691">
        <v>0</v>
      </c>
    </row>
    <row r="4692">
      <c r="A4692" t="inlineStr">
        <is>
          <t>Battery replacement, mean</t>
        </is>
      </c>
      <c r="B4692">
        <v>0</v>
      </c>
    </row>
    <row r="4693">
      <c r="A4693" t="inlineStr">
        <is>
          <t>Battery replacement, min</t>
        </is>
      </c>
      <c r="B4693">
        <v>0</v>
      </c>
    </row>
    <row r="4694">
      <c r="A4694" t="inlineStr">
        <is>
          <t>Battery replacement, max</t>
        </is>
      </c>
      <c r="B4694">
        <v>0</v>
      </c>
    </row>
    <row r="4695">
      <c r="A4695" t="inlineStr">
        <is>
          <t>Fuel cell system, mean</t>
        </is>
      </c>
      <c r="B4695">
        <v>0</v>
      </c>
    </row>
    <row r="4696">
      <c r="A4696" t="inlineStr">
        <is>
          <t>Fuel cell system, min</t>
        </is>
      </c>
      <c r="B4696">
        <v>0</v>
      </c>
    </row>
    <row r="4697">
      <c r="A4697" t="inlineStr">
        <is>
          <t>Fuel cell system, max</t>
        </is>
      </c>
      <c r="B4697">
        <v>0</v>
      </c>
    </row>
    <row r="4698">
      <c r="A4698" t="inlineStr">
        <is>
          <t>Fuel cell stack replacement, mean</t>
        </is>
      </c>
      <c r="B4698">
        <v>0</v>
      </c>
    </row>
    <row r="4699">
      <c r="A4699" t="inlineStr">
        <is>
          <t>Fuel cell replacement, min</t>
        </is>
      </c>
      <c r="B4699">
        <v>0</v>
      </c>
    </row>
    <row r="4700">
      <c r="A4700" t="inlineStr">
        <is>
          <t>Fuel cell replacement, max</t>
        </is>
      </c>
      <c r="B4700">
        <v>0</v>
      </c>
    </row>
    <row r="4701">
      <c r="A4701" t="inlineStr">
        <is>
          <t>Onboard charger mass</t>
        </is>
      </c>
      <c r="B4701">
        <v>0</v>
      </c>
    </row>
    <row r="4702">
      <c r="A4702" t="inlineStr">
        <is>
          <t>Controller mass</t>
        </is>
      </c>
      <c r="B4702">
        <v>0</v>
      </c>
    </row>
    <row r="4703">
      <c r="A4703" t="inlineStr">
        <is>
          <t>Converter mass</t>
        </is>
      </c>
      <c r="B4703">
        <v>0</v>
      </c>
    </row>
    <row r="4704">
      <c r="A4704" t="inlineStr">
        <is>
          <t>Electrical powertrain mass</t>
        </is>
      </c>
      <c r="B4704">
        <v>0</v>
      </c>
    </row>
    <row r="4705">
      <c r="A4705" t="inlineStr">
        <is>
          <t>Inverter mass</t>
        </is>
      </c>
      <c r="B4705">
        <v>0</v>
      </c>
    </row>
    <row r="4706">
      <c r="A4706" t="inlineStr">
        <is>
          <t>NOx</t>
        </is>
      </c>
      <c r="B4706">
        <v>0.2</v>
      </c>
    </row>
    <row r="4707">
      <c r="A4707" t="inlineStr">
        <is>
          <t>PM 2.5</t>
        </is>
      </c>
      <c r="B4707">
        <v>0.0017499999999999998</v>
      </c>
    </row>
    <row r="4708">
      <c r="A4708" t="inlineStr">
        <is>
          <t>energy use source</t>
        </is>
      </c>
      <c r="B470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709">
      <c r="A4709" t="inlineStr">
        <is>
          <t>comment</t>
        </is>
      </c>
      <c r="B470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710">
      <c r="A4710" t="inlineStr">
        <is>
          <t>Exchanges</t>
        </is>
      </c>
    </row>
    <row r="4711">
      <c r="A4711" t="inlineStr">
        <is>
          <t>name</t>
        </is>
      </c>
      <c r="B4711" t="inlineStr">
        <is>
          <t>amount</t>
        </is>
      </c>
      <c r="C4711" t="inlineStr">
        <is>
          <t>location</t>
        </is>
      </c>
      <c r="D4711" t="inlineStr">
        <is>
          <t>unit</t>
        </is>
      </c>
      <c r="E4711" t="inlineStr">
        <is>
          <t>categories</t>
        </is>
      </c>
      <c r="F4711" t="inlineStr">
        <is>
          <t>type</t>
        </is>
      </c>
      <c r="G4711" t="inlineStr">
        <is>
          <t>reference product</t>
        </is>
      </c>
      <c r="H4711" t="inlineStr">
        <is>
          <t>comment</t>
        </is>
      </c>
      <c r="I4711" t="inlineStr">
        <is>
          <t>uncertainty type</t>
        </is>
      </c>
    </row>
    <row r="4712">
      <c r="A4712" t="inlineStr">
        <is>
          <t>diesel, synthetic, burned in passenger car</t>
        </is>
      </c>
      <c r="B4712">
        <v>1.0</v>
      </c>
      <c r="C4712" t="inlineStr">
        <is>
          <t>RER</t>
        </is>
      </c>
      <c r="D4712" t="inlineStr">
        <is>
          <t>megajoule</t>
        </is>
      </c>
      <c r="F4712" t="inlineStr">
        <is>
          <t>production</t>
        </is>
      </c>
      <c r="G4712" t="inlineStr">
        <is>
          <t>heat</t>
        </is>
      </c>
      <c r="I4712">
        <v>0</v>
      </c>
    </row>
    <row r="4713">
      <c r="A4713" t="inlineStr">
        <is>
          <t>diesel production, synthetic, from Fischer Tropsch process, market-average hydrogen, energy allocation, at fuelling station</t>
        </is>
      </c>
      <c r="B4713">
        <v>0.023255813953488372</v>
      </c>
      <c r="C4713" t="inlineStr">
        <is>
          <t>RER</t>
        </is>
      </c>
      <c r="D4713" t="inlineStr">
        <is>
          <t>kilogram</t>
        </is>
      </c>
      <c r="F4713" t="inlineStr">
        <is>
          <t>technosphere</t>
        </is>
      </c>
      <c r="G4713" t="inlineStr">
        <is>
          <t>diesel, synthetic, vehicle grade</t>
        </is>
      </c>
      <c r="I4713">
        <v>0</v>
      </c>
    </row>
    <row r="4714">
      <c r="A4714" t="inlineStr">
        <is>
          <t>treatment of brake wear emissions, passenger car</t>
        </is>
      </c>
      <c r="B4714">
        <v>-7.967052081550097e-06</v>
      </c>
      <c r="C4714" t="inlineStr">
        <is>
          <t>RER</t>
        </is>
      </c>
      <c r="D4714" t="inlineStr">
        <is>
          <t>kilogram</t>
        </is>
      </c>
      <c r="F4714" t="inlineStr">
        <is>
          <t>technosphere</t>
        </is>
      </c>
      <c r="G4714" t="inlineStr">
        <is>
          <t>brake wear emissions, passenger car</t>
        </is>
      </c>
      <c r="I4714">
        <v>0</v>
      </c>
    </row>
    <row r="4715">
      <c r="A4715" t="inlineStr">
        <is>
          <t>treatment of road wear emissions, passenger car</t>
        </is>
      </c>
      <c r="B4715">
        <v>-9.150770397723165e-06</v>
      </c>
      <c r="C4715" t="inlineStr">
        <is>
          <t>RER</t>
        </is>
      </c>
      <c r="D4715" t="inlineStr">
        <is>
          <t>kilogram</t>
        </is>
      </c>
      <c r="F4715" t="inlineStr">
        <is>
          <t>technosphere</t>
        </is>
      </c>
      <c r="G4715" t="inlineStr">
        <is>
          <t>road wear emissions, passenger car</t>
        </is>
      </c>
      <c r="I4715">
        <v>0</v>
      </c>
    </row>
    <row r="4716">
      <c r="A4716" t="inlineStr">
        <is>
          <t>treatment of tyre wear emissions, passenger car</t>
        </is>
      </c>
      <c r="B4716">
        <v>-1.0568832109350394e-05</v>
      </c>
      <c r="C4716" t="inlineStr">
        <is>
          <t>RER</t>
        </is>
      </c>
      <c r="D4716" t="inlineStr">
        <is>
          <t>kilogram</t>
        </is>
      </c>
      <c r="F4716" t="inlineStr">
        <is>
          <t>technosphere</t>
        </is>
      </c>
      <c r="G4716" t="inlineStr">
        <is>
          <t>tyre wear emissions, passenger car</t>
        </is>
      </c>
      <c r="I4716">
        <v>0</v>
      </c>
    </row>
    <row r="4717">
      <c r="A4717" t="inlineStr">
        <is>
          <t>market for tetrafluoroethane, R134a</t>
        </is>
      </c>
      <c r="B4717">
        <v>3.4832470313950515e-06</v>
      </c>
      <c r="C4717" t="inlineStr">
        <is>
          <t>GLO</t>
        </is>
      </c>
      <c r="D4717" t="inlineStr">
        <is>
          <t>kilogram</t>
        </is>
      </c>
      <c r="F4717" t="inlineStr">
        <is>
          <t>technosphere</t>
        </is>
      </c>
      <c r="G4717" t="inlineStr">
        <is>
          <t>tetrafluoroethane, R134a</t>
        </is>
      </c>
      <c r="I4717">
        <v>0</v>
      </c>
    </row>
    <row r="4718">
      <c r="A4718" t="inlineStr">
        <is>
          <t>Toluene</t>
        </is>
      </c>
      <c r="B4718">
        <v>1.8388993477254683e-09</v>
      </c>
      <c r="D4718" t="inlineStr">
        <is>
          <t>kilogram</t>
        </is>
      </c>
      <c r="E4718" t="inlineStr">
        <is>
          <t>air::non-urban air or from high stacks</t>
        </is>
      </c>
      <c r="F4718" t="inlineStr">
        <is>
          <t>biosphere</t>
        </is>
      </c>
      <c r="I4718">
        <v>0</v>
      </c>
    </row>
    <row r="4719">
      <c r="A4719" t="inlineStr">
        <is>
          <t>NMVOC, non-methane volatile organic compounds</t>
        </is>
      </c>
      <c r="B4719">
        <v>1.4657892889270108e-07</v>
      </c>
      <c r="D4719" t="inlineStr">
        <is>
          <t>kilogram</t>
        </is>
      </c>
      <c r="E4719" t="inlineStr">
        <is>
          <t>air::non-urban air or from high stacks</t>
        </is>
      </c>
      <c r="F4719" t="inlineStr">
        <is>
          <t>biosphere</t>
        </is>
      </c>
      <c r="I4719">
        <v>0</v>
      </c>
    </row>
    <row r="4720">
      <c r="A4720" t="inlineStr">
        <is>
          <t>Dinitrogen monoxide</t>
        </is>
      </c>
      <c r="B4720">
        <v>1.3837910754355256e-06</v>
      </c>
      <c r="D4720" t="inlineStr">
        <is>
          <t>kilogram</t>
        </is>
      </c>
      <c r="E4720" t="inlineStr">
        <is>
          <t>air::non-urban air or from high stacks</t>
        </is>
      </c>
      <c r="F4720" t="inlineStr">
        <is>
          <t>biosphere</t>
        </is>
      </c>
      <c r="I4720">
        <v>0</v>
      </c>
    </row>
    <row r="4721">
      <c r="A4721" t="inlineStr">
        <is>
          <t>Ethane</t>
        </is>
      </c>
      <c r="B4721">
        <v>4.072149787837132e-09</v>
      </c>
      <c r="D4721" t="inlineStr">
        <is>
          <t>kilogram</t>
        </is>
      </c>
      <c r="E4721" t="inlineStr">
        <is>
          <t>air::urban air close to ground</t>
        </is>
      </c>
      <c r="F4721" t="inlineStr">
        <is>
          <t>biosphere</t>
        </is>
      </c>
      <c r="I4721">
        <v>0</v>
      </c>
    </row>
    <row r="4722">
      <c r="A4722" t="inlineStr">
        <is>
          <t>Pentane</t>
        </is>
      </c>
      <c r="B4722">
        <v>4.935939064657017e-10</v>
      </c>
      <c r="D4722" t="inlineStr">
        <is>
          <t>kilogram</t>
        </is>
      </c>
      <c r="E4722" t="inlineStr">
        <is>
          <t>air::urban air close to ground</t>
        </is>
      </c>
      <c r="F4722" t="inlineStr">
        <is>
          <t>biosphere</t>
        </is>
      </c>
      <c r="I4722">
        <v>0</v>
      </c>
    </row>
    <row r="4723">
      <c r="A4723" t="inlineStr">
        <is>
          <t>Selenium IV</t>
        </is>
      </c>
      <c r="B4723">
        <v>1.4312488373385127e-12</v>
      </c>
      <c r="D4723" t="inlineStr">
        <is>
          <t>kilogram</t>
        </is>
      </c>
      <c r="E4723" t="inlineStr">
        <is>
          <t>air::non-urban air or from high stacks</t>
        </is>
      </c>
      <c r="F4723" t="inlineStr">
        <is>
          <t>biosphere</t>
        </is>
      </c>
      <c r="I4723">
        <v>0</v>
      </c>
    </row>
    <row r="4724">
      <c r="A4724" t="inlineStr">
        <is>
          <t>Arsenic ion</t>
        </is>
      </c>
      <c r="B4724">
        <v>1.4312488373385127e-12</v>
      </c>
      <c r="D4724" t="inlineStr">
        <is>
          <t>kilogram</t>
        </is>
      </c>
      <c r="E4724" t="inlineStr">
        <is>
          <t>air::non-urban air or from high stacks</t>
        </is>
      </c>
      <c r="F4724" t="inlineStr">
        <is>
          <t>biosphere</t>
        </is>
      </c>
      <c r="I4724">
        <v>0</v>
      </c>
    </row>
    <row r="4725">
      <c r="A4725" t="inlineStr">
        <is>
          <t>Arsenic ion</t>
        </is>
      </c>
      <c r="B4725">
        <v>8.98750956554421e-13</v>
      </c>
      <c r="D4725" t="inlineStr">
        <is>
          <t>kilogram</t>
        </is>
      </c>
      <c r="E4725" t="inlineStr">
        <is>
          <t>air::urban air close to ground</t>
        </is>
      </c>
      <c r="F4725" t="inlineStr">
        <is>
          <t>biosphere</t>
        </is>
      </c>
      <c r="I4725">
        <v>0</v>
      </c>
    </row>
    <row r="4726">
      <c r="A4726" t="inlineStr">
        <is>
          <t>Propylene</t>
        </is>
      </c>
      <c r="B4726">
        <v>9.594256886963272e-09</v>
      </c>
      <c r="D4726" t="inlineStr">
        <is>
          <t>kilogram</t>
        </is>
      </c>
      <c r="E4726" t="inlineStr">
        <is>
          <t>air::non-urban air or from high stacks</t>
        </is>
      </c>
      <c r="F4726" t="inlineStr">
        <is>
          <t>biosphere</t>
        </is>
      </c>
      <c r="I4726">
        <v>0</v>
      </c>
    </row>
    <row r="4727">
      <c r="A4727" t="inlineStr">
        <is>
          <t>Particulate Matter, &lt; 2.5 um</t>
        </is>
      </c>
      <c r="B4727">
        <v>1.636891619531532e-07</v>
      </c>
      <c r="D4727" t="inlineStr">
        <is>
          <t>kilogram</t>
        </is>
      </c>
      <c r="E4727" t="inlineStr">
        <is>
          <t>air::urban air close to ground</t>
        </is>
      </c>
      <c r="F4727" t="inlineStr">
        <is>
          <t>biosphere</t>
        </is>
      </c>
      <c r="I4727">
        <v>0</v>
      </c>
    </row>
    <row r="4728">
      <c r="A4728" t="inlineStr">
        <is>
          <t>Nickel II</t>
        </is>
      </c>
      <c r="B4728">
        <v>2.856355271045539e-12</v>
      </c>
      <c r="D4728" t="inlineStr">
        <is>
          <t>kilogram</t>
        </is>
      </c>
      <c r="E4728" t="inlineStr">
        <is>
          <t>air::non-urban air or from high stacks</t>
        </is>
      </c>
      <c r="F4728" t="inlineStr">
        <is>
          <t>biosphere</t>
        </is>
      </c>
      <c r="I4728">
        <v>0</v>
      </c>
    </row>
    <row r="4729">
      <c r="A4729" t="inlineStr">
        <is>
          <t>Methane, fossil</t>
        </is>
      </c>
      <c r="B4729">
        <v>2.3985624245130236e-06</v>
      </c>
      <c r="D4729" t="inlineStr">
        <is>
          <t>kilogram</t>
        </is>
      </c>
      <c r="E4729" t="inlineStr">
        <is>
          <t>air::non-urban air or from high stacks</t>
        </is>
      </c>
      <c r="F4729" t="inlineStr">
        <is>
          <t>biosphere</t>
        </is>
      </c>
      <c r="I4729">
        <v>0</v>
      </c>
    </row>
    <row r="4730">
      <c r="A4730" t="inlineStr">
        <is>
          <t>Mercury II</t>
        </is>
      </c>
      <c r="B4730">
        <v>7.555519944566824e-11</v>
      </c>
      <c r="D4730" t="inlineStr">
        <is>
          <t>kilogram</t>
        </is>
      </c>
      <c r="E4730" t="inlineStr">
        <is>
          <t>air::non-urban air or from high stacks</t>
        </is>
      </c>
      <c r="F4730" t="inlineStr">
        <is>
          <t>biosphere</t>
        </is>
      </c>
      <c r="I4730">
        <v>0</v>
      </c>
    </row>
    <row r="4731">
      <c r="A4731" t="inlineStr">
        <is>
          <t>Ammonia</t>
        </is>
      </c>
      <c r="B4731">
        <v>8.515878173642505e-07</v>
      </c>
      <c r="D4731" t="inlineStr">
        <is>
          <t>kilogram</t>
        </is>
      </c>
      <c r="E4731" t="inlineStr">
        <is>
          <t>air::non-urban air or from high stacks</t>
        </is>
      </c>
      <c r="F4731" t="inlineStr">
        <is>
          <t>biosphere</t>
        </is>
      </c>
      <c r="I4731">
        <v>0</v>
      </c>
    </row>
    <row r="4732">
      <c r="A4732" t="inlineStr">
        <is>
          <t>Ethane</t>
        </is>
      </c>
      <c r="B4732">
        <v>8.794736114330666e-10</v>
      </c>
      <c r="D4732" t="inlineStr">
        <is>
          <t>kilogram</t>
        </is>
      </c>
      <c r="E4732" t="inlineStr">
        <is>
          <t>air::non-urban air or from high stacks</t>
        </is>
      </c>
      <c r="F4732" t="inlineStr">
        <is>
          <t>biosphere</t>
        </is>
      </c>
      <c r="I4732">
        <v>0</v>
      </c>
    </row>
    <row r="4733">
      <c r="A4733" t="inlineStr">
        <is>
          <t>Nickel II</t>
        </is>
      </c>
      <c r="B4733">
        <v>1.7936446091257316e-12</v>
      </c>
      <c r="D4733" t="inlineStr">
        <is>
          <t>kilogram</t>
        </is>
      </c>
      <c r="E4733" t="inlineStr">
        <is>
          <t>air::urban air close to ground</t>
        </is>
      </c>
      <c r="F4733" t="inlineStr">
        <is>
          <t>biosphere</t>
        </is>
      </c>
      <c r="I4733">
        <v>0</v>
      </c>
    </row>
    <row r="4734">
      <c r="A4734" t="inlineStr">
        <is>
          <t>Cadmium II</t>
        </is>
      </c>
      <c r="B4734">
        <v>7.12553100652158e-13</v>
      </c>
      <c r="D4734" t="inlineStr">
        <is>
          <t>kilogram</t>
        </is>
      </c>
      <c r="E4734" t="inlineStr">
        <is>
          <t>air::non-urban air or from high stacks</t>
        </is>
      </c>
      <c r="F4734" t="inlineStr">
        <is>
          <t>biosphere</t>
        </is>
      </c>
      <c r="I4734">
        <v>0</v>
      </c>
    </row>
    <row r="4735">
      <c r="A4735" t="inlineStr">
        <is>
          <t>Ammonia</t>
        </is>
      </c>
      <c r="B4735">
        <v>5.347535547726079e-07</v>
      </c>
      <c r="D4735" t="inlineStr">
        <is>
          <t>kilogram</t>
        </is>
      </c>
      <c r="E4735" t="inlineStr">
        <is>
          <t>air::urban air close to ground</t>
        </is>
      </c>
      <c r="F4735" t="inlineStr">
        <is>
          <t>biosphere</t>
        </is>
      </c>
      <c r="I4735">
        <v>0</v>
      </c>
    </row>
    <row r="4736">
      <c r="A4736" t="inlineStr">
        <is>
          <t>Butane</t>
        </is>
      </c>
      <c r="B4736">
        <v>2.9315788039353776e-10</v>
      </c>
      <c r="D4736" t="inlineStr">
        <is>
          <t>kilogram</t>
        </is>
      </c>
      <c r="E4736" t="inlineStr">
        <is>
          <t>air::non-urban air or from high stacks</t>
        </is>
      </c>
      <c r="F4736" t="inlineStr">
        <is>
          <t>biosphere</t>
        </is>
      </c>
      <c r="I4736">
        <v>0</v>
      </c>
    </row>
    <row r="4737">
      <c r="A4737" t="inlineStr">
        <is>
          <t>PAH, polycyclic aromatic hydrocarbons</t>
        </is>
      </c>
      <c r="B4737">
        <v>5.091636535281869e-10</v>
      </c>
      <c r="D4737" t="inlineStr">
        <is>
          <t>kilogram</t>
        </is>
      </c>
      <c r="E4737" t="inlineStr">
        <is>
          <t>air::urban air close to ground</t>
        </is>
      </c>
      <c r="F4737" t="inlineStr">
        <is>
          <t>biosphere</t>
        </is>
      </c>
      <c r="I4737">
        <v>0</v>
      </c>
    </row>
    <row r="4738">
      <c r="A4738" t="inlineStr">
        <is>
          <t>Copper ion</t>
        </is>
      </c>
      <c r="B4738">
        <v>8.16979042710669e-11</v>
      </c>
      <c r="D4738" t="inlineStr">
        <is>
          <t>kilogram</t>
        </is>
      </c>
      <c r="E4738" t="inlineStr">
        <is>
          <t>air::non-urban air or from high stacks</t>
        </is>
      </c>
      <c r="F4738" t="inlineStr">
        <is>
          <t>biosphere</t>
        </is>
      </c>
      <c r="I4738">
        <v>0</v>
      </c>
    </row>
    <row r="4739">
      <c r="A4739" t="inlineStr">
        <is>
          <t>Nitrogen oxides</t>
        </is>
      </c>
      <c r="B4739">
        <v>1.2205207650351623e-05</v>
      </c>
      <c r="D4739" t="inlineStr">
        <is>
          <t>kilogram</t>
        </is>
      </c>
      <c r="E4739" t="inlineStr">
        <is>
          <t>air::non-urban air or from high stacks</t>
        </is>
      </c>
      <c r="F4739" t="inlineStr">
        <is>
          <t>biosphere</t>
        </is>
      </c>
      <c r="I4739">
        <v>0</v>
      </c>
    </row>
    <row r="4740">
      <c r="A4740" t="inlineStr">
        <is>
          <t>Butane</t>
        </is>
      </c>
      <c r="B4740">
        <v>1.3573831832855856e-09</v>
      </c>
      <c r="D4740" t="inlineStr">
        <is>
          <t>kilogram</t>
        </is>
      </c>
      <c r="E4740" t="inlineStr">
        <is>
          <t>air::urban air close to ground</t>
        </is>
      </c>
      <c r="F4740" t="inlineStr">
        <is>
          <t>biosphere</t>
        </is>
      </c>
      <c r="I4740">
        <v>0</v>
      </c>
    </row>
    <row r="4741">
      <c r="A4741" t="inlineStr">
        <is>
          <t>Copper ion</t>
        </is>
      </c>
      <c r="B4741">
        <v>5.130209510040208e-11</v>
      </c>
      <c r="D4741" t="inlineStr">
        <is>
          <t>kilogram</t>
        </is>
      </c>
      <c r="E4741" t="inlineStr">
        <is>
          <t>air::urban air close to ground</t>
        </is>
      </c>
      <c r="F4741" t="inlineStr">
        <is>
          <t>biosphere</t>
        </is>
      </c>
      <c r="I4741">
        <v>0</v>
      </c>
    </row>
    <row r="4742">
      <c r="A4742" t="inlineStr">
        <is>
          <t>Chromium III</t>
        </is>
      </c>
      <c r="B4742">
        <v>7.637454356709601e-11</v>
      </c>
      <c r="D4742" t="inlineStr">
        <is>
          <t>kilogram</t>
        </is>
      </c>
      <c r="E4742" t="inlineStr">
        <is>
          <t>air::urban air close to ground</t>
        </is>
      </c>
      <c r="F4742" t="inlineStr">
        <is>
          <t>biosphere</t>
        </is>
      </c>
      <c r="I4742">
        <v>0</v>
      </c>
    </row>
    <row r="4743">
      <c r="A4743" t="inlineStr">
        <is>
          <t>Propane</t>
        </is>
      </c>
      <c r="B4743">
        <v>1.3573831832855856e-09</v>
      </c>
      <c r="D4743" t="inlineStr">
        <is>
          <t>kilogram</t>
        </is>
      </c>
      <c r="E4743" t="inlineStr">
        <is>
          <t>air::urban air close to ground</t>
        </is>
      </c>
      <c r="F4743" t="inlineStr">
        <is>
          <t>biosphere</t>
        </is>
      </c>
      <c r="I4743">
        <v>0</v>
      </c>
    </row>
    <row r="4744">
      <c r="A4744" t="inlineStr">
        <is>
          <t>Toluene</t>
        </is>
      </c>
      <c r="B4744">
        <v>8.514495184008822e-09</v>
      </c>
      <c r="D4744" t="inlineStr">
        <is>
          <t>kilogram</t>
        </is>
      </c>
      <c r="E4744" t="inlineStr">
        <is>
          <t>air::urban air close to ground</t>
        </is>
      </c>
      <c r="F4744" t="inlineStr">
        <is>
          <t>biosphere</t>
        </is>
      </c>
      <c r="I4744">
        <v>0</v>
      </c>
    </row>
    <row r="4745">
      <c r="A4745" t="inlineStr">
        <is>
          <t>Dinitrogen monoxide</t>
        </is>
      </c>
      <c r="B4745">
        <v>8.68949829854063e-07</v>
      </c>
      <c r="D4745" t="inlineStr">
        <is>
          <t>kilogram</t>
        </is>
      </c>
      <c r="E4745" t="inlineStr">
        <is>
          <t>air::urban air close to ground</t>
        </is>
      </c>
      <c r="F4745" t="inlineStr">
        <is>
          <t>biosphere</t>
        </is>
      </c>
      <c r="I4745">
        <v>0</v>
      </c>
    </row>
    <row r="4746">
      <c r="A4746" t="inlineStr">
        <is>
          <t>Zinc II</t>
        </is>
      </c>
      <c r="B4746">
        <v>1.6162087653443074e-10</v>
      </c>
      <c r="D4746" t="inlineStr">
        <is>
          <t>kilogram</t>
        </is>
      </c>
      <c r="E4746" t="inlineStr">
        <is>
          <t>air::urban air close to ground</t>
        </is>
      </c>
      <c r="F4746" t="inlineStr">
        <is>
          <t>biosphere</t>
        </is>
      </c>
      <c r="I4746">
        <v>0</v>
      </c>
    </row>
    <row r="4747">
      <c r="A4747" t="inlineStr">
        <is>
          <t>Chromium VI</t>
        </is>
      </c>
      <c r="B4747">
        <v>2.426366216798939e-13</v>
      </c>
      <c r="D4747" t="inlineStr">
        <is>
          <t>kilogram</t>
        </is>
      </c>
      <c r="E4747" t="inlineStr">
        <is>
          <t>air::non-urban air or from high stacks</t>
        </is>
      </c>
      <c r="F4747" t="inlineStr">
        <is>
          <t>biosphere</t>
        </is>
      </c>
      <c r="I4747">
        <v>0</v>
      </c>
    </row>
    <row r="4748">
      <c r="A4748" t="inlineStr">
        <is>
          <t>Benzene</t>
        </is>
      </c>
      <c r="B4748">
        <v>2.1320570436842153e-08</v>
      </c>
      <c r="D4748" t="inlineStr">
        <is>
          <t>kilogram</t>
        </is>
      </c>
      <c r="E4748" t="inlineStr">
        <is>
          <t>air::non-urban air or from high stacks</t>
        </is>
      </c>
      <c r="F4748" t="inlineStr">
        <is>
          <t>biosphere</t>
        </is>
      </c>
      <c r="I4748">
        <v>0</v>
      </c>
    </row>
    <row r="4749">
      <c r="A4749" t="inlineStr">
        <is>
          <t>Carbon monoxide, fossil</t>
        </is>
      </c>
      <c r="B4749">
        <v>4.486574608647261e-06</v>
      </c>
      <c r="D4749" t="inlineStr">
        <is>
          <t>kilogram</t>
        </is>
      </c>
      <c r="E4749" t="inlineStr">
        <is>
          <t>air::non-urban air or from high stacks</t>
        </is>
      </c>
      <c r="F4749" t="inlineStr">
        <is>
          <t>biosphere</t>
        </is>
      </c>
      <c r="I4749">
        <v>0</v>
      </c>
    </row>
    <row r="4750">
      <c r="A4750" t="inlineStr">
        <is>
          <t>Chromium VI</t>
        </is>
      </c>
      <c r="B4750">
        <v>1.5236336208114335e-13</v>
      </c>
      <c r="D4750" t="inlineStr">
        <is>
          <t>kilogram</t>
        </is>
      </c>
      <c r="E4750" t="inlineStr">
        <is>
          <t>air::urban air close to ground</t>
        </is>
      </c>
      <c r="F4750" t="inlineStr">
        <is>
          <t>biosphere</t>
        </is>
      </c>
      <c r="I4750">
        <v>0</v>
      </c>
    </row>
    <row r="4751">
      <c r="A4751" t="inlineStr">
        <is>
          <t>Methane, fossil</t>
        </is>
      </c>
      <c r="B4751">
        <v>1.5324029278860158e-06</v>
      </c>
      <c r="D4751" t="inlineStr">
        <is>
          <t>kilogram</t>
        </is>
      </c>
      <c r="E4751" t="inlineStr">
        <is>
          <t>air::urban air close to ground</t>
        </is>
      </c>
      <c r="F4751" t="inlineStr">
        <is>
          <t>biosphere</t>
        </is>
      </c>
      <c r="I4751">
        <v>0</v>
      </c>
    </row>
    <row r="4752">
      <c r="A4752" t="inlineStr">
        <is>
          <t>Sulfur dioxide</t>
        </is>
      </c>
      <c r="B4752">
        <v>4.6773094625996215e-07</v>
      </c>
      <c r="D4752" t="inlineStr">
        <is>
          <t>kilogram</t>
        </is>
      </c>
      <c r="E4752" t="inlineStr">
        <is>
          <t>air</t>
        </is>
      </c>
      <c r="F4752" t="inlineStr">
        <is>
          <t>biosphere</t>
        </is>
      </c>
      <c r="I4752">
        <v>0</v>
      </c>
    </row>
    <row r="4753">
      <c r="A4753" t="inlineStr">
        <is>
          <t>NMVOC, non-methane volatile organic compounds</t>
        </is>
      </c>
      <c r="B4753">
        <v>6.786915792678135e-07</v>
      </c>
      <c r="D4753" t="inlineStr">
        <is>
          <t>kilogram</t>
        </is>
      </c>
      <c r="E4753" t="inlineStr">
        <is>
          <t>air::urban air close to ground</t>
        </is>
      </c>
      <c r="F4753" t="inlineStr">
        <is>
          <t>biosphere</t>
        </is>
      </c>
      <c r="I4753">
        <v>0</v>
      </c>
    </row>
    <row r="4754">
      <c r="A4754" t="inlineStr">
        <is>
          <t>Formaldehyde</t>
        </is>
      </c>
      <c r="B4754">
        <v>1.4807816718010298e-07</v>
      </c>
      <c r="D4754" t="inlineStr">
        <is>
          <t>kilogram</t>
        </is>
      </c>
      <c r="E4754" t="inlineStr">
        <is>
          <t>air::urban air close to ground</t>
        </is>
      </c>
      <c r="F4754" t="inlineStr">
        <is>
          <t>biosphere</t>
        </is>
      </c>
      <c r="I4754">
        <v>0</v>
      </c>
    </row>
    <row r="4755">
      <c r="A4755" t="inlineStr">
        <is>
          <t>Nitrogen oxides</t>
        </is>
      </c>
      <c r="B4755">
        <v>1.6646759692298164e-05</v>
      </c>
      <c r="D4755" t="inlineStr">
        <is>
          <t>kilogram</t>
        </is>
      </c>
      <c r="E4755" t="inlineStr">
        <is>
          <t>air::urban air close to ground</t>
        </is>
      </c>
      <c r="F4755" t="inlineStr">
        <is>
          <t>biosphere</t>
        </is>
      </c>
      <c r="I4755">
        <v>0</v>
      </c>
    </row>
    <row r="4756">
      <c r="A4756" t="inlineStr">
        <is>
          <t>Formaldehyde</t>
        </is>
      </c>
      <c r="B4756">
        <v>3.198085755910623e-08</v>
      </c>
      <c r="D4756" t="inlineStr">
        <is>
          <t>kilogram</t>
        </is>
      </c>
      <c r="E4756" t="inlineStr">
        <is>
          <t>air::non-urban air or from high stacks</t>
        </is>
      </c>
      <c r="F4756" t="inlineStr">
        <is>
          <t>biosphere</t>
        </is>
      </c>
      <c r="I4756">
        <v>0</v>
      </c>
    </row>
    <row r="4757">
      <c r="A4757" t="inlineStr">
        <is>
          <t>Zinc II</t>
        </is>
      </c>
      <c r="B4757">
        <v>2.5737910759022457e-10</v>
      </c>
      <c r="D4757" t="inlineStr">
        <is>
          <t>kilogram</t>
        </is>
      </c>
      <c r="E4757" t="inlineStr">
        <is>
          <t>air::non-urban air or from high stacks</t>
        </is>
      </c>
      <c r="F4757" t="inlineStr">
        <is>
          <t>biosphere</t>
        </is>
      </c>
      <c r="I4757">
        <v>0</v>
      </c>
    </row>
    <row r="4758">
      <c r="A4758" t="inlineStr">
        <is>
          <t>Carbon monoxide, fossil</t>
        </is>
      </c>
      <c r="B4758">
        <v>1.4237602031170576e-05</v>
      </c>
      <c r="D4758" t="inlineStr">
        <is>
          <t>kilogram</t>
        </is>
      </c>
      <c r="E4758" t="inlineStr">
        <is>
          <t>air::urban air close to ground</t>
        </is>
      </c>
      <c r="F4758" t="inlineStr">
        <is>
          <t>biosphere</t>
        </is>
      </c>
      <c r="I4758">
        <v>0</v>
      </c>
    </row>
    <row r="4759">
      <c r="A4759" t="inlineStr">
        <is>
          <t>m-Xylene</t>
        </is>
      </c>
      <c r="B4759">
        <v>7.527306895116669e-09</v>
      </c>
      <c r="D4759" t="inlineStr">
        <is>
          <t>kilogram</t>
        </is>
      </c>
      <c r="E4759" t="inlineStr">
        <is>
          <t>air::urban air close to ground</t>
        </is>
      </c>
      <c r="F4759" t="inlineStr">
        <is>
          <t>biosphere</t>
        </is>
      </c>
      <c r="I4759">
        <v>0</v>
      </c>
    </row>
    <row r="4760">
      <c r="A4760" t="inlineStr">
        <is>
          <t>PAH, polycyclic aromatic hydrocarbons</t>
        </is>
      </c>
      <c r="B4760">
        <v>8.108362635164032e-10</v>
      </c>
      <c r="D4760" t="inlineStr">
        <is>
          <t>kilogram</t>
        </is>
      </c>
      <c r="E4760" t="inlineStr">
        <is>
          <t>air::non-urban air or from high stacks</t>
        </is>
      </c>
      <c r="F4760" t="inlineStr">
        <is>
          <t>biosphere</t>
        </is>
      </c>
      <c r="I4760">
        <v>0</v>
      </c>
    </row>
    <row r="4761">
      <c r="A4761" t="inlineStr">
        <is>
          <t>Particulate Matter, &lt; 2.5 um</t>
        </is>
      </c>
      <c r="B4761">
        <v>1.5058152272837298e-07</v>
      </c>
      <c r="D4761" t="inlineStr">
        <is>
          <t>kilogram</t>
        </is>
      </c>
      <c r="E4761" t="inlineStr">
        <is>
          <t>air::non-urban air or from high stacks</t>
        </is>
      </c>
      <c r="F4761" t="inlineStr">
        <is>
          <t>biosphere</t>
        </is>
      </c>
      <c r="I4761">
        <v>0</v>
      </c>
    </row>
    <row r="4762">
      <c r="A4762" t="inlineStr">
        <is>
          <t>Pentane</t>
        </is>
      </c>
      <c r="B4762">
        <v>1.0660286289332767e-10</v>
      </c>
      <c r="D4762" t="inlineStr">
        <is>
          <t>kilogram</t>
        </is>
      </c>
      <c r="E4762" t="inlineStr">
        <is>
          <t>air::non-urban air or from high stacks</t>
        </is>
      </c>
      <c r="F4762" t="inlineStr">
        <is>
          <t>biosphere</t>
        </is>
      </c>
      <c r="I4762">
        <v>0</v>
      </c>
    </row>
    <row r="4763">
      <c r="A4763" t="inlineStr">
        <is>
          <t>1,1,1,2-Tetrafluoroethane</t>
        </is>
      </c>
      <c r="B4763">
        <v>2.00956556691731e-06</v>
      </c>
      <c r="D4763" t="inlineStr">
        <is>
          <t>kilogram</t>
        </is>
      </c>
      <c r="E4763" t="inlineStr">
        <is>
          <t>air</t>
        </is>
      </c>
      <c r="F4763" t="inlineStr">
        <is>
          <t>biosphere</t>
        </is>
      </c>
      <c r="I4763">
        <v>0</v>
      </c>
    </row>
    <row r="4764">
      <c r="A4764" t="inlineStr">
        <is>
          <t>Acetaldehyde</t>
        </is>
      </c>
      <c r="B4764">
        <v>7.983881383537138e-08</v>
      </c>
      <c r="D4764" t="inlineStr">
        <is>
          <t>kilogram</t>
        </is>
      </c>
      <c r="E4764" t="inlineStr">
        <is>
          <t>air::urban air close to ground</t>
        </is>
      </c>
      <c r="F4764" t="inlineStr">
        <is>
          <t>biosphere</t>
        </is>
      </c>
      <c r="I4764">
        <v>0</v>
      </c>
    </row>
    <row r="4765">
      <c r="A4765" t="inlineStr">
        <is>
          <t>Benzene</t>
        </is>
      </c>
      <c r="B4765">
        <v>2.617468470906676e-08</v>
      </c>
      <c r="D4765" t="inlineStr">
        <is>
          <t>kilogram</t>
        </is>
      </c>
      <c r="E4765" t="inlineStr">
        <is>
          <t>air::urban air close to ground</t>
        </is>
      </c>
      <c r="F4765" t="inlineStr">
        <is>
          <t>biosphere</t>
        </is>
      </c>
      <c r="I4765">
        <v>0</v>
      </c>
    </row>
    <row r="4766">
      <c r="A4766" t="inlineStr">
        <is>
          <t>Mercury II</t>
        </is>
      </c>
      <c r="B4766">
        <v>4.74447939061248e-11</v>
      </c>
      <c r="D4766" t="inlineStr">
        <is>
          <t>kilogram</t>
        </is>
      </c>
      <c r="E4766" t="inlineStr">
        <is>
          <t>air::urban air close to ground</t>
        </is>
      </c>
      <c r="F4766" t="inlineStr">
        <is>
          <t>biosphere</t>
        </is>
      </c>
      <c r="I4766">
        <v>0</v>
      </c>
    </row>
    <row r="4767">
      <c r="A4767" t="inlineStr">
        <is>
          <t>Cadmium II</t>
        </is>
      </c>
      <c r="B4767">
        <v>4.4744682628565553e-13</v>
      </c>
      <c r="D4767" t="inlineStr">
        <is>
          <t>kilogram</t>
        </is>
      </c>
      <c r="E4767" t="inlineStr">
        <is>
          <t>air::urban air close to ground</t>
        </is>
      </c>
      <c r="F4767" t="inlineStr">
        <is>
          <t>biosphere</t>
        </is>
      </c>
      <c r="I4767">
        <v>0</v>
      </c>
    </row>
    <row r="4768">
      <c r="A4768" t="inlineStr">
        <is>
          <t>Propane</t>
        </is>
      </c>
      <c r="B4768">
        <v>2.9315788039353776e-10</v>
      </c>
      <c r="D4768" t="inlineStr">
        <is>
          <t>kilogram</t>
        </is>
      </c>
      <c r="E4768" t="inlineStr">
        <is>
          <t>air::non-urban air or from high stacks</t>
        </is>
      </c>
      <c r="F4768" t="inlineStr">
        <is>
          <t>biosphere</t>
        </is>
      </c>
      <c r="I4768">
        <v>0</v>
      </c>
    </row>
    <row r="4769">
      <c r="A4769" t="inlineStr">
        <is>
          <t>Chromium III</t>
        </is>
      </c>
      <c r="B4769">
        <v>1.2162544101483783e-10</v>
      </c>
      <c r="D4769" t="inlineStr">
        <is>
          <t>kilogram</t>
        </is>
      </c>
      <c r="E4769" t="inlineStr">
        <is>
          <t>air::non-urban air or from high stacks</t>
        </is>
      </c>
      <c r="F4769" t="inlineStr">
        <is>
          <t>biosphere</t>
        </is>
      </c>
      <c r="I4769">
        <v>0</v>
      </c>
    </row>
    <row r="4770">
      <c r="A4770" t="inlineStr">
        <is>
          <t>Acetone</t>
        </is>
      </c>
      <c r="B4770">
        <v>3.627915248219963e-08</v>
      </c>
      <c r="D4770" t="inlineStr">
        <is>
          <t>kilogram</t>
        </is>
      </c>
      <c r="E4770" t="inlineStr">
        <is>
          <t>air::urban air close to ground</t>
        </is>
      </c>
      <c r="F4770" t="inlineStr">
        <is>
          <t>biosphere</t>
        </is>
      </c>
      <c r="I4770">
        <v>0</v>
      </c>
    </row>
    <row r="4771">
      <c r="A4771" t="inlineStr">
        <is>
          <t>Acrolein</t>
        </is>
      </c>
      <c r="B4771">
        <v>4.4176654985650857e-08</v>
      </c>
      <c r="D4771" t="inlineStr">
        <is>
          <t>kilogram</t>
        </is>
      </c>
      <c r="E4771" t="inlineStr">
        <is>
          <t>air::urban air close to ground</t>
        </is>
      </c>
      <c r="F4771" t="inlineStr">
        <is>
          <t>biosphere</t>
        </is>
      </c>
      <c r="I4771">
        <v>0</v>
      </c>
    </row>
    <row r="4772">
      <c r="A4772" t="inlineStr">
        <is>
          <t>Benzaldehyde</t>
        </is>
      </c>
      <c r="B4772">
        <v>1.061226839406165e-08</v>
      </c>
      <c r="D4772" t="inlineStr">
        <is>
          <t>kilogram</t>
        </is>
      </c>
      <c r="E4772" t="inlineStr">
        <is>
          <t>air::urban air close to ground</t>
        </is>
      </c>
      <c r="F4772" t="inlineStr">
        <is>
          <t>biosphere</t>
        </is>
      </c>
      <c r="I4772">
        <v>0</v>
      </c>
    </row>
    <row r="4773">
      <c r="A4773" t="inlineStr">
        <is>
          <t>Cyclohexane</t>
        </is>
      </c>
      <c r="B4773">
        <v>8.020901039562743e-09</v>
      </c>
      <c r="D4773" t="inlineStr">
        <is>
          <t>kilogram</t>
        </is>
      </c>
      <c r="E4773" t="inlineStr">
        <is>
          <t>air::urban air close to ground</t>
        </is>
      </c>
      <c r="F4773" t="inlineStr">
        <is>
          <t>biosphere</t>
        </is>
      </c>
      <c r="I4773">
        <v>0</v>
      </c>
    </row>
    <row r="4774">
      <c r="A4774" t="inlineStr">
        <is>
          <t>Heptane</t>
        </is>
      </c>
      <c r="B4774">
        <v>2.4679695323285083e-09</v>
      </c>
      <c r="D4774" t="inlineStr">
        <is>
          <t>kilogram</t>
        </is>
      </c>
      <c r="E4774" t="inlineStr">
        <is>
          <t>air::urban air close to ground</t>
        </is>
      </c>
      <c r="F4774" t="inlineStr">
        <is>
          <t>biosphere</t>
        </is>
      </c>
      <c r="I4774">
        <v>0</v>
      </c>
    </row>
    <row r="4775">
      <c r="A4775" t="inlineStr">
        <is>
          <t>Methyl ethyl ketone</t>
        </is>
      </c>
      <c r="B4775">
        <v>1.4807816718010298e-08</v>
      </c>
      <c r="D4775" t="inlineStr">
        <is>
          <t>kilogram</t>
        </is>
      </c>
      <c r="E4775" t="inlineStr">
        <is>
          <t>air::urban air close to ground</t>
        </is>
      </c>
      <c r="F4775" t="inlineStr">
        <is>
          <t>biosphere</t>
        </is>
      </c>
      <c r="I4775">
        <v>0</v>
      </c>
    </row>
    <row r="4776">
      <c r="A4776" t="inlineStr">
        <is>
          <t>o-Xylene</t>
        </is>
      </c>
      <c r="B4776">
        <v>3.331758809148392e-09</v>
      </c>
      <c r="D4776" t="inlineStr">
        <is>
          <t>kilogram</t>
        </is>
      </c>
      <c r="E4776" t="inlineStr">
        <is>
          <t>air::urban air close to ground</t>
        </is>
      </c>
      <c r="F4776" t="inlineStr">
        <is>
          <t>biosphere</t>
        </is>
      </c>
      <c r="I4776">
        <v>0</v>
      </c>
    </row>
    <row r="4777">
      <c r="A4777" t="inlineStr">
        <is>
          <t>Propylene</t>
        </is>
      </c>
      <c r="B4777">
        <v>4.4423450154030895e-08</v>
      </c>
      <c r="D4777" t="inlineStr">
        <is>
          <t>kilogram</t>
        </is>
      </c>
      <c r="E4777" t="inlineStr">
        <is>
          <t>air::urban air close to ground</t>
        </is>
      </c>
      <c r="F4777" t="inlineStr">
        <is>
          <t>biosphere</t>
        </is>
      </c>
      <c r="I4777">
        <v>0</v>
      </c>
    </row>
    <row r="4778">
      <c r="A4778" t="inlineStr">
        <is>
          <t>Selenium IV</t>
        </is>
      </c>
      <c r="B4778">
        <v>8.98750956554421e-13</v>
      </c>
      <c r="D4778" t="inlineStr">
        <is>
          <t>kilogram</t>
        </is>
      </c>
      <c r="E4778" t="inlineStr">
        <is>
          <t>air::urban air close to ground</t>
        </is>
      </c>
      <c r="F4778" t="inlineStr">
        <is>
          <t>biosphere</t>
        </is>
      </c>
      <c r="I4778">
        <v>0</v>
      </c>
    </row>
    <row r="4779">
      <c r="A4779" t="inlineStr">
        <is>
          <t>Styrene</t>
        </is>
      </c>
      <c r="B4779">
        <v>4.5657434563224585e-09</v>
      </c>
      <c r="D4779" t="inlineStr">
        <is>
          <t>kilogram</t>
        </is>
      </c>
      <c r="E4779" t="inlineStr">
        <is>
          <t>air::urban air close to ground</t>
        </is>
      </c>
      <c r="F4779" t="inlineStr">
        <is>
          <t>biosphere</t>
        </is>
      </c>
      <c r="I4779">
        <v>0</v>
      </c>
    </row>
    <row r="4780">
      <c r="A4780" t="inlineStr">
        <is>
          <t>Acetaldehyde</t>
        </is>
      </c>
      <c r="B4780">
        <v>1.7243010879114162e-08</v>
      </c>
      <c r="D4780" t="inlineStr">
        <is>
          <t>kilogram</t>
        </is>
      </c>
      <c r="E4780" t="inlineStr">
        <is>
          <t>air::non-urban air or from high stacks</t>
        </is>
      </c>
      <c r="F4780" t="inlineStr">
        <is>
          <t>biosphere</t>
        </is>
      </c>
      <c r="I4780">
        <v>0</v>
      </c>
    </row>
    <row r="4781">
      <c r="A4781" t="inlineStr">
        <is>
          <t>Acetone</t>
        </is>
      </c>
      <c r="B4781">
        <v>7.835309664097135e-09</v>
      </c>
      <c r="D4781" t="inlineStr">
        <is>
          <t>kilogram</t>
        </is>
      </c>
      <c r="E4781" t="inlineStr">
        <is>
          <t>air::non-urban air or from high stacks</t>
        </is>
      </c>
      <c r="F4781" t="inlineStr">
        <is>
          <t>biosphere</t>
        </is>
      </c>
      <c r="I4781">
        <v>0</v>
      </c>
    </row>
    <row r="4782">
      <c r="A4782" t="inlineStr">
        <is>
          <t>Acrolein</t>
        </is>
      </c>
      <c r="B4782">
        <v>9.540955946351132e-09</v>
      </c>
      <c r="D4782" t="inlineStr">
        <is>
          <t>kilogram</t>
        </is>
      </c>
      <c r="E4782" t="inlineStr">
        <is>
          <t>air::non-urban air or from high stacks</t>
        </is>
      </c>
      <c r="F4782" t="inlineStr">
        <is>
          <t>biosphere</t>
        </is>
      </c>
      <c r="I4782">
        <v>0</v>
      </c>
    </row>
    <row r="4783">
      <c r="A4783" t="inlineStr">
        <is>
          <t>Benzaldehyde</t>
        </is>
      </c>
      <c r="B4783">
        <v>2.291961388595036e-09</v>
      </c>
      <c r="D4783" t="inlineStr">
        <is>
          <t>kilogram</t>
        </is>
      </c>
      <c r="E4783" t="inlineStr">
        <is>
          <t>air::non-urban air or from high stacks</t>
        </is>
      </c>
      <c r="F4783" t="inlineStr">
        <is>
          <t>biosphere</t>
        </is>
      </c>
      <c r="I4783">
        <v>0</v>
      </c>
    </row>
    <row r="4784">
      <c r="A4784" t="inlineStr">
        <is>
          <t>Cyclohexane</t>
        </is>
      </c>
      <c r="B4784">
        <v>1.7322965145796874e-09</v>
      </c>
      <c r="D4784" t="inlineStr">
        <is>
          <t>kilogram</t>
        </is>
      </c>
      <c r="E4784" t="inlineStr">
        <is>
          <t>air::non-urban air or from high stacks</t>
        </is>
      </c>
      <c r="F4784" t="inlineStr">
        <is>
          <t>biosphere</t>
        </is>
      </c>
      <c r="I4784">
        <v>0</v>
      </c>
    </row>
    <row r="4785">
      <c r="A4785" t="inlineStr">
        <is>
          <t>Heptane</t>
        </is>
      </c>
      <c r="B4785">
        <v>5.330142847190914e-10</v>
      </c>
      <c r="D4785" t="inlineStr">
        <is>
          <t>kilogram</t>
        </is>
      </c>
      <c r="E4785" t="inlineStr">
        <is>
          <t>air::non-urban air or from high stacks</t>
        </is>
      </c>
      <c r="F4785" t="inlineStr">
        <is>
          <t>biosphere</t>
        </is>
      </c>
      <c r="I4785">
        <v>0</v>
      </c>
    </row>
    <row r="4786">
      <c r="A4786" t="inlineStr">
        <is>
          <t>Methyl ethyl ketone</t>
        </is>
      </c>
      <c r="B4786">
        <v>3.198085708314548e-09</v>
      </c>
      <c r="D4786" t="inlineStr">
        <is>
          <t>kilogram</t>
        </is>
      </c>
      <c r="E4786" t="inlineStr">
        <is>
          <t>air::non-urban air or from high stacks</t>
        </is>
      </c>
      <c r="F4786" t="inlineStr">
        <is>
          <t>biosphere</t>
        </is>
      </c>
      <c r="I4786">
        <v>0</v>
      </c>
    </row>
    <row r="4787">
      <c r="A4787" t="inlineStr">
        <is>
          <t>m-Xylene</t>
        </is>
      </c>
      <c r="B4787">
        <v>1.6256935624437191e-09</v>
      </c>
      <c r="D4787" t="inlineStr">
        <is>
          <t>kilogram</t>
        </is>
      </c>
      <c r="E4787" t="inlineStr">
        <is>
          <t>air::non-urban air or from high stacks</t>
        </is>
      </c>
      <c r="F4787" t="inlineStr">
        <is>
          <t>biosphere</t>
        </is>
      </c>
      <c r="I4787">
        <v>0</v>
      </c>
    </row>
    <row r="4788">
      <c r="A4788" t="inlineStr">
        <is>
          <t>o-Xylene</t>
        </is>
      </c>
      <c r="B4788">
        <v>7.195693022193013e-10</v>
      </c>
      <c r="D4788" t="inlineStr">
        <is>
          <t>kilogram</t>
        </is>
      </c>
      <c r="E4788" t="inlineStr">
        <is>
          <t>air::non-urban air or from high stacks</t>
        </is>
      </c>
      <c r="F4788" t="inlineStr">
        <is>
          <t>biosphere</t>
        </is>
      </c>
      <c r="I4788">
        <v>0</v>
      </c>
    </row>
    <row r="4789">
      <c r="A4789" t="inlineStr">
        <is>
          <t>Styrene</t>
        </is>
      </c>
      <c r="B4789">
        <v>9.86076444578847e-10</v>
      </c>
      <c r="D4789" t="inlineStr">
        <is>
          <t>kilogram</t>
        </is>
      </c>
      <c r="E4789" t="inlineStr">
        <is>
          <t>air::non-urban air or from high stacks</t>
        </is>
      </c>
      <c r="F4789" t="inlineStr">
        <is>
          <t>biosphere</t>
        </is>
      </c>
      <c r="I4789">
        <v>0</v>
      </c>
    </row>
    <row r="4790">
      <c r="A4790" t="inlineStr">
        <is>
          <t>Ethylene</t>
        </is>
      </c>
      <c r="B4790">
        <v>1.3536812652791e-07</v>
      </c>
      <c r="D4790" t="inlineStr">
        <is>
          <t>kilogram</t>
        </is>
      </c>
      <c r="E4790" t="inlineStr">
        <is>
          <t>air::urban air close to ground</t>
        </is>
      </c>
      <c r="F4790" t="inlineStr">
        <is>
          <t>biosphere</t>
        </is>
      </c>
      <c r="I4790">
        <v>0</v>
      </c>
    </row>
    <row r="4791">
      <c r="A4791" t="inlineStr">
        <is>
          <t>Ethylene</t>
        </is>
      </c>
      <c r="B4791">
        <v>2.923583389166125e-08</v>
      </c>
      <c r="D4791" t="inlineStr">
        <is>
          <t>kilogram</t>
        </is>
      </c>
      <c r="E4791" t="inlineStr">
        <is>
          <t>air::non-urban air or from high stacks</t>
        </is>
      </c>
      <c r="F4791" t="inlineStr">
        <is>
          <t>biosphere</t>
        </is>
      </c>
      <c r="I4791">
        <v>0</v>
      </c>
    </row>
    <row r="4792">
      <c r="A4792" t="inlineStr">
        <is>
          <t>market for internal combustion engine, passenger car</t>
        </is>
      </c>
      <c r="B4792">
        <v>0.0007866161325923368</v>
      </c>
      <c r="C4792" t="inlineStr">
        <is>
          <t>GLO</t>
        </is>
      </c>
      <c r="D4792" t="inlineStr">
        <is>
          <t>kilogram</t>
        </is>
      </c>
      <c r="F4792" t="inlineStr">
        <is>
          <t>technosphere</t>
        </is>
      </c>
      <c r="G4792" t="inlineStr">
        <is>
          <t>internal combustion engine, passenger car</t>
        </is>
      </c>
      <c r="H4792" t="inlineStr">
        <is>
          <t> Energy-use allocation: 293.5769348144531 * 4.999999873689376e-06 / 1.866074920371751 MJ per kilometer.</t>
        </is>
      </c>
      <c r="I4792">
        <v>0</v>
      </c>
    </row>
    <row r="4793">
      <c r="A4793" t="inlineStr">
        <is>
          <t>market for waste plastic, industrial electronics</t>
        </is>
      </c>
      <c r="B4793">
        <v>-0.00013127930051786527</v>
      </c>
      <c r="C4793" t="inlineStr">
        <is>
          <t>CH</t>
        </is>
      </c>
      <c r="D4793" t="inlineStr">
        <is>
          <t>kilogram</t>
        </is>
      </c>
      <c r="F4793" t="inlineStr">
        <is>
          <t>technosphere</t>
        </is>
      </c>
      <c r="G4793" t="inlineStr">
        <is>
          <t>waste plastic, industrial electronics</t>
        </is>
      </c>
      <c r="H4793" t="inlineStr">
        <is>
          <t> Energy-use allocation: -48.99540328979492 * 4.999999873689376e-06 / 1.866074920371751 MJ per kilometer.</t>
        </is>
      </c>
      <c r="I4793">
        <v>0</v>
      </c>
    </row>
    <row r="4794">
      <c r="A4794" t="inlineStr">
        <is>
          <t>polyethylene production, high density, granulate</t>
        </is>
      </c>
      <c r="B4794">
        <v>0.00013127930051786527</v>
      </c>
      <c r="C4794" t="inlineStr">
        <is>
          <t>RER</t>
        </is>
      </c>
      <c r="D4794" t="inlineStr">
        <is>
          <t>kilogram</t>
        </is>
      </c>
      <c r="F4794" t="inlineStr">
        <is>
          <t>technosphere</t>
        </is>
      </c>
      <c r="G4794" t="inlineStr">
        <is>
          <t>polyethylene, high density, granulate</t>
        </is>
      </c>
      <c r="H4794" t="inlineStr">
        <is>
          <t> Energy-use allocation: 48.99540328979492 * 4.999999873689376e-06 / 1.866074920371751 MJ per kilometer.</t>
        </is>
      </c>
      <c r="I4794">
        <v>0</v>
      </c>
    </row>
    <row r="4795">
      <c r="A4795" t="inlineStr">
        <is>
          <t>Carbon dioxide, non-fossil</t>
        </is>
      </c>
      <c r="B4795">
        <v>0.0732</v>
      </c>
      <c r="D4795" t="inlineStr">
        <is>
          <t>kilogram</t>
        </is>
      </c>
      <c r="E4795" t="inlineStr">
        <is>
          <t>air::urban air close to ground</t>
        </is>
      </c>
      <c r="F4795" t="inlineStr">
        <is>
          <t>biosphere</t>
        </is>
      </c>
      <c r="I4795">
        <v>0</v>
      </c>
    </row>
    <row r="4796"/>
    <row r="4797">
      <c r="A4797" t="inlineStr">
        <is>
          <t>Activity</t>
        </is>
      </c>
      <c r="B4797" t="inlineStr">
        <is>
          <t>petrol, burned in passenger car</t>
        </is>
      </c>
    </row>
    <row r="4798">
      <c r="A4798" t="inlineStr">
        <is>
          <t>location</t>
        </is>
      </c>
      <c r="B4798" t="inlineStr">
        <is>
          <t>RER</t>
        </is>
      </c>
    </row>
    <row r="4799">
      <c r="A4799" t="inlineStr">
        <is>
          <t>production amount</t>
        </is>
      </c>
      <c r="B4799">
        <v>1</v>
      </c>
    </row>
    <row r="4800">
      <c r="A4800" t="inlineStr">
        <is>
          <t>reference product</t>
        </is>
      </c>
      <c r="B4800" t="inlineStr">
        <is>
          <t>heat</t>
        </is>
      </c>
    </row>
    <row r="4801">
      <c r="A4801" t="inlineStr">
        <is>
          <t>type</t>
        </is>
      </c>
      <c r="B4801" t="inlineStr">
        <is>
          <t>process</t>
        </is>
      </c>
    </row>
    <row r="4802">
      <c r="A4802" t="inlineStr">
        <is>
          <t>unit</t>
        </is>
      </c>
      <c r="B4802" t="inlineStr">
        <is>
          <t>megajoule</t>
        </is>
      </c>
    </row>
    <row r="4803">
      <c r="A4803" t="inlineStr">
        <is>
          <t>Power, mean</t>
        </is>
      </c>
      <c r="B4803">
        <v>126</v>
      </c>
    </row>
    <row r="4804">
      <c r="A4804" t="inlineStr">
        <is>
          <t>Power, min</t>
        </is>
      </c>
      <c r="B4804">
        <v>54</v>
      </c>
    </row>
    <row r="4805">
      <c r="A4805" t="inlineStr">
        <is>
          <t>Power, max</t>
        </is>
      </c>
      <c r="B4805">
        <v>158</v>
      </c>
    </row>
    <row r="4806">
      <c r="A4806" t="inlineStr">
        <is>
          <t>Lifetime, mean</t>
        </is>
      </c>
      <c r="B4806">
        <v>200000</v>
      </c>
    </row>
    <row r="4807">
      <c r="A4807" t="inlineStr">
        <is>
          <t>Lifetime, min</t>
        </is>
      </c>
      <c r="B4807">
        <v>160000</v>
      </c>
    </row>
    <row r="4808">
      <c r="A4808" t="inlineStr">
        <is>
          <t>Lifetime, max</t>
        </is>
      </c>
      <c r="B4808">
        <v>250000</v>
      </c>
    </row>
    <row r="4809">
      <c r="A4809" t="inlineStr">
        <is>
          <t>Energy use, mean</t>
        </is>
      </c>
      <c r="B4809">
        <v>2330</v>
      </c>
    </row>
    <row r="4810">
      <c r="A4810" t="inlineStr">
        <is>
          <t>Energy use, min</t>
        </is>
      </c>
      <c r="B4810">
        <v>1530</v>
      </c>
    </row>
    <row r="4811">
      <c r="A4811" t="inlineStr">
        <is>
          <t>Energy use, max</t>
        </is>
      </c>
      <c r="B4811">
        <v>3000</v>
      </c>
    </row>
    <row r="4812">
      <c r="A4812" t="inlineStr">
        <is>
          <t>Electric motor, mean</t>
        </is>
      </c>
      <c r="B4812">
        <v>0</v>
      </c>
    </row>
    <row r="4813">
      <c r="A4813" t="inlineStr">
        <is>
          <t>Electric motor, min</t>
        </is>
      </c>
      <c r="B4813">
        <v>0</v>
      </c>
    </row>
    <row r="4814">
      <c r="A4814" t="inlineStr">
        <is>
          <t>Electric motor, max</t>
        </is>
      </c>
      <c r="B4814">
        <v>0</v>
      </c>
    </row>
    <row r="4815">
      <c r="A4815" t="inlineStr">
        <is>
          <t>Combustion engine, mean</t>
        </is>
      </c>
      <c r="B4815">
        <v>146</v>
      </c>
    </row>
    <row r="4816">
      <c r="A4816" t="inlineStr">
        <is>
          <t>Combustion engine, min</t>
        </is>
      </c>
      <c r="B4816">
        <v>96</v>
      </c>
    </row>
    <row r="4817">
      <c r="A4817" t="inlineStr">
        <is>
          <t>Combustion engine, max</t>
        </is>
      </c>
      <c r="B4817">
        <v>168</v>
      </c>
    </row>
    <row r="4818">
      <c r="A4818" t="inlineStr">
        <is>
          <t>Fuel tank, mean</t>
        </is>
      </c>
      <c r="B4818">
        <v>48</v>
      </c>
    </row>
    <row r="4819">
      <c r="A4819" t="inlineStr">
        <is>
          <t>Fuel tank, min</t>
        </is>
      </c>
      <c r="B4819">
        <v>30</v>
      </c>
    </row>
    <row r="4820">
      <c r="A4820" t="inlineStr">
        <is>
          <t>Fuel tank, max</t>
        </is>
      </c>
      <c r="B4820">
        <v>48</v>
      </c>
    </row>
    <row r="4821">
      <c r="A4821" t="inlineStr">
        <is>
          <t>Battery capacity, mean</t>
        </is>
      </c>
      <c r="B4821">
        <v>0</v>
      </c>
    </row>
    <row r="4822">
      <c r="A4822" t="inlineStr">
        <is>
          <t>Battery capacity, min</t>
        </is>
      </c>
      <c r="B4822">
        <v>0</v>
      </c>
    </row>
    <row r="4823">
      <c r="A4823" t="inlineStr">
        <is>
          <t>Battery capacity, max</t>
        </is>
      </c>
      <c r="B4823">
        <v>0</v>
      </c>
    </row>
    <row r="4824">
      <c r="A4824" t="inlineStr">
        <is>
          <t>Battery replacement, mean</t>
        </is>
      </c>
      <c r="B4824">
        <v>0</v>
      </c>
    </row>
    <row r="4825">
      <c r="A4825" t="inlineStr">
        <is>
          <t>Battery replacement, min</t>
        </is>
      </c>
      <c r="B4825">
        <v>0</v>
      </c>
    </row>
    <row r="4826">
      <c r="A4826" t="inlineStr">
        <is>
          <t>Battery replacement, max</t>
        </is>
      </c>
      <c r="B4826">
        <v>0</v>
      </c>
    </row>
    <row r="4827">
      <c r="A4827" t="inlineStr">
        <is>
          <t>Fuel cell system, mean</t>
        </is>
      </c>
      <c r="B4827">
        <v>0</v>
      </c>
    </row>
    <row r="4828">
      <c r="A4828" t="inlineStr">
        <is>
          <t>Fuel cell system, min</t>
        </is>
      </c>
      <c r="B4828">
        <v>0</v>
      </c>
    </row>
    <row r="4829">
      <c r="A4829" t="inlineStr">
        <is>
          <t>Fuel cell system, max</t>
        </is>
      </c>
      <c r="B4829">
        <v>0</v>
      </c>
    </row>
    <row r="4830">
      <c r="A4830" t="inlineStr">
        <is>
          <t>Fuel cell stack replacement, mean</t>
        </is>
      </c>
      <c r="B4830">
        <v>0</v>
      </c>
    </row>
    <row r="4831">
      <c r="A4831" t="inlineStr">
        <is>
          <t>Fuel cell replacement, min</t>
        </is>
      </c>
      <c r="B4831">
        <v>0</v>
      </c>
    </row>
    <row r="4832">
      <c r="A4832" t="inlineStr">
        <is>
          <t>Fuel cell replacement, max</t>
        </is>
      </c>
      <c r="B4832">
        <v>0</v>
      </c>
    </row>
    <row r="4833">
      <c r="A4833" t="inlineStr">
        <is>
          <t>Onboard charger mass</t>
        </is>
      </c>
      <c r="B4833">
        <v>0</v>
      </c>
    </row>
    <row r="4834">
      <c r="A4834" t="inlineStr">
        <is>
          <t>Controller mass</t>
        </is>
      </c>
      <c r="B4834">
        <v>0</v>
      </c>
    </row>
    <row r="4835">
      <c r="A4835" t="inlineStr">
        <is>
          <t>Converter mass</t>
        </is>
      </c>
      <c r="B4835">
        <v>0</v>
      </c>
    </row>
    <row r="4836">
      <c r="A4836" t="inlineStr">
        <is>
          <t>Electrical powertrain mass</t>
        </is>
      </c>
      <c r="B4836">
        <v>0</v>
      </c>
    </row>
    <row r="4837">
      <c r="A4837" t="inlineStr">
        <is>
          <t>Inverter mass</t>
        </is>
      </c>
      <c r="B4837">
        <v>0</v>
      </c>
    </row>
    <row r="4838">
      <c r="A4838" t="inlineStr">
        <is>
          <t>NOx</t>
        </is>
      </c>
      <c r="B4838">
        <v>0.03</v>
      </c>
    </row>
    <row r="4839">
      <c r="A4839" t="inlineStr">
        <is>
          <t>PM 2.5</t>
        </is>
      </c>
      <c r="B4839">
        <v>0.000143099</v>
      </c>
    </row>
    <row r="4840">
      <c r="A4840" t="inlineStr">
        <is>
          <t>energy use source</t>
        </is>
      </c>
      <c r="B484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4841">
      <c r="A4841" t="inlineStr">
        <is>
          <t>comment</t>
        </is>
      </c>
      <c r="B484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42">
      <c r="A4842" t="inlineStr">
        <is>
          <t>Exchanges</t>
        </is>
      </c>
    </row>
    <row r="4843">
      <c r="A4843" t="inlineStr">
        <is>
          <t>name</t>
        </is>
      </c>
      <c r="B4843" t="inlineStr">
        <is>
          <t>amount</t>
        </is>
      </c>
      <c r="C4843" t="inlineStr">
        <is>
          <t>location</t>
        </is>
      </c>
      <c r="D4843" t="inlineStr">
        <is>
          <t>unit</t>
        </is>
      </c>
      <c r="E4843" t="inlineStr">
        <is>
          <t>categories</t>
        </is>
      </c>
      <c r="F4843" t="inlineStr">
        <is>
          <t>type</t>
        </is>
      </c>
      <c r="G4843" t="inlineStr">
        <is>
          <t>reference product</t>
        </is>
      </c>
      <c r="H4843" t="inlineStr">
        <is>
          <t>comment</t>
        </is>
      </c>
      <c r="I4843" t="inlineStr">
        <is>
          <t>uncertainty type</t>
        </is>
      </c>
    </row>
    <row r="4844">
      <c r="A4844" t="inlineStr">
        <is>
          <t>petrol, burned in passenger car</t>
        </is>
      </c>
      <c r="B4844">
        <v>1.0</v>
      </c>
      <c r="C4844" t="inlineStr">
        <is>
          <t>RER</t>
        </is>
      </c>
      <c r="D4844" t="inlineStr">
        <is>
          <t>megajoule</t>
        </is>
      </c>
      <c r="F4844" t="inlineStr">
        <is>
          <t>production</t>
        </is>
      </c>
      <c r="G4844" t="inlineStr">
        <is>
          <t>heat</t>
        </is>
      </c>
      <c r="I4844">
        <v>0</v>
      </c>
    </row>
    <row r="4845">
      <c r="A4845" t="inlineStr">
        <is>
          <t>market for petrol, low-sulfur</t>
        </is>
      </c>
      <c r="B4845">
        <v>0.023474178403755867</v>
      </c>
      <c r="C4845" t="inlineStr">
        <is>
          <t>Europe without Switzerland</t>
        </is>
      </c>
      <c r="D4845" t="inlineStr">
        <is>
          <t>kilogram</t>
        </is>
      </c>
      <c r="F4845" t="inlineStr">
        <is>
          <t>technosphere</t>
        </is>
      </c>
      <c r="G4845" t="inlineStr">
        <is>
          <t>petrol, low-sulfur</t>
        </is>
      </c>
      <c r="H4845" t="inlineStr">
        <is>
          <t>Default carculator fuel energy preserved (2.70629967951 MJ/vkm); premise reference LHV 42.6 MJ/kg. Regional scenario blend belongs to premise.</t>
        </is>
      </c>
      <c r="I4845">
        <v>0</v>
      </c>
    </row>
    <row r="4846">
      <c r="A4846" t="inlineStr">
        <is>
          <t>treatment of brake wear emissions, passenger car</t>
        </is>
      </c>
      <c r="B4846">
        <v>-5.438002312680902e-06</v>
      </c>
      <c r="C4846" t="inlineStr">
        <is>
          <t>RER</t>
        </is>
      </c>
      <c r="D4846" t="inlineStr">
        <is>
          <t>kilogram</t>
        </is>
      </c>
      <c r="F4846" t="inlineStr">
        <is>
          <t>technosphere</t>
        </is>
      </c>
      <c r="G4846" t="inlineStr">
        <is>
          <t>brake wear emissions, passenger car</t>
        </is>
      </c>
      <c r="I4846">
        <v>0</v>
      </c>
    </row>
    <row r="4847">
      <c r="A4847" t="inlineStr">
        <is>
          <t>treatment of road wear emissions, passenger car</t>
        </is>
      </c>
      <c r="B4847">
        <v>-6.242977641245232e-06</v>
      </c>
      <c r="C4847" t="inlineStr">
        <is>
          <t>RER</t>
        </is>
      </c>
      <c r="D4847" t="inlineStr">
        <is>
          <t>kilogram</t>
        </is>
      </c>
      <c r="F4847" t="inlineStr">
        <is>
          <t>technosphere</t>
        </is>
      </c>
      <c r="G4847" t="inlineStr">
        <is>
          <t>road wear emissions, passenger car</t>
        </is>
      </c>
      <c r="I4847">
        <v>0</v>
      </c>
    </row>
    <row r="4848">
      <c r="A4848" t="inlineStr">
        <is>
          <t>treatment of tyre wear emissions, passenger car</t>
        </is>
      </c>
      <c r="B4848">
        <v>-7.228598070295418e-06</v>
      </c>
      <c r="C4848" t="inlineStr">
        <is>
          <t>RER</t>
        </is>
      </c>
      <c r="D4848" t="inlineStr">
        <is>
          <t>kilogram</t>
        </is>
      </c>
      <c r="F4848" t="inlineStr">
        <is>
          <t>technosphere</t>
        </is>
      </c>
      <c r="G4848" t="inlineStr">
        <is>
          <t>tyre wear emissions, passenger car</t>
        </is>
      </c>
      <c r="I4848">
        <v>0</v>
      </c>
    </row>
    <row r="4849">
      <c r="A4849" t="inlineStr">
        <is>
          <t>market for tetrafluoroethane, R134a</t>
        </is>
      </c>
      <c r="B4849">
        <v>2.4018034573062128e-06</v>
      </c>
      <c r="C4849" t="inlineStr">
        <is>
          <t>GLO</t>
        </is>
      </c>
      <c r="D4849" t="inlineStr">
        <is>
          <t>kilogram</t>
        </is>
      </c>
      <c r="F4849" t="inlineStr">
        <is>
          <t>technosphere</t>
        </is>
      </c>
      <c r="G4849" t="inlineStr">
        <is>
          <t>tetrafluoroethane, R134a</t>
        </is>
      </c>
      <c r="I4849">
        <v>0</v>
      </c>
    </row>
    <row r="4850">
      <c r="A4850" t="inlineStr">
        <is>
          <t>Toluene</t>
        </is>
      </c>
      <c r="B4850">
        <v>8.485774790285088e-08</v>
      </c>
      <c r="D4850" t="inlineStr">
        <is>
          <t>kilogram</t>
        </is>
      </c>
      <c r="E4850" t="inlineStr">
        <is>
          <t>air::non-urban air or from high stacks</t>
        </is>
      </c>
      <c r="F4850" t="inlineStr">
        <is>
          <t>biosphere</t>
        </is>
      </c>
      <c r="I4850">
        <v>0</v>
      </c>
    </row>
    <row r="4851">
      <c r="A4851" t="inlineStr">
        <is>
          <t>NMVOC, non-methane volatile organic compounds</t>
        </is>
      </c>
      <c r="B4851">
        <v>3.1778359610804548e-06</v>
      </c>
      <c r="D4851" t="inlineStr">
        <is>
          <t>kilogram</t>
        </is>
      </c>
      <c r="E4851" t="inlineStr">
        <is>
          <t>air::non-urban air or from high stacks</t>
        </is>
      </c>
      <c r="F4851" t="inlineStr">
        <is>
          <t>biosphere</t>
        </is>
      </c>
      <c r="I4851">
        <v>0</v>
      </c>
    </row>
    <row r="4852">
      <c r="A4852" t="inlineStr">
        <is>
          <t>Dinitrogen monoxide</t>
        </is>
      </c>
      <c r="B4852">
        <v>4.674883409401355e-08</v>
      </c>
      <c r="D4852" t="inlineStr">
        <is>
          <t>kilogram</t>
        </is>
      </c>
      <c r="E4852" t="inlineStr">
        <is>
          <t>air::non-urban air or from high stacks</t>
        </is>
      </c>
      <c r="F4852" t="inlineStr">
        <is>
          <t>biosphere</t>
        </is>
      </c>
      <c r="I4852">
        <v>0</v>
      </c>
    </row>
    <row r="4853">
      <c r="A4853" t="inlineStr">
        <is>
          <t>Ethane</t>
        </is>
      </c>
      <c r="B4853">
        <v>6.178202979323652e-07</v>
      </c>
      <c r="D4853" t="inlineStr">
        <is>
          <t>kilogram</t>
        </is>
      </c>
      <c r="E4853" t="inlineStr">
        <is>
          <t>air::urban air close to ground</t>
        </is>
      </c>
      <c r="F4853" t="inlineStr">
        <is>
          <t>biosphere</t>
        </is>
      </c>
      <c r="I4853">
        <v>0</v>
      </c>
    </row>
    <row r="4854">
      <c r="A4854" t="inlineStr">
        <is>
          <t>Pentane</t>
        </is>
      </c>
      <c r="B4854">
        <v>4.2475143382439017e-07</v>
      </c>
      <c r="D4854" t="inlineStr">
        <is>
          <t>kilogram</t>
        </is>
      </c>
      <c r="E4854" t="inlineStr">
        <is>
          <t>air::urban air close to ground</t>
        </is>
      </c>
      <c r="F4854" t="inlineStr">
        <is>
          <t>biosphere</t>
        </is>
      </c>
      <c r="I4854">
        <v>0</v>
      </c>
    </row>
    <row r="4855">
      <c r="A4855" t="inlineStr">
        <is>
          <t>Selenium IV</t>
        </is>
      </c>
      <c r="B4855">
        <v>2.6658564722165628e-12</v>
      </c>
      <c r="D4855" t="inlineStr">
        <is>
          <t>kilogram</t>
        </is>
      </c>
      <c r="E4855" t="inlineStr">
        <is>
          <t>air::non-urban air or from high stacks</t>
        </is>
      </c>
      <c r="F4855" t="inlineStr">
        <is>
          <t>biosphere</t>
        </is>
      </c>
      <c r="I4855">
        <v>0</v>
      </c>
    </row>
    <row r="4856">
      <c r="A4856" t="inlineStr">
        <is>
          <t>Arsenic ion</t>
        </is>
      </c>
      <c r="B4856">
        <v>4.001626718125109e-12</v>
      </c>
      <c r="D4856" t="inlineStr">
        <is>
          <t>kilogram</t>
        </is>
      </c>
      <c r="E4856" t="inlineStr">
        <is>
          <t>air::non-urban air or from high stacks</t>
        </is>
      </c>
      <c r="F4856" t="inlineStr">
        <is>
          <t>biosphere</t>
        </is>
      </c>
      <c r="I4856">
        <v>0</v>
      </c>
    </row>
    <row r="4857">
      <c r="A4857" t="inlineStr">
        <is>
          <t>Arsenic ion</t>
        </is>
      </c>
      <c r="B4857">
        <v>3.038373047003884e-12</v>
      </c>
      <c r="D4857" t="inlineStr">
        <is>
          <t>kilogram</t>
        </is>
      </c>
      <c r="E4857" t="inlineStr">
        <is>
          <t>air::urban air close to ground</t>
        </is>
      </c>
      <c r="F4857" t="inlineStr">
        <is>
          <t>biosphere</t>
        </is>
      </c>
      <c r="I4857">
        <v>0</v>
      </c>
    </row>
    <row r="4858">
      <c r="A4858" t="inlineStr">
        <is>
          <t>Propylene</t>
        </is>
      </c>
      <c r="B4858">
        <v>2.9314492534191425e-08</v>
      </c>
      <c r="D4858" t="inlineStr">
        <is>
          <t>kilogram</t>
        </is>
      </c>
      <c r="E4858" t="inlineStr">
        <is>
          <t>air::non-urban air or from high stacks</t>
        </is>
      </c>
      <c r="F4858" t="inlineStr">
        <is>
          <t>biosphere</t>
        </is>
      </c>
      <c r="I4858">
        <v>0</v>
      </c>
    </row>
    <row r="4859">
      <c r="A4859" t="inlineStr">
        <is>
          <t>Particulate Matter, &lt; 2.5 um</t>
        </is>
      </c>
      <c r="B4859">
        <v>2.3699093868880875e-07</v>
      </c>
      <c r="D4859" t="inlineStr">
        <is>
          <t>kilogram</t>
        </is>
      </c>
      <c r="E4859" t="inlineStr">
        <is>
          <t>air::urban air close to ground</t>
        </is>
      </c>
      <c r="F4859" t="inlineStr">
        <is>
          <t>biosphere</t>
        </is>
      </c>
      <c r="I4859">
        <v>0</v>
      </c>
    </row>
    <row r="4860">
      <c r="A4860" t="inlineStr">
        <is>
          <t>Nickel II</t>
        </is>
      </c>
      <c r="B4860">
        <v>3.069429555789392e-11</v>
      </c>
      <c r="D4860" t="inlineStr">
        <is>
          <t>kilogram</t>
        </is>
      </c>
      <c r="E4860" t="inlineStr">
        <is>
          <t>air::non-urban air or from high stacks</t>
        </is>
      </c>
      <c r="F4860" t="inlineStr">
        <is>
          <t>biosphere</t>
        </is>
      </c>
      <c r="I4860">
        <v>0</v>
      </c>
    </row>
    <row r="4861">
      <c r="A4861" t="inlineStr">
        <is>
          <t>Methane, fossil</t>
        </is>
      </c>
      <c r="B4861">
        <v>5.142891864640064e-07</v>
      </c>
      <c r="D4861" t="inlineStr">
        <is>
          <t>kilogram</t>
        </is>
      </c>
      <c r="E4861" t="inlineStr">
        <is>
          <t>air::non-urban air or from high stacks</t>
        </is>
      </c>
      <c r="F4861" t="inlineStr">
        <is>
          <t>biosphere</t>
        </is>
      </c>
      <c r="I4861">
        <v>0</v>
      </c>
    </row>
    <row r="4862">
      <c r="A4862" t="inlineStr">
        <is>
          <t>Mercury II</t>
        </is>
      </c>
      <c r="B4862">
        <v>1.1595623051201971e-10</v>
      </c>
      <c r="D4862" t="inlineStr">
        <is>
          <t>kilogram</t>
        </is>
      </c>
      <c r="E4862" t="inlineStr">
        <is>
          <t>air::non-urban air or from high stacks</t>
        </is>
      </c>
      <c r="F4862" t="inlineStr">
        <is>
          <t>biosphere</t>
        </is>
      </c>
      <c r="I4862">
        <v>0</v>
      </c>
    </row>
    <row r="4863">
      <c r="A4863" t="inlineStr">
        <is>
          <t>Ammonia</t>
        </is>
      </c>
      <c r="B4863">
        <v>1.8978800516687959e-06</v>
      </c>
      <c r="D4863" t="inlineStr">
        <is>
          <t>kilogram</t>
        </is>
      </c>
      <c r="E4863" t="inlineStr">
        <is>
          <t>air::non-urban air or from high stacks</t>
        </is>
      </c>
      <c r="F4863" t="inlineStr">
        <is>
          <t>biosphere</t>
        </is>
      </c>
      <c r="I4863">
        <v>0</v>
      </c>
    </row>
    <row r="4864">
      <c r="A4864" t="inlineStr">
        <is>
          <t>Ethane</t>
        </is>
      </c>
      <c r="B4864">
        <v>2.46858901080647e-08</v>
      </c>
      <c r="D4864" t="inlineStr">
        <is>
          <t>kilogram</t>
        </is>
      </c>
      <c r="E4864" t="inlineStr">
        <is>
          <t>air::non-urban air or from high stacks</t>
        </is>
      </c>
      <c r="F4864" t="inlineStr">
        <is>
          <t>biosphere</t>
        </is>
      </c>
      <c r="I4864">
        <v>0</v>
      </c>
    </row>
    <row r="4865">
      <c r="A4865" t="inlineStr">
        <is>
          <t>Nickel II</t>
        </is>
      </c>
      <c r="B4865">
        <v>2.33057020978785e-11</v>
      </c>
      <c r="D4865" t="inlineStr">
        <is>
          <t>kilogram</t>
        </is>
      </c>
      <c r="E4865" t="inlineStr">
        <is>
          <t>air::urban air close to ground</t>
        </is>
      </c>
      <c r="F4865" t="inlineStr">
        <is>
          <t>biosphere</t>
        </is>
      </c>
      <c r="I4865">
        <v>0</v>
      </c>
    </row>
    <row r="4866">
      <c r="A4866" t="inlineStr">
        <is>
          <t>Cadmium II</t>
        </is>
      </c>
      <c r="B4866">
        <v>2.6658564722165628e-12</v>
      </c>
      <c r="D4866" t="inlineStr">
        <is>
          <t>kilogram</t>
        </is>
      </c>
      <c r="E4866" t="inlineStr">
        <is>
          <t>air::non-urban air or from high stacks</t>
        </is>
      </c>
      <c r="F4866" t="inlineStr">
        <is>
          <t>biosphere</t>
        </is>
      </c>
      <c r="I4866">
        <v>0</v>
      </c>
    </row>
    <row r="4867">
      <c r="A4867" t="inlineStr">
        <is>
          <t>Ammonia</t>
        </is>
      </c>
      <c r="B4867">
        <v>1.4410307235331609e-06</v>
      </c>
      <c r="D4867" t="inlineStr">
        <is>
          <t>kilogram</t>
        </is>
      </c>
      <c r="E4867" t="inlineStr">
        <is>
          <t>air::urban air close to ground</t>
        </is>
      </c>
      <c r="F4867" t="inlineStr">
        <is>
          <t>biosphere</t>
        </is>
      </c>
      <c r="I4867">
        <v>0</v>
      </c>
    </row>
    <row r="4868">
      <c r="A4868" t="inlineStr">
        <is>
          <t>Butane</t>
        </is>
      </c>
      <c r="B4868">
        <v>4.0114570112848195e-08</v>
      </c>
      <c r="D4868" t="inlineStr">
        <is>
          <t>kilogram</t>
        </is>
      </c>
      <c r="E4868" t="inlineStr">
        <is>
          <t>air::non-urban air or from high stacks</t>
        </is>
      </c>
      <c r="F4868" t="inlineStr">
        <is>
          <t>biosphere</t>
        </is>
      </c>
      <c r="I4868">
        <v>0</v>
      </c>
    </row>
    <row r="4869">
      <c r="A4869" t="inlineStr">
        <is>
          <t>PAH, polycyclic aromatic hydrocarbons</t>
        </is>
      </c>
      <c r="B4869">
        <v>3.5346981515115725e-10</v>
      </c>
      <c r="D4869" t="inlineStr">
        <is>
          <t>kilogram</t>
        </is>
      </c>
      <c r="E4869" t="inlineStr">
        <is>
          <t>air::urban air close to ground</t>
        </is>
      </c>
      <c r="F4869" t="inlineStr">
        <is>
          <t>biosphere</t>
        </is>
      </c>
      <c r="I4869">
        <v>0</v>
      </c>
    </row>
    <row r="4870">
      <c r="A4870" t="inlineStr">
        <is>
          <t>Copper ion</t>
        </is>
      </c>
      <c r="B4870">
        <v>6.025176924783301e-11</v>
      </c>
      <c r="D4870" t="inlineStr">
        <is>
          <t>kilogram</t>
        </is>
      </c>
      <c r="E4870" t="inlineStr">
        <is>
          <t>air::non-urban air or from high stacks</t>
        </is>
      </c>
      <c r="F4870" t="inlineStr">
        <is>
          <t>biosphere</t>
        </is>
      </c>
      <c r="I4870">
        <v>0</v>
      </c>
    </row>
    <row r="4871">
      <c r="A4871" t="inlineStr">
        <is>
          <t>Nitrogen oxides</t>
        </is>
      </c>
      <c r="B4871">
        <v>8.487546844117613e-06</v>
      </c>
      <c r="D4871" t="inlineStr">
        <is>
          <t>kilogram</t>
        </is>
      </c>
      <c r="E4871" t="inlineStr">
        <is>
          <t>air::non-urban air or from high stacks</t>
        </is>
      </c>
      <c r="F4871" t="inlineStr">
        <is>
          <t>biosphere</t>
        </is>
      </c>
      <c r="I4871">
        <v>0</v>
      </c>
    </row>
    <row r="4872">
      <c r="A4872" t="inlineStr">
        <is>
          <t>Hexane</t>
        </is>
      </c>
      <c r="B4872">
        <v>3.089101489661827e-07</v>
      </c>
      <c r="D4872" t="inlineStr">
        <is>
          <t>kilogram</t>
        </is>
      </c>
      <c r="E4872" t="inlineStr">
        <is>
          <t>air::urban air close to ground</t>
        </is>
      </c>
      <c r="F4872" t="inlineStr">
        <is>
          <t>biosphere</t>
        </is>
      </c>
      <c r="I4872">
        <v>0</v>
      </c>
    </row>
    <row r="4873">
      <c r="A4873" t="inlineStr">
        <is>
          <t>Butane</t>
        </is>
      </c>
      <c r="B4873">
        <v>1.0039579421318718e-06</v>
      </c>
      <c r="D4873" t="inlineStr">
        <is>
          <t>kilogram</t>
        </is>
      </c>
      <c r="E4873" t="inlineStr">
        <is>
          <t>air::urban air close to ground</t>
        </is>
      </c>
      <c r="F4873" t="inlineStr">
        <is>
          <t>biosphere</t>
        </is>
      </c>
      <c r="I4873">
        <v>0</v>
      </c>
    </row>
    <row r="4874">
      <c r="A4874" t="inlineStr">
        <is>
          <t>Copper ion</t>
        </is>
      </c>
      <c r="B4874">
        <v>4.57482306137567e-11</v>
      </c>
      <c r="D4874" t="inlineStr">
        <is>
          <t>kilogram</t>
        </is>
      </c>
      <c r="E4874" t="inlineStr">
        <is>
          <t>air::urban air close to ground</t>
        </is>
      </c>
      <c r="F4874" t="inlineStr">
        <is>
          <t>biosphere</t>
        </is>
      </c>
      <c r="I4874">
        <v>0</v>
      </c>
    </row>
    <row r="4875">
      <c r="A4875" t="inlineStr">
        <is>
          <t>Chromium III</t>
        </is>
      </c>
      <c r="B4875">
        <v>6.387488609167662e-11</v>
      </c>
      <c r="D4875" t="inlineStr">
        <is>
          <t>kilogram</t>
        </is>
      </c>
      <c r="E4875" t="inlineStr">
        <is>
          <t>air::urban air close to ground</t>
        </is>
      </c>
      <c r="F4875" t="inlineStr">
        <is>
          <t>biosphere</t>
        </is>
      </c>
      <c r="I4875">
        <v>0</v>
      </c>
    </row>
    <row r="4876">
      <c r="A4876" t="inlineStr">
        <is>
          <t>Propane</t>
        </is>
      </c>
      <c r="B4876">
        <v>1.351481901727049e-07</v>
      </c>
      <c r="D4876" t="inlineStr">
        <is>
          <t>kilogram</t>
        </is>
      </c>
      <c r="E4876" t="inlineStr">
        <is>
          <t>air::urban air close to ground</t>
        </is>
      </c>
      <c r="F4876" t="inlineStr">
        <is>
          <t>biosphere</t>
        </is>
      </c>
      <c r="I4876">
        <v>0</v>
      </c>
    </row>
    <row r="4877">
      <c r="A4877" t="inlineStr">
        <is>
          <t>Toluene</t>
        </is>
      </c>
      <c r="B4877">
        <v>2.1237572531383947e-06</v>
      </c>
      <c r="D4877" t="inlineStr">
        <is>
          <t>kilogram</t>
        </is>
      </c>
      <c r="E4877" t="inlineStr">
        <is>
          <t>air::urban air close to ground</t>
        </is>
      </c>
      <c r="F4877" t="inlineStr">
        <is>
          <t>biosphere</t>
        </is>
      </c>
      <c r="I4877">
        <v>0</v>
      </c>
    </row>
    <row r="4878">
      <c r="A4878" t="inlineStr">
        <is>
          <t>Dinitrogen monoxide</t>
        </is>
      </c>
      <c r="B4878">
        <v>3.5495663709460686e-08</v>
      </c>
      <c r="D4878" t="inlineStr">
        <is>
          <t>kilogram</t>
        </is>
      </c>
      <c r="E4878" t="inlineStr">
        <is>
          <t>air::urban air close to ground</t>
        </is>
      </c>
      <c r="F4878" t="inlineStr">
        <is>
          <t>biosphere</t>
        </is>
      </c>
      <c r="I4878">
        <v>0</v>
      </c>
    </row>
    <row r="4879">
      <c r="A4879" t="inlineStr">
        <is>
          <t>Zinc II</t>
        </is>
      </c>
      <c r="B4879">
        <v>3.3447998609123704e-10</v>
      </c>
      <c r="D4879" t="inlineStr">
        <is>
          <t>kilogram</t>
        </is>
      </c>
      <c r="E4879" t="inlineStr">
        <is>
          <t>air::urban air close to ground</t>
        </is>
      </c>
      <c r="F4879" t="inlineStr">
        <is>
          <t>biosphere</t>
        </is>
      </c>
      <c r="I4879">
        <v>0</v>
      </c>
    </row>
    <row r="4880">
      <c r="A4880" t="inlineStr">
        <is>
          <t>Chromium VI</t>
        </is>
      </c>
      <c r="B4880">
        <v>1.6825022521085002e-13</v>
      </c>
      <c r="D4880" t="inlineStr">
        <is>
          <t>kilogram</t>
        </is>
      </c>
      <c r="E4880" t="inlineStr">
        <is>
          <t>air::non-urban air or from high stacks</t>
        </is>
      </c>
      <c r="F4880" t="inlineStr">
        <is>
          <t>biosphere</t>
        </is>
      </c>
      <c r="I4880">
        <v>0</v>
      </c>
    </row>
    <row r="4881">
      <c r="A4881" t="inlineStr">
        <is>
          <t>Benzene</t>
        </is>
      </c>
      <c r="B4881">
        <v>3.53245327151087e-08</v>
      </c>
      <c r="D4881" t="inlineStr">
        <is>
          <t>kilogram</t>
        </is>
      </c>
      <c r="E4881" t="inlineStr">
        <is>
          <t>air::non-urban air or from high stacks</t>
        </is>
      </c>
      <c r="F4881" t="inlineStr">
        <is>
          <t>biosphere</t>
        </is>
      </c>
      <c r="I4881">
        <v>0</v>
      </c>
    </row>
    <row r="4882">
      <c r="A4882" t="inlineStr">
        <is>
          <t>Carbon monoxide, fossil</t>
        </is>
      </c>
      <c r="B4882">
        <v>0.0001087694681937128</v>
      </c>
      <c r="D4882" t="inlineStr">
        <is>
          <t>kilogram</t>
        </is>
      </c>
      <c r="E4882" t="inlineStr">
        <is>
          <t>air::non-urban air or from high stacks</t>
        </is>
      </c>
      <c r="F4882" t="inlineStr">
        <is>
          <t>biosphere</t>
        </is>
      </c>
      <c r="I4882">
        <v>0</v>
      </c>
    </row>
    <row r="4883">
      <c r="A4883" t="inlineStr">
        <is>
          <t>Chromium VI</t>
        </is>
      </c>
      <c r="B4883">
        <v>1.2774977274422347e-13</v>
      </c>
      <c r="D4883" t="inlineStr">
        <is>
          <t>kilogram</t>
        </is>
      </c>
      <c r="E4883" t="inlineStr">
        <is>
          <t>air::urban air close to ground</t>
        </is>
      </c>
      <c r="F4883" t="inlineStr">
        <is>
          <t>biosphere</t>
        </is>
      </c>
      <c r="I4883">
        <v>0</v>
      </c>
    </row>
    <row r="4884">
      <c r="A4884" t="inlineStr">
        <is>
          <t>Methane, fossil</t>
        </is>
      </c>
      <c r="B4884">
        <v>1.4737951202945778e-06</v>
      </c>
      <c r="D4884" t="inlineStr">
        <is>
          <t>kilogram</t>
        </is>
      </c>
      <c r="E4884" t="inlineStr">
        <is>
          <t>air::urban air close to ground</t>
        </is>
      </c>
      <c r="F4884" t="inlineStr">
        <is>
          <t>biosphere</t>
        </is>
      </c>
      <c r="I4884">
        <v>0</v>
      </c>
    </row>
    <row r="4885">
      <c r="A4885" t="inlineStr">
        <is>
          <t>Sulfur dioxide</t>
        </is>
      </c>
      <c r="B4885">
        <v>3.7723729745496776e-07</v>
      </c>
      <c r="D4885" t="inlineStr">
        <is>
          <t>kilogram</t>
        </is>
      </c>
      <c r="E4885" t="inlineStr">
        <is>
          <t>air</t>
        </is>
      </c>
      <c r="F4885" t="inlineStr">
        <is>
          <t>biosphere</t>
        </is>
      </c>
      <c r="I4885">
        <v>0</v>
      </c>
    </row>
    <row r="4886">
      <c r="A4886" t="inlineStr">
        <is>
          <t>NMVOC, non-methane volatile organic compounds</t>
        </is>
      </c>
      <c r="B4886">
        <v>1.9676329903559775e-05</v>
      </c>
      <c r="D4886" t="inlineStr">
        <is>
          <t>kilogram</t>
        </is>
      </c>
      <c r="E4886" t="inlineStr">
        <is>
          <t>air::urban air close to ground</t>
        </is>
      </c>
      <c r="F4886" t="inlineStr">
        <is>
          <t>biosphere</t>
        </is>
      </c>
      <c r="I4886">
        <v>0</v>
      </c>
    </row>
    <row r="4887">
      <c r="A4887" t="inlineStr">
        <is>
          <t>Formaldehyde</t>
        </is>
      </c>
      <c r="B4887">
        <v>3.282170227745136e-07</v>
      </c>
      <c r="D4887" t="inlineStr">
        <is>
          <t>kilogram</t>
        </is>
      </c>
      <c r="E4887" t="inlineStr">
        <is>
          <t>air::urban air close to ground</t>
        </is>
      </c>
      <c r="F4887" t="inlineStr">
        <is>
          <t>biosphere</t>
        </is>
      </c>
      <c r="I4887">
        <v>0</v>
      </c>
    </row>
    <row r="4888">
      <c r="A4888" t="inlineStr">
        <is>
          <t>Nitrogen oxides</t>
        </is>
      </c>
      <c r="B4888">
        <v>1.1323855960379002e-05</v>
      </c>
      <c r="D4888" t="inlineStr">
        <is>
          <t>kilogram</t>
        </is>
      </c>
      <c r="E4888" t="inlineStr">
        <is>
          <t>air::urban air close to ground</t>
        </is>
      </c>
      <c r="F4888" t="inlineStr">
        <is>
          <t>biosphere</t>
        </is>
      </c>
      <c r="I4888">
        <v>0</v>
      </c>
    </row>
    <row r="4889">
      <c r="A4889" t="inlineStr">
        <is>
          <t>Formaldehyde</t>
        </is>
      </c>
      <c r="B4889">
        <v>1.3114378791720136e-08</v>
      </c>
      <c r="D4889" t="inlineStr">
        <is>
          <t>kilogram</t>
        </is>
      </c>
      <c r="E4889" t="inlineStr">
        <is>
          <t>air::non-urban air or from high stacks</t>
        </is>
      </c>
      <c r="F4889" t="inlineStr">
        <is>
          <t>biosphere</t>
        </is>
      </c>
      <c r="I4889">
        <v>0</v>
      </c>
    </row>
    <row r="4890">
      <c r="A4890" t="inlineStr">
        <is>
          <t>Zinc II</t>
        </is>
      </c>
      <c r="B4890">
        <v>4.4051995837597756e-10</v>
      </c>
      <c r="D4890" t="inlineStr">
        <is>
          <t>kilogram</t>
        </is>
      </c>
      <c r="E4890" t="inlineStr">
        <is>
          <t>air::non-urban air or from high stacks</t>
        </is>
      </c>
      <c r="F4890" t="inlineStr">
        <is>
          <t>biosphere</t>
        </is>
      </c>
      <c r="I4890">
        <v>0</v>
      </c>
    </row>
    <row r="4891">
      <c r="A4891" t="inlineStr">
        <is>
          <t>Carbon monoxide, fossil</t>
        </is>
      </c>
      <c r="B4891">
        <v>0.00020171446470292127</v>
      </c>
      <c r="D4891" t="inlineStr">
        <is>
          <t>kilogram</t>
        </is>
      </c>
      <c r="E4891" t="inlineStr">
        <is>
          <t>air::urban air close to ground</t>
        </is>
      </c>
      <c r="F4891" t="inlineStr">
        <is>
          <t>biosphere</t>
        </is>
      </c>
      <c r="I4891">
        <v>0</v>
      </c>
    </row>
    <row r="4892">
      <c r="A4892" t="inlineStr">
        <is>
          <t>m-Xylene</t>
        </is>
      </c>
      <c r="B4892">
        <v>1.0425717317567554e-06</v>
      </c>
      <c r="D4892" t="inlineStr">
        <is>
          <t>kilogram</t>
        </is>
      </c>
      <c r="E4892" t="inlineStr">
        <is>
          <t>air::urban air close to ground</t>
        </is>
      </c>
      <c r="F4892" t="inlineStr">
        <is>
          <t>biosphere</t>
        </is>
      </c>
      <c r="I4892">
        <v>0</v>
      </c>
    </row>
    <row r="4893">
      <c r="A4893" t="inlineStr">
        <is>
          <t>PAH, polycyclic aromatic hydrocarbons</t>
        </is>
      </c>
      <c r="B4893">
        <v>4.655301522860326e-10</v>
      </c>
      <c r="D4893" t="inlineStr">
        <is>
          <t>kilogram</t>
        </is>
      </c>
      <c r="E4893" t="inlineStr">
        <is>
          <t>air::non-urban air or from high stacks</t>
        </is>
      </c>
      <c r="F4893" t="inlineStr">
        <is>
          <t>biosphere</t>
        </is>
      </c>
      <c r="I4893">
        <v>0</v>
      </c>
    </row>
    <row r="4894">
      <c r="A4894" t="inlineStr">
        <is>
          <t>Particulate Matter, &lt; 2.5 um</t>
        </is>
      </c>
      <c r="B4894">
        <v>3.1212402999812946e-07</v>
      </c>
      <c r="D4894" t="inlineStr">
        <is>
          <t>kilogram</t>
        </is>
      </c>
      <c r="E4894" t="inlineStr">
        <is>
          <t>air::non-urban air or from high stacks</t>
        </is>
      </c>
      <c r="F4894" t="inlineStr">
        <is>
          <t>biosphere</t>
        </is>
      </c>
      <c r="I4894">
        <v>0</v>
      </c>
    </row>
    <row r="4895">
      <c r="A4895" t="inlineStr">
        <is>
          <t>Pentane</t>
        </is>
      </c>
      <c r="B4895">
        <v>1.697155010567295e-08</v>
      </c>
      <c r="D4895" t="inlineStr">
        <is>
          <t>kilogram</t>
        </is>
      </c>
      <c r="E4895" t="inlineStr">
        <is>
          <t>air::non-urban air or from high stacks</t>
        </is>
      </c>
      <c r="F4895" t="inlineStr">
        <is>
          <t>biosphere</t>
        </is>
      </c>
      <c r="I4895">
        <v>0</v>
      </c>
    </row>
    <row r="4896">
      <c r="A4896" t="inlineStr">
        <is>
          <t>1,1,1,2-Tetrafluoroethane</t>
        </is>
      </c>
      <c r="B4896">
        <v>1.3856558213651742e-06</v>
      </c>
      <c r="D4896" t="inlineStr">
        <is>
          <t>kilogram</t>
        </is>
      </c>
      <c r="E4896" t="inlineStr">
        <is>
          <t>air</t>
        </is>
      </c>
      <c r="F4896" t="inlineStr">
        <is>
          <t>biosphere</t>
        </is>
      </c>
      <c r="I4896">
        <v>0</v>
      </c>
    </row>
    <row r="4897">
      <c r="A4897" t="inlineStr">
        <is>
          <t>Acetaldehyde</t>
        </is>
      </c>
      <c r="B4897">
        <v>1.544550744830913e-07</v>
      </c>
      <c r="D4897" t="inlineStr">
        <is>
          <t>kilogram</t>
        </is>
      </c>
      <c r="E4897" t="inlineStr">
        <is>
          <t>air::urban air close to ground</t>
        </is>
      </c>
      <c r="F4897" t="inlineStr">
        <is>
          <t>biosphere</t>
        </is>
      </c>
      <c r="I4897">
        <v>0</v>
      </c>
    </row>
    <row r="4898">
      <c r="A4898" t="inlineStr">
        <is>
          <t>Benzene</t>
        </is>
      </c>
      <c r="B4898">
        <v>1.4380293200880646e-06</v>
      </c>
      <c r="D4898" t="inlineStr">
        <is>
          <t>kilogram</t>
        </is>
      </c>
      <c r="E4898" t="inlineStr">
        <is>
          <t>air::urban air close to ground</t>
        </is>
      </c>
      <c r="F4898" t="inlineStr">
        <is>
          <t>biosphere</t>
        </is>
      </c>
      <c r="I4898">
        <v>0</v>
      </c>
    </row>
    <row r="4899">
      <c r="A4899" t="inlineStr">
        <is>
          <t>Mercury II</t>
        </is>
      </c>
      <c r="B4899">
        <v>8.804375664359864e-11</v>
      </c>
      <c r="D4899" t="inlineStr">
        <is>
          <t>kilogram</t>
        </is>
      </c>
      <c r="E4899" t="inlineStr">
        <is>
          <t>air::urban air close to ground</t>
        </is>
      </c>
      <c r="F4899" t="inlineStr">
        <is>
          <t>biosphere</t>
        </is>
      </c>
      <c r="I4899">
        <v>0</v>
      </c>
    </row>
    <row r="4900">
      <c r="A4900" t="inlineStr">
        <is>
          <t>Cadmium II</t>
        </is>
      </c>
      <c r="B4900">
        <v>2.0241433189600118e-12</v>
      </c>
      <c r="D4900" t="inlineStr">
        <is>
          <t>kilogram</t>
        </is>
      </c>
      <c r="E4900" t="inlineStr">
        <is>
          <t>air::urban air close to ground</t>
        </is>
      </c>
      <c r="F4900" t="inlineStr">
        <is>
          <t>biosphere</t>
        </is>
      </c>
      <c r="I4900">
        <v>0</v>
      </c>
    </row>
    <row r="4901">
      <c r="A4901" t="inlineStr">
        <is>
          <t>Propane</t>
        </is>
      </c>
      <c r="B4901">
        <v>5.4000384611391535e-09</v>
      </c>
      <c r="D4901" t="inlineStr">
        <is>
          <t>kilogram</t>
        </is>
      </c>
      <c r="E4901" t="inlineStr">
        <is>
          <t>air::non-urban air or from high stacks</t>
        </is>
      </c>
      <c r="F4901" t="inlineStr">
        <is>
          <t>biosphere</t>
        </is>
      </c>
      <c r="I4901">
        <v>0</v>
      </c>
    </row>
    <row r="4902">
      <c r="A4902" t="inlineStr">
        <is>
          <t>Chromium III</t>
        </is>
      </c>
      <c r="B4902">
        <v>8.412510539423576e-11</v>
      </c>
      <c r="D4902" t="inlineStr">
        <is>
          <t>kilogram</t>
        </is>
      </c>
      <c r="E4902" t="inlineStr">
        <is>
          <t>air::non-urban air or from high stacks</t>
        </is>
      </c>
      <c r="F4902" t="inlineStr">
        <is>
          <t>biosphere</t>
        </is>
      </c>
      <c r="I4902">
        <v>0</v>
      </c>
    </row>
    <row r="4903">
      <c r="A4903" t="inlineStr">
        <is>
          <t>1-Pentene</t>
        </is>
      </c>
      <c r="B4903">
        <v>1.9306884310386414e-08</v>
      </c>
      <c r="D4903" t="inlineStr">
        <is>
          <t>kilogram</t>
        </is>
      </c>
      <c r="E4903" t="inlineStr">
        <is>
          <t>air::urban air close to ground</t>
        </is>
      </c>
      <c r="F4903" t="inlineStr">
        <is>
          <t>biosphere</t>
        </is>
      </c>
      <c r="I4903">
        <v>0</v>
      </c>
    </row>
    <row r="4904">
      <c r="A4904" t="inlineStr">
        <is>
          <t>Acetone</t>
        </is>
      </c>
      <c r="B4904">
        <v>1.158413058623185e-07</v>
      </c>
      <c r="D4904" t="inlineStr">
        <is>
          <t>kilogram</t>
        </is>
      </c>
      <c r="E4904" t="inlineStr">
        <is>
          <t>air::urban air close to ground</t>
        </is>
      </c>
      <c r="F4904" t="inlineStr">
        <is>
          <t>biosphere</t>
        </is>
      </c>
      <c r="I4904">
        <v>0</v>
      </c>
    </row>
    <row r="4905">
      <c r="A4905" t="inlineStr">
        <is>
          <t>Acrolein</t>
        </is>
      </c>
      <c r="B4905">
        <v>3.861376862077283e-08</v>
      </c>
      <c r="D4905" t="inlineStr">
        <is>
          <t>kilogram</t>
        </is>
      </c>
      <c r="E4905" t="inlineStr">
        <is>
          <t>air::urban air close to ground</t>
        </is>
      </c>
      <c r="F4905" t="inlineStr">
        <is>
          <t>biosphere</t>
        </is>
      </c>
      <c r="I4905">
        <v>0</v>
      </c>
    </row>
    <row r="4906">
      <c r="A4906" t="inlineStr">
        <is>
          <t>Benzaldehyde</t>
        </is>
      </c>
      <c r="B4906">
        <v>3.861376862077283e-08</v>
      </c>
      <c r="D4906" t="inlineStr">
        <is>
          <t>kilogram</t>
        </is>
      </c>
      <c r="E4906" t="inlineStr">
        <is>
          <t>air::urban air close to ground</t>
        </is>
      </c>
      <c r="F4906" t="inlineStr">
        <is>
          <t>biosphere</t>
        </is>
      </c>
      <c r="I4906">
        <v>0</v>
      </c>
    </row>
    <row r="4907">
      <c r="A4907" t="inlineStr">
        <is>
          <t>Cyclohexane</t>
        </is>
      </c>
      <c r="B4907">
        <v>2.1237571691219508e-07</v>
      </c>
      <c r="D4907" t="inlineStr">
        <is>
          <t>kilogram</t>
        </is>
      </c>
      <c r="E4907" t="inlineStr">
        <is>
          <t>air::urban air close to ground</t>
        </is>
      </c>
      <c r="F4907" t="inlineStr">
        <is>
          <t>biosphere</t>
        </is>
      </c>
      <c r="I4907">
        <v>0</v>
      </c>
    </row>
    <row r="4908">
      <c r="A4908" t="inlineStr">
        <is>
          <t>Heptane</t>
        </is>
      </c>
      <c r="B4908">
        <v>1.351481901727049e-07</v>
      </c>
      <c r="D4908" t="inlineStr">
        <is>
          <t>kilogram</t>
        </is>
      </c>
      <c r="E4908" t="inlineStr">
        <is>
          <t>air::urban air close to ground</t>
        </is>
      </c>
      <c r="F4908" t="inlineStr">
        <is>
          <t>biosphere</t>
        </is>
      </c>
      <c r="I4908">
        <v>0</v>
      </c>
    </row>
    <row r="4909">
      <c r="A4909" t="inlineStr">
        <is>
          <t>Methyl ethyl ketone</t>
        </is>
      </c>
      <c r="B4909">
        <v>1.9306884310386414e-08</v>
      </c>
      <c r="D4909" t="inlineStr">
        <is>
          <t>kilogram</t>
        </is>
      </c>
      <c r="E4909" t="inlineStr">
        <is>
          <t>air::urban air close to ground</t>
        </is>
      </c>
      <c r="F4909" t="inlineStr">
        <is>
          <t>biosphere</t>
        </is>
      </c>
      <c r="I4909">
        <v>0</v>
      </c>
    </row>
    <row r="4910">
      <c r="A4910" t="inlineStr">
        <is>
          <t>o-Xylene</t>
        </is>
      </c>
      <c r="B4910">
        <v>4.4405832863683197e-07</v>
      </c>
      <c r="D4910" t="inlineStr">
        <is>
          <t>kilogram</t>
        </is>
      </c>
      <c r="E4910" t="inlineStr">
        <is>
          <t>air::urban air close to ground</t>
        </is>
      </c>
      <c r="F4910" t="inlineStr">
        <is>
          <t>biosphere</t>
        </is>
      </c>
      <c r="I4910">
        <v>0</v>
      </c>
    </row>
    <row r="4911">
      <c r="A4911" t="inlineStr">
        <is>
          <t>Propylene</t>
        </is>
      </c>
      <c r="B4911">
        <v>7.33661582790573e-07</v>
      </c>
      <c r="D4911" t="inlineStr">
        <is>
          <t>kilogram</t>
        </is>
      </c>
      <c r="E4911" t="inlineStr">
        <is>
          <t>air::urban air close to ground</t>
        </is>
      </c>
      <c r="F4911" t="inlineStr">
        <is>
          <t>biosphere</t>
        </is>
      </c>
      <c r="I4911">
        <v>0</v>
      </c>
    </row>
    <row r="4912">
      <c r="A4912" t="inlineStr">
        <is>
          <t>Selenium IV</t>
        </is>
      </c>
      <c r="B4912">
        <v>2.0241433189600118e-12</v>
      </c>
      <c r="D4912" t="inlineStr">
        <is>
          <t>kilogram</t>
        </is>
      </c>
      <c r="E4912" t="inlineStr">
        <is>
          <t>air::urban air close to ground</t>
        </is>
      </c>
      <c r="F4912" t="inlineStr">
        <is>
          <t>biosphere</t>
        </is>
      </c>
      <c r="I4912">
        <v>0</v>
      </c>
    </row>
    <row r="4913">
      <c r="A4913" t="inlineStr">
        <is>
          <t>Styrene</t>
        </is>
      </c>
      <c r="B4913">
        <v>1.9306884310386417e-07</v>
      </c>
      <c r="D4913" t="inlineStr">
        <is>
          <t>kilogram</t>
        </is>
      </c>
      <c r="E4913" t="inlineStr">
        <is>
          <t>air::urban air close to ground</t>
        </is>
      </c>
      <c r="F4913" t="inlineStr">
        <is>
          <t>biosphere</t>
        </is>
      </c>
      <c r="I4913">
        <v>0</v>
      </c>
    </row>
    <row r="4914">
      <c r="A4914" t="inlineStr">
        <is>
          <t>1-Pentene</t>
        </is>
      </c>
      <c r="B4914">
        <v>7.714340658770217e-10</v>
      </c>
      <c r="D4914" t="inlineStr">
        <is>
          <t>kilogram</t>
        </is>
      </c>
      <c r="E4914" t="inlineStr">
        <is>
          <t>air::non-urban air or from high stacks</t>
        </is>
      </c>
      <c r="F4914" t="inlineStr">
        <is>
          <t>biosphere</t>
        </is>
      </c>
      <c r="I4914">
        <v>0</v>
      </c>
    </row>
    <row r="4915">
      <c r="A4915" t="inlineStr">
        <is>
          <t>Acetaldehyde</t>
        </is>
      </c>
      <c r="B4915">
        <v>6.171472527016175e-09</v>
      </c>
      <c r="D4915" t="inlineStr">
        <is>
          <t>kilogram</t>
        </is>
      </c>
      <c r="E4915" t="inlineStr">
        <is>
          <t>air::non-urban air or from high stacks</t>
        </is>
      </c>
      <c r="F4915" t="inlineStr">
        <is>
          <t>biosphere</t>
        </is>
      </c>
      <c r="I4915">
        <v>0</v>
      </c>
    </row>
    <row r="4916">
      <c r="A4916" t="inlineStr">
        <is>
          <t>Acetone</t>
        </is>
      </c>
      <c r="B4916">
        <v>4.628604395262132e-09</v>
      </c>
      <c r="D4916" t="inlineStr">
        <is>
          <t>kilogram</t>
        </is>
      </c>
      <c r="E4916" t="inlineStr">
        <is>
          <t>air::non-urban air or from high stacks</t>
        </is>
      </c>
      <c r="F4916" t="inlineStr">
        <is>
          <t>biosphere</t>
        </is>
      </c>
      <c r="I4916">
        <v>0</v>
      </c>
    </row>
    <row r="4917">
      <c r="A4917" t="inlineStr">
        <is>
          <t>Acrolein</t>
        </is>
      </c>
      <c r="B4917">
        <v>1.542868131754044e-09</v>
      </c>
      <c r="D4917" t="inlineStr">
        <is>
          <t>kilogram</t>
        </is>
      </c>
      <c r="E4917" t="inlineStr">
        <is>
          <t>air::non-urban air or from high stacks</t>
        </is>
      </c>
      <c r="F4917" t="inlineStr">
        <is>
          <t>biosphere</t>
        </is>
      </c>
      <c r="I4917">
        <v>0</v>
      </c>
    </row>
    <row r="4918">
      <c r="A4918" t="inlineStr">
        <is>
          <t>Benzaldehyde</t>
        </is>
      </c>
      <c r="B4918">
        <v>1.542868131754044e-09</v>
      </c>
      <c r="D4918" t="inlineStr">
        <is>
          <t>kilogram</t>
        </is>
      </c>
      <c r="E4918" t="inlineStr">
        <is>
          <t>air::non-urban air or from high stacks</t>
        </is>
      </c>
      <c r="F4918" t="inlineStr">
        <is>
          <t>biosphere</t>
        </is>
      </c>
      <c r="I4918">
        <v>0</v>
      </c>
    </row>
    <row r="4919">
      <c r="A4919" t="inlineStr">
        <is>
          <t>Cyclohexane</t>
        </is>
      </c>
      <c r="B4919">
        <v>8.485775052836473e-09</v>
      </c>
      <c r="D4919" t="inlineStr">
        <is>
          <t>kilogram</t>
        </is>
      </c>
      <c r="E4919" t="inlineStr">
        <is>
          <t>air::non-urban air or from high stacks</t>
        </is>
      </c>
      <c r="F4919" t="inlineStr">
        <is>
          <t>biosphere</t>
        </is>
      </c>
      <c r="I4919">
        <v>0</v>
      </c>
    </row>
    <row r="4920">
      <c r="A4920" t="inlineStr">
        <is>
          <t>Heptane</t>
        </is>
      </c>
      <c r="B4920">
        <v>5.4000384611391535e-09</v>
      </c>
      <c r="D4920" t="inlineStr">
        <is>
          <t>kilogram</t>
        </is>
      </c>
      <c r="E4920" t="inlineStr">
        <is>
          <t>air::non-urban air or from high stacks</t>
        </is>
      </c>
      <c r="F4920" t="inlineStr">
        <is>
          <t>biosphere</t>
        </is>
      </c>
      <c r="I4920">
        <v>0</v>
      </c>
    </row>
    <row r="4921">
      <c r="A4921" t="inlineStr">
        <is>
          <t>Hexane</t>
        </is>
      </c>
      <c r="B4921">
        <v>1.234294505403235e-08</v>
      </c>
      <c r="D4921" t="inlineStr">
        <is>
          <t>kilogram</t>
        </is>
      </c>
      <c r="E4921" t="inlineStr">
        <is>
          <t>air::non-urban air or from high stacks</t>
        </is>
      </c>
      <c r="F4921" t="inlineStr">
        <is>
          <t>biosphere</t>
        </is>
      </c>
      <c r="I4921">
        <v>0</v>
      </c>
    </row>
    <row r="4922">
      <c r="A4922" t="inlineStr">
        <is>
          <t>Methyl ethyl ketone</t>
        </is>
      </c>
      <c r="B4922">
        <v>7.714340658770217e-10</v>
      </c>
      <c r="D4922" t="inlineStr">
        <is>
          <t>kilogram</t>
        </is>
      </c>
      <c r="E4922" t="inlineStr">
        <is>
          <t>air::non-urban air or from high stacks</t>
        </is>
      </c>
      <c r="F4922" t="inlineStr">
        <is>
          <t>biosphere</t>
        </is>
      </c>
      <c r="I4922">
        <v>0</v>
      </c>
    </row>
    <row r="4923">
      <c r="A4923" t="inlineStr">
        <is>
          <t>m-Xylene</t>
        </is>
      </c>
      <c r="B4923">
        <v>4.165743758822378e-08</v>
      </c>
      <c r="D4923" t="inlineStr">
        <is>
          <t>kilogram</t>
        </is>
      </c>
      <c r="E4923" t="inlineStr">
        <is>
          <t>air::non-urban air or from high stacks</t>
        </is>
      </c>
      <c r="F4923" t="inlineStr">
        <is>
          <t>biosphere</t>
        </is>
      </c>
      <c r="I4923">
        <v>0</v>
      </c>
    </row>
    <row r="4924">
      <c r="A4924" t="inlineStr">
        <is>
          <t>o-Xylene</t>
        </is>
      </c>
      <c r="B4924">
        <v>1.7742983843360735e-08</v>
      </c>
      <c r="D4924" t="inlineStr">
        <is>
          <t>kilogram</t>
        </is>
      </c>
      <c r="E4924" t="inlineStr">
        <is>
          <t>air::non-urban air or from high stacks</t>
        </is>
      </c>
      <c r="F4924" t="inlineStr">
        <is>
          <t>biosphere</t>
        </is>
      </c>
      <c r="I4924">
        <v>0</v>
      </c>
    </row>
    <row r="4925">
      <c r="A4925" t="inlineStr">
        <is>
          <t>Styrene</t>
        </is>
      </c>
      <c r="B4925">
        <v>7.714340002391748e-09</v>
      </c>
      <c r="D4925" t="inlineStr">
        <is>
          <t>kilogram</t>
        </is>
      </c>
      <c r="E4925" t="inlineStr">
        <is>
          <t>air::non-urban air or from high stacks</t>
        </is>
      </c>
      <c r="F4925" t="inlineStr">
        <is>
          <t>biosphere</t>
        </is>
      </c>
      <c r="I4925">
        <v>0</v>
      </c>
    </row>
    <row r="4926">
      <c r="A4926" t="inlineStr">
        <is>
          <t>Ethylene</t>
        </is>
      </c>
      <c r="B4926">
        <v>1.4094024811438196e-06</v>
      </c>
      <c r="D4926" t="inlineStr">
        <is>
          <t>kilogram</t>
        </is>
      </c>
      <c r="E4926" t="inlineStr">
        <is>
          <t>air::urban air close to ground</t>
        </is>
      </c>
      <c r="F4926" t="inlineStr">
        <is>
          <t>biosphere</t>
        </is>
      </c>
      <c r="I4926">
        <v>0</v>
      </c>
    </row>
    <row r="4927">
      <c r="A4927" t="inlineStr">
        <is>
          <t>Ethylene</t>
        </is>
      </c>
      <c r="B4927">
        <v>5.631468910634723e-08</v>
      </c>
      <c r="D4927" t="inlineStr">
        <is>
          <t>kilogram</t>
        </is>
      </c>
      <c r="E4927" t="inlineStr">
        <is>
          <t>air::non-urban air or from high stacks</t>
        </is>
      </c>
      <c r="F4927" t="inlineStr">
        <is>
          <t>biosphere</t>
        </is>
      </c>
      <c r="I4927">
        <v>0</v>
      </c>
    </row>
    <row r="4928">
      <c r="A4928" t="inlineStr">
        <is>
          <t>market for internal combustion engine, passenger car</t>
        </is>
      </c>
      <c r="B4928">
        <v>0.0004975535070430082</v>
      </c>
      <c r="C4928" t="inlineStr">
        <is>
          <t>GLO</t>
        </is>
      </c>
      <c r="D4928" t="inlineStr">
        <is>
          <t>kilogram</t>
        </is>
      </c>
      <c r="F4928" t="inlineStr">
        <is>
          <t>technosphere</t>
        </is>
      </c>
      <c r="G4928" t="inlineStr">
        <is>
          <t>internal combustion engine, passenger car</t>
        </is>
      </c>
      <c r="H4928" t="inlineStr">
        <is>
          <t> Energy-use allocation: 269.3057861328125 * 4.999999873689376e-06 / 2.7062996795066048 MJ per kilometer.</t>
        </is>
      </c>
      <c r="I4928">
        <v>0</v>
      </c>
    </row>
    <row r="4929">
      <c r="A4929" t="inlineStr">
        <is>
          <t>market for waste plastic, industrial electronics</t>
        </is>
      </c>
      <c r="B4929">
        <v>-8.978854216197933e-05</v>
      </c>
      <c r="C4929" t="inlineStr">
        <is>
          <t>CH</t>
        </is>
      </c>
      <c r="D4929" t="inlineStr">
        <is>
          <t>kilogram</t>
        </is>
      </c>
      <c r="F4929" t="inlineStr">
        <is>
          <t>technosphere</t>
        </is>
      </c>
      <c r="G4929" t="inlineStr">
        <is>
          <t>waste plastic, industrial electronics</t>
        </is>
      </c>
      <c r="H4929" t="inlineStr">
        <is>
          <t> Energy-use allocation: -48.59894180297852 * 4.999999873689376e-06 / 2.7062996795066048 MJ per kilometer.</t>
        </is>
      </c>
      <c r="I4929">
        <v>0</v>
      </c>
    </row>
    <row r="4930">
      <c r="A4930" t="inlineStr">
        <is>
          <t>polyethylene production, high density, granulate</t>
        </is>
      </c>
      <c r="B4930">
        <v>8.978854216197933e-05</v>
      </c>
      <c r="C4930" t="inlineStr">
        <is>
          <t>RER</t>
        </is>
      </c>
      <c r="D4930" t="inlineStr">
        <is>
          <t>kilogram</t>
        </is>
      </c>
      <c r="F4930" t="inlineStr">
        <is>
          <t>technosphere</t>
        </is>
      </c>
      <c r="G4930" t="inlineStr">
        <is>
          <t>polyethylene, high density, granulate</t>
        </is>
      </c>
      <c r="H4930" t="inlineStr">
        <is>
          <t> Energy-use allocation: 48.59894180297852 * 4.999999873689376e-06 / 2.7062996795066048 MJ per kilometer.</t>
        </is>
      </c>
      <c r="I4930">
        <v>0</v>
      </c>
    </row>
    <row r="4931">
      <c r="A4931" t="inlineStr">
        <is>
          <t>Carbon dioxide, fossil</t>
        </is>
      </c>
      <c r="B4931">
        <v>0.07370000000000002</v>
      </c>
      <c r="D4931" t="inlineStr">
        <is>
          <t>kilogram</t>
        </is>
      </c>
      <c r="E4931" t="inlineStr">
        <is>
          <t>air</t>
        </is>
      </c>
      <c r="F4931" t="inlineStr">
        <is>
          <t>biosphere</t>
        </is>
      </c>
      <c r="H4931" t="inlineStr">
        <is>
          <t>Reference fuel full-oxidation CO2; premise reclassifies fossil/biogenic emissions with its regional blend. Other carbon pollutants remain model defaults (not an elemental closure).</t>
        </is>
      </c>
      <c r="I4931">
        <v>0</v>
      </c>
    </row>
    <row r="4932"/>
    <row r="4933">
      <c r="A4933" t="inlineStr">
        <is>
          <t>Activity</t>
        </is>
      </c>
      <c r="B4933" t="inlineStr">
        <is>
          <t>bioethanol, from non-residual cellulosic biomass, burned in passenger car</t>
        </is>
      </c>
    </row>
    <row r="4934">
      <c r="A4934" t="inlineStr">
        <is>
          <t>location</t>
        </is>
      </c>
      <c r="B4934" t="inlineStr">
        <is>
          <t>RER</t>
        </is>
      </c>
    </row>
    <row r="4935">
      <c r="A4935" t="inlineStr">
        <is>
          <t>production amount</t>
        </is>
      </c>
      <c r="B4935">
        <v>1</v>
      </c>
    </row>
    <row r="4936">
      <c r="A4936" t="inlineStr">
        <is>
          <t>reference product</t>
        </is>
      </c>
      <c r="B4936" t="inlineStr">
        <is>
          <t>heat</t>
        </is>
      </c>
    </row>
    <row r="4937">
      <c r="A4937" t="inlineStr">
        <is>
          <t>type</t>
        </is>
      </c>
      <c r="B4937" t="inlineStr">
        <is>
          <t>process</t>
        </is>
      </c>
    </row>
    <row r="4938">
      <c r="A4938" t="inlineStr">
        <is>
          <t>unit</t>
        </is>
      </c>
      <c r="B4938" t="inlineStr">
        <is>
          <t>megajoule</t>
        </is>
      </c>
    </row>
    <row r="4939">
      <c r="A4939" t="inlineStr">
        <is>
          <t>Power, mean</t>
        </is>
      </c>
      <c r="B4939">
        <v>126</v>
      </c>
    </row>
    <row r="4940">
      <c r="A4940" t="inlineStr">
        <is>
          <t>Power, min</t>
        </is>
      </c>
      <c r="B4940">
        <v>54</v>
      </c>
    </row>
    <row r="4941">
      <c r="A4941" t="inlineStr">
        <is>
          <t>Power, max</t>
        </is>
      </c>
      <c r="B4941">
        <v>158</v>
      </c>
    </row>
    <row r="4942">
      <c r="A4942" t="inlineStr">
        <is>
          <t>Lifetime, mean</t>
        </is>
      </c>
      <c r="B4942">
        <v>200000</v>
      </c>
    </row>
    <row r="4943">
      <c r="A4943" t="inlineStr">
        <is>
          <t>Lifetime, min</t>
        </is>
      </c>
      <c r="B4943">
        <v>160000</v>
      </c>
    </row>
    <row r="4944">
      <c r="A4944" t="inlineStr">
        <is>
          <t>Lifetime, max</t>
        </is>
      </c>
      <c r="B4944">
        <v>250000</v>
      </c>
    </row>
    <row r="4945">
      <c r="A4945" t="inlineStr">
        <is>
          <t>Energy use, mean</t>
        </is>
      </c>
      <c r="B4945">
        <v>2330</v>
      </c>
    </row>
    <row r="4946">
      <c r="A4946" t="inlineStr">
        <is>
          <t>Energy use, min</t>
        </is>
      </c>
      <c r="B4946">
        <v>1530</v>
      </c>
    </row>
    <row r="4947">
      <c r="A4947" t="inlineStr">
        <is>
          <t>Energy use, max</t>
        </is>
      </c>
      <c r="B4947">
        <v>3000</v>
      </c>
    </row>
    <row r="4948">
      <c r="A4948" t="inlineStr">
        <is>
          <t>Electric motor, mean</t>
        </is>
      </c>
      <c r="B4948">
        <v>0</v>
      </c>
    </row>
    <row r="4949">
      <c r="A4949" t="inlineStr">
        <is>
          <t>Electric motor, min</t>
        </is>
      </c>
      <c r="B4949">
        <v>0</v>
      </c>
    </row>
    <row r="4950">
      <c r="A4950" t="inlineStr">
        <is>
          <t>Electric motor, max</t>
        </is>
      </c>
      <c r="B4950">
        <v>0</v>
      </c>
    </row>
    <row r="4951">
      <c r="A4951" t="inlineStr">
        <is>
          <t>Combustion engine, mean</t>
        </is>
      </c>
      <c r="B4951">
        <v>146</v>
      </c>
    </row>
    <row r="4952">
      <c r="A4952" t="inlineStr">
        <is>
          <t>Combustion engine, min</t>
        </is>
      </c>
      <c r="B4952">
        <v>96</v>
      </c>
    </row>
    <row r="4953">
      <c r="A4953" t="inlineStr">
        <is>
          <t>Combustion engine, max</t>
        </is>
      </c>
      <c r="B4953">
        <v>168</v>
      </c>
    </row>
    <row r="4954">
      <c r="A4954" t="inlineStr">
        <is>
          <t>Fuel tank, mean</t>
        </is>
      </c>
      <c r="B4954">
        <v>48</v>
      </c>
    </row>
    <row r="4955">
      <c r="A4955" t="inlineStr">
        <is>
          <t>Fuel tank, min</t>
        </is>
      </c>
      <c r="B4955">
        <v>30</v>
      </c>
    </row>
    <row r="4956">
      <c r="A4956" t="inlineStr">
        <is>
          <t>Fuel tank, max</t>
        </is>
      </c>
      <c r="B4956">
        <v>48</v>
      </c>
    </row>
    <row r="4957">
      <c r="A4957" t="inlineStr">
        <is>
          <t>Battery capacity, mean</t>
        </is>
      </c>
      <c r="B4957">
        <v>0</v>
      </c>
    </row>
    <row r="4958">
      <c r="A4958" t="inlineStr">
        <is>
          <t>Battery capacity, min</t>
        </is>
      </c>
      <c r="B4958">
        <v>0</v>
      </c>
    </row>
    <row r="4959">
      <c r="A4959" t="inlineStr">
        <is>
          <t>Battery capacity, max</t>
        </is>
      </c>
      <c r="B4959">
        <v>0</v>
      </c>
    </row>
    <row r="4960">
      <c r="A4960" t="inlineStr">
        <is>
          <t>Battery replacement, mean</t>
        </is>
      </c>
      <c r="B4960">
        <v>0</v>
      </c>
    </row>
    <row r="4961">
      <c r="A4961" t="inlineStr">
        <is>
          <t>Battery replacement, min</t>
        </is>
      </c>
      <c r="B4961">
        <v>0</v>
      </c>
    </row>
    <row r="4962">
      <c r="A4962" t="inlineStr">
        <is>
          <t>Battery replacement, max</t>
        </is>
      </c>
      <c r="B4962">
        <v>0</v>
      </c>
    </row>
    <row r="4963">
      <c r="A4963" t="inlineStr">
        <is>
          <t>Fuel cell system, mean</t>
        </is>
      </c>
      <c r="B4963">
        <v>0</v>
      </c>
    </row>
    <row r="4964">
      <c r="A4964" t="inlineStr">
        <is>
          <t>Fuel cell system, min</t>
        </is>
      </c>
      <c r="B4964">
        <v>0</v>
      </c>
    </row>
    <row r="4965">
      <c r="A4965" t="inlineStr">
        <is>
          <t>Fuel cell system, max</t>
        </is>
      </c>
      <c r="B4965">
        <v>0</v>
      </c>
    </row>
    <row r="4966">
      <c r="A4966" t="inlineStr">
        <is>
          <t>Fuel cell stack replacement, mean</t>
        </is>
      </c>
      <c r="B4966">
        <v>0</v>
      </c>
    </row>
    <row r="4967">
      <c r="A4967" t="inlineStr">
        <is>
          <t>Fuel cell replacement, min</t>
        </is>
      </c>
      <c r="B4967">
        <v>0</v>
      </c>
    </row>
    <row r="4968">
      <c r="A4968" t="inlineStr">
        <is>
          <t>Fuel cell replacement, max</t>
        </is>
      </c>
      <c r="B4968">
        <v>0</v>
      </c>
    </row>
    <row r="4969">
      <c r="A4969" t="inlineStr">
        <is>
          <t>Onboard charger mass</t>
        </is>
      </c>
      <c r="B4969">
        <v>0</v>
      </c>
    </row>
    <row r="4970">
      <c r="A4970" t="inlineStr">
        <is>
          <t>Controller mass</t>
        </is>
      </c>
      <c r="B4970">
        <v>0</v>
      </c>
    </row>
    <row r="4971">
      <c r="A4971" t="inlineStr">
        <is>
          <t>Converter mass</t>
        </is>
      </c>
      <c r="B4971">
        <v>0</v>
      </c>
    </row>
    <row r="4972">
      <c r="A4972" t="inlineStr">
        <is>
          <t>Electrical powertrain mass</t>
        </is>
      </c>
      <c r="B4972">
        <v>0</v>
      </c>
    </row>
    <row r="4973">
      <c r="A4973" t="inlineStr">
        <is>
          <t>Inverter mass</t>
        </is>
      </c>
      <c r="B4973">
        <v>0</v>
      </c>
    </row>
    <row r="4974">
      <c r="A4974" t="inlineStr">
        <is>
          <t>NOx</t>
        </is>
      </c>
      <c r="B4974">
        <v>0.03</v>
      </c>
    </row>
    <row r="4975">
      <c r="A4975" t="inlineStr">
        <is>
          <t>PM 2.5</t>
        </is>
      </c>
      <c r="B4975">
        <v>0.000143099</v>
      </c>
    </row>
    <row r="4976">
      <c r="A4976" t="inlineStr">
        <is>
          <t>energy use source</t>
        </is>
      </c>
      <c r="B4976"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77">
      <c r="A4977" t="inlineStr">
        <is>
          <t>comment</t>
        </is>
      </c>
      <c r="B4977"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78">
      <c r="A4978" t="inlineStr">
        <is>
          <t>Exchanges</t>
        </is>
      </c>
    </row>
    <row r="4979">
      <c r="A4979" t="inlineStr">
        <is>
          <t>name</t>
        </is>
      </c>
      <c r="B4979" t="inlineStr">
        <is>
          <t>amount</t>
        </is>
      </c>
      <c r="C4979" t="inlineStr">
        <is>
          <t>location</t>
        </is>
      </c>
      <c r="D4979" t="inlineStr">
        <is>
          <t>unit</t>
        </is>
      </c>
      <c r="E4979" t="inlineStr">
        <is>
          <t>categories</t>
        </is>
      </c>
      <c r="F4979" t="inlineStr">
        <is>
          <t>type</t>
        </is>
      </c>
      <c r="G4979" t="inlineStr">
        <is>
          <t>reference product</t>
        </is>
      </c>
      <c r="H4979" t="inlineStr">
        <is>
          <t>comment</t>
        </is>
      </c>
      <c r="I4979" t="inlineStr">
        <is>
          <t>uncertainty type</t>
        </is>
      </c>
    </row>
    <row r="4980">
      <c r="A4980" t="inlineStr">
        <is>
          <t>bioethanol, from non-residual cellulosic biomass, burned in passenger car</t>
        </is>
      </c>
      <c r="B4980">
        <v>1.0</v>
      </c>
      <c r="C4980" t="inlineStr">
        <is>
          <t>RER</t>
        </is>
      </c>
      <c r="D4980" t="inlineStr">
        <is>
          <t>megajoule</t>
        </is>
      </c>
      <c r="F4980" t="inlineStr">
        <is>
          <t>production</t>
        </is>
      </c>
      <c r="G4980" t="inlineStr">
        <is>
          <t>heat</t>
        </is>
      </c>
      <c r="I4980">
        <v>0</v>
      </c>
    </row>
    <row r="4981">
      <c r="A4981" t="inlineStr">
        <is>
          <t>ethanol production, via fermentation, from eucalyptus</t>
        </is>
      </c>
      <c r="B4981">
        <v>0.03773584905660377</v>
      </c>
      <c r="C4981" t="inlineStr">
        <is>
          <t>ES</t>
        </is>
      </c>
      <c r="D4981" t="inlineStr">
        <is>
          <t>kilogram</t>
        </is>
      </c>
      <c r="F4981" t="inlineStr">
        <is>
          <t>technosphere</t>
        </is>
      </c>
      <c r="G4981" t="inlineStr">
        <is>
          <t>ethanol, from eucalyptus</t>
        </is>
      </c>
      <c r="I4981">
        <v>0</v>
      </c>
    </row>
    <row r="4982">
      <c r="A4982" t="inlineStr">
        <is>
          <t>treatment of brake wear emissions, passenger car</t>
        </is>
      </c>
      <c r="B4982">
        <v>-5.438002312680902e-06</v>
      </c>
      <c r="C4982" t="inlineStr">
        <is>
          <t>RER</t>
        </is>
      </c>
      <c r="D4982" t="inlineStr">
        <is>
          <t>kilogram</t>
        </is>
      </c>
      <c r="F4982" t="inlineStr">
        <is>
          <t>technosphere</t>
        </is>
      </c>
      <c r="G4982" t="inlineStr">
        <is>
          <t>brake wear emissions, passenger car</t>
        </is>
      </c>
      <c r="I4982">
        <v>0</v>
      </c>
    </row>
    <row r="4983">
      <c r="A4983" t="inlineStr">
        <is>
          <t>treatment of road wear emissions, passenger car</t>
        </is>
      </c>
      <c r="B4983">
        <v>-6.242977641245232e-06</v>
      </c>
      <c r="C4983" t="inlineStr">
        <is>
          <t>RER</t>
        </is>
      </c>
      <c r="D4983" t="inlineStr">
        <is>
          <t>kilogram</t>
        </is>
      </c>
      <c r="F4983" t="inlineStr">
        <is>
          <t>technosphere</t>
        </is>
      </c>
      <c r="G4983" t="inlineStr">
        <is>
          <t>road wear emissions, passenger car</t>
        </is>
      </c>
      <c r="I4983">
        <v>0</v>
      </c>
    </row>
    <row r="4984">
      <c r="A4984" t="inlineStr">
        <is>
          <t>treatment of tyre wear emissions, passenger car</t>
        </is>
      </c>
      <c r="B4984">
        <v>-7.228598070295418e-06</v>
      </c>
      <c r="C4984" t="inlineStr">
        <is>
          <t>RER</t>
        </is>
      </c>
      <c r="D4984" t="inlineStr">
        <is>
          <t>kilogram</t>
        </is>
      </c>
      <c r="F4984" t="inlineStr">
        <is>
          <t>technosphere</t>
        </is>
      </c>
      <c r="G4984" t="inlineStr">
        <is>
          <t>tyre wear emissions, passenger car</t>
        </is>
      </c>
      <c r="I4984">
        <v>0</v>
      </c>
    </row>
    <row r="4985">
      <c r="A4985" t="inlineStr">
        <is>
          <t>market for tetrafluoroethane, R134a</t>
        </is>
      </c>
      <c r="B4985">
        <v>2.4018034573062128e-06</v>
      </c>
      <c r="C4985" t="inlineStr">
        <is>
          <t>GLO</t>
        </is>
      </c>
      <c r="D4985" t="inlineStr">
        <is>
          <t>kilogram</t>
        </is>
      </c>
      <c r="F4985" t="inlineStr">
        <is>
          <t>technosphere</t>
        </is>
      </c>
      <c r="G4985" t="inlineStr">
        <is>
          <t>tetrafluoroethane, R134a</t>
        </is>
      </c>
      <c r="I4985">
        <v>0</v>
      </c>
    </row>
    <row r="4986">
      <c r="A4986" t="inlineStr">
        <is>
          <t>Toluene</t>
        </is>
      </c>
      <c r="B4986">
        <v>8.485774790285088e-08</v>
      </c>
      <c r="D4986" t="inlineStr">
        <is>
          <t>kilogram</t>
        </is>
      </c>
      <c r="E4986" t="inlineStr">
        <is>
          <t>air::non-urban air or from high stacks</t>
        </is>
      </c>
      <c r="F4986" t="inlineStr">
        <is>
          <t>biosphere</t>
        </is>
      </c>
      <c r="I4986">
        <v>0</v>
      </c>
    </row>
    <row r="4987">
      <c r="A4987" t="inlineStr">
        <is>
          <t>NMVOC, non-methane volatile organic compounds</t>
        </is>
      </c>
      <c r="B4987">
        <v>3.1778359610804548e-06</v>
      </c>
      <c r="D4987" t="inlineStr">
        <is>
          <t>kilogram</t>
        </is>
      </c>
      <c r="E4987" t="inlineStr">
        <is>
          <t>air::non-urban air or from high stacks</t>
        </is>
      </c>
      <c r="F4987" t="inlineStr">
        <is>
          <t>biosphere</t>
        </is>
      </c>
      <c r="I4987">
        <v>0</v>
      </c>
    </row>
    <row r="4988">
      <c r="A4988" t="inlineStr">
        <is>
          <t>Dinitrogen monoxide</t>
        </is>
      </c>
      <c r="B4988">
        <v>4.674883409401355e-08</v>
      </c>
      <c r="D4988" t="inlineStr">
        <is>
          <t>kilogram</t>
        </is>
      </c>
      <c r="E4988" t="inlineStr">
        <is>
          <t>air::non-urban air or from high stacks</t>
        </is>
      </c>
      <c r="F4988" t="inlineStr">
        <is>
          <t>biosphere</t>
        </is>
      </c>
      <c r="I4988">
        <v>0</v>
      </c>
    </row>
    <row r="4989">
      <c r="A4989" t="inlineStr">
        <is>
          <t>Ethane</t>
        </is>
      </c>
      <c r="B4989">
        <v>6.178202979323652e-07</v>
      </c>
      <c r="D4989" t="inlineStr">
        <is>
          <t>kilogram</t>
        </is>
      </c>
      <c r="E4989" t="inlineStr">
        <is>
          <t>air::urban air close to ground</t>
        </is>
      </c>
      <c r="F4989" t="inlineStr">
        <is>
          <t>biosphere</t>
        </is>
      </c>
      <c r="I4989">
        <v>0</v>
      </c>
    </row>
    <row r="4990">
      <c r="A4990" t="inlineStr">
        <is>
          <t>Pentane</t>
        </is>
      </c>
      <c r="B4990">
        <v>4.2475143382439017e-07</v>
      </c>
      <c r="D4990" t="inlineStr">
        <is>
          <t>kilogram</t>
        </is>
      </c>
      <c r="E4990" t="inlineStr">
        <is>
          <t>air::urban air close to ground</t>
        </is>
      </c>
      <c r="F4990" t="inlineStr">
        <is>
          <t>biosphere</t>
        </is>
      </c>
      <c r="I4990">
        <v>0</v>
      </c>
    </row>
    <row r="4991">
      <c r="A4991" t="inlineStr">
        <is>
          <t>Selenium IV</t>
        </is>
      </c>
      <c r="B4991">
        <v>2.6658564722165628e-12</v>
      </c>
      <c r="D4991" t="inlineStr">
        <is>
          <t>kilogram</t>
        </is>
      </c>
      <c r="E4991" t="inlineStr">
        <is>
          <t>air::non-urban air or from high stacks</t>
        </is>
      </c>
      <c r="F4991" t="inlineStr">
        <is>
          <t>biosphere</t>
        </is>
      </c>
      <c r="I4991">
        <v>0</v>
      </c>
    </row>
    <row r="4992">
      <c r="A4992" t="inlineStr">
        <is>
          <t>Arsenic ion</t>
        </is>
      </c>
      <c r="B4992">
        <v>4.001626718125109e-12</v>
      </c>
      <c r="D4992" t="inlineStr">
        <is>
          <t>kilogram</t>
        </is>
      </c>
      <c r="E4992" t="inlineStr">
        <is>
          <t>air::non-urban air or from high stacks</t>
        </is>
      </c>
      <c r="F4992" t="inlineStr">
        <is>
          <t>biosphere</t>
        </is>
      </c>
      <c r="I4992">
        <v>0</v>
      </c>
    </row>
    <row r="4993">
      <c r="A4993" t="inlineStr">
        <is>
          <t>Arsenic ion</t>
        </is>
      </c>
      <c r="B4993">
        <v>3.038373047003884e-12</v>
      </c>
      <c r="D4993" t="inlineStr">
        <is>
          <t>kilogram</t>
        </is>
      </c>
      <c r="E4993" t="inlineStr">
        <is>
          <t>air::urban air close to ground</t>
        </is>
      </c>
      <c r="F4993" t="inlineStr">
        <is>
          <t>biosphere</t>
        </is>
      </c>
      <c r="I4993">
        <v>0</v>
      </c>
    </row>
    <row r="4994">
      <c r="A4994" t="inlineStr">
        <is>
          <t>Propylene</t>
        </is>
      </c>
      <c r="B4994">
        <v>2.9314492534191425e-08</v>
      </c>
      <c r="D4994" t="inlineStr">
        <is>
          <t>kilogram</t>
        </is>
      </c>
      <c r="E4994" t="inlineStr">
        <is>
          <t>air::non-urban air or from high stacks</t>
        </is>
      </c>
      <c r="F4994" t="inlineStr">
        <is>
          <t>biosphere</t>
        </is>
      </c>
      <c r="I4994">
        <v>0</v>
      </c>
    </row>
    <row r="4995">
      <c r="A4995" t="inlineStr">
        <is>
          <t>Particulate Matter, &lt; 2.5 um</t>
        </is>
      </c>
      <c r="B4995">
        <v>2.3699093868880875e-07</v>
      </c>
      <c r="D4995" t="inlineStr">
        <is>
          <t>kilogram</t>
        </is>
      </c>
      <c r="E4995" t="inlineStr">
        <is>
          <t>air::urban air close to ground</t>
        </is>
      </c>
      <c r="F4995" t="inlineStr">
        <is>
          <t>biosphere</t>
        </is>
      </c>
      <c r="I4995">
        <v>0</v>
      </c>
    </row>
    <row r="4996">
      <c r="A4996" t="inlineStr">
        <is>
          <t>Nickel II</t>
        </is>
      </c>
      <c r="B4996">
        <v>3.069429555789392e-11</v>
      </c>
      <c r="D4996" t="inlineStr">
        <is>
          <t>kilogram</t>
        </is>
      </c>
      <c r="E4996" t="inlineStr">
        <is>
          <t>air::non-urban air or from high stacks</t>
        </is>
      </c>
      <c r="F4996" t="inlineStr">
        <is>
          <t>biosphere</t>
        </is>
      </c>
      <c r="I4996">
        <v>0</v>
      </c>
    </row>
    <row r="4997">
      <c r="A4997" t="inlineStr">
        <is>
          <t>Methane, fossil</t>
        </is>
      </c>
      <c r="B4997">
        <v>5.142891864640064e-07</v>
      </c>
      <c r="D4997" t="inlineStr">
        <is>
          <t>kilogram</t>
        </is>
      </c>
      <c r="E4997" t="inlineStr">
        <is>
          <t>air::non-urban air or from high stacks</t>
        </is>
      </c>
      <c r="F4997" t="inlineStr">
        <is>
          <t>biosphere</t>
        </is>
      </c>
      <c r="I4997">
        <v>0</v>
      </c>
    </row>
    <row r="4998">
      <c r="A4998" t="inlineStr">
        <is>
          <t>Mercury II</t>
        </is>
      </c>
      <c r="B4998">
        <v>1.1595623051201971e-10</v>
      </c>
      <c r="D4998" t="inlineStr">
        <is>
          <t>kilogram</t>
        </is>
      </c>
      <c r="E4998" t="inlineStr">
        <is>
          <t>air::non-urban air or from high stacks</t>
        </is>
      </c>
      <c r="F4998" t="inlineStr">
        <is>
          <t>biosphere</t>
        </is>
      </c>
      <c r="I4998">
        <v>0</v>
      </c>
    </row>
    <row r="4999">
      <c r="A4999" t="inlineStr">
        <is>
          <t>Ammonia</t>
        </is>
      </c>
      <c r="B4999">
        <v>1.8978800516687959e-06</v>
      </c>
      <c r="D4999" t="inlineStr">
        <is>
          <t>kilogram</t>
        </is>
      </c>
      <c r="E4999" t="inlineStr">
        <is>
          <t>air::non-urban air or from high stacks</t>
        </is>
      </c>
      <c r="F4999" t="inlineStr">
        <is>
          <t>biosphere</t>
        </is>
      </c>
      <c r="I4999">
        <v>0</v>
      </c>
    </row>
    <row r="5000">
      <c r="A5000" t="inlineStr">
        <is>
          <t>Ethane</t>
        </is>
      </c>
      <c r="B5000">
        <v>2.46858901080647e-08</v>
      </c>
      <c r="D5000" t="inlineStr">
        <is>
          <t>kilogram</t>
        </is>
      </c>
      <c r="E5000" t="inlineStr">
        <is>
          <t>air::non-urban air or from high stacks</t>
        </is>
      </c>
      <c r="F5000" t="inlineStr">
        <is>
          <t>biosphere</t>
        </is>
      </c>
      <c r="I5000">
        <v>0</v>
      </c>
    </row>
    <row r="5001">
      <c r="A5001" t="inlineStr">
        <is>
          <t>Nickel II</t>
        </is>
      </c>
      <c r="B5001">
        <v>2.33057020978785e-11</v>
      </c>
      <c r="D5001" t="inlineStr">
        <is>
          <t>kilogram</t>
        </is>
      </c>
      <c r="E5001" t="inlineStr">
        <is>
          <t>air::urban air close to ground</t>
        </is>
      </c>
      <c r="F5001" t="inlineStr">
        <is>
          <t>biosphere</t>
        </is>
      </c>
      <c r="I5001">
        <v>0</v>
      </c>
    </row>
    <row r="5002">
      <c r="A5002" t="inlineStr">
        <is>
          <t>Cadmium II</t>
        </is>
      </c>
      <c r="B5002">
        <v>2.6658564722165628e-12</v>
      </c>
      <c r="D5002" t="inlineStr">
        <is>
          <t>kilogram</t>
        </is>
      </c>
      <c r="E5002" t="inlineStr">
        <is>
          <t>air::non-urban air or from high stacks</t>
        </is>
      </c>
      <c r="F5002" t="inlineStr">
        <is>
          <t>biosphere</t>
        </is>
      </c>
      <c r="I5002">
        <v>0</v>
      </c>
    </row>
    <row r="5003">
      <c r="A5003" t="inlineStr">
        <is>
          <t>Ammonia</t>
        </is>
      </c>
      <c r="B5003">
        <v>1.4410307235331609e-06</v>
      </c>
      <c r="D5003" t="inlineStr">
        <is>
          <t>kilogram</t>
        </is>
      </c>
      <c r="E5003" t="inlineStr">
        <is>
          <t>air::urban air close to ground</t>
        </is>
      </c>
      <c r="F5003" t="inlineStr">
        <is>
          <t>biosphere</t>
        </is>
      </c>
      <c r="I5003">
        <v>0</v>
      </c>
    </row>
    <row r="5004">
      <c r="A5004" t="inlineStr">
        <is>
          <t>Butane</t>
        </is>
      </c>
      <c r="B5004">
        <v>4.0114570112848195e-08</v>
      </c>
      <c r="D5004" t="inlineStr">
        <is>
          <t>kilogram</t>
        </is>
      </c>
      <c r="E5004" t="inlineStr">
        <is>
          <t>air::non-urban air or from high stacks</t>
        </is>
      </c>
      <c r="F5004" t="inlineStr">
        <is>
          <t>biosphere</t>
        </is>
      </c>
      <c r="I5004">
        <v>0</v>
      </c>
    </row>
    <row r="5005">
      <c r="A5005" t="inlineStr">
        <is>
          <t>PAH, polycyclic aromatic hydrocarbons</t>
        </is>
      </c>
      <c r="B5005">
        <v>3.5346981515115725e-10</v>
      </c>
      <c r="D5005" t="inlineStr">
        <is>
          <t>kilogram</t>
        </is>
      </c>
      <c r="E5005" t="inlineStr">
        <is>
          <t>air::urban air close to ground</t>
        </is>
      </c>
      <c r="F5005" t="inlineStr">
        <is>
          <t>biosphere</t>
        </is>
      </c>
      <c r="I5005">
        <v>0</v>
      </c>
    </row>
    <row r="5006">
      <c r="A5006" t="inlineStr">
        <is>
          <t>Copper ion</t>
        </is>
      </c>
      <c r="B5006">
        <v>6.025176924783301e-11</v>
      </c>
      <c r="D5006" t="inlineStr">
        <is>
          <t>kilogram</t>
        </is>
      </c>
      <c r="E5006" t="inlineStr">
        <is>
          <t>air::non-urban air or from high stacks</t>
        </is>
      </c>
      <c r="F5006" t="inlineStr">
        <is>
          <t>biosphere</t>
        </is>
      </c>
      <c r="I5006">
        <v>0</v>
      </c>
    </row>
    <row r="5007">
      <c r="A5007" t="inlineStr">
        <is>
          <t>Nitrogen oxides</t>
        </is>
      </c>
      <c r="B5007">
        <v>8.487546844117613e-06</v>
      </c>
      <c r="D5007" t="inlineStr">
        <is>
          <t>kilogram</t>
        </is>
      </c>
      <c r="E5007" t="inlineStr">
        <is>
          <t>air::non-urban air or from high stacks</t>
        </is>
      </c>
      <c r="F5007" t="inlineStr">
        <is>
          <t>biosphere</t>
        </is>
      </c>
      <c r="I5007">
        <v>0</v>
      </c>
    </row>
    <row r="5008">
      <c r="A5008" t="inlineStr">
        <is>
          <t>Hexane</t>
        </is>
      </c>
      <c r="B5008">
        <v>3.089101489661827e-07</v>
      </c>
      <c r="D5008" t="inlineStr">
        <is>
          <t>kilogram</t>
        </is>
      </c>
      <c r="E5008" t="inlineStr">
        <is>
          <t>air::urban air close to ground</t>
        </is>
      </c>
      <c r="F5008" t="inlineStr">
        <is>
          <t>biosphere</t>
        </is>
      </c>
      <c r="I5008">
        <v>0</v>
      </c>
    </row>
    <row r="5009">
      <c r="A5009" t="inlineStr">
        <is>
          <t>Butane</t>
        </is>
      </c>
      <c r="B5009">
        <v>1.0039579421318718e-06</v>
      </c>
      <c r="D5009" t="inlineStr">
        <is>
          <t>kilogram</t>
        </is>
      </c>
      <c r="E5009" t="inlineStr">
        <is>
          <t>air::urban air close to ground</t>
        </is>
      </c>
      <c r="F5009" t="inlineStr">
        <is>
          <t>biosphere</t>
        </is>
      </c>
      <c r="I5009">
        <v>0</v>
      </c>
    </row>
    <row r="5010">
      <c r="A5010" t="inlineStr">
        <is>
          <t>Copper ion</t>
        </is>
      </c>
      <c r="B5010">
        <v>4.57482306137567e-11</v>
      </c>
      <c r="D5010" t="inlineStr">
        <is>
          <t>kilogram</t>
        </is>
      </c>
      <c r="E5010" t="inlineStr">
        <is>
          <t>air::urban air close to ground</t>
        </is>
      </c>
      <c r="F5010" t="inlineStr">
        <is>
          <t>biosphere</t>
        </is>
      </c>
      <c r="I5010">
        <v>0</v>
      </c>
    </row>
    <row r="5011">
      <c r="A5011" t="inlineStr">
        <is>
          <t>Chromium III</t>
        </is>
      </c>
      <c r="B5011">
        <v>6.387488609167662e-11</v>
      </c>
      <c r="D5011" t="inlineStr">
        <is>
          <t>kilogram</t>
        </is>
      </c>
      <c r="E5011" t="inlineStr">
        <is>
          <t>air::urban air close to ground</t>
        </is>
      </c>
      <c r="F5011" t="inlineStr">
        <is>
          <t>biosphere</t>
        </is>
      </c>
      <c r="I5011">
        <v>0</v>
      </c>
    </row>
    <row r="5012">
      <c r="A5012" t="inlineStr">
        <is>
          <t>Propane</t>
        </is>
      </c>
      <c r="B5012">
        <v>1.351481901727049e-07</v>
      </c>
      <c r="D5012" t="inlineStr">
        <is>
          <t>kilogram</t>
        </is>
      </c>
      <c r="E5012" t="inlineStr">
        <is>
          <t>air::urban air close to ground</t>
        </is>
      </c>
      <c r="F5012" t="inlineStr">
        <is>
          <t>biosphere</t>
        </is>
      </c>
      <c r="I5012">
        <v>0</v>
      </c>
    </row>
    <row r="5013">
      <c r="A5013" t="inlineStr">
        <is>
          <t>Toluene</t>
        </is>
      </c>
      <c r="B5013">
        <v>2.1237572531383947e-06</v>
      </c>
      <c r="D5013" t="inlineStr">
        <is>
          <t>kilogram</t>
        </is>
      </c>
      <c r="E5013" t="inlineStr">
        <is>
          <t>air::urban air close to ground</t>
        </is>
      </c>
      <c r="F5013" t="inlineStr">
        <is>
          <t>biosphere</t>
        </is>
      </c>
      <c r="I5013">
        <v>0</v>
      </c>
    </row>
    <row r="5014">
      <c r="A5014" t="inlineStr">
        <is>
          <t>Dinitrogen monoxide</t>
        </is>
      </c>
      <c r="B5014">
        <v>3.5495663709460686e-08</v>
      </c>
      <c r="D5014" t="inlineStr">
        <is>
          <t>kilogram</t>
        </is>
      </c>
      <c r="E5014" t="inlineStr">
        <is>
          <t>air::urban air close to ground</t>
        </is>
      </c>
      <c r="F5014" t="inlineStr">
        <is>
          <t>biosphere</t>
        </is>
      </c>
      <c r="I5014">
        <v>0</v>
      </c>
    </row>
    <row r="5015">
      <c r="A5015" t="inlineStr">
        <is>
          <t>Zinc II</t>
        </is>
      </c>
      <c r="B5015">
        <v>3.3447998609123704e-10</v>
      </c>
      <c r="D5015" t="inlineStr">
        <is>
          <t>kilogram</t>
        </is>
      </c>
      <c r="E5015" t="inlineStr">
        <is>
          <t>air::urban air close to ground</t>
        </is>
      </c>
      <c r="F5015" t="inlineStr">
        <is>
          <t>biosphere</t>
        </is>
      </c>
      <c r="I5015">
        <v>0</v>
      </c>
    </row>
    <row r="5016">
      <c r="A5016" t="inlineStr">
        <is>
          <t>Chromium VI</t>
        </is>
      </c>
      <c r="B5016">
        <v>1.6825022521085002e-13</v>
      </c>
      <c r="D5016" t="inlineStr">
        <is>
          <t>kilogram</t>
        </is>
      </c>
      <c r="E5016" t="inlineStr">
        <is>
          <t>air::non-urban air or from high stacks</t>
        </is>
      </c>
      <c r="F5016" t="inlineStr">
        <is>
          <t>biosphere</t>
        </is>
      </c>
      <c r="I5016">
        <v>0</v>
      </c>
    </row>
    <row r="5017">
      <c r="A5017" t="inlineStr">
        <is>
          <t>Benzene</t>
        </is>
      </c>
      <c r="B5017">
        <v>3.53245327151087e-08</v>
      </c>
      <c r="D5017" t="inlineStr">
        <is>
          <t>kilogram</t>
        </is>
      </c>
      <c r="E5017" t="inlineStr">
        <is>
          <t>air::non-urban air or from high stacks</t>
        </is>
      </c>
      <c r="F5017" t="inlineStr">
        <is>
          <t>biosphere</t>
        </is>
      </c>
      <c r="I5017">
        <v>0</v>
      </c>
    </row>
    <row r="5018">
      <c r="A5018" t="inlineStr">
        <is>
          <t>Carbon monoxide, fossil</t>
        </is>
      </c>
      <c r="B5018">
        <v>0.0001087694681937128</v>
      </c>
      <c r="D5018" t="inlineStr">
        <is>
          <t>kilogram</t>
        </is>
      </c>
      <c r="E5018" t="inlineStr">
        <is>
          <t>air::non-urban air or from high stacks</t>
        </is>
      </c>
      <c r="F5018" t="inlineStr">
        <is>
          <t>biosphere</t>
        </is>
      </c>
      <c r="I5018">
        <v>0</v>
      </c>
    </row>
    <row r="5019">
      <c r="A5019" t="inlineStr">
        <is>
          <t>Chromium VI</t>
        </is>
      </c>
      <c r="B5019">
        <v>1.2774977274422347e-13</v>
      </c>
      <c r="D5019" t="inlineStr">
        <is>
          <t>kilogram</t>
        </is>
      </c>
      <c r="E5019" t="inlineStr">
        <is>
          <t>air::urban air close to ground</t>
        </is>
      </c>
      <c r="F5019" t="inlineStr">
        <is>
          <t>biosphere</t>
        </is>
      </c>
      <c r="I5019">
        <v>0</v>
      </c>
    </row>
    <row r="5020">
      <c r="A5020" t="inlineStr">
        <is>
          <t>Methane, fossil</t>
        </is>
      </c>
      <c r="B5020">
        <v>1.4737951202945778e-06</v>
      </c>
      <c r="D5020" t="inlineStr">
        <is>
          <t>kilogram</t>
        </is>
      </c>
      <c r="E5020" t="inlineStr">
        <is>
          <t>air::urban air close to ground</t>
        </is>
      </c>
      <c r="F5020" t="inlineStr">
        <is>
          <t>biosphere</t>
        </is>
      </c>
      <c r="I5020">
        <v>0</v>
      </c>
    </row>
    <row r="5021">
      <c r="A5021" t="inlineStr">
        <is>
          <t>Sulfur dioxide</t>
        </is>
      </c>
      <c r="B5021">
        <v>3.7723729745496776e-07</v>
      </c>
      <c r="D5021" t="inlineStr">
        <is>
          <t>kilogram</t>
        </is>
      </c>
      <c r="E5021" t="inlineStr">
        <is>
          <t>air</t>
        </is>
      </c>
      <c r="F5021" t="inlineStr">
        <is>
          <t>biosphere</t>
        </is>
      </c>
      <c r="I5021">
        <v>0</v>
      </c>
    </row>
    <row r="5022">
      <c r="A5022" t="inlineStr">
        <is>
          <t>NMVOC, non-methane volatile organic compounds</t>
        </is>
      </c>
      <c r="B5022">
        <v>1.9676329903559775e-05</v>
      </c>
      <c r="D5022" t="inlineStr">
        <is>
          <t>kilogram</t>
        </is>
      </c>
      <c r="E5022" t="inlineStr">
        <is>
          <t>air::urban air close to ground</t>
        </is>
      </c>
      <c r="F5022" t="inlineStr">
        <is>
          <t>biosphere</t>
        </is>
      </c>
      <c r="I5022">
        <v>0</v>
      </c>
    </row>
    <row r="5023">
      <c r="A5023" t="inlineStr">
        <is>
          <t>Formaldehyde</t>
        </is>
      </c>
      <c r="B5023">
        <v>3.282170227745136e-07</v>
      </c>
      <c r="D5023" t="inlineStr">
        <is>
          <t>kilogram</t>
        </is>
      </c>
      <c r="E5023" t="inlineStr">
        <is>
          <t>air::urban air close to ground</t>
        </is>
      </c>
      <c r="F5023" t="inlineStr">
        <is>
          <t>biosphere</t>
        </is>
      </c>
      <c r="I5023">
        <v>0</v>
      </c>
    </row>
    <row r="5024">
      <c r="A5024" t="inlineStr">
        <is>
          <t>Nitrogen oxides</t>
        </is>
      </c>
      <c r="B5024">
        <v>1.1323855960379002e-05</v>
      </c>
      <c r="D5024" t="inlineStr">
        <is>
          <t>kilogram</t>
        </is>
      </c>
      <c r="E5024" t="inlineStr">
        <is>
          <t>air::urban air close to ground</t>
        </is>
      </c>
      <c r="F5024" t="inlineStr">
        <is>
          <t>biosphere</t>
        </is>
      </c>
      <c r="I5024">
        <v>0</v>
      </c>
    </row>
    <row r="5025">
      <c r="A5025" t="inlineStr">
        <is>
          <t>Formaldehyde</t>
        </is>
      </c>
      <c r="B5025">
        <v>1.3114378791720136e-08</v>
      </c>
      <c r="D5025" t="inlineStr">
        <is>
          <t>kilogram</t>
        </is>
      </c>
      <c r="E5025" t="inlineStr">
        <is>
          <t>air::non-urban air or from high stacks</t>
        </is>
      </c>
      <c r="F5025" t="inlineStr">
        <is>
          <t>biosphere</t>
        </is>
      </c>
      <c r="I5025">
        <v>0</v>
      </c>
    </row>
    <row r="5026">
      <c r="A5026" t="inlineStr">
        <is>
          <t>Zinc II</t>
        </is>
      </c>
      <c r="B5026">
        <v>4.4051995837597756e-10</v>
      </c>
      <c r="D5026" t="inlineStr">
        <is>
          <t>kilogram</t>
        </is>
      </c>
      <c r="E5026" t="inlineStr">
        <is>
          <t>air::non-urban air or from high stacks</t>
        </is>
      </c>
      <c r="F5026" t="inlineStr">
        <is>
          <t>biosphere</t>
        </is>
      </c>
      <c r="I5026">
        <v>0</v>
      </c>
    </row>
    <row r="5027">
      <c r="A5027" t="inlineStr">
        <is>
          <t>Carbon monoxide, fossil</t>
        </is>
      </c>
      <c r="B5027">
        <v>0.00020171446470292127</v>
      </c>
      <c r="D5027" t="inlineStr">
        <is>
          <t>kilogram</t>
        </is>
      </c>
      <c r="E5027" t="inlineStr">
        <is>
          <t>air::urban air close to ground</t>
        </is>
      </c>
      <c r="F5027" t="inlineStr">
        <is>
          <t>biosphere</t>
        </is>
      </c>
      <c r="I5027">
        <v>0</v>
      </c>
    </row>
    <row r="5028">
      <c r="A5028" t="inlineStr">
        <is>
          <t>m-Xylene</t>
        </is>
      </c>
      <c r="B5028">
        <v>1.0425717317567554e-06</v>
      </c>
      <c r="D5028" t="inlineStr">
        <is>
          <t>kilogram</t>
        </is>
      </c>
      <c r="E5028" t="inlineStr">
        <is>
          <t>air::urban air close to ground</t>
        </is>
      </c>
      <c r="F5028" t="inlineStr">
        <is>
          <t>biosphere</t>
        </is>
      </c>
      <c r="I5028">
        <v>0</v>
      </c>
    </row>
    <row r="5029">
      <c r="A5029" t="inlineStr">
        <is>
          <t>PAH, polycyclic aromatic hydrocarbons</t>
        </is>
      </c>
      <c r="B5029">
        <v>4.655301522860326e-10</v>
      </c>
      <c r="D5029" t="inlineStr">
        <is>
          <t>kilogram</t>
        </is>
      </c>
      <c r="E5029" t="inlineStr">
        <is>
          <t>air::non-urban air or from high stacks</t>
        </is>
      </c>
      <c r="F5029" t="inlineStr">
        <is>
          <t>biosphere</t>
        </is>
      </c>
      <c r="I5029">
        <v>0</v>
      </c>
    </row>
    <row r="5030">
      <c r="A5030" t="inlineStr">
        <is>
          <t>Particulate Matter, &lt; 2.5 um</t>
        </is>
      </c>
      <c r="B5030">
        <v>3.1212402999812946e-07</v>
      </c>
      <c r="D5030" t="inlineStr">
        <is>
          <t>kilogram</t>
        </is>
      </c>
      <c r="E5030" t="inlineStr">
        <is>
          <t>air::non-urban air or from high stacks</t>
        </is>
      </c>
      <c r="F5030" t="inlineStr">
        <is>
          <t>biosphere</t>
        </is>
      </c>
      <c r="I5030">
        <v>0</v>
      </c>
    </row>
    <row r="5031">
      <c r="A5031" t="inlineStr">
        <is>
          <t>Pentane</t>
        </is>
      </c>
      <c r="B5031">
        <v>1.697155010567295e-08</v>
      </c>
      <c r="D5031" t="inlineStr">
        <is>
          <t>kilogram</t>
        </is>
      </c>
      <c r="E5031" t="inlineStr">
        <is>
          <t>air::non-urban air or from high stacks</t>
        </is>
      </c>
      <c r="F5031" t="inlineStr">
        <is>
          <t>biosphere</t>
        </is>
      </c>
      <c r="I5031">
        <v>0</v>
      </c>
    </row>
    <row r="5032">
      <c r="A5032" t="inlineStr">
        <is>
          <t>1,1,1,2-Tetrafluoroethane</t>
        </is>
      </c>
      <c r="B5032">
        <v>1.3856558213651742e-06</v>
      </c>
      <c r="D5032" t="inlineStr">
        <is>
          <t>kilogram</t>
        </is>
      </c>
      <c r="E5032" t="inlineStr">
        <is>
          <t>air</t>
        </is>
      </c>
      <c r="F5032" t="inlineStr">
        <is>
          <t>biosphere</t>
        </is>
      </c>
      <c r="I5032">
        <v>0</v>
      </c>
    </row>
    <row r="5033">
      <c r="A5033" t="inlineStr">
        <is>
          <t>Acetaldehyde</t>
        </is>
      </c>
      <c r="B5033">
        <v>1.544550744830913e-07</v>
      </c>
      <c r="D5033" t="inlineStr">
        <is>
          <t>kilogram</t>
        </is>
      </c>
      <c r="E5033" t="inlineStr">
        <is>
          <t>air::urban air close to ground</t>
        </is>
      </c>
      <c r="F5033" t="inlineStr">
        <is>
          <t>biosphere</t>
        </is>
      </c>
      <c r="I5033">
        <v>0</v>
      </c>
    </row>
    <row r="5034">
      <c r="A5034" t="inlineStr">
        <is>
          <t>Benzene</t>
        </is>
      </c>
      <c r="B5034">
        <v>1.4380293200880646e-06</v>
      </c>
      <c r="D5034" t="inlineStr">
        <is>
          <t>kilogram</t>
        </is>
      </c>
      <c r="E5034" t="inlineStr">
        <is>
          <t>air::urban air close to ground</t>
        </is>
      </c>
      <c r="F5034" t="inlineStr">
        <is>
          <t>biosphere</t>
        </is>
      </c>
      <c r="I5034">
        <v>0</v>
      </c>
    </row>
    <row r="5035">
      <c r="A5035" t="inlineStr">
        <is>
          <t>Mercury II</t>
        </is>
      </c>
      <c r="B5035">
        <v>8.804375664359864e-11</v>
      </c>
      <c r="D5035" t="inlineStr">
        <is>
          <t>kilogram</t>
        </is>
      </c>
      <c r="E5035" t="inlineStr">
        <is>
          <t>air::urban air close to ground</t>
        </is>
      </c>
      <c r="F5035" t="inlineStr">
        <is>
          <t>biosphere</t>
        </is>
      </c>
      <c r="I5035">
        <v>0</v>
      </c>
    </row>
    <row r="5036">
      <c r="A5036" t="inlineStr">
        <is>
          <t>Cadmium II</t>
        </is>
      </c>
      <c r="B5036">
        <v>2.0241433189600118e-12</v>
      </c>
      <c r="D5036" t="inlineStr">
        <is>
          <t>kilogram</t>
        </is>
      </c>
      <c r="E5036" t="inlineStr">
        <is>
          <t>air::urban air close to ground</t>
        </is>
      </c>
      <c r="F5036" t="inlineStr">
        <is>
          <t>biosphere</t>
        </is>
      </c>
      <c r="I5036">
        <v>0</v>
      </c>
    </row>
    <row r="5037">
      <c r="A5037" t="inlineStr">
        <is>
          <t>Propane</t>
        </is>
      </c>
      <c r="B5037">
        <v>5.4000384611391535e-09</v>
      </c>
      <c r="D5037" t="inlineStr">
        <is>
          <t>kilogram</t>
        </is>
      </c>
      <c r="E5037" t="inlineStr">
        <is>
          <t>air::non-urban air or from high stacks</t>
        </is>
      </c>
      <c r="F5037" t="inlineStr">
        <is>
          <t>biosphere</t>
        </is>
      </c>
      <c r="I5037">
        <v>0</v>
      </c>
    </row>
    <row r="5038">
      <c r="A5038" t="inlineStr">
        <is>
          <t>Chromium III</t>
        </is>
      </c>
      <c r="B5038">
        <v>8.412510539423576e-11</v>
      </c>
      <c r="D5038" t="inlineStr">
        <is>
          <t>kilogram</t>
        </is>
      </c>
      <c r="E5038" t="inlineStr">
        <is>
          <t>air::non-urban air or from high stacks</t>
        </is>
      </c>
      <c r="F5038" t="inlineStr">
        <is>
          <t>biosphere</t>
        </is>
      </c>
      <c r="I5038">
        <v>0</v>
      </c>
    </row>
    <row r="5039">
      <c r="A5039" t="inlineStr">
        <is>
          <t>1-Pentene</t>
        </is>
      </c>
      <c r="B5039">
        <v>1.9306884310386414e-08</v>
      </c>
      <c r="D5039" t="inlineStr">
        <is>
          <t>kilogram</t>
        </is>
      </c>
      <c r="E5039" t="inlineStr">
        <is>
          <t>air::urban air close to ground</t>
        </is>
      </c>
      <c r="F5039" t="inlineStr">
        <is>
          <t>biosphere</t>
        </is>
      </c>
      <c r="I5039">
        <v>0</v>
      </c>
    </row>
    <row r="5040">
      <c r="A5040" t="inlineStr">
        <is>
          <t>Acetone</t>
        </is>
      </c>
      <c r="B5040">
        <v>1.158413058623185e-07</v>
      </c>
      <c r="D5040" t="inlineStr">
        <is>
          <t>kilogram</t>
        </is>
      </c>
      <c r="E5040" t="inlineStr">
        <is>
          <t>air::urban air close to ground</t>
        </is>
      </c>
      <c r="F5040" t="inlineStr">
        <is>
          <t>biosphere</t>
        </is>
      </c>
      <c r="I5040">
        <v>0</v>
      </c>
    </row>
    <row r="5041">
      <c r="A5041" t="inlineStr">
        <is>
          <t>Acrolein</t>
        </is>
      </c>
      <c r="B5041">
        <v>3.861376862077283e-08</v>
      </c>
      <c r="D5041" t="inlineStr">
        <is>
          <t>kilogram</t>
        </is>
      </c>
      <c r="E5041" t="inlineStr">
        <is>
          <t>air::urban air close to ground</t>
        </is>
      </c>
      <c r="F5041" t="inlineStr">
        <is>
          <t>biosphere</t>
        </is>
      </c>
      <c r="I5041">
        <v>0</v>
      </c>
    </row>
    <row r="5042">
      <c r="A5042" t="inlineStr">
        <is>
          <t>Benzaldehyde</t>
        </is>
      </c>
      <c r="B5042">
        <v>3.861376862077283e-08</v>
      </c>
      <c r="D5042" t="inlineStr">
        <is>
          <t>kilogram</t>
        </is>
      </c>
      <c r="E5042" t="inlineStr">
        <is>
          <t>air::urban air close to ground</t>
        </is>
      </c>
      <c r="F5042" t="inlineStr">
        <is>
          <t>biosphere</t>
        </is>
      </c>
      <c r="I5042">
        <v>0</v>
      </c>
    </row>
    <row r="5043">
      <c r="A5043" t="inlineStr">
        <is>
          <t>Cyclohexane</t>
        </is>
      </c>
      <c r="B5043">
        <v>2.1237571691219508e-07</v>
      </c>
      <c r="D5043" t="inlineStr">
        <is>
          <t>kilogram</t>
        </is>
      </c>
      <c r="E5043" t="inlineStr">
        <is>
          <t>air::urban air close to ground</t>
        </is>
      </c>
      <c r="F5043" t="inlineStr">
        <is>
          <t>biosphere</t>
        </is>
      </c>
      <c r="I5043">
        <v>0</v>
      </c>
    </row>
    <row r="5044">
      <c r="A5044" t="inlineStr">
        <is>
          <t>Heptane</t>
        </is>
      </c>
      <c r="B5044">
        <v>1.351481901727049e-07</v>
      </c>
      <c r="D5044" t="inlineStr">
        <is>
          <t>kilogram</t>
        </is>
      </c>
      <c r="E5044" t="inlineStr">
        <is>
          <t>air::urban air close to ground</t>
        </is>
      </c>
      <c r="F5044" t="inlineStr">
        <is>
          <t>biosphere</t>
        </is>
      </c>
      <c r="I5044">
        <v>0</v>
      </c>
    </row>
    <row r="5045">
      <c r="A5045" t="inlineStr">
        <is>
          <t>Methyl ethyl ketone</t>
        </is>
      </c>
      <c r="B5045">
        <v>1.9306884310386414e-08</v>
      </c>
      <c r="D5045" t="inlineStr">
        <is>
          <t>kilogram</t>
        </is>
      </c>
      <c r="E5045" t="inlineStr">
        <is>
          <t>air::urban air close to ground</t>
        </is>
      </c>
      <c r="F5045" t="inlineStr">
        <is>
          <t>biosphere</t>
        </is>
      </c>
      <c r="I5045">
        <v>0</v>
      </c>
    </row>
    <row r="5046">
      <c r="A5046" t="inlineStr">
        <is>
          <t>o-Xylene</t>
        </is>
      </c>
      <c r="B5046">
        <v>4.4405832863683197e-07</v>
      </c>
      <c r="D5046" t="inlineStr">
        <is>
          <t>kilogram</t>
        </is>
      </c>
      <c r="E5046" t="inlineStr">
        <is>
          <t>air::urban air close to ground</t>
        </is>
      </c>
      <c r="F5046" t="inlineStr">
        <is>
          <t>biosphere</t>
        </is>
      </c>
      <c r="I5046">
        <v>0</v>
      </c>
    </row>
    <row r="5047">
      <c r="A5047" t="inlineStr">
        <is>
          <t>Propylene</t>
        </is>
      </c>
      <c r="B5047">
        <v>7.33661582790573e-07</v>
      </c>
      <c r="D5047" t="inlineStr">
        <is>
          <t>kilogram</t>
        </is>
      </c>
      <c r="E5047" t="inlineStr">
        <is>
          <t>air::urban air close to ground</t>
        </is>
      </c>
      <c r="F5047" t="inlineStr">
        <is>
          <t>biosphere</t>
        </is>
      </c>
      <c r="I5047">
        <v>0</v>
      </c>
    </row>
    <row r="5048">
      <c r="A5048" t="inlineStr">
        <is>
          <t>Selenium IV</t>
        </is>
      </c>
      <c r="B5048">
        <v>2.0241433189600118e-12</v>
      </c>
      <c r="D5048" t="inlineStr">
        <is>
          <t>kilogram</t>
        </is>
      </c>
      <c r="E5048" t="inlineStr">
        <is>
          <t>air::urban air close to ground</t>
        </is>
      </c>
      <c r="F5048" t="inlineStr">
        <is>
          <t>biosphere</t>
        </is>
      </c>
      <c r="I5048">
        <v>0</v>
      </c>
    </row>
    <row r="5049">
      <c r="A5049" t="inlineStr">
        <is>
          <t>Styrene</t>
        </is>
      </c>
      <c r="B5049">
        <v>1.9306884310386417e-07</v>
      </c>
      <c r="D5049" t="inlineStr">
        <is>
          <t>kilogram</t>
        </is>
      </c>
      <c r="E5049" t="inlineStr">
        <is>
          <t>air::urban air close to ground</t>
        </is>
      </c>
      <c r="F5049" t="inlineStr">
        <is>
          <t>biosphere</t>
        </is>
      </c>
      <c r="I5049">
        <v>0</v>
      </c>
    </row>
    <row r="5050">
      <c r="A5050" t="inlineStr">
        <is>
          <t>1-Pentene</t>
        </is>
      </c>
      <c r="B5050">
        <v>7.714340658770217e-10</v>
      </c>
      <c r="D5050" t="inlineStr">
        <is>
          <t>kilogram</t>
        </is>
      </c>
      <c r="E5050" t="inlineStr">
        <is>
          <t>air::non-urban air or from high stacks</t>
        </is>
      </c>
      <c r="F5050" t="inlineStr">
        <is>
          <t>biosphere</t>
        </is>
      </c>
      <c r="I5050">
        <v>0</v>
      </c>
    </row>
    <row r="5051">
      <c r="A5051" t="inlineStr">
        <is>
          <t>Acetaldehyde</t>
        </is>
      </c>
      <c r="B5051">
        <v>6.171472527016175e-09</v>
      </c>
      <c r="D5051" t="inlineStr">
        <is>
          <t>kilogram</t>
        </is>
      </c>
      <c r="E5051" t="inlineStr">
        <is>
          <t>air::non-urban air or from high stacks</t>
        </is>
      </c>
      <c r="F5051" t="inlineStr">
        <is>
          <t>biosphere</t>
        </is>
      </c>
      <c r="I5051">
        <v>0</v>
      </c>
    </row>
    <row r="5052">
      <c r="A5052" t="inlineStr">
        <is>
          <t>Acetone</t>
        </is>
      </c>
      <c r="B5052">
        <v>4.628604395262132e-09</v>
      </c>
      <c r="D5052" t="inlineStr">
        <is>
          <t>kilogram</t>
        </is>
      </c>
      <c r="E5052" t="inlineStr">
        <is>
          <t>air::non-urban air or from high stacks</t>
        </is>
      </c>
      <c r="F5052" t="inlineStr">
        <is>
          <t>biosphere</t>
        </is>
      </c>
      <c r="I5052">
        <v>0</v>
      </c>
    </row>
    <row r="5053">
      <c r="A5053" t="inlineStr">
        <is>
          <t>Acrolein</t>
        </is>
      </c>
      <c r="B5053">
        <v>1.542868131754044e-09</v>
      </c>
      <c r="D5053" t="inlineStr">
        <is>
          <t>kilogram</t>
        </is>
      </c>
      <c r="E5053" t="inlineStr">
        <is>
          <t>air::non-urban air or from high stacks</t>
        </is>
      </c>
      <c r="F5053" t="inlineStr">
        <is>
          <t>biosphere</t>
        </is>
      </c>
      <c r="I5053">
        <v>0</v>
      </c>
    </row>
    <row r="5054">
      <c r="A5054" t="inlineStr">
        <is>
          <t>Benzaldehyde</t>
        </is>
      </c>
      <c r="B5054">
        <v>1.542868131754044e-09</v>
      </c>
      <c r="D5054" t="inlineStr">
        <is>
          <t>kilogram</t>
        </is>
      </c>
      <c r="E5054" t="inlineStr">
        <is>
          <t>air::non-urban air or from high stacks</t>
        </is>
      </c>
      <c r="F5054" t="inlineStr">
        <is>
          <t>biosphere</t>
        </is>
      </c>
      <c r="I5054">
        <v>0</v>
      </c>
    </row>
    <row r="5055">
      <c r="A5055" t="inlineStr">
        <is>
          <t>Cyclohexane</t>
        </is>
      </c>
      <c r="B5055">
        <v>8.485775052836473e-09</v>
      </c>
      <c r="D5055" t="inlineStr">
        <is>
          <t>kilogram</t>
        </is>
      </c>
      <c r="E5055" t="inlineStr">
        <is>
          <t>air::non-urban air or from high stacks</t>
        </is>
      </c>
      <c r="F5055" t="inlineStr">
        <is>
          <t>biosphere</t>
        </is>
      </c>
      <c r="I5055">
        <v>0</v>
      </c>
    </row>
    <row r="5056">
      <c r="A5056" t="inlineStr">
        <is>
          <t>Heptane</t>
        </is>
      </c>
      <c r="B5056">
        <v>5.4000384611391535e-09</v>
      </c>
      <c r="D5056" t="inlineStr">
        <is>
          <t>kilogram</t>
        </is>
      </c>
      <c r="E5056" t="inlineStr">
        <is>
          <t>air::non-urban air or from high stacks</t>
        </is>
      </c>
      <c r="F5056" t="inlineStr">
        <is>
          <t>biosphere</t>
        </is>
      </c>
      <c r="I5056">
        <v>0</v>
      </c>
    </row>
    <row r="5057">
      <c r="A5057" t="inlineStr">
        <is>
          <t>Hexane</t>
        </is>
      </c>
      <c r="B5057">
        <v>1.234294505403235e-08</v>
      </c>
      <c r="D5057" t="inlineStr">
        <is>
          <t>kilogram</t>
        </is>
      </c>
      <c r="E5057" t="inlineStr">
        <is>
          <t>air::non-urban air or from high stacks</t>
        </is>
      </c>
      <c r="F5057" t="inlineStr">
        <is>
          <t>biosphere</t>
        </is>
      </c>
      <c r="I5057">
        <v>0</v>
      </c>
    </row>
    <row r="5058">
      <c r="A5058" t="inlineStr">
        <is>
          <t>Methyl ethyl ketone</t>
        </is>
      </c>
      <c r="B5058">
        <v>7.714340658770217e-10</v>
      </c>
      <c r="D5058" t="inlineStr">
        <is>
          <t>kilogram</t>
        </is>
      </c>
      <c r="E5058" t="inlineStr">
        <is>
          <t>air::non-urban air or from high stacks</t>
        </is>
      </c>
      <c r="F5058" t="inlineStr">
        <is>
          <t>biosphere</t>
        </is>
      </c>
      <c r="I5058">
        <v>0</v>
      </c>
    </row>
    <row r="5059">
      <c r="A5059" t="inlineStr">
        <is>
          <t>m-Xylene</t>
        </is>
      </c>
      <c r="B5059">
        <v>4.165743758822378e-08</v>
      </c>
      <c r="D5059" t="inlineStr">
        <is>
          <t>kilogram</t>
        </is>
      </c>
      <c r="E5059" t="inlineStr">
        <is>
          <t>air::non-urban air or from high stacks</t>
        </is>
      </c>
      <c r="F5059" t="inlineStr">
        <is>
          <t>biosphere</t>
        </is>
      </c>
      <c r="I5059">
        <v>0</v>
      </c>
    </row>
    <row r="5060">
      <c r="A5060" t="inlineStr">
        <is>
          <t>o-Xylene</t>
        </is>
      </c>
      <c r="B5060">
        <v>1.7742983843360735e-08</v>
      </c>
      <c r="D5060" t="inlineStr">
        <is>
          <t>kilogram</t>
        </is>
      </c>
      <c r="E5060" t="inlineStr">
        <is>
          <t>air::non-urban air or from high stacks</t>
        </is>
      </c>
      <c r="F5060" t="inlineStr">
        <is>
          <t>biosphere</t>
        </is>
      </c>
      <c r="I5060">
        <v>0</v>
      </c>
    </row>
    <row r="5061">
      <c r="A5061" t="inlineStr">
        <is>
          <t>Styrene</t>
        </is>
      </c>
      <c r="B5061">
        <v>7.714340002391748e-09</v>
      </c>
      <c r="D5061" t="inlineStr">
        <is>
          <t>kilogram</t>
        </is>
      </c>
      <c r="E5061" t="inlineStr">
        <is>
          <t>air::non-urban air or from high stacks</t>
        </is>
      </c>
      <c r="F5061" t="inlineStr">
        <is>
          <t>biosphere</t>
        </is>
      </c>
      <c r="I5061">
        <v>0</v>
      </c>
    </row>
    <row r="5062">
      <c r="A5062" t="inlineStr">
        <is>
          <t>Ethylene</t>
        </is>
      </c>
      <c r="B5062">
        <v>1.4094024811438196e-06</v>
      </c>
      <c r="D5062" t="inlineStr">
        <is>
          <t>kilogram</t>
        </is>
      </c>
      <c r="E5062" t="inlineStr">
        <is>
          <t>air::urban air close to ground</t>
        </is>
      </c>
      <c r="F5062" t="inlineStr">
        <is>
          <t>biosphere</t>
        </is>
      </c>
      <c r="I5062">
        <v>0</v>
      </c>
    </row>
    <row r="5063">
      <c r="A5063" t="inlineStr">
        <is>
          <t>Ethylene</t>
        </is>
      </c>
      <c r="B5063">
        <v>5.631468910634723e-08</v>
      </c>
      <c r="D5063" t="inlineStr">
        <is>
          <t>kilogram</t>
        </is>
      </c>
      <c r="E5063" t="inlineStr">
        <is>
          <t>air::non-urban air or from high stacks</t>
        </is>
      </c>
      <c r="F5063" t="inlineStr">
        <is>
          <t>biosphere</t>
        </is>
      </c>
      <c r="I5063">
        <v>0</v>
      </c>
    </row>
    <row r="5064">
      <c r="A5064" t="inlineStr">
        <is>
          <t>market for internal combustion engine, passenger car</t>
        </is>
      </c>
      <c r="B5064">
        <v>0.0004975535070430082</v>
      </c>
      <c r="C5064" t="inlineStr">
        <is>
          <t>GLO</t>
        </is>
      </c>
      <c r="D5064" t="inlineStr">
        <is>
          <t>kilogram</t>
        </is>
      </c>
      <c r="F5064" t="inlineStr">
        <is>
          <t>technosphere</t>
        </is>
      </c>
      <c r="G5064" t="inlineStr">
        <is>
          <t>internal combustion engine, passenger car</t>
        </is>
      </c>
      <c r="H5064" t="inlineStr">
        <is>
          <t> Energy-use allocation: 269.3057861328125 * 4.999999873689376e-06 / 2.7062996795066048 MJ per kilometer.</t>
        </is>
      </c>
      <c r="I5064">
        <v>0</v>
      </c>
    </row>
    <row r="5065">
      <c r="A5065" t="inlineStr">
        <is>
          <t>market for waste plastic, industrial electronics</t>
        </is>
      </c>
      <c r="B5065">
        <v>-8.978854216197933e-05</v>
      </c>
      <c r="C5065" t="inlineStr">
        <is>
          <t>CH</t>
        </is>
      </c>
      <c r="D5065" t="inlineStr">
        <is>
          <t>kilogram</t>
        </is>
      </c>
      <c r="F5065" t="inlineStr">
        <is>
          <t>technosphere</t>
        </is>
      </c>
      <c r="G5065" t="inlineStr">
        <is>
          <t>waste plastic, industrial electronics</t>
        </is>
      </c>
      <c r="H5065" t="inlineStr">
        <is>
          <t> Energy-use allocation: -48.59894180297852 * 4.999999873689376e-06 / 2.7062996795066048 MJ per kilometer.</t>
        </is>
      </c>
      <c r="I5065">
        <v>0</v>
      </c>
    </row>
    <row r="5066">
      <c r="A5066" t="inlineStr">
        <is>
          <t>polyethylene production, high density, granulate</t>
        </is>
      </c>
      <c r="B5066">
        <v>8.978854216197933e-05</v>
      </c>
      <c r="C5066" t="inlineStr">
        <is>
          <t>RER</t>
        </is>
      </c>
      <c r="D5066" t="inlineStr">
        <is>
          <t>kilogram</t>
        </is>
      </c>
      <c r="F5066" t="inlineStr">
        <is>
          <t>technosphere</t>
        </is>
      </c>
      <c r="G5066" t="inlineStr">
        <is>
          <t>polyethylene, high density, granulate</t>
        </is>
      </c>
      <c r="H5066" t="inlineStr">
        <is>
          <t> Energy-use allocation: 48.59894180297852 * 4.999999873689376e-06 / 2.7062996795066048 MJ per kilometer.</t>
        </is>
      </c>
      <c r="I5066">
        <v>0</v>
      </c>
    </row>
    <row r="5067">
      <c r="A5067" t="inlineStr">
        <is>
          <t>Carbon dioxide, non-fossil</t>
        </is>
      </c>
      <c r="B5067">
        <v>0.0739</v>
      </c>
      <c r="D5067" t="inlineStr">
        <is>
          <t>kilogram</t>
        </is>
      </c>
      <c r="E5067" t="inlineStr">
        <is>
          <t>air::urban air close to ground</t>
        </is>
      </c>
      <c r="F5067" t="inlineStr">
        <is>
          <t>biosphere</t>
        </is>
      </c>
      <c r="I5067">
        <v>0</v>
      </c>
    </row>
    <row r="5068"/>
    <row r="5069">
      <c r="A5069" t="inlineStr">
        <is>
          <t>Activity</t>
        </is>
      </c>
      <c r="B5069" t="inlineStr">
        <is>
          <t>bioethanol, from forest residues, burned in passenger car</t>
        </is>
      </c>
    </row>
    <row r="5070">
      <c r="A5070" t="inlineStr">
        <is>
          <t>location</t>
        </is>
      </c>
      <c r="B5070" t="inlineStr">
        <is>
          <t>RER</t>
        </is>
      </c>
    </row>
    <row r="5071">
      <c r="A5071" t="inlineStr">
        <is>
          <t>production amount</t>
        </is>
      </c>
      <c r="B5071">
        <v>1</v>
      </c>
    </row>
    <row r="5072">
      <c r="A5072" t="inlineStr">
        <is>
          <t>reference product</t>
        </is>
      </c>
      <c r="B5072" t="inlineStr">
        <is>
          <t>heat</t>
        </is>
      </c>
    </row>
    <row r="5073">
      <c r="A5073" t="inlineStr">
        <is>
          <t>type</t>
        </is>
      </c>
      <c r="B5073" t="inlineStr">
        <is>
          <t>process</t>
        </is>
      </c>
    </row>
    <row r="5074">
      <c r="A5074" t="inlineStr">
        <is>
          <t>unit</t>
        </is>
      </c>
      <c r="B5074" t="inlineStr">
        <is>
          <t>megajoule</t>
        </is>
      </c>
    </row>
    <row r="5075">
      <c r="A5075" t="inlineStr">
        <is>
          <t>Power, mean</t>
        </is>
      </c>
      <c r="B5075">
        <v>126</v>
      </c>
    </row>
    <row r="5076">
      <c r="A5076" t="inlineStr">
        <is>
          <t>Power, min</t>
        </is>
      </c>
      <c r="B5076">
        <v>54</v>
      </c>
    </row>
    <row r="5077">
      <c r="A5077" t="inlineStr">
        <is>
          <t>Power, max</t>
        </is>
      </c>
      <c r="B5077">
        <v>158</v>
      </c>
    </row>
    <row r="5078">
      <c r="A5078" t="inlineStr">
        <is>
          <t>Lifetime, mean</t>
        </is>
      </c>
      <c r="B5078">
        <v>200000</v>
      </c>
    </row>
    <row r="5079">
      <c r="A5079" t="inlineStr">
        <is>
          <t>Lifetime, min</t>
        </is>
      </c>
      <c r="B5079">
        <v>160000</v>
      </c>
    </row>
    <row r="5080">
      <c r="A5080" t="inlineStr">
        <is>
          <t>Lifetime, max</t>
        </is>
      </c>
      <c r="B5080">
        <v>250000</v>
      </c>
    </row>
    <row r="5081">
      <c r="A5081" t="inlineStr">
        <is>
          <t>Energy use, mean</t>
        </is>
      </c>
      <c r="B5081">
        <v>2330</v>
      </c>
    </row>
    <row r="5082">
      <c r="A5082" t="inlineStr">
        <is>
          <t>Energy use, min</t>
        </is>
      </c>
      <c r="B5082">
        <v>1530</v>
      </c>
    </row>
    <row r="5083">
      <c r="A5083" t="inlineStr">
        <is>
          <t>Energy use, max</t>
        </is>
      </c>
      <c r="B5083">
        <v>3000</v>
      </c>
    </row>
    <row r="5084">
      <c r="A5084" t="inlineStr">
        <is>
          <t>Electric motor, mean</t>
        </is>
      </c>
      <c r="B5084">
        <v>0</v>
      </c>
    </row>
    <row r="5085">
      <c r="A5085" t="inlineStr">
        <is>
          <t>Electric motor, min</t>
        </is>
      </c>
      <c r="B5085">
        <v>0</v>
      </c>
    </row>
    <row r="5086">
      <c r="A5086" t="inlineStr">
        <is>
          <t>Electric motor, max</t>
        </is>
      </c>
      <c r="B5086">
        <v>0</v>
      </c>
    </row>
    <row r="5087">
      <c r="A5087" t="inlineStr">
        <is>
          <t>Combustion engine, mean</t>
        </is>
      </c>
      <c r="B5087">
        <v>146</v>
      </c>
    </row>
    <row r="5088">
      <c r="A5088" t="inlineStr">
        <is>
          <t>Combustion engine, min</t>
        </is>
      </c>
      <c r="B5088">
        <v>96</v>
      </c>
    </row>
    <row r="5089">
      <c r="A5089" t="inlineStr">
        <is>
          <t>Combustion engine, max</t>
        </is>
      </c>
      <c r="B5089">
        <v>168</v>
      </c>
    </row>
    <row r="5090">
      <c r="A5090" t="inlineStr">
        <is>
          <t>Fuel tank, mean</t>
        </is>
      </c>
      <c r="B5090">
        <v>48</v>
      </c>
    </row>
    <row r="5091">
      <c r="A5091" t="inlineStr">
        <is>
          <t>Fuel tank, min</t>
        </is>
      </c>
      <c r="B5091">
        <v>30</v>
      </c>
    </row>
    <row r="5092">
      <c r="A5092" t="inlineStr">
        <is>
          <t>Fuel tank, max</t>
        </is>
      </c>
      <c r="B5092">
        <v>48</v>
      </c>
    </row>
    <row r="5093">
      <c r="A5093" t="inlineStr">
        <is>
          <t>Battery capacity, mean</t>
        </is>
      </c>
      <c r="B5093">
        <v>0</v>
      </c>
    </row>
    <row r="5094">
      <c r="A5094" t="inlineStr">
        <is>
          <t>Battery capacity, min</t>
        </is>
      </c>
      <c r="B5094">
        <v>0</v>
      </c>
    </row>
    <row r="5095">
      <c r="A5095" t="inlineStr">
        <is>
          <t>Battery capacity, max</t>
        </is>
      </c>
      <c r="B5095">
        <v>0</v>
      </c>
    </row>
    <row r="5096">
      <c r="A5096" t="inlineStr">
        <is>
          <t>Battery replacement, mean</t>
        </is>
      </c>
      <c r="B5096">
        <v>0</v>
      </c>
    </row>
    <row r="5097">
      <c r="A5097" t="inlineStr">
        <is>
          <t>Battery replacement, min</t>
        </is>
      </c>
      <c r="B5097">
        <v>0</v>
      </c>
    </row>
    <row r="5098">
      <c r="A5098" t="inlineStr">
        <is>
          <t>Battery replacement, max</t>
        </is>
      </c>
      <c r="B5098">
        <v>0</v>
      </c>
    </row>
    <row r="5099">
      <c r="A5099" t="inlineStr">
        <is>
          <t>Fuel cell system, mean</t>
        </is>
      </c>
      <c r="B5099">
        <v>0</v>
      </c>
    </row>
    <row r="5100">
      <c r="A5100" t="inlineStr">
        <is>
          <t>Fuel cell system, min</t>
        </is>
      </c>
      <c r="B5100">
        <v>0</v>
      </c>
    </row>
    <row r="5101">
      <c r="A5101" t="inlineStr">
        <is>
          <t>Fuel cell system, max</t>
        </is>
      </c>
      <c r="B5101">
        <v>0</v>
      </c>
    </row>
    <row r="5102">
      <c r="A5102" t="inlineStr">
        <is>
          <t>Fuel cell stack replacement, mean</t>
        </is>
      </c>
      <c r="B5102">
        <v>0</v>
      </c>
    </row>
    <row r="5103">
      <c r="A5103" t="inlineStr">
        <is>
          <t>Fuel cell replacement, min</t>
        </is>
      </c>
      <c r="B5103">
        <v>0</v>
      </c>
    </row>
    <row r="5104">
      <c r="A5104" t="inlineStr">
        <is>
          <t>Fuel cell replacement, max</t>
        </is>
      </c>
      <c r="B5104">
        <v>0</v>
      </c>
    </row>
    <row r="5105">
      <c r="A5105" t="inlineStr">
        <is>
          <t>Onboard charger mass</t>
        </is>
      </c>
      <c r="B5105">
        <v>0</v>
      </c>
    </row>
    <row r="5106">
      <c r="A5106" t="inlineStr">
        <is>
          <t>Controller mass</t>
        </is>
      </c>
      <c r="B5106">
        <v>0</v>
      </c>
    </row>
    <row r="5107">
      <c r="A5107" t="inlineStr">
        <is>
          <t>Converter mass</t>
        </is>
      </c>
      <c r="B5107">
        <v>0</v>
      </c>
    </row>
    <row r="5108">
      <c r="A5108" t="inlineStr">
        <is>
          <t>Electrical powertrain mass</t>
        </is>
      </c>
      <c r="B5108">
        <v>0</v>
      </c>
    </row>
    <row r="5109">
      <c r="A5109" t="inlineStr">
        <is>
          <t>Inverter mass</t>
        </is>
      </c>
      <c r="B5109">
        <v>0</v>
      </c>
    </row>
    <row r="5110">
      <c r="A5110" t="inlineStr">
        <is>
          <t>NOx</t>
        </is>
      </c>
      <c r="B5110">
        <v>0.03</v>
      </c>
    </row>
    <row r="5111">
      <c r="A5111" t="inlineStr">
        <is>
          <t>PM 2.5</t>
        </is>
      </c>
      <c r="B5111">
        <v>0.000143099</v>
      </c>
    </row>
    <row r="5112">
      <c r="A5112" t="inlineStr">
        <is>
          <t>energy use source</t>
        </is>
      </c>
      <c r="B511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113">
      <c r="A5113" t="inlineStr">
        <is>
          <t>comment</t>
        </is>
      </c>
      <c r="B511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114">
      <c r="A5114" t="inlineStr">
        <is>
          <t>Exchanges</t>
        </is>
      </c>
    </row>
    <row r="5115">
      <c r="A5115" t="inlineStr">
        <is>
          <t>name</t>
        </is>
      </c>
      <c r="B5115" t="inlineStr">
        <is>
          <t>amount</t>
        </is>
      </c>
      <c r="C5115" t="inlineStr">
        <is>
          <t>location</t>
        </is>
      </c>
      <c r="D5115" t="inlineStr">
        <is>
          <t>unit</t>
        </is>
      </c>
      <c r="E5115" t="inlineStr">
        <is>
          <t>categories</t>
        </is>
      </c>
      <c r="F5115" t="inlineStr">
        <is>
          <t>type</t>
        </is>
      </c>
      <c r="G5115" t="inlineStr">
        <is>
          <t>reference product</t>
        </is>
      </c>
      <c r="H5115" t="inlineStr">
        <is>
          <t>comment</t>
        </is>
      </c>
      <c r="I5115" t="inlineStr">
        <is>
          <t>uncertainty type</t>
        </is>
      </c>
    </row>
    <row r="5116">
      <c r="A5116" t="inlineStr">
        <is>
          <t>bioethanol, from forest residues, burned in passenger car</t>
        </is>
      </c>
      <c r="B5116">
        <v>1.0</v>
      </c>
      <c r="C5116" t="inlineStr">
        <is>
          <t>RER</t>
        </is>
      </c>
      <c r="D5116" t="inlineStr">
        <is>
          <t>megajoule</t>
        </is>
      </c>
      <c r="F5116" t="inlineStr">
        <is>
          <t>production</t>
        </is>
      </c>
      <c r="G5116" t="inlineStr">
        <is>
          <t>heat</t>
        </is>
      </c>
      <c r="I5116">
        <v>0</v>
      </c>
    </row>
    <row r="5117">
      <c r="A5117" t="inlineStr">
        <is>
          <t>ethanol production, via fermentation, from forest residue, economic allocation</t>
        </is>
      </c>
      <c r="B5117">
        <v>0.03773584905660377</v>
      </c>
      <c r="C5117" t="inlineStr">
        <is>
          <t>US</t>
        </is>
      </c>
      <c r="D5117" t="inlineStr">
        <is>
          <t>kilogram</t>
        </is>
      </c>
      <c r="F5117" t="inlineStr">
        <is>
          <t>technosphere</t>
        </is>
      </c>
      <c r="G5117" t="inlineStr">
        <is>
          <t>ethanol, from forest residue</t>
        </is>
      </c>
      <c r="I5117">
        <v>0</v>
      </c>
    </row>
    <row r="5118">
      <c r="A5118" t="inlineStr">
        <is>
          <t>treatment of brake wear emissions, passenger car</t>
        </is>
      </c>
      <c r="B5118">
        <v>-5.438002312680902e-06</v>
      </c>
      <c r="C5118" t="inlineStr">
        <is>
          <t>RER</t>
        </is>
      </c>
      <c r="D5118" t="inlineStr">
        <is>
          <t>kilogram</t>
        </is>
      </c>
      <c r="F5118" t="inlineStr">
        <is>
          <t>technosphere</t>
        </is>
      </c>
      <c r="G5118" t="inlineStr">
        <is>
          <t>brake wear emissions, passenger car</t>
        </is>
      </c>
      <c r="I5118">
        <v>0</v>
      </c>
    </row>
    <row r="5119">
      <c r="A5119" t="inlineStr">
        <is>
          <t>treatment of road wear emissions, passenger car</t>
        </is>
      </c>
      <c r="B5119">
        <v>-6.242977641245232e-06</v>
      </c>
      <c r="C5119" t="inlineStr">
        <is>
          <t>RER</t>
        </is>
      </c>
      <c r="D5119" t="inlineStr">
        <is>
          <t>kilogram</t>
        </is>
      </c>
      <c r="F5119" t="inlineStr">
        <is>
          <t>technosphere</t>
        </is>
      </c>
      <c r="G5119" t="inlineStr">
        <is>
          <t>road wear emissions, passenger car</t>
        </is>
      </c>
      <c r="I5119">
        <v>0</v>
      </c>
    </row>
    <row r="5120">
      <c r="A5120" t="inlineStr">
        <is>
          <t>treatment of tyre wear emissions, passenger car</t>
        </is>
      </c>
      <c r="B5120">
        <v>-7.228598070295418e-06</v>
      </c>
      <c r="C5120" t="inlineStr">
        <is>
          <t>RER</t>
        </is>
      </c>
      <c r="D5120" t="inlineStr">
        <is>
          <t>kilogram</t>
        </is>
      </c>
      <c r="F5120" t="inlineStr">
        <is>
          <t>technosphere</t>
        </is>
      </c>
      <c r="G5120" t="inlineStr">
        <is>
          <t>tyre wear emissions, passenger car</t>
        </is>
      </c>
      <c r="I5120">
        <v>0</v>
      </c>
    </row>
    <row r="5121">
      <c r="A5121" t="inlineStr">
        <is>
          <t>market for tetrafluoroethane, R134a</t>
        </is>
      </c>
      <c r="B5121">
        <v>2.4018034573062128e-06</v>
      </c>
      <c r="C5121" t="inlineStr">
        <is>
          <t>GLO</t>
        </is>
      </c>
      <c r="D5121" t="inlineStr">
        <is>
          <t>kilogram</t>
        </is>
      </c>
      <c r="F5121" t="inlineStr">
        <is>
          <t>technosphere</t>
        </is>
      </c>
      <c r="G5121" t="inlineStr">
        <is>
          <t>tetrafluoroethane, R134a</t>
        </is>
      </c>
      <c r="I5121">
        <v>0</v>
      </c>
    </row>
    <row r="5122">
      <c r="A5122" t="inlineStr">
        <is>
          <t>Toluene</t>
        </is>
      </c>
      <c r="B5122">
        <v>8.485774790285088e-08</v>
      </c>
      <c r="D5122" t="inlineStr">
        <is>
          <t>kilogram</t>
        </is>
      </c>
      <c r="E5122" t="inlineStr">
        <is>
          <t>air::non-urban air or from high stacks</t>
        </is>
      </c>
      <c r="F5122" t="inlineStr">
        <is>
          <t>biosphere</t>
        </is>
      </c>
      <c r="I5122">
        <v>0</v>
      </c>
    </row>
    <row r="5123">
      <c r="A5123" t="inlineStr">
        <is>
          <t>NMVOC, non-methane volatile organic compounds</t>
        </is>
      </c>
      <c r="B5123">
        <v>3.1778359610804548e-06</v>
      </c>
      <c r="D5123" t="inlineStr">
        <is>
          <t>kilogram</t>
        </is>
      </c>
      <c r="E5123" t="inlineStr">
        <is>
          <t>air::non-urban air or from high stacks</t>
        </is>
      </c>
      <c r="F5123" t="inlineStr">
        <is>
          <t>biosphere</t>
        </is>
      </c>
      <c r="I5123">
        <v>0</v>
      </c>
    </row>
    <row r="5124">
      <c r="A5124" t="inlineStr">
        <is>
          <t>Dinitrogen monoxide</t>
        </is>
      </c>
      <c r="B5124">
        <v>4.674883409401355e-08</v>
      </c>
      <c r="D5124" t="inlineStr">
        <is>
          <t>kilogram</t>
        </is>
      </c>
      <c r="E5124" t="inlineStr">
        <is>
          <t>air::non-urban air or from high stacks</t>
        </is>
      </c>
      <c r="F5124" t="inlineStr">
        <is>
          <t>biosphere</t>
        </is>
      </c>
      <c r="I5124">
        <v>0</v>
      </c>
    </row>
    <row r="5125">
      <c r="A5125" t="inlineStr">
        <is>
          <t>Ethane</t>
        </is>
      </c>
      <c r="B5125">
        <v>6.178202979323652e-07</v>
      </c>
      <c r="D5125" t="inlineStr">
        <is>
          <t>kilogram</t>
        </is>
      </c>
      <c r="E5125" t="inlineStr">
        <is>
          <t>air::urban air close to ground</t>
        </is>
      </c>
      <c r="F5125" t="inlineStr">
        <is>
          <t>biosphere</t>
        </is>
      </c>
      <c r="I5125">
        <v>0</v>
      </c>
    </row>
    <row r="5126">
      <c r="A5126" t="inlineStr">
        <is>
          <t>Pentane</t>
        </is>
      </c>
      <c r="B5126">
        <v>4.2475143382439017e-07</v>
      </c>
      <c r="D5126" t="inlineStr">
        <is>
          <t>kilogram</t>
        </is>
      </c>
      <c r="E5126" t="inlineStr">
        <is>
          <t>air::urban air close to ground</t>
        </is>
      </c>
      <c r="F5126" t="inlineStr">
        <is>
          <t>biosphere</t>
        </is>
      </c>
      <c r="I5126">
        <v>0</v>
      </c>
    </row>
    <row r="5127">
      <c r="A5127" t="inlineStr">
        <is>
          <t>Selenium IV</t>
        </is>
      </c>
      <c r="B5127">
        <v>2.6658564722165628e-12</v>
      </c>
      <c r="D5127" t="inlineStr">
        <is>
          <t>kilogram</t>
        </is>
      </c>
      <c r="E5127" t="inlineStr">
        <is>
          <t>air::non-urban air or from high stacks</t>
        </is>
      </c>
      <c r="F5127" t="inlineStr">
        <is>
          <t>biosphere</t>
        </is>
      </c>
      <c r="I5127">
        <v>0</v>
      </c>
    </row>
    <row r="5128">
      <c r="A5128" t="inlineStr">
        <is>
          <t>Arsenic ion</t>
        </is>
      </c>
      <c r="B5128">
        <v>4.001626718125109e-12</v>
      </c>
      <c r="D5128" t="inlineStr">
        <is>
          <t>kilogram</t>
        </is>
      </c>
      <c r="E5128" t="inlineStr">
        <is>
          <t>air::non-urban air or from high stacks</t>
        </is>
      </c>
      <c r="F5128" t="inlineStr">
        <is>
          <t>biosphere</t>
        </is>
      </c>
      <c r="I5128">
        <v>0</v>
      </c>
    </row>
    <row r="5129">
      <c r="A5129" t="inlineStr">
        <is>
          <t>Arsenic ion</t>
        </is>
      </c>
      <c r="B5129">
        <v>3.038373047003884e-12</v>
      </c>
      <c r="D5129" t="inlineStr">
        <is>
          <t>kilogram</t>
        </is>
      </c>
      <c r="E5129" t="inlineStr">
        <is>
          <t>air::urban air close to ground</t>
        </is>
      </c>
      <c r="F5129" t="inlineStr">
        <is>
          <t>biosphere</t>
        </is>
      </c>
      <c r="I5129">
        <v>0</v>
      </c>
    </row>
    <row r="5130">
      <c r="A5130" t="inlineStr">
        <is>
          <t>Propylene</t>
        </is>
      </c>
      <c r="B5130">
        <v>2.9314492534191425e-08</v>
      </c>
      <c r="D5130" t="inlineStr">
        <is>
          <t>kilogram</t>
        </is>
      </c>
      <c r="E5130" t="inlineStr">
        <is>
          <t>air::non-urban air or from high stacks</t>
        </is>
      </c>
      <c r="F5130" t="inlineStr">
        <is>
          <t>biosphere</t>
        </is>
      </c>
      <c r="I5130">
        <v>0</v>
      </c>
    </row>
    <row r="5131">
      <c r="A5131" t="inlineStr">
        <is>
          <t>Particulate Matter, &lt; 2.5 um</t>
        </is>
      </c>
      <c r="B5131">
        <v>2.3699093868880875e-07</v>
      </c>
      <c r="D5131" t="inlineStr">
        <is>
          <t>kilogram</t>
        </is>
      </c>
      <c r="E5131" t="inlineStr">
        <is>
          <t>air::urban air close to ground</t>
        </is>
      </c>
      <c r="F5131" t="inlineStr">
        <is>
          <t>biosphere</t>
        </is>
      </c>
      <c r="I5131">
        <v>0</v>
      </c>
    </row>
    <row r="5132">
      <c r="A5132" t="inlineStr">
        <is>
          <t>Nickel II</t>
        </is>
      </c>
      <c r="B5132">
        <v>3.069429555789392e-11</v>
      </c>
      <c r="D5132" t="inlineStr">
        <is>
          <t>kilogram</t>
        </is>
      </c>
      <c r="E5132" t="inlineStr">
        <is>
          <t>air::non-urban air or from high stacks</t>
        </is>
      </c>
      <c r="F5132" t="inlineStr">
        <is>
          <t>biosphere</t>
        </is>
      </c>
      <c r="I5132">
        <v>0</v>
      </c>
    </row>
    <row r="5133">
      <c r="A5133" t="inlineStr">
        <is>
          <t>Methane, fossil</t>
        </is>
      </c>
      <c r="B5133">
        <v>5.142891864640064e-07</v>
      </c>
      <c r="D5133" t="inlineStr">
        <is>
          <t>kilogram</t>
        </is>
      </c>
      <c r="E5133" t="inlineStr">
        <is>
          <t>air::non-urban air or from high stacks</t>
        </is>
      </c>
      <c r="F5133" t="inlineStr">
        <is>
          <t>biosphere</t>
        </is>
      </c>
      <c r="I5133">
        <v>0</v>
      </c>
    </row>
    <row r="5134">
      <c r="A5134" t="inlineStr">
        <is>
          <t>Mercury II</t>
        </is>
      </c>
      <c r="B5134">
        <v>1.1595623051201971e-10</v>
      </c>
      <c r="D5134" t="inlineStr">
        <is>
          <t>kilogram</t>
        </is>
      </c>
      <c r="E5134" t="inlineStr">
        <is>
          <t>air::non-urban air or from high stacks</t>
        </is>
      </c>
      <c r="F5134" t="inlineStr">
        <is>
          <t>biosphere</t>
        </is>
      </c>
      <c r="I5134">
        <v>0</v>
      </c>
    </row>
    <row r="5135">
      <c r="A5135" t="inlineStr">
        <is>
          <t>Ammonia</t>
        </is>
      </c>
      <c r="B5135">
        <v>1.8978800516687959e-06</v>
      </c>
      <c r="D5135" t="inlineStr">
        <is>
          <t>kilogram</t>
        </is>
      </c>
      <c r="E5135" t="inlineStr">
        <is>
          <t>air::non-urban air or from high stacks</t>
        </is>
      </c>
      <c r="F5135" t="inlineStr">
        <is>
          <t>biosphere</t>
        </is>
      </c>
      <c r="I5135">
        <v>0</v>
      </c>
    </row>
    <row r="5136">
      <c r="A5136" t="inlineStr">
        <is>
          <t>Ethane</t>
        </is>
      </c>
      <c r="B5136">
        <v>2.46858901080647e-08</v>
      </c>
      <c r="D5136" t="inlineStr">
        <is>
          <t>kilogram</t>
        </is>
      </c>
      <c r="E5136" t="inlineStr">
        <is>
          <t>air::non-urban air or from high stacks</t>
        </is>
      </c>
      <c r="F5136" t="inlineStr">
        <is>
          <t>biosphere</t>
        </is>
      </c>
      <c r="I5136">
        <v>0</v>
      </c>
    </row>
    <row r="5137">
      <c r="A5137" t="inlineStr">
        <is>
          <t>Nickel II</t>
        </is>
      </c>
      <c r="B5137">
        <v>2.33057020978785e-11</v>
      </c>
      <c r="D5137" t="inlineStr">
        <is>
          <t>kilogram</t>
        </is>
      </c>
      <c r="E5137" t="inlineStr">
        <is>
          <t>air::urban air close to ground</t>
        </is>
      </c>
      <c r="F5137" t="inlineStr">
        <is>
          <t>biosphere</t>
        </is>
      </c>
      <c r="I5137">
        <v>0</v>
      </c>
    </row>
    <row r="5138">
      <c r="A5138" t="inlineStr">
        <is>
          <t>Cadmium II</t>
        </is>
      </c>
      <c r="B5138">
        <v>2.6658564722165628e-12</v>
      </c>
      <c r="D5138" t="inlineStr">
        <is>
          <t>kilogram</t>
        </is>
      </c>
      <c r="E5138" t="inlineStr">
        <is>
          <t>air::non-urban air or from high stacks</t>
        </is>
      </c>
      <c r="F5138" t="inlineStr">
        <is>
          <t>biosphere</t>
        </is>
      </c>
      <c r="I5138">
        <v>0</v>
      </c>
    </row>
    <row r="5139">
      <c r="A5139" t="inlineStr">
        <is>
          <t>Ammonia</t>
        </is>
      </c>
      <c r="B5139">
        <v>1.4410307235331609e-06</v>
      </c>
      <c r="D5139" t="inlineStr">
        <is>
          <t>kilogram</t>
        </is>
      </c>
      <c r="E5139" t="inlineStr">
        <is>
          <t>air::urban air close to ground</t>
        </is>
      </c>
      <c r="F5139" t="inlineStr">
        <is>
          <t>biosphere</t>
        </is>
      </c>
      <c r="I5139">
        <v>0</v>
      </c>
    </row>
    <row r="5140">
      <c r="A5140" t="inlineStr">
        <is>
          <t>Butane</t>
        </is>
      </c>
      <c r="B5140">
        <v>4.0114570112848195e-08</v>
      </c>
      <c r="D5140" t="inlineStr">
        <is>
          <t>kilogram</t>
        </is>
      </c>
      <c r="E5140" t="inlineStr">
        <is>
          <t>air::non-urban air or from high stacks</t>
        </is>
      </c>
      <c r="F5140" t="inlineStr">
        <is>
          <t>biosphere</t>
        </is>
      </c>
      <c r="I5140">
        <v>0</v>
      </c>
    </row>
    <row r="5141">
      <c r="A5141" t="inlineStr">
        <is>
          <t>PAH, polycyclic aromatic hydrocarbons</t>
        </is>
      </c>
      <c r="B5141">
        <v>3.5346981515115725e-10</v>
      </c>
      <c r="D5141" t="inlineStr">
        <is>
          <t>kilogram</t>
        </is>
      </c>
      <c r="E5141" t="inlineStr">
        <is>
          <t>air::urban air close to ground</t>
        </is>
      </c>
      <c r="F5141" t="inlineStr">
        <is>
          <t>biosphere</t>
        </is>
      </c>
      <c r="I5141">
        <v>0</v>
      </c>
    </row>
    <row r="5142">
      <c r="A5142" t="inlineStr">
        <is>
          <t>Copper ion</t>
        </is>
      </c>
      <c r="B5142">
        <v>6.025176924783301e-11</v>
      </c>
      <c r="D5142" t="inlineStr">
        <is>
          <t>kilogram</t>
        </is>
      </c>
      <c r="E5142" t="inlineStr">
        <is>
          <t>air::non-urban air or from high stacks</t>
        </is>
      </c>
      <c r="F5142" t="inlineStr">
        <is>
          <t>biosphere</t>
        </is>
      </c>
      <c r="I5142">
        <v>0</v>
      </c>
    </row>
    <row r="5143">
      <c r="A5143" t="inlineStr">
        <is>
          <t>Nitrogen oxides</t>
        </is>
      </c>
      <c r="B5143">
        <v>8.487546844117613e-06</v>
      </c>
      <c r="D5143" t="inlineStr">
        <is>
          <t>kilogram</t>
        </is>
      </c>
      <c r="E5143" t="inlineStr">
        <is>
          <t>air::non-urban air or from high stacks</t>
        </is>
      </c>
      <c r="F5143" t="inlineStr">
        <is>
          <t>biosphere</t>
        </is>
      </c>
      <c r="I5143">
        <v>0</v>
      </c>
    </row>
    <row r="5144">
      <c r="A5144" t="inlineStr">
        <is>
          <t>Hexane</t>
        </is>
      </c>
      <c r="B5144">
        <v>3.089101489661827e-07</v>
      </c>
      <c r="D5144" t="inlineStr">
        <is>
          <t>kilogram</t>
        </is>
      </c>
      <c r="E5144" t="inlineStr">
        <is>
          <t>air::urban air close to ground</t>
        </is>
      </c>
      <c r="F5144" t="inlineStr">
        <is>
          <t>biosphere</t>
        </is>
      </c>
      <c r="I5144">
        <v>0</v>
      </c>
    </row>
    <row r="5145">
      <c r="A5145" t="inlineStr">
        <is>
          <t>Butane</t>
        </is>
      </c>
      <c r="B5145">
        <v>1.0039579421318718e-06</v>
      </c>
      <c r="D5145" t="inlineStr">
        <is>
          <t>kilogram</t>
        </is>
      </c>
      <c r="E5145" t="inlineStr">
        <is>
          <t>air::urban air close to ground</t>
        </is>
      </c>
      <c r="F5145" t="inlineStr">
        <is>
          <t>biosphere</t>
        </is>
      </c>
      <c r="I5145">
        <v>0</v>
      </c>
    </row>
    <row r="5146">
      <c r="A5146" t="inlineStr">
        <is>
          <t>Copper ion</t>
        </is>
      </c>
      <c r="B5146">
        <v>4.57482306137567e-11</v>
      </c>
      <c r="D5146" t="inlineStr">
        <is>
          <t>kilogram</t>
        </is>
      </c>
      <c r="E5146" t="inlineStr">
        <is>
          <t>air::urban air close to ground</t>
        </is>
      </c>
      <c r="F5146" t="inlineStr">
        <is>
          <t>biosphere</t>
        </is>
      </c>
      <c r="I5146">
        <v>0</v>
      </c>
    </row>
    <row r="5147">
      <c r="A5147" t="inlineStr">
        <is>
          <t>Chromium III</t>
        </is>
      </c>
      <c r="B5147">
        <v>6.387488609167662e-11</v>
      </c>
      <c r="D5147" t="inlineStr">
        <is>
          <t>kilogram</t>
        </is>
      </c>
      <c r="E5147" t="inlineStr">
        <is>
          <t>air::urban air close to ground</t>
        </is>
      </c>
      <c r="F5147" t="inlineStr">
        <is>
          <t>biosphere</t>
        </is>
      </c>
      <c r="I5147">
        <v>0</v>
      </c>
    </row>
    <row r="5148">
      <c r="A5148" t="inlineStr">
        <is>
          <t>Propane</t>
        </is>
      </c>
      <c r="B5148">
        <v>1.351481901727049e-07</v>
      </c>
      <c r="D5148" t="inlineStr">
        <is>
          <t>kilogram</t>
        </is>
      </c>
      <c r="E5148" t="inlineStr">
        <is>
          <t>air::urban air close to ground</t>
        </is>
      </c>
      <c r="F5148" t="inlineStr">
        <is>
          <t>biosphere</t>
        </is>
      </c>
      <c r="I5148">
        <v>0</v>
      </c>
    </row>
    <row r="5149">
      <c r="A5149" t="inlineStr">
        <is>
          <t>Toluene</t>
        </is>
      </c>
      <c r="B5149">
        <v>2.1237572531383947e-06</v>
      </c>
      <c r="D5149" t="inlineStr">
        <is>
          <t>kilogram</t>
        </is>
      </c>
      <c r="E5149" t="inlineStr">
        <is>
          <t>air::urban air close to ground</t>
        </is>
      </c>
      <c r="F5149" t="inlineStr">
        <is>
          <t>biosphere</t>
        </is>
      </c>
      <c r="I5149">
        <v>0</v>
      </c>
    </row>
    <row r="5150">
      <c r="A5150" t="inlineStr">
        <is>
          <t>Dinitrogen monoxide</t>
        </is>
      </c>
      <c r="B5150">
        <v>3.5495663709460686e-08</v>
      </c>
      <c r="D5150" t="inlineStr">
        <is>
          <t>kilogram</t>
        </is>
      </c>
      <c r="E5150" t="inlineStr">
        <is>
          <t>air::urban air close to ground</t>
        </is>
      </c>
      <c r="F5150" t="inlineStr">
        <is>
          <t>biosphere</t>
        </is>
      </c>
      <c r="I5150">
        <v>0</v>
      </c>
    </row>
    <row r="5151">
      <c r="A5151" t="inlineStr">
        <is>
          <t>Zinc II</t>
        </is>
      </c>
      <c r="B5151">
        <v>3.3447998609123704e-10</v>
      </c>
      <c r="D5151" t="inlineStr">
        <is>
          <t>kilogram</t>
        </is>
      </c>
      <c r="E5151" t="inlineStr">
        <is>
          <t>air::urban air close to ground</t>
        </is>
      </c>
      <c r="F5151" t="inlineStr">
        <is>
          <t>biosphere</t>
        </is>
      </c>
      <c r="I5151">
        <v>0</v>
      </c>
    </row>
    <row r="5152">
      <c r="A5152" t="inlineStr">
        <is>
          <t>Chromium VI</t>
        </is>
      </c>
      <c r="B5152">
        <v>1.6825022521085002e-13</v>
      </c>
      <c r="D5152" t="inlineStr">
        <is>
          <t>kilogram</t>
        </is>
      </c>
      <c r="E5152" t="inlineStr">
        <is>
          <t>air::non-urban air or from high stacks</t>
        </is>
      </c>
      <c r="F5152" t="inlineStr">
        <is>
          <t>biosphere</t>
        </is>
      </c>
      <c r="I5152">
        <v>0</v>
      </c>
    </row>
    <row r="5153">
      <c r="A5153" t="inlineStr">
        <is>
          <t>Benzene</t>
        </is>
      </c>
      <c r="B5153">
        <v>3.53245327151087e-08</v>
      </c>
      <c r="D5153" t="inlineStr">
        <is>
          <t>kilogram</t>
        </is>
      </c>
      <c r="E5153" t="inlineStr">
        <is>
          <t>air::non-urban air or from high stacks</t>
        </is>
      </c>
      <c r="F5153" t="inlineStr">
        <is>
          <t>biosphere</t>
        </is>
      </c>
      <c r="I5153">
        <v>0</v>
      </c>
    </row>
    <row r="5154">
      <c r="A5154" t="inlineStr">
        <is>
          <t>Carbon monoxide, fossil</t>
        </is>
      </c>
      <c r="B5154">
        <v>0.0001087694681937128</v>
      </c>
      <c r="D5154" t="inlineStr">
        <is>
          <t>kilogram</t>
        </is>
      </c>
      <c r="E5154" t="inlineStr">
        <is>
          <t>air::non-urban air or from high stacks</t>
        </is>
      </c>
      <c r="F5154" t="inlineStr">
        <is>
          <t>biosphere</t>
        </is>
      </c>
      <c r="I5154">
        <v>0</v>
      </c>
    </row>
    <row r="5155">
      <c r="A5155" t="inlineStr">
        <is>
          <t>Chromium VI</t>
        </is>
      </c>
      <c r="B5155">
        <v>1.2774977274422347e-13</v>
      </c>
      <c r="D5155" t="inlineStr">
        <is>
          <t>kilogram</t>
        </is>
      </c>
      <c r="E5155" t="inlineStr">
        <is>
          <t>air::urban air close to ground</t>
        </is>
      </c>
      <c r="F5155" t="inlineStr">
        <is>
          <t>biosphere</t>
        </is>
      </c>
      <c r="I5155">
        <v>0</v>
      </c>
    </row>
    <row r="5156">
      <c r="A5156" t="inlineStr">
        <is>
          <t>Methane, fossil</t>
        </is>
      </c>
      <c r="B5156">
        <v>1.4737951202945778e-06</v>
      </c>
      <c r="D5156" t="inlineStr">
        <is>
          <t>kilogram</t>
        </is>
      </c>
      <c r="E5156" t="inlineStr">
        <is>
          <t>air::urban air close to ground</t>
        </is>
      </c>
      <c r="F5156" t="inlineStr">
        <is>
          <t>biosphere</t>
        </is>
      </c>
      <c r="I5156">
        <v>0</v>
      </c>
    </row>
    <row r="5157">
      <c r="A5157" t="inlineStr">
        <is>
          <t>Sulfur dioxide</t>
        </is>
      </c>
      <c r="B5157">
        <v>3.7723729745496776e-07</v>
      </c>
      <c r="D5157" t="inlineStr">
        <is>
          <t>kilogram</t>
        </is>
      </c>
      <c r="E5157" t="inlineStr">
        <is>
          <t>air</t>
        </is>
      </c>
      <c r="F5157" t="inlineStr">
        <is>
          <t>biosphere</t>
        </is>
      </c>
      <c r="I5157">
        <v>0</v>
      </c>
    </row>
    <row r="5158">
      <c r="A5158" t="inlineStr">
        <is>
          <t>NMVOC, non-methane volatile organic compounds</t>
        </is>
      </c>
      <c r="B5158">
        <v>1.9676329903559775e-05</v>
      </c>
      <c r="D5158" t="inlineStr">
        <is>
          <t>kilogram</t>
        </is>
      </c>
      <c r="E5158" t="inlineStr">
        <is>
          <t>air::urban air close to ground</t>
        </is>
      </c>
      <c r="F5158" t="inlineStr">
        <is>
          <t>biosphere</t>
        </is>
      </c>
      <c r="I5158">
        <v>0</v>
      </c>
    </row>
    <row r="5159">
      <c r="A5159" t="inlineStr">
        <is>
          <t>Formaldehyde</t>
        </is>
      </c>
      <c r="B5159">
        <v>3.282170227745136e-07</v>
      </c>
      <c r="D5159" t="inlineStr">
        <is>
          <t>kilogram</t>
        </is>
      </c>
      <c r="E5159" t="inlineStr">
        <is>
          <t>air::urban air close to ground</t>
        </is>
      </c>
      <c r="F5159" t="inlineStr">
        <is>
          <t>biosphere</t>
        </is>
      </c>
      <c r="I5159">
        <v>0</v>
      </c>
    </row>
    <row r="5160">
      <c r="A5160" t="inlineStr">
        <is>
          <t>Nitrogen oxides</t>
        </is>
      </c>
      <c r="B5160">
        <v>1.1323855960379002e-05</v>
      </c>
      <c r="D5160" t="inlineStr">
        <is>
          <t>kilogram</t>
        </is>
      </c>
      <c r="E5160" t="inlineStr">
        <is>
          <t>air::urban air close to ground</t>
        </is>
      </c>
      <c r="F5160" t="inlineStr">
        <is>
          <t>biosphere</t>
        </is>
      </c>
      <c r="I5160">
        <v>0</v>
      </c>
    </row>
    <row r="5161">
      <c r="A5161" t="inlineStr">
        <is>
          <t>Formaldehyde</t>
        </is>
      </c>
      <c r="B5161">
        <v>1.3114378791720136e-08</v>
      </c>
      <c r="D5161" t="inlineStr">
        <is>
          <t>kilogram</t>
        </is>
      </c>
      <c r="E5161" t="inlineStr">
        <is>
          <t>air::non-urban air or from high stacks</t>
        </is>
      </c>
      <c r="F5161" t="inlineStr">
        <is>
          <t>biosphere</t>
        </is>
      </c>
      <c r="I5161">
        <v>0</v>
      </c>
    </row>
    <row r="5162">
      <c r="A5162" t="inlineStr">
        <is>
          <t>Zinc II</t>
        </is>
      </c>
      <c r="B5162">
        <v>4.4051995837597756e-10</v>
      </c>
      <c r="D5162" t="inlineStr">
        <is>
          <t>kilogram</t>
        </is>
      </c>
      <c r="E5162" t="inlineStr">
        <is>
          <t>air::non-urban air or from high stacks</t>
        </is>
      </c>
      <c r="F5162" t="inlineStr">
        <is>
          <t>biosphere</t>
        </is>
      </c>
      <c r="I5162">
        <v>0</v>
      </c>
    </row>
    <row r="5163">
      <c r="A5163" t="inlineStr">
        <is>
          <t>Carbon monoxide, fossil</t>
        </is>
      </c>
      <c r="B5163">
        <v>0.00020171446470292127</v>
      </c>
      <c r="D5163" t="inlineStr">
        <is>
          <t>kilogram</t>
        </is>
      </c>
      <c r="E5163" t="inlineStr">
        <is>
          <t>air::urban air close to ground</t>
        </is>
      </c>
      <c r="F5163" t="inlineStr">
        <is>
          <t>biosphere</t>
        </is>
      </c>
      <c r="I5163">
        <v>0</v>
      </c>
    </row>
    <row r="5164">
      <c r="A5164" t="inlineStr">
        <is>
          <t>m-Xylene</t>
        </is>
      </c>
      <c r="B5164">
        <v>1.0425717317567554e-06</v>
      </c>
      <c r="D5164" t="inlineStr">
        <is>
          <t>kilogram</t>
        </is>
      </c>
      <c r="E5164" t="inlineStr">
        <is>
          <t>air::urban air close to ground</t>
        </is>
      </c>
      <c r="F5164" t="inlineStr">
        <is>
          <t>biosphere</t>
        </is>
      </c>
      <c r="I5164">
        <v>0</v>
      </c>
    </row>
    <row r="5165">
      <c r="A5165" t="inlineStr">
        <is>
          <t>PAH, polycyclic aromatic hydrocarbons</t>
        </is>
      </c>
      <c r="B5165">
        <v>4.655301522860326e-10</v>
      </c>
      <c r="D5165" t="inlineStr">
        <is>
          <t>kilogram</t>
        </is>
      </c>
      <c r="E5165" t="inlineStr">
        <is>
          <t>air::non-urban air or from high stacks</t>
        </is>
      </c>
      <c r="F5165" t="inlineStr">
        <is>
          <t>biosphere</t>
        </is>
      </c>
      <c r="I5165">
        <v>0</v>
      </c>
    </row>
    <row r="5166">
      <c r="A5166" t="inlineStr">
        <is>
          <t>Particulate Matter, &lt; 2.5 um</t>
        </is>
      </c>
      <c r="B5166">
        <v>3.1212402999812946e-07</v>
      </c>
      <c r="D5166" t="inlineStr">
        <is>
          <t>kilogram</t>
        </is>
      </c>
      <c r="E5166" t="inlineStr">
        <is>
          <t>air::non-urban air or from high stacks</t>
        </is>
      </c>
      <c r="F5166" t="inlineStr">
        <is>
          <t>biosphere</t>
        </is>
      </c>
      <c r="I5166">
        <v>0</v>
      </c>
    </row>
    <row r="5167">
      <c r="A5167" t="inlineStr">
        <is>
          <t>Pentane</t>
        </is>
      </c>
      <c r="B5167">
        <v>1.697155010567295e-08</v>
      </c>
      <c r="D5167" t="inlineStr">
        <is>
          <t>kilogram</t>
        </is>
      </c>
      <c r="E5167" t="inlineStr">
        <is>
          <t>air::non-urban air or from high stacks</t>
        </is>
      </c>
      <c r="F5167" t="inlineStr">
        <is>
          <t>biosphere</t>
        </is>
      </c>
      <c r="I5167">
        <v>0</v>
      </c>
    </row>
    <row r="5168">
      <c r="A5168" t="inlineStr">
        <is>
          <t>1,1,1,2-Tetrafluoroethane</t>
        </is>
      </c>
      <c r="B5168">
        <v>1.3856558213651742e-06</v>
      </c>
      <c r="D5168" t="inlineStr">
        <is>
          <t>kilogram</t>
        </is>
      </c>
      <c r="E5168" t="inlineStr">
        <is>
          <t>air</t>
        </is>
      </c>
      <c r="F5168" t="inlineStr">
        <is>
          <t>biosphere</t>
        </is>
      </c>
      <c r="I5168">
        <v>0</v>
      </c>
    </row>
    <row r="5169">
      <c r="A5169" t="inlineStr">
        <is>
          <t>Acetaldehyde</t>
        </is>
      </c>
      <c r="B5169">
        <v>1.544550744830913e-07</v>
      </c>
      <c r="D5169" t="inlineStr">
        <is>
          <t>kilogram</t>
        </is>
      </c>
      <c r="E5169" t="inlineStr">
        <is>
          <t>air::urban air close to ground</t>
        </is>
      </c>
      <c r="F5169" t="inlineStr">
        <is>
          <t>biosphere</t>
        </is>
      </c>
      <c r="I5169">
        <v>0</v>
      </c>
    </row>
    <row r="5170">
      <c r="A5170" t="inlineStr">
        <is>
          <t>Benzene</t>
        </is>
      </c>
      <c r="B5170">
        <v>1.4380293200880646e-06</v>
      </c>
      <c r="D5170" t="inlineStr">
        <is>
          <t>kilogram</t>
        </is>
      </c>
      <c r="E5170" t="inlineStr">
        <is>
          <t>air::urban air close to ground</t>
        </is>
      </c>
      <c r="F5170" t="inlineStr">
        <is>
          <t>biosphere</t>
        </is>
      </c>
      <c r="I5170">
        <v>0</v>
      </c>
    </row>
    <row r="5171">
      <c r="A5171" t="inlineStr">
        <is>
          <t>Mercury II</t>
        </is>
      </c>
      <c r="B5171">
        <v>8.804375664359864e-11</v>
      </c>
      <c r="D5171" t="inlineStr">
        <is>
          <t>kilogram</t>
        </is>
      </c>
      <c r="E5171" t="inlineStr">
        <is>
          <t>air::urban air close to ground</t>
        </is>
      </c>
      <c r="F5171" t="inlineStr">
        <is>
          <t>biosphere</t>
        </is>
      </c>
      <c r="I5171">
        <v>0</v>
      </c>
    </row>
    <row r="5172">
      <c r="A5172" t="inlineStr">
        <is>
          <t>Cadmium II</t>
        </is>
      </c>
      <c r="B5172">
        <v>2.0241433189600118e-12</v>
      </c>
      <c r="D5172" t="inlineStr">
        <is>
          <t>kilogram</t>
        </is>
      </c>
      <c r="E5172" t="inlineStr">
        <is>
          <t>air::urban air close to ground</t>
        </is>
      </c>
      <c r="F5172" t="inlineStr">
        <is>
          <t>biosphere</t>
        </is>
      </c>
      <c r="I5172">
        <v>0</v>
      </c>
    </row>
    <row r="5173">
      <c r="A5173" t="inlineStr">
        <is>
          <t>Propane</t>
        </is>
      </c>
      <c r="B5173">
        <v>5.4000384611391535e-09</v>
      </c>
      <c r="D5173" t="inlineStr">
        <is>
          <t>kilogram</t>
        </is>
      </c>
      <c r="E5173" t="inlineStr">
        <is>
          <t>air::non-urban air or from high stacks</t>
        </is>
      </c>
      <c r="F5173" t="inlineStr">
        <is>
          <t>biosphere</t>
        </is>
      </c>
      <c r="I5173">
        <v>0</v>
      </c>
    </row>
    <row r="5174">
      <c r="A5174" t="inlineStr">
        <is>
          <t>Chromium III</t>
        </is>
      </c>
      <c r="B5174">
        <v>8.412510539423576e-11</v>
      </c>
      <c r="D5174" t="inlineStr">
        <is>
          <t>kilogram</t>
        </is>
      </c>
      <c r="E5174" t="inlineStr">
        <is>
          <t>air::non-urban air or from high stacks</t>
        </is>
      </c>
      <c r="F5174" t="inlineStr">
        <is>
          <t>biosphere</t>
        </is>
      </c>
      <c r="I5174">
        <v>0</v>
      </c>
    </row>
    <row r="5175">
      <c r="A5175" t="inlineStr">
        <is>
          <t>1-Pentene</t>
        </is>
      </c>
      <c r="B5175">
        <v>1.9306884310386414e-08</v>
      </c>
      <c r="D5175" t="inlineStr">
        <is>
          <t>kilogram</t>
        </is>
      </c>
      <c r="E5175" t="inlineStr">
        <is>
          <t>air::urban air close to ground</t>
        </is>
      </c>
      <c r="F5175" t="inlineStr">
        <is>
          <t>biosphere</t>
        </is>
      </c>
      <c r="I5175">
        <v>0</v>
      </c>
    </row>
    <row r="5176">
      <c r="A5176" t="inlineStr">
        <is>
          <t>Acetone</t>
        </is>
      </c>
      <c r="B5176">
        <v>1.158413058623185e-07</v>
      </c>
      <c r="D5176" t="inlineStr">
        <is>
          <t>kilogram</t>
        </is>
      </c>
      <c r="E5176" t="inlineStr">
        <is>
          <t>air::urban air close to ground</t>
        </is>
      </c>
      <c r="F5176" t="inlineStr">
        <is>
          <t>biosphere</t>
        </is>
      </c>
      <c r="I5176">
        <v>0</v>
      </c>
    </row>
    <row r="5177">
      <c r="A5177" t="inlineStr">
        <is>
          <t>Acrolein</t>
        </is>
      </c>
      <c r="B5177">
        <v>3.861376862077283e-08</v>
      </c>
      <c r="D5177" t="inlineStr">
        <is>
          <t>kilogram</t>
        </is>
      </c>
      <c r="E5177" t="inlineStr">
        <is>
          <t>air::urban air close to ground</t>
        </is>
      </c>
      <c r="F5177" t="inlineStr">
        <is>
          <t>biosphere</t>
        </is>
      </c>
      <c r="I5177">
        <v>0</v>
      </c>
    </row>
    <row r="5178">
      <c r="A5178" t="inlineStr">
        <is>
          <t>Benzaldehyde</t>
        </is>
      </c>
      <c r="B5178">
        <v>3.861376862077283e-08</v>
      </c>
      <c r="D5178" t="inlineStr">
        <is>
          <t>kilogram</t>
        </is>
      </c>
      <c r="E5178" t="inlineStr">
        <is>
          <t>air::urban air close to ground</t>
        </is>
      </c>
      <c r="F5178" t="inlineStr">
        <is>
          <t>biosphere</t>
        </is>
      </c>
      <c r="I5178">
        <v>0</v>
      </c>
    </row>
    <row r="5179">
      <c r="A5179" t="inlineStr">
        <is>
          <t>Cyclohexane</t>
        </is>
      </c>
      <c r="B5179">
        <v>2.1237571691219508e-07</v>
      </c>
      <c r="D5179" t="inlineStr">
        <is>
          <t>kilogram</t>
        </is>
      </c>
      <c r="E5179" t="inlineStr">
        <is>
          <t>air::urban air close to ground</t>
        </is>
      </c>
      <c r="F5179" t="inlineStr">
        <is>
          <t>biosphere</t>
        </is>
      </c>
      <c r="I5179">
        <v>0</v>
      </c>
    </row>
    <row r="5180">
      <c r="A5180" t="inlineStr">
        <is>
          <t>Heptane</t>
        </is>
      </c>
      <c r="B5180">
        <v>1.351481901727049e-07</v>
      </c>
      <c r="D5180" t="inlineStr">
        <is>
          <t>kilogram</t>
        </is>
      </c>
      <c r="E5180" t="inlineStr">
        <is>
          <t>air::urban air close to ground</t>
        </is>
      </c>
      <c r="F5180" t="inlineStr">
        <is>
          <t>biosphere</t>
        </is>
      </c>
      <c r="I5180">
        <v>0</v>
      </c>
    </row>
    <row r="5181">
      <c r="A5181" t="inlineStr">
        <is>
          <t>Methyl ethyl ketone</t>
        </is>
      </c>
      <c r="B5181">
        <v>1.9306884310386414e-08</v>
      </c>
      <c r="D5181" t="inlineStr">
        <is>
          <t>kilogram</t>
        </is>
      </c>
      <c r="E5181" t="inlineStr">
        <is>
          <t>air::urban air close to ground</t>
        </is>
      </c>
      <c r="F5181" t="inlineStr">
        <is>
          <t>biosphere</t>
        </is>
      </c>
      <c r="I5181">
        <v>0</v>
      </c>
    </row>
    <row r="5182">
      <c r="A5182" t="inlineStr">
        <is>
          <t>o-Xylene</t>
        </is>
      </c>
      <c r="B5182">
        <v>4.4405832863683197e-07</v>
      </c>
      <c r="D5182" t="inlineStr">
        <is>
          <t>kilogram</t>
        </is>
      </c>
      <c r="E5182" t="inlineStr">
        <is>
          <t>air::urban air close to ground</t>
        </is>
      </c>
      <c r="F5182" t="inlineStr">
        <is>
          <t>biosphere</t>
        </is>
      </c>
      <c r="I5182">
        <v>0</v>
      </c>
    </row>
    <row r="5183">
      <c r="A5183" t="inlineStr">
        <is>
          <t>Propylene</t>
        </is>
      </c>
      <c r="B5183">
        <v>7.33661582790573e-07</v>
      </c>
      <c r="D5183" t="inlineStr">
        <is>
          <t>kilogram</t>
        </is>
      </c>
      <c r="E5183" t="inlineStr">
        <is>
          <t>air::urban air close to ground</t>
        </is>
      </c>
      <c r="F5183" t="inlineStr">
        <is>
          <t>biosphere</t>
        </is>
      </c>
      <c r="I5183">
        <v>0</v>
      </c>
    </row>
    <row r="5184">
      <c r="A5184" t="inlineStr">
        <is>
          <t>Selenium IV</t>
        </is>
      </c>
      <c r="B5184">
        <v>2.0241433189600118e-12</v>
      </c>
      <c r="D5184" t="inlineStr">
        <is>
          <t>kilogram</t>
        </is>
      </c>
      <c r="E5184" t="inlineStr">
        <is>
          <t>air::urban air close to ground</t>
        </is>
      </c>
      <c r="F5184" t="inlineStr">
        <is>
          <t>biosphere</t>
        </is>
      </c>
      <c r="I5184">
        <v>0</v>
      </c>
    </row>
    <row r="5185">
      <c r="A5185" t="inlineStr">
        <is>
          <t>Styrene</t>
        </is>
      </c>
      <c r="B5185">
        <v>1.9306884310386417e-07</v>
      </c>
      <c r="D5185" t="inlineStr">
        <is>
          <t>kilogram</t>
        </is>
      </c>
      <c r="E5185" t="inlineStr">
        <is>
          <t>air::urban air close to ground</t>
        </is>
      </c>
      <c r="F5185" t="inlineStr">
        <is>
          <t>biosphere</t>
        </is>
      </c>
      <c r="I5185">
        <v>0</v>
      </c>
    </row>
    <row r="5186">
      <c r="A5186" t="inlineStr">
        <is>
          <t>1-Pentene</t>
        </is>
      </c>
      <c r="B5186">
        <v>7.714340658770217e-10</v>
      </c>
      <c r="D5186" t="inlineStr">
        <is>
          <t>kilogram</t>
        </is>
      </c>
      <c r="E5186" t="inlineStr">
        <is>
          <t>air::non-urban air or from high stacks</t>
        </is>
      </c>
      <c r="F5186" t="inlineStr">
        <is>
          <t>biosphere</t>
        </is>
      </c>
      <c r="I5186">
        <v>0</v>
      </c>
    </row>
    <row r="5187">
      <c r="A5187" t="inlineStr">
        <is>
          <t>Acetaldehyde</t>
        </is>
      </c>
      <c r="B5187">
        <v>6.171472527016175e-09</v>
      </c>
      <c r="D5187" t="inlineStr">
        <is>
          <t>kilogram</t>
        </is>
      </c>
      <c r="E5187" t="inlineStr">
        <is>
          <t>air::non-urban air or from high stacks</t>
        </is>
      </c>
      <c r="F5187" t="inlineStr">
        <is>
          <t>biosphere</t>
        </is>
      </c>
      <c r="I5187">
        <v>0</v>
      </c>
    </row>
    <row r="5188">
      <c r="A5188" t="inlineStr">
        <is>
          <t>Acetone</t>
        </is>
      </c>
      <c r="B5188">
        <v>4.628604395262132e-09</v>
      </c>
      <c r="D5188" t="inlineStr">
        <is>
          <t>kilogram</t>
        </is>
      </c>
      <c r="E5188" t="inlineStr">
        <is>
          <t>air::non-urban air or from high stacks</t>
        </is>
      </c>
      <c r="F5188" t="inlineStr">
        <is>
          <t>biosphere</t>
        </is>
      </c>
      <c r="I5188">
        <v>0</v>
      </c>
    </row>
    <row r="5189">
      <c r="A5189" t="inlineStr">
        <is>
          <t>Acrolein</t>
        </is>
      </c>
      <c r="B5189">
        <v>1.542868131754044e-09</v>
      </c>
      <c r="D5189" t="inlineStr">
        <is>
          <t>kilogram</t>
        </is>
      </c>
      <c r="E5189" t="inlineStr">
        <is>
          <t>air::non-urban air or from high stacks</t>
        </is>
      </c>
      <c r="F5189" t="inlineStr">
        <is>
          <t>biosphere</t>
        </is>
      </c>
      <c r="I5189">
        <v>0</v>
      </c>
    </row>
    <row r="5190">
      <c r="A5190" t="inlineStr">
        <is>
          <t>Benzaldehyde</t>
        </is>
      </c>
      <c r="B5190">
        <v>1.542868131754044e-09</v>
      </c>
      <c r="D5190" t="inlineStr">
        <is>
          <t>kilogram</t>
        </is>
      </c>
      <c r="E5190" t="inlineStr">
        <is>
          <t>air::non-urban air or from high stacks</t>
        </is>
      </c>
      <c r="F5190" t="inlineStr">
        <is>
          <t>biosphere</t>
        </is>
      </c>
      <c r="I5190">
        <v>0</v>
      </c>
    </row>
    <row r="5191">
      <c r="A5191" t="inlineStr">
        <is>
          <t>Cyclohexane</t>
        </is>
      </c>
      <c r="B5191">
        <v>8.485775052836473e-09</v>
      </c>
      <c r="D5191" t="inlineStr">
        <is>
          <t>kilogram</t>
        </is>
      </c>
      <c r="E5191" t="inlineStr">
        <is>
          <t>air::non-urban air or from high stacks</t>
        </is>
      </c>
      <c r="F5191" t="inlineStr">
        <is>
          <t>biosphere</t>
        </is>
      </c>
      <c r="I5191">
        <v>0</v>
      </c>
    </row>
    <row r="5192">
      <c r="A5192" t="inlineStr">
        <is>
          <t>Heptane</t>
        </is>
      </c>
      <c r="B5192">
        <v>5.4000384611391535e-09</v>
      </c>
      <c r="D5192" t="inlineStr">
        <is>
          <t>kilogram</t>
        </is>
      </c>
      <c r="E5192" t="inlineStr">
        <is>
          <t>air::non-urban air or from high stacks</t>
        </is>
      </c>
      <c r="F5192" t="inlineStr">
        <is>
          <t>biosphere</t>
        </is>
      </c>
      <c r="I5192">
        <v>0</v>
      </c>
    </row>
    <row r="5193">
      <c r="A5193" t="inlineStr">
        <is>
          <t>Hexane</t>
        </is>
      </c>
      <c r="B5193">
        <v>1.234294505403235e-08</v>
      </c>
      <c r="D5193" t="inlineStr">
        <is>
          <t>kilogram</t>
        </is>
      </c>
      <c r="E5193" t="inlineStr">
        <is>
          <t>air::non-urban air or from high stacks</t>
        </is>
      </c>
      <c r="F5193" t="inlineStr">
        <is>
          <t>biosphere</t>
        </is>
      </c>
      <c r="I5193">
        <v>0</v>
      </c>
    </row>
    <row r="5194">
      <c r="A5194" t="inlineStr">
        <is>
          <t>Methyl ethyl ketone</t>
        </is>
      </c>
      <c r="B5194">
        <v>7.714340658770217e-10</v>
      </c>
      <c r="D5194" t="inlineStr">
        <is>
          <t>kilogram</t>
        </is>
      </c>
      <c r="E5194" t="inlineStr">
        <is>
          <t>air::non-urban air or from high stacks</t>
        </is>
      </c>
      <c r="F5194" t="inlineStr">
        <is>
          <t>biosphere</t>
        </is>
      </c>
      <c r="I5194">
        <v>0</v>
      </c>
    </row>
    <row r="5195">
      <c r="A5195" t="inlineStr">
        <is>
          <t>m-Xylene</t>
        </is>
      </c>
      <c r="B5195">
        <v>4.165743758822378e-08</v>
      </c>
      <c r="D5195" t="inlineStr">
        <is>
          <t>kilogram</t>
        </is>
      </c>
      <c r="E5195" t="inlineStr">
        <is>
          <t>air::non-urban air or from high stacks</t>
        </is>
      </c>
      <c r="F5195" t="inlineStr">
        <is>
          <t>biosphere</t>
        </is>
      </c>
      <c r="I5195">
        <v>0</v>
      </c>
    </row>
    <row r="5196">
      <c r="A5196" t="inlineStr">
        <is>
          <t>o-Xylene</t>
        </is>
      </c>
      <c r="B5196">
        <v>1.7742983843360735e-08</v>
      </c>
      <c r="D5196" t="inlineStr">
        <is>
          <t>kilogram</t>
        </is>
      </c>
      <c r="E5196" t="inlineStr">
        <is>
          <t>air::non-urban air or from high stacks</t>
        </is>
      </c>
      <c r="F5196" t="inlineStr">
        <is>
          <t>biosphere</t>
        </is>
      </c>
      <c r="I5196">
        <v>0</v>
      </c>
    </row>
    <row r="5197">
      <c r="A5197" t="inlineStr">
        <is>
          <t>Styrene</t>
        </is>
      </c>
      <c r="B5197">
        <v>7.714340002391748e-09</v>
      </c>
      <c r="D5197" t="inlineStr">
        <is>
          <t>kilogram</t>
        </is>
      </c>
      <c r="E5197" t="inlineStr">
        <is>
          <t>air::non-urban air or from high stacks</t>
        </is>
      </c>
      <c r="F5197" t="inlineStr">
        <is>
          <t>biosphere</t>
        </is>
      </c>
      <c r="I5197">
        <v>0</v>
      </c>
    </row>
    <row r="5198">
      <c r="A5198" t="inlineStr">
        <is>
          <t>Ethylene</t>
        </is>
      </c>
      <c r="B5198">
        <v>1.4094024811438196e-06</v>
      </c>
      <c r="D5198" t="inlineStr">
        <is>
          <t>kilogram</t>
        </is>
      </c>
      <c r="E5198" t="inlineStr">
        <is>
          <t>air::urban air close to ground</t>
        </is>
      </c>
      <c r="F5198" t="inlineStr">
        <is>
          <t>biosphere</t>
        </is>
      </c>
      <c r="I5198">
        <v>0</v>
      </c>
    </row>
    <row r="5199">
      <c r="A5199" t="inlineStr">
        <is>
          <t>Ethylene</t>
        </is>
      </c>
      <c r="B5199">
        <v>5.631468910634723e-08</v>
      </c>
      <c r="D5199" t="inlineStr">
        <is>
          <t>kilogram</t>
        </is>
      </c>
      <c r="E5199" t="inlineStr">
        <is>
          <t>air::non-urban air or from high stacks</t>
        </is>
      </c>
      <c r="F5199" t="inlineStr">
        <is>
          <t>biosphere</t>
        </is>
      </c>
      <c r="I5199">
        <v>0</v>
      </c>
    </row>
    <row r="5200">
      <c r="A5200" t="inlineStr">
        <is>
          <t>market for internal combustion engine, passenger car</t>
        </is>
      </c>
      <c r="B5200">
        <v>0.0004975535070430082</v>
      </c>
      <c r="C5200" t="inlineStr">
        <is>
          <t>GLO</t>
        </is>
      </c>
      <c r="D5200" t="inlineStr">
        <is>
          <t>kilogram</t>
        </is>
      </c>
      <c r="F5200" t="inlineStr">
        <is>
          <t>technosphere</t>
        </is>
      </c>
      <c r="G5200" t="inlineStr">
        <is>
          <t>internal combustion engine, passenger car</t>
        </is>
      </c>
      <c r="H5200" t="inlineStr">
        <is>
          <t> Energy-use allocation: 269.3057861328125 * 4.999999873689376e-06 / 2.7062996795066048 MJ per kilometer.</t>
        </is>
      </c>
      <c r="I5200">
        <v>0</v>
      </c>
    </row>
    <row r="5201">
      <c r="A5201" t="inlineStr">
        <is>
          <t>market for waste plastic, industrial electronics</t>
        </is>
      </c>
      <c r="B5201">
        <v>-8.978854216197933e-05</v>
      </c>
      <c r="C5201" t="inlineStr">
        <is>
          <t>CH</t>
        </is>
      </c>
      <c r="D5201" t="inlineStr">
        <is>
          <t>kilogram</t>
        </is>
      </c>
      <c r="F5201" t="inlineStr">
        <is>
          <t>technosphere</t>
        </is>
      </c>
      <c r="G5201" t="inlineStr">
        <is>
          <t>waste plastic, industrial electronics</t>
        </is>
      </c>
      <c r="H5201" t="inlineStr">
        <is>
          <t> Energy-use allocation: -48.59894180297852 * 4.999999873689376e-06 / 2.7062996795066048 MJ per kilometer.</t>
        </is>
      </c>
      <c r="I5201">
        <v>0</v>
      </c>
    </row>
    <row r="5202">
      <c r="A5202" t="inlineStr">
        <is>
          <t>polyethylene production, high density, granulate</t>
        </is>
      </c>
      <c r="B5202">
        <v>8.978854216197933e-05</v>
      </c>
      <c r="C5202" t="inlineStr">
        <is>
          <t>RER</t>
        </is>
      </c>
      <c r="D5202" t="inlineStr">
        <is>
          <t>kilogram</t>
        </is>
      </c>
      <c r="F5202" t="inlineStr">
        <is>
          <t>technosphere</t>
        </is>
      </c>
      <c r="G5202" t="inlineStr">
        <is>
          <t>polyethylene, high density, granulate</t>
        </is>
      </c>
      <c r="H5202" t="inlineStr">
        <is>
          <t> Energy-use allocation: 48.59894180297852 * 4.999999873689376e-06 / 2.7062996795066048 MJ per kilometer.</t>
        </is>
      </c>
      <c r="I5202">
        <v>0</v>
      </c>
    </row>
    <row r="5203">
      <c r="A5203" t="inlineStr">
        <is>
          <t>Carbon dioxide, non-fossil</t>
        </is>
      </c>
      <c r="B5203">
        <v>0.0739</v>
      </c>
      <c r="D5203" t="inlineStr">
        <is>
          <t>kilogram</t>
        </is>
      </c>
      <c r="E5203" t="inlineStr">
        <is>
          <t>air::urban air close to ground</t>
        </is>
      </c>
      <c r="F5203" t="inlineStr">
        <is>
          <t>biosphere</t>
        </is>
      </c>
      <c r="I5203">
        <v>0</v>
      </c>
    </row>
    <row r="5204"/>
    <row r="5205">
      <c r="A5205" t="inlineStr">
        <is>
          <t>Activity</t>
        </is>
      </c>
      <c r="B5205" t="inlineStr">
        <is>
          <t>bioethanol, from sugar crops, burned in passenger car</t>
        </is>
      </c>
    </row>
    <row r="5206">
      <c r="A5206" t="inlineStr">
        <is>
          <t>location</t>
        </is>
      </c>
      <c r="B5206" t="inlineStr">
        <is>
          <t>RER</t>
        </is>
      </c>
    </row>
    <row r="5207">
      <c r="A5207" t="inlineStr">
        <is>
          <t>production amount</t>
        </is>
      </c>
      <c r="B5207">
        <v>1</v>
      </c>
    </row>
    <row r="5208">
      <c r="A5208" t="inlineStr">
        <is>
          <t>reference product</t>
        </is>
      </c>
      <c r="B5208" t="inlineStr">
        <is>
          <t>heat</t>
        </is>
      </c>
    </row>
    <row r="5209">
      <c r="A5209" t="inlineStr">
        <is>
          <t>type</t>
        </is>
      </c>
      <c r="B5209" t="inlineStr">
        <is>
          <t>process</t>
        </is>
      </c>
    </row>
    <row r="5210">
      <c r="A5210" t="inlineStr">
        <is>
          <t>unit</t>
        </is>
      </c>
      <c r="B5210" t="inlineStr">
        <is>
          <t>megajoule</t>
        </is>
      </c>
    </row>
    <row r="5211">
      <c r="A5211" t="inlineStr">
        <is>
          <t>Power, mean</t>
        </is>
      </c>
      <c r="B5211">
        <v>126</v>
      </c>
    </row>
    <row r="5212">
      <c r="A5212" t="inlineStr">
        <is>
          <t>Power, min</t>
        </is>
      </c>
      <c r="B5212">
        <v>54</v>
      </c>
    </row>
    <row r="5213">
      <c r="A5213" t="inlineStr">
        <is>
          <t>Power, max</t>
        </is>
      </c>
      <c r="B5213">
        <v>158</v>
      </c>
    </row>
    <row r="5214">
      <c r="A5214" t="inlineStr">
        <is>
          <t>Lifetime, mean</t>
        </is>
      </c>
      <c r="B5214">
        <v>200000</v>
      </c>
    </row>
    <row r="5215">
      <c r="A5215" t="inlineStr">
        <is>
          <t>Lifetime, min</t>
        </is>
      </c>
      <c r="B5215">
        <v>160000</v>
      </c>
    </row>
    <row r="5216">
      <c r="A5216" t="inlineStr">
        <is>
          <t>Lifetime, max</t>
        </is>
      </c>
      <c r="B5216">
        <v>250000</v>
      </c>
    </row>
    <row r="5217">
      <c r="A5217" t="inlineStr">
        <is>
          <t>Energy use, mean</t>
        </is>
      </c>
      <c r="B5217">
        <v>2330</v>
      </c>
    </row>
    <row r="5218">
      <c r="A5218" t="inlineStr">
        <is>
          <t>Energy use, min</t>
        </is>
      </c>
      <c r="B5218">
        <v>1530</v>
      </c>
    </row>
    <row r="5219">
      <c r="A5219" t="inlineStr">
        <is>
          <t>Energy use, max</t>
        </is>
      </c>
      <c r="B5219">
        <v>3000</v>
      </c>
    </row>
    <row r="5220">
      <c r="A5220" t="inlineStr">
        <is>
          <t>Electric motor, mean</t>
        </is>
      </c>
      <c r="B5220">
        <v>0</v>
      </c>
    </row>
    <row r="5221">
      <c r="A5221" t="inlineStr">
        <is>
          <t>Electric motor, min</t>
        </is>
      </c>
      <c r="B5221">
        <v>0</v>
      </c>
    </row>
    <row r="5222">
      <c r="A5222" t="inlineStr">
        <is>
          <t>Electric motor, max</t>
        </is>
      </c>
      <c r="B5222">
        <v>0</v>
      </c>
    </row>
    <row r="5223">
      <c r="A5223" t="inlineStr">
        <is>
          <t>Combustion engine, mean</t>
        </is>
      </c>
      <c r="B5223">
        <v>146</v>
      </c>
    </row>
    <row r="5224">
      <c r="A5224" t="inlineStr">
        <is>
          <t>Combustion engine, min</t>
        </is>
      </c>
      <c r="B5224">
        <v>96</v>
      </c>
    </row>
    <row r="5225">
      <c r="A5225" t="inlineStr">
        <is>
          <t>Combustion engine, max</t>
        </is>
      </c>
      <c r="B5225">
        <v>168</v>
      </c>
    </row>
    <row r="5226">
      <c r="A5226" t="inlineStr">
        <is>
          <t>Fuel tank, mean</t>
        </is>
      </c>
      <c r="B5226">
        <v>48</v>
      </c>
    </row>
    <row r="5227">
      <c r="A5227" t="inlineStr">
        <is>
          <t>Fuel tank, min</t>
        </is>
      </c>
      <c r="B5227">
        <v>30</v>
      </c>
    </row>
    <row r="5228">
      <c r="A5228" t="inlineStr">
        <is>
          <t>Fuel tank, max</t>
        </is>
      </c>
      <c r="B5228">
        <v>48</v>
      </c>
    </row>
    <row r="5229">
      <c r="A5229" t="inlineStr">
        <is>
          <t>Battery capacity, mean</t>
        </is>
      </c>
      <c r="B5229">
        <v>0</v>
      </c>
    </row>
    <row r="5230">
      <c r="A5230" t="inlineStr">
        <is>
          <t>Battery capacity, min</t>
        </is>
      </c>
      <c r="B5230">
        <v>0</v>
      </c>
    </row>
    <row r="5231">
      <c r="A5231" t="inlineStr">
        <is>
          <t>Battery capacity, max</t>
        </is>
      </c>
      <c r="B5231">
        <v>0</v>
      </c>
    </row>
    <row r="5232">
      <c r="A5232" t="inlineStr">
        <is>
          <t>Battery replacement, mean</t>
        </is>
      </c>
      <c r="B5232">
        <v>0</v>
      </c>
    </row>
    <row r="5233">
      <c r="A5233" t="inlineStr">
        <is>
          <t>Battery replacement, min</t>
        </is>
      </c>
      <c r="B5233">
        <v>0</v>
      </c>
    </row>
    <row r="5234">
      <c r="A5234" t="inlineStr">
        <is>
          <t>Battery replacement, max</t>
        </is>
      </c>
      <c r="B5234">
        <v>0</v>
      </c>
    </row>
    <row r="5235">
      <c r="A5235" t="inlineStr">
        <is>
          <t>Fuel cell system, mean</t>
        </is>
      </c>
      <c r="B5235">
        <v>0</v>
      </c>
    </row>
    <row r="5236">
      <c r="A5236" t="inlineStr">
        <is>
          <t>Fuel cell system, min</t>
        </is>
      </c>
      <c r="B5236">
        <v>0</v>
      </c>
    </row>
    <row r="5237">
      <c r="A5237" t="inlineStr">
        <is>
          <t>Fuel cell system, max</t>
        </is>
      </c>
      <c r="B5237">
        <v>0</v>
      </c>
    </row>
    <row r="5238">
      <c r="A5238" t="inlineStr">
        <is>
          <t>Fuel cell stack replacement, mean</t>
        </is>
      </c>
      <c r="B5238">
        <v>0</v>
      </c>
    </row>
    <row r="5239">
      <c r="A5239" t="inlineStr">
        <is>
          <t>Fuel cell replacement, min</t>
        </is>
      </c>
      <c r="B5239">
        <v>0</v>
      </c>
    </row>
    <row r="5240">
      <c r="A5240" t="inlineStr">
        <is>
          <t>Fuel cell replacement, max</t>
        </is>
      </c>
      <c r="B5240">
        <v>0</v>
      </c>
    </row>
    <row r="5241">
      <c r="A5241" t="inlineStr">
        <is>
          <t>Onboard charger mass</t>
        </is>
      </c>
      <c r="B5241">
        <v>0</v>
      </c>
    </row>
    <row r="5242">
      <c r="A5242" t="inlineStr">
        <is>
          <t>Controller mass</t>
        </is>
      </c>
      <c r="B5242">
        <v>0</v>
      </c>
    </row>
    <row r="5243">
      <c r="A5243" t="inlineStr">
        <is>
          <t>Converter mass</t>
        </is>
      </c>
      <c r="B5243">
        <v>0</v>
      </c>
    </row>
    <row r="5244">
      <c r="A5244" t="inlineStr">
        <is>
          <t>Electrical powertrain mass</t>
        </is>
      </c>
      <c r="B5244">
        <v>0</v>
      </c>
    </row>
    <row r="5245">
      <c r="A5245" t="inlineStr">
        <is>
          <t>Inverter mass</t>
        </is>
      </c>
      <c r="B5245">
        <v>0</v>
      </c>
    </row>
    <row r="5246">
      <c r="A5246" t="inlineStr">
        <is>
          <t>NOx</t>
        </is>
      </c>
      <c r="B5246">
        <v>0.03</v>
      </c>
    </row>
    <row r="5247">
      <c r="A5247" t="inlineStr">
        <is>
          <t>PM 2.5</t>
        </is>
      </c>
      <c r="B5247">
        <v>0.000143099</v>
      </c>
    </row>
    <row r="5248">
      <c r="A5248" t="inlineStr">
        <is>
          <t>energy use source</t>
        </is>
      </c>
      <c r="B524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49">
      <c r="A5249" t="inlineStr">
        <is>
          <t>comment</t>
        </is>
      </c>
      <c r="B524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50">
      <c r="A5250" t="inlineStr">
        <is>
          <t>Exchanges</t>
        </is>
      </c>
    </row>
    <row r="5251">
      <c r="A5251" t="inlineStr">
        <is>
          <t>name</t>
        </is>
      </c>
      <c r="B5251" t="inlineStr">
        <is>
          <t>amount</t>
        </is>
      </c>
      <c r="C5251" t="inlineStr">
        <is>
          <t>location</t>
        </is>
      </c>
      <c r="D5251" t="inlineStr">
        <is>
          <t>unit</t>
        </is>
      </c>
      <c r="E5251" t="inlineStr">
        <is>
          <t>categories</t>
        </is>
      </c>
      <c r="F5251" t="inlineStr">
        <is>
          <t>type</t>
        </is>
      </c>
      <c r="G5251" t="inlineStr">
        <is>
          <t>reference product</t>
        </is>
      </c>
      <c r="H5251" t="inlineStr">
        <is>
          <t>comment</t>
        </is>
      </c>
      <c r="I5251" t="inlineStr">
        <is>
          <t>uncertainty type</t>
        </is>
      </c>
    </row>
    <row r="5252">
      <c r="A5252" t="inlineStr">
        <is>
          <t>bioethanol, from sugar crops, burned in passenger car</t>
        </is>
      </c>
      <c r="B5252">
        <v>1.0</v>
      </c>
      <c r="C5252" t="inlineStr">
        <is>
          <t>RER</t>
        </is>
      </c>
      <c r="D5252" t="inlineStr">
        <is>
          <t>megajoule</t>
        </is>
      </c>
      <c r="F5252" t="inlineStr">
        <is>
          <t>production</t>
        </is>
      </c>
      <c r="G5252" t="inlineStr">
        <is>
          <t>heat</t>
        </is>
      </c>
      <c r="I5252">
        <v>0</v>
      </c>
    </row>
    <row r="5253">
      <c r="A5253" t="inlineStr">
        <is>
          <t>ethanol production, via fermentation, from sugarbeet, energy allocation</t>
        </is>
      </c>
      <c r="B5253">
        <v>0.03773584905660377</v>
      </c>
      <c r="C5253" t="inlineStr">
        <is>
          <t>RER</t>
        </is>
      </c>
      <c r="D5253" t="inlineStr">
        <is>
          <t>kilogram</t>
        </is>
      </c>
      <c r="F5253" t="inlineStr">
        <is>
          <t>technosphere</t>
        </is>
      </c>
      <c r="G5253" t="inlineStr">
        <is>
          <t>ethanol, from sugarbeet</t>
        </is>
      </c>
      <c r="I5253">
        <v>0</v>
      </c>
    </row>
    <row r="5254">
      <c r="A5254" t="inlineStr">
        <is>
          <t>treatment of brake wear emissions, passenger car</t>
        </is>
      </c>
      <c r="B5254">
        <v>-5.438002312680902e-06</v>
      </c>
      <c r="C5254" t="inlineStr">
        <is>
          <t>RER</t>
        </is>
      </c>
      <c r="D5254" t="inlineStr">
        <is>
          <t>kilogram</t>
        </is>
      </c>
      <c r="F5254" t="inlineStr">
        <is>
          <t>technosphere</t>
        </is>
      </c>
      <c r="G5254" t="inlineStr">
        <is>
          <t>brake wear emissions, passenger car</t>
        </is>
      </c>
      <c r="I5254">
        <v>0</v>
      </c>
    </row>
    <row r="5255">
      <c r="A5255" t="inlineStr">
        <is>
          <t>treatment of road wear emissions, passenger car</t>
        </is>
      </c>
      <c r="B5255">
        <v>-6.242977641245232e-06</v>
      </c>
      <c r="C5255" t="inlineStr">
        <is>
          <t>RER</t>
        </is>
      </c>
      <c r="D5255" t="inlineStr">
        <is>
          <t>kilogram</t>
        </is>
      </c>
      <c r="F5255" t="inlineStr">
        <is>
          <t>technosphere</t>
        </is>
      </c>
      <c r="G5255" t="inlineStr">
        <is>
          <t>road wear emissions, passenger car</t>
        </is>
      </c>
      <c r="I5255">
        <v>0</v>
      </c>
    </row>
    <row r="5256">
      <c r="A5256" t="inlineStr">
        <is>
          <t>treatment of tyre wear emissions, passenger car</t>
        </is>
      </c>
      <c r="B5256">
        <v>-7.228598070295418e-06</v>
      </c>
      <c r="C5256" t="inlineStr">
        <is>
          <t>RER</t>
        </is>
      </c>
      <c r="D5256" t="inlineStr">
        <is>
          <t>kilogram</t>
        </is>
      </c>
      <c r="F5256" t="inlineStr">
        <is>
          <t>technosphere</t>
        </is>
      </c>
      <c r="G5256" t="inlineStr">
        <is>
          <t>tyre wear emissions, passenger car</t>
        </is>
      </c>
      <c r="I5256">
        <v>0</v>
      </c>
    </row>
    <row r="5257">
      <c r="A5257" t="inlineStr">
        <is>
          <t>market for tetrafluoroethane, R134a</t>
        </is>
      </c>
      <c r="B5257">
        <v>2.4018034573062128e-06</v>
      </c>
      <c r="C5257" t="inlineStr">
        <is>
          <t>GLO</t>
        </is>
      </c>
      <c r="D5257" t="inlineStr">
        <is>
          <t>kilogram</t>
        </is>
      </c>
      <c r="F5257" t="inlineStr">
        <is>
          <t>technosphere</t>
        </is>
      </c>
      <c r="G5257" t="inlineStr">
        <is>
          <t>tetrafluoroethane, R134a</t>
        </is>
      </c>
      <c r="I5257">
        <v>0</v>
      </c>
    </row>
    <row r="5258">
      <c r="A5258" t="inlineStr">
        <is>
          <t>Toluene</t>
        </is>
      </c>
      <c r="B5258">
        <v>8.485774790285088e-08</v>
      </c>
      <c r="D5258" t="inlineStr">
        <is>
          <t>kilogram</t>
        </is>
      </c>
      <c r="E5258" t="inlineStr">
        <is>
          <t>air::non-urban air or from high stacks</t>
        </is>
      </c>
      <c r="F5258" t="inlineStr">
        <is>
          <t>biosphere</t>
        </is>
      </c>
      <c r="I5258">
        <v>0</v>
      </c>
    </row>
    <row r="5259">
      <c r="A5259" t="inlineStr">
        <is>
          <t>NMVOC, non-methane volatile organic compounds</t>
        </is>
      </c>
      <c r="B5259">
        <v>3.1778359610804548e-06</v>
      </c>
      <c r="D5259" t="inlineStr">
        <is>
          <t>kilogram</t>
        </is>
      </c>
      <c r="E5259" t="inlineStr">
        <is>
          <t>air::non-urban air or from high stacks</t>
        </is>
      </c>
      <c r="F5259" t="inlineStr">
        <is>
          <t>biosphere</t>
        </is>
      </c>
      <c r="I5259">
        <v>0</v>
      </c>
    </row>
    <row r="5260">
      <c r="A5260" t="inlineStr">
        <is>
          <t>Dinitrogen monoxide</t>
        </is>
      </c>
      <c r="B5260">
        <v>4.674883409401355e-08</v>
      </c>
      <c r="D5260" t="inlineStr">
        <is>
          <t>kilogram</t>
        </is>
      </c>
      <c r="E5260" t="inlineStr">
        <is>
          <t>air::non-urban air or from high stacks</t>
        </is>
      </c>
      <c r="F5260" t="inlineStr">
        <is>
          <t>biosphere</t>
        </is>
      </c>
      <c r="I5260">
        <v>0</v>
      </c>
    </row>
    <row r="5261">
      <c r="A5261" t="inlineStr">
        <is>
          <t>Ethane</t>
        </is>
      </c>
      <c r="B5261">
        <v>6.178202979323652e-07</v>
      </c>
      <c r="D5261" t="inlineStr">
        <is>
          <t>kilogram</t>
        </is>
      </c>
      <c r="E5261" t="inlineStr">
        <is>
          <t>air::urban air close to ground</t>
        </is>
      </c>
      <c r="F5261" t="inlineStr">
        <is>
          <t>biosphere</t>
        </is>
      </c>
      <c r="I5261">
        <v>0</v>
      </c>
    </row>
    <row r="5262">
      <c r="A5262" t="inlineStr">
        <is>
          <t>Pentane</t>
        </is>
      </c>
      <c r="B5262">
        <v>4.2475143382439017e-07</v>
      </c>
      <c r="D5262" t="inlineStr">
        <is>
          <t>kilogram</t>
        </is>
      </c>
      <c r="E5262" t="inlineStr">
        <is>
          <t>air::urban air close to ground</t>
        </is>
      </c>
      <c r="F5262" t="inlineStr">
        <is>
          <t>biosphere</t>
        </is>
      </c>
      <c r="I5262">
        <v>0</v>
      </c>
    </row>
    <row r="5263">
      <c r="A5263" t="inlineStr">
        <is>
          <t>Selenium IV</t>
        </is>
      </c>
      <c r="B5263">
        <v>2.6658564722165628e-12</v>
      </c>
      <c r="D5263" t="inlineStr">
        <is>
          <t>kilogram</t>
        </is>
      </c>
      <c r="E5263" t="inlineStr">
        <is>
          <t>air::non-urban air or from high stacks</t>
        </is>
      </c>
      <c r="F5263" t="inlineStr">
        <is>
          <t>biosphere</t>
        </is>
      </c>
      <c r="I5263">
        <v>0</v>
      </c>
    </row>
    <row r="5264">
      <c r="A5264" t="inlineStr">
        <is>
          <t>Arsenic ion</t>
        </is>
      </c>
      <c r="B5264">
        <v>4.001626718125109e-12</v>
      </c>
      <c r="D5264" t="inlineStr">
        <is>
          <t>kilogram</t>
        </is>
      </c>
      <c r="E5264" t="inlineStr">
        <is>
          <t>air::non-urban air or from high stacks</t>
        </is>
      </c>
      <c r="F5264" t="inlineStr">
        <is>
          <t>biosphere</t>
        </is>
      </c>
      <c r="I5264">
        <v>0</v>
      </c>
    </row>
    <row r="5265">
      <c r="A5265" t="inlineStr">
        <is>
          <t>Arsenic ion</t>
        </is>
      </c>
      <c r="B5265">
        <v>3.038373047003884e-12</v>
      </c>
      <c r="D5265" t="inlineStr">
        <is>
          <t>kilogram</t>
        </is>
      </c>
      <c r="E5265" t="inlineStr">
        <is>
          <t>air::urban air close to ground</t>
        </is>
      </c>
      <c r="F5265" t="inlineStr">
        <is>
          <t>biosphere</t>
        </is>
      </c>
      <c r="I5265">
        <v>0</v>
      </c>
    </row>
    <row r="5266">
      <c r="A5266" t="inlineStr">
        <is>
          <t>Propylene</t>
        </is>
      </c>
      <c r="B5266">
        <v>2.9314492534191425e-08</v>
      </c>
      <c r="D5266" t="inlineStr">
        <is>
          <t>kilogram</t>
        </is>
      </c>
      <c r="E5266" t="inlineStr">
        <is>
          <t>air::non-urban air or from high stacks</t>
        </is>
      </c>
      <c r="F5266" t="inlineStr">
        <is>
          <t>biosphere</t>
        </is>
      </c>
      <c r="I5266">
        <v>0</v>
      </c>
    </row>
    <row r="5267">
      <c r="A5267" t="inlineStr">
        <is>
          <t>Particulate Matter, &lt; 2.5 um</t>
        </is>
      </c>
      <c r="B5267">
        <v>2.3699093868880875e-07</v>
      </c>
      <c r="D5267" t="inlineStr">
        <is>
          <t>kilogram</t>
        </is>
      </c>
      <c r="E5267" t="inlineStr">
        <is>
          <t>air::urban air close to ground</t>
        </is>
      </c>
      <c r="F5267" t="inlineStr">
        <is>
          <t>biosphere</t>
        </is>
      </c>
      <c r="I5267">
        <v>0</v>
      </c>
    </row>
    <row r="5268">
      <c r="A5268" t="inlineStr">
        <is>
          <t>Nickel II</t>
        </is>
      </c>
      <c r="B5268">
        <v>3.069429555789392e-11</v>
      </c>
      <c r="D5268" t="inlineStr">
        <is>
          <t>kilogram</t>
        </is>
      </c>
      <c r="E5268" t="inlineStr">
        <is>
          <t>air::non-urban air or from high stacks</t>
        </is>
      </c>
      <c r="F5268" t="inlineStr">
        <is>
          <t>biosphere</t>
        </is>
      </c>
      <c r="I5268">
        <v>0</v>
      </c>
    </row>
    <row r="5269">
      <c r="A5269" t="inlineStr">
        <is>
          <t>Methane, fossil</t>
        </is>
      </c>
      <c r="B5269">
        <v>5.142891864640064e-07</v>
      </c>
      <c r="D5269" t="inlineStr">
        <is>
          <t>kilogram</t>
        </is>
      </c>
      <c r="E5269" t="inlineStr">
        <is>
          <t>air::non-urban air or from high stacks</t>
        </is>
      </c>
      <c r="F5269" t="inlineStr">
        <is>
          <t>biosphere</t>
        </is>
      </c>
      <c r="I5269">
        <v>0</v>
      </c>
    </row>
    <row r="5270">
      <c r="A5270" t="inlineStr">
        <is>
          <t>Mercury II</t>
        </is>
      </c>
      <c r="B5270">
        <v>1.1595623051201971e-10</v>
      </c>
      <c r="D5270" t="inlineStr">
        <is>
          <t>kilogram</t>
        </is>
      </c>
      <c r="E5270" t="inlineStr">
        <is>
          <t>air::non-urban air or from high stacks</t>
        </is>
      </c>
      <c r="F5270" t="inlineStr">
        <is>
          <t>biosphere</t>
        </is>
      </c>
      <c r="I5270">
        <v>0</v>
      </c>
    </row>
    <row r="5271">
      <c r="A5271" t="inlineStr">
        <is>
          <t>Ammonia</t>
        </is>
      </c>
      <c r="B5271">
        <v>1.8978800516687959e-06</v>
      </c>
      <c r="D5271" t="inlineStr">
        <is>
          <t>kilogram</t>
        </is>
      </c>
      <c r="E5271" t="inlineStr">
        <is>
          <t>air::non-urban air or from high stacks</t>
        </is>
      </c>
      <c r="F5271" t="inlineStr">
        <is>
          <t>biosphere</t>
        </is>
      </c>
      <c r="I5271">
        <v>0</v>
      </c>
    </row>
    <row r="5272">
      <c r="A5272" t="inlineStr">
        <is>
          <t>Ethane</t>
        </is>
      </c>
      <c r="B5272">
        <v>2.46858901080647e-08</v>
      </c>
      <c r="D5272" t="inlineStr">
        <is>
          <t>kilogram</t>
        </is>
      </c>
      <c r="E5272" t="inlineStr">
        <is>
          <t>air::non-urban air or from high stacks</t>
        </is>
      </c>
      <c r="F5272" t="inlineStr">
        <is>
          <t>biosphere</t>
        </is>
      </c>
      <c r="I5272">
        <v>0</v>
      </c>
    </row>
    <row r="5273">
      <c r="A5273" t="inlineStr">
        <is>
          <t>Nickel II</t>
        </is>
      </c>
      <c r="B5273">
        <v>2.33057020978785e-11</v>
      </c>
      <c r="D5273" t="inlineStr">
        <is>
          <t>kilogram</t>
        </is>
      </c>
      <c r="E5273" t="inlineStr">
        <is>
          <t>air::urban air close to ground</t>
        </is>
      </c>
      <c r="F5273" t="inlineStr">
        <is>
          <t>biosphere</t>
        </is>
      </c>
      <c r="I5273">
        <v>0</v>
      </c>
    </row>
    <row r="5274">
      <c r="A5274" t="inlineStr">
        <is>
          <t>Cadmium II</t>
        </is>
      </c>
      <c r="B5274">
        <v>2.6658564722165628e-12</v>
      </c>
      <c r="D5274" t="inlineStr">
        <is>
          <t>kilogram</t>
        </is>
      </c>
      <c r="E5274" t="inlineStr">
        <is>
          <t>air::non-urban air or from high stacks</t>
        </is>
      </c>
      <c r="F5274" t="inlineStr">
        <is>
          <t>biosphere</t>
        </is>
      </c>
      <c r="I5274">
        <v>0</v>
      </c>
    </row>
    <row r="5275">
      <c r="A5275" t="inlineStr">
        <is>
          <t>Ammonia</t>
        </is>
      </c>
      <c r="B5275">
        <v>1.4410307235331609e-06</v>
      </c>
      <c r="D5275" t="inlineStr">
        <is>
          <t>kilogram</t>
        </is>
      </c>
      <c r="E5275" t="inlineStr">
        <is>
          <t>air::urban air close to ground</t>
        </is>
      </c>
      <c r="F5275" t="inlineStr">
        <is>
          <t>biosphere</t>
        </is>
      </c>
      <c r="I5275">
        <v>0</v>
      </c>
    </row>
    <row r="5276">
      <c r="A5276" t="inlineStr">
        <is>
          <t>Butane</t>
        </is>
      </c>
      <c r="B5276">
        <v>4.0114570112848195e-08</v>
      </c>
      <c r="D5276" t="inlineStr">
        <is>
          <t>kilogram</t>
        </is>
      </c>
      <c r="E5276" t="inlineStr">
        <is>
          <t>air::non-urban air or from high stacks</t>
        </is>
      </c>
      <c r="F5276" t="inlineStr">
        <is>
          <t>biosphere</t>
        </is>
      </c>
      <c r="I5276">
        <v>0</v>
      </c>
    </row>
    <row r="5277">
      <c r="A5277" t="inlineStr">
        <is>
          <t>PAH, polycyclic aromatic hydrocarbons</t>
        </is>
      </c>
      <c r="B5277">
        <v>3.5346981515115725e-10</v>
      </c>
      <c r="D5277" t="inlineStr">
        <is>
          <t>kilogram</t>
        </is>
      </c>
      <c r="E5277" t="inlineStr">
        <is>
          <t>air::urban air close to ground</t>
        </is>
      </c>
      <c r="F5277" t="inlineStr">
        <is>
          <t>biosphere</t>
        </is>
      </c>
      <c r="I5277">
        <v>0</v>
      </c>
    </row>
    <row r="5278">
      <c r="A5278" t="inlineStr">
        <is>
          <t>Copper ion</t>
        </is>
      </c>
      <c r="B5278">
        <v>6.025176924783301e-11</v>
      </c>
      <c r="D5278" t="inlineStr">
        <is>
          <t>kilogram</t>
        </is>
      </c>
      <c r="E5278" t="inlineStr">
        <is>
          <t>air::non-urban air or from high stacks</t>
        </is>
      </c>
      <c r="F5278" t="inlineStr">
        <is>
          <t>biosphere</t>
        </is>
      </c>
      <c r="I5278">
        <v>0</v>
      </c>
    </row>
    <row r="5279">
      <c r="A5279" t="inlineStr">
        <is>
          <t>Nitrogen oxides</t>
        </is>
      </c>
      <c r="B5279">
        <v>8.487546844117613e-06</v>
      </c>
      <c r="D5279" t="inlineStr">
        <is>
          <t>kilogram</t>
        </is>
      </c>
      <c r="E5279" t="inlineStr">
        <is>
          <t>air::non-urban air or from high stacks</t>
        </is>
      </c>
      <c r="F5279" t="inlineStr">
        <is>
          <t>biosphere</t>
        </is>
      </c>
      <c r="I5279">
        <v>0</v>
      </c>
    </row>
    <row r="5280">
      <c r="A5280" t="inlineStr">
        <is>
          <t>Hexane</t>
        </is>
      </c>
      <c r="B5280">
        <v>3.089101489661827e-07</v>
      </c>
      <c r="D5280" t="inlineStr">
        <is>
          <t>kilogram</t>
        </is>
      </c>
      <c r="E5280" t="inlineStr">
        <is>
          <t>air::urban air close to ground</t>
        </is>
      </c>
      <c r="F5280" t="inlineStr">
        <is>
          <t>biosphere</t>
        </is>
      </c>
      <c r="I5280">
        <v>0</v>
      </c>
    </row>
    <row r="5281">
      <c r="A5281" t="inlineStr">
        <is>
          <t>Butane</t>
        </is>
      </c>
      <c r="B5281">
        <v>1.0039579421318718e-06</v>
      </c>
      <c r="D5281" t="inlineStr">
        <is>
          <t>kilogram</t>
        </is>
      </c>
      <c r="E5281" t="inlineStr">
        <is>
          <t>air::urban air close to ground</t>
        </is>
      </c>
      <c r="F5281" t="inlineStr">
        <is>
          <t>biosphere</t>
        </is>
      </c>
      <c r="I5281">
        <v>0</v>
      </c>
    </row>
    <row r="5282">
      <c r="A5282" t="inlineStr">
        <is>
          <t>Copper ion</t>
        </is>
      </c>
      <c r="B5282">
        <v>4.57482306137567e-11</v>
      </c>
      <c r="D5282" t="inlineStr">
        <is>
          <t>kilogram</t>
        </is>
      </c>
      <c r="E5282" t="inlineStr">
        <is>
          <t>air::urban air close to ground</t>
        </is>
      </c>
      <c r="F5282" t="inlineStr">
        <is>
          <t>biosphere</t>
        </is>
      </c>
      <c r="I5282">
        <v>0</v>
      </c>
    </row>
    <row r="5283">
      <c r="A5283" t="inlineStr">
        <is>
          <t>Chromium III</t>
        </is>
      </c>
      <c r="B5283">
        <v>6.387488609167662e-11</v>
      </c>
      <c r="D5283" t="inlineStr">
        <is>
          <t>kilogram</t>
        </is>
      </c>
      <c r="E5283" t="inlineStr">
        <is>
          <t>air::urban air close to ground</t>
        </is>
      </c>
      <c r="F5283" t="inlineStr">
        <is>
          <t>biosphere</t>
        </is>
      </c>
      <c r="I5283">
        <v>0</v>
      </c>
    </row>
    <row r="5284">
      <c r="A5284" t="inlineStr">
        <is>
          <t>Propane</t>
        </is>
      </c>
      <c r="B5284">
        <v>1.351481901727049e-07</v>
      </c>
      <c r="D5284" t="inlineStr">
        <is>
          <t>kilogram</t>
        </is>
      </c>
      <c r="E5284" t="inlineStr">
        <is>
          <t>air::urban air close to ground</t>
        </is>
      </c>
      <c r="F5284" t="inlineStr">
        <is>
          <t>biosphere</t>
        </is>
      </c>
      <c r="I5284">
        <v>0</v>
      </c>
    </row>
    <row r="5285">
      <c r="A5285" t="inlineStr">
        <is>
          <t>Toluene</t>
        </is>
      </c>
      <c r="B5285">
        <v>2.1237572531383947e-06</v>
      </c>
      <c r="D5285" t="inlineStr">
        <is>
          <t>kilogram</t>
        </is>
      </c>
      <c r="E5285" t="inlineStr">
        <is>
          <t>air::urban air close to ground</t>
        </is>
      </c>
      <c r="F5285" t="inlineStr">
        <is>
          <t>biosphere</t>
        </is>
      </c>
      <c r="I5285">
        <v>0</v>
      </c>
    </row>
    <row r="5286">
      <c r="A5286" t="inlineStr">
        <is>
          <t>Dinitrogen monoxide</t>
        </is>
      </c>
      <c r="B5286">
        <v>3.5495663709460686e-08</v>
      </c>
      <c r="D5286" t="inlineStr">
        <is>
          <t>kilogram</t>
        </is>
      </c>
      <c r="E5286" t="inlineStr">
        <is>
          <t>air::urban air close to ground</t>
        </is>
      </c>
      <c r="F5286" t="inlineStr">
        <is>
          <t>biosphere</t>
        </is>
      </c>
      <c r="I5286">
        <v>0</v>
      </c>
    </row>
    <row r="5287">
      <c r="A5287" t="inlineStr">
        <is>
          <t>Zinc II</t>
        </is>
      </c>
      <c r="B5287">
        <v>3.3447998609123704e-10</v>
      </c>
      <c r="D5287" t="inlineStr">
        <is>
          <t>kilogram</t>
        </is>
      </c>
      <c r="E5287" t="inlineStr">
        <is>
          <t>air::urban air close to ground</t>
        </is>
      </c>
      <c r="F5287" t="inlineStr">
        <is>
          <t>biosphere</t>
        </is>
      </c>
      <c r="I5287">
        <v>0</v>
      </c>
    </row>
    <row r="5288">
      <c r="A5288" t="inlineStr">
        <is>
          <t>Chromium VI</t>
        </is>
      </c>
      <c r="B5288">
        <v>1.6825022521085002e-13</v>
      </c>
      <c r="D5288" t="inlineStr">
        <is>
          <t>kilogram</t>
        </is>
      </c>
      <c r="E5288" t="inlineStr">
        <is>
          <t>air::non-urban air or from high stacks</t>
        </is>
      </c>
      <c r="F5288" t="inlineStr">
        <is>
          <t>biosphere</t>
        </is>
      </c>
      <c r="I5288">
        <v>0</v>
      </c>
    </row>
    <row r="5289">
      <c r="A5289" t="inlineStr">
        <is>
          <t>Benzene</t>
        </is>
      </c>
      <c r="B5289">
        <v>3.53245327151087e-08</v>
      </c>
      <c r="D5289" t="inlineStr">
        <is>
          <t>kilogram</t>
        </is>
      </c>
      <c r="E5289" t="inlineStr">
        <is>
          <t>air::non-urban air or from high stacks</t>
        </is>
      </c>
      <c r="F5289" t="inlineStr">
        <is>
          <t>biosphere</t>
        </is>
      </c>
      <c r="I5289">
        <v>0</v>
      </c>
    </row>
    <row r="5290">
      <c r="A5290" t="inlineStr">
        <is>
          <t>Carbon monoxide, fossil</t>
        </is>
      </c>
      <c r="B5290">
        <v>0.0001087694681937128</v>
      </c>
      <c r="D5290" t="inlineStr">
        <is>
          <t>kilogram</t>
        </is>
      </c>
      <c r="E5290" t="inlineStr">
        <is>
          <t>air::non-urban air or from high stacks</t>
        </is>
      </c>
      <c r="F5290" t="inlineStr">
        <is>
          <t>biosphere</t>
        </is>
      </c>
      <c r="I5290">
        <v>0</v>
      </c>
    </row>
    <row r="5291">
      <c r="A5291" t="inlineStr">
        <is>
          <t>Chromium VI</t>
        </is>
      </c>
      <c r="B5291">
        <v>1.2774977274422347e-13</v>
      </c>
      <c r="D5291" t="inlineStr">
        <is>
          <t>kilogram</t>
        </is>
      </c>
      <c r="E5291" t="inlineStr">
        <is>
          <t>air::urban air close to ground</t>
        </is>
      </c>
      <c r="F5291" t="inlineStr">
        <is>
          <t>biosphere</t>
        </is>
      </c>
      <c r="I5291">
        <v>0</v>
      </c>
    </row>
    <row r="5292">
      <c r="A5292" t="inlineStr">
        <is>
          <t>Methane, fossil</t>
        </is>
      </c>
      <c r="B5292">
        <v>1.4737951202945778e-06</v>
      </c>
      <c r="D5292" t="inlineStr">
        <is>
          <t>kilogram</t>
        </is>
      </c>
      <c r="E5292" t="inlineStr">
        <is>
          <t>air::urban air close to ground</t>
        </is>
      </c>
      <c r="F5292" t="inlineStr">
        <is>
          <t>biosphere</t>
        </is>
      </c>
      <c r="I5292">
        <v>0</v>
      </c>
    </row>
    <row r="5293">
      <c r="A5293" t="inlineStr">
        <is>
          <t>Sulfur dioxide</t>
        </is>
      </c>
      <c r="B5293">
        <v>3.7723729745496776e-07</v>
      </c>
      <c r="D5293" t="inlineStr">
        <is>
          <t>kilogram</t>
        </is>
      </c>
      <c r="E5293" t="inlineStr">
        <is>
          <t>air</t>
        </is>
      </c>
      <c r="F5293" t="inlineStr">
        <is>
          <t>biosphere</t>
        </is>
      </c>
      <c r="I5293">
        <v>0</v>
      </c>
    </row>
    <row r="5294">
      <c r="A5294" t="inlineStr">
        <is>
          <t>NMVOC, non-methane volatile organic compounds</t>
        </is>
      </c>
      <c r="B5294">
        <v>1.9676329903559775e-05</v>
      </c>
      <c r="D5294" t="inlineStr">
        <is>
          <t>kilogram</t>
        </is>
      </c>
      <c r="E5294" t="inlineStr">
        <is>
          <t>air::urban air close to ground</t>
        </is>
      </c>
      <c r="F5294" t="inlineStr">
        <is>
          <t>biosphere</t>
        </is>
      </c>
      <c r="I5294">
        <v>0</v>
      </c>
    </row>
    <row r="5295">
      <c r="A5295" t="inlineStr">
        <is>
          <t>Formaldehyde</t>
        </is>
      </c>
      <c r="B5295">
        <v>3.282170227745136e-07</v>
      </c>
      <c r="D5295" t="inlineStr">
        <is>
          <t>kilogram</t>
        </is>
      </c>
      <c r="E5295" t="inlineStr">
        <is>
          <t>air::urban air close to ground</t>
        </is>
      </c>
      <c r="F5295" t="inlineStr">
        <is>
          <t>biosphere</t>
        </is>
      </c>
      <c r="I5295">
        <v>0</v>
      </c>
    </row>
    <row r="5296">
      <c r="A5296" t="inlineStr">
        <is>
          <t>Nitrogen oxides</t>
        </is>
      </c>
      <c r="B5296">
        <v>1.1323855960379002e-05</v>
      </c>
      <c r="D5296" t="inlineStr">
        <is>
          <t>kilogram</t>
        </is>
      </c>
      <c r="E5296" t="inlineStr">
        <is>
          <t>air::urban air close to ground</t>
        </is>
      </c>
      <c r="F5296" t="inlineStr">
        <is>
          <t>biosphere</t>
        </is>
      </c>
      <c r="I5296">
        <v>0</v>
      </c>
    </row>
    <row r="5297">
      <c r="A5297" t="inlineStr">
        <is>
          <t>Formaldehyde</t>
        </is>
      </c>
      <c r="B5297">
        <v>1.3114378791720136e-08</v>
      </c>
      <c r="D5297" t="inlineStr">
        <is>
          <t>kilogram</t>
        </is>
      </c>
      <c r="E5297" t="inlineStr">
        <is>
          <t>air::non-urban air or from high stacks</t>
        </is>
      </c>
      <c r="F5297" t="inlineStr">
        <is>
          <t>biosphere</t>
        </is>
      </c>
      <c r="I5297">
        <v>0</v>
      </c>
    </row>
    <row r="5298">
      <c r="A5298" t="inlineStr">
        <is>
          <t>Zinc II</t>
        </is>
      </c>
      <c r="B5298">
        <v>4.4051995837597756e-10</v>
      </c>
      <c r="D5298" t="inlineStr">
        <is>
          <t>kilogram</t>
        </is>
      </c>
      <c r="E5298" t="inlineStr">
        <is>
          <t>air::non-urban air or from high stacks</t>
        </is>
      </c>
      <c r="F5298" t="inlineStr">
        <is>
          <t>biosphere</t>
        </is>
      </c>
      <c r="I5298">
        <v>0</v>
      </c>
    </row>
    <row r="5299">
      <c r="A5299" t="inlineStr">
        <is>
          <t>Carbon monoxide, fossil</t>
        </is>
      </c>
      <c r="B5299">
        <v>0.00020171446470292127</v>
      </c>
      <c r="D5299" t="inlineStr">
        <is>
          <t>kilogram</t>
        </is>
      </c>
      <c r="E5299" t="inlineStr">
        <is>
          <t>air::urban air close to ground</t>
        </is>
      </c>
      <c r="F5299" t="inlineStr">
        <is>
          <t>biosphere</t>
        </is>
      </c>
      <c r="I5299">
        <v>0</v>
      </c>
    </row>
    <row r="5300">
      <c r="A5300" t="inlineStr">
        <is>
          <t>m-Xylene</t>
        </is>
      </c>
      <c r="B5300">
        <v>1.0425717317567554e-06</v>
      </c>
      <c r="D5300" t="inlineStr">
        <is>
          <t>kilogram</t>
        </is>
      </c>
      <c r="E5300" t="inlineStr">
        <is>
          <t>air::urban air close to ground</t>
        </is>
      </c>
      <c r="F5300" t="inlineStr">
        <is>
          <t>biosphere</t>
        </is>
      </c>
      <c r="I5300">
        <v>0</v>
      </c>
    </row>
    <row r="5301">
      <c r="A5301" t="inlineStr">
        <is>
          <t>PAH, polycyclic aromatic hydrocarbons</t>
        </is>
      </c>
      <c r="B5301">
        <v>4.655301522860326e-10</v>
      </c>
      <c r="D5301" t="inlineStr">
        <is>
          <t>kilogram</t>
        </is>
      </c>
      <c r="E5301" t="inlineStr">
        <is>
          <t>air::non-urban air or from high stacks</t>
        </is>
      </c>
      <c r="F5301" t="inlineStr">
        <is>
          <t>biosphere</t>
        </is>
      </c>
      <c r="I5301">
        <v>0</v>
      </c>
    </row>
    <row r="5302">
      <c r="A5302" t="inlineStr">
        <is>
          <t>Particulate Matter, &lt; 2.5 um</t>
        </is>
      </c>
      <c r="B5302">
        <v>3.1212402999812946e-07</v>
      </c>
      <c r="D5302" t="inlineStr">
        <is>
          <t>kilogram</t>
        </is>
      </c>
      <c r="E5302" t="inlineStr">
        <is>
          <t>air::non-urban air or from high stacks</t>
        </is>
      </c>
      <c r="F5302" t="inlineStr">
        <is>
          <t>biosphere</t>
        </is>
      </c>
      <c r="I5302">
        <v>0</v>
      </c>
    </row>
    <row r="5303">
      <c r="A5303" t="inlineStr">
        <is>
          <t>Pentane</t>
        </is>
      </c>
      <c r="B5303">
        <v>1.697155010567295e-08</v>
      </c>
      <c r="D5303" t="inlineStr">
        <is>
          <t>kilogram</t>
        </is>
      </c>
      <c r="E5303" t="inlineStr">
        <is>
          <t>air::non-urban air or from high stacks</t>
        </is>
      </c>
      <c r="F5303" t="inlineStr">
        <is>
          <t>biosphere</t>
        </is>
      </c>
      <c r="I5303">
        <v>0</v>
      </c>
    </row>
    <row r="5304">
      <c r="A5304" t="inlineStr">
        <is>
          <t>1,1,1,2-Tetrafluoroethane</t>
        </is>
      </c>
      <c r="B5304">
        <v>1.3856558213651742e-06</v>
      </c>
      <c r="D5304" t="inlineStr">
        <is>
          <t>kilogram</t>
        </is>
      </c>
      <c r="E5304" t="inlineStr">
        <is>
          <t>air</t>
        </is>
      </c>
      <c r="F5304" t="inlineStr">
        <is>
          <t>biosphere</t>
        </is>
      </c>
      <c r="I5304">
        <v>0</v>
      </c>
    </row>
    <row r="5305">
      <c r="A5305" t="inlineStr">
        <is>
          <t>Acetaldehyde</t>
        </is>
      </c>
      <c r="B5305">
        <v>1.544550744830913e-07</v>
      </c>
      <c r="D5305" t="inlineStr">
        <is>
          <t>kilogram</t>
        </is>
      </c>
      <c r="E5305" t="inlineStr">
        <is>
          <t>air::urban air close to ground</t>
        </is>
      </c>
      <c r="F5305" t="inlineStr">
        <is>
          <t>biosphere</t>
        </is>
      </c>
      <c r="I5305">
        <v>0</v>
      </c>
    </row>
    <row r="5306">
      <c r="A5306" t="inlineStr">
        <is>
          <t>Benzene</t>
        </is>
      </c>
      <c r="B5306">
        <v>1.4380293200880646e-06</v>
      </c>
      <c r="D5306" t="inlineStr">
        <is>
          <t>kilogram</t>
        </is>
      </c>
      <c r="E5306" t="inlineStr">
        <is>
          <t>air::urban air close to ground</t>
        </is>
      </c>
      <c r="F5306" t="inlineStr">
        <is>
          <t>biosphere</t>
        </is>
      </c>
      <c r="I5306">
        <v>0</v>
      </c>
    </row>
    <row r="5307">
      <c r="A5307" t="inlineStr">
        <is>
          <t>Mercury II</t>
        </is>
      </c>
      <c r="B5307">
        <v>8.804375664359864e-11</v>
      </c>
      <c r="D5307" t="inlineStr">
        <is>
          <t>kilogram</t>
        </is>
      </c>
      <c r="E5307" t="inlineStr">
        <is>
          <t>air::urban air close to ground</t>
        </is>
      </c>
      <c r="F5307" t="inlineStr">
        <is>
          <t>biosphere</t>
        </is>
      </c>
      <c r="I5307">
        <v>0</v>
      </c>
    </row>
    <row r="5308">
      <c r="A5308" t="inlineStr">
        <is>
          <t>Cadmium II</t>
        </is>
      </c>
      <c r="B5308">
        <v>2.0241433189600118e-12</v>
      </c>
      <c r="D5308" t="inlineStr">
        <is>
          <t>kilogram</t>
        </is>
      </c>
      <c r="E5308" t="inlineStr">
        <is>
          <t>air::urban air close to ground</t>
        </is>
      </c>
      <c r="F5308" t="inlineStr">
        <is>
          <t>biosphere</t>
        </is>
      </c>
      <c r="I5308">
        <v>0</v>
      </c>
    </row>
    <row r="5309">
      <c r="A5309" t="inlineStr">
        <is>
          <t>Propane</t>
        </is>
      </c>
      <c r="B5309">
        <v>5.4000384611391535e-09</v>
      </c>
      <c r="D5309" t="inlineStr">
        <is>
          <t>kilogram</t>
        </is>
      </c>
      <c r="E5309" t="inlineStr">
        <is>
          <t>air::non-urban air or from high stacks</t>
        </is>
      </c>
      <c r="F5309" t="inlineStr">
        <is>
          <t>biosphere</t>
        </is>
      </c>
      <c r="I5309">
        <v>0</v>
      </c>
    </row>
    <row r="5310">
      <c r="A5310" t="inlineStr">
        <is>
          <t>Chromium III</t>
        </is>
      </c>
      <c r="B5310">
        <v>8.412510539423576e-11</v>
      </c>
      <c r="D5310" t="inlineStr">
        <is>
          <t>kilogram</t>
        </is>
      </c>
      <c r="E5310" t="inlineStr">
        <is>
          <t>air::non-urban air or from high stacks</t>
        </is>
      </c>
      <c r="F5310" t="inlineStr">
        <is>
          <t>biosphere</t>
        </is>
      </c>
      <c r="I5310">
        <v>0</v>
      </c>
    </row>
    <row r="5311">
      <c r="A5311" t="inlineStr">
        <is>
          <t>1-Pentene</t>
        </is>
      </c>
      <c r="B5311">
        <v>1.9306884310386414e-08</v>
      </c>
      <c r="D5311" t="inlineStr">
        <is>
          <t>kilogram</t>
        </is>
      </c>
      <c r="E5311" t="inlineStr">
        <is>
          <t>air::urban air close to ground</t>
        </is>
      </c>
      <c r="F5311" t="inlineStr">
        <is>
          <t>biosphere</t>
        </is>
      </c>
      <c r="I5311">
        <v>0</v>
      </c>
    </row>
    <row r="5312">
      <c r="A5312" t="inlineStr">
        <is>
          <t>Acetone</t>
        </is>
      </c>
      <c r="B5312">
        <v>1.158413058623185e-07</v>
      </c>
      <c r="D5312" t="inlineStr">
        <is>
          <t>kilogram</t>
        </is>
      </c>
      <c r="E5312" t="inlineStr">
        <is>
          <t>air::urban air close to ground</t>
        </is>
      </c>
      <c r="F5312" t="inlineStr">
        <is>
          <t>biosphere</t>
        </is>
      </c>
      <c r="I5312">
        <v>0</v>
      </c>
    </row>
    <row r="5313">
      <c r="A5313" t="inlineStr">
        <is>
          <t>Acrolein</t>
        </is>
      </c>
      <c r="B5313">
        <v>3.861376862077283e-08</v>
      </c>
      <c r="D5313" t="inlineStr">
        <is>
          <t>kilogram</t>
        </is>
      </c>
      <c r="E5313" t="inlineStr">
        <is>
          <t>air::urban air close to ground</t>
        </is>
      </c>
      <c r="F5313" t="inlineStr">
        <is>
          <t>biosphere</t>
        </is>
      </c>
      <c r="I5313">
        <v>0</v>
      </c>
    </row>
    <row r="5314">
      <c r="A5314" t="inlineStr">
        <is>
          <t>Benzaldehyde</t>
        </is>
      </c>
      <c r="B5314">
        <v>3.861376862077283e-08</v>
      </c>
      <c r="D5314" t="inlineStr">
        <is>
          <t>kilogram</t>
        </is>
      </c>
      <c r="E5314" t="inlineStr">
        <is>
          <t>air::urban air close to ground</t>
        </is>
      </c>
      <c r="F5314" t="inlineStr">
        <is>
          <t>biosphere</t>
        </is>
      </c>
      <c r="I5314">
        <v>0</v>
      </c>
    </row>
    <row r="5315">
      <c r="A5315" t="inlineStr">
        <is>
          <t>Cyclohexane</t>
        </is>
      </c>
      <c r="B5315">
        <v>2.1237571691219508e-07</v>
      </c>
      <c r="D5315" t="inlineStr">
        <is>
          <t>kilogram</t>
        </is>
      </c>
      <c r="E5315" t="inlineStr">
        <is>
          <t>air::urban air close to ground</t>
        </is>
      </c>
      <c r="F5315" t="inlineStr">
        <is>
          <t>biosphere</t>
        </is>
      </c>
      <c r="I5315">
        <v>0</v>
      </c>
    </row>
    <row r="5316">
      <c r="A5316" t="inlineStr">
        <is>
          <t>Heptane</t>
        </is>
      </c>
      <c r="B5316">
        <v>1.351481901727049e-07</v>
      </c>
      <c r="D5316" t="inlineStr">
        <is>
          <t>kilogram</t>
        </is>
      </c>
      <c r="E5316" t="inlineStr">
        <is>
          <t>air::urban air close to ground</t>
        </is>
      </c>
      <c r="F5316" t="inlineStr">
        <is>
          <t>biosphere</t>
        </is>
      </c>
      <c r="I5316">
        <v>0</v>
      </c>
    </row>
    <row r="5317">
      <c r="A5317" t="inlineStr">
        <is>
          <t>Methyl ethyl ketone</t>
        </is>
      </c>
      <c r="B5317">
        <v>1.9306884310386414e-08</v>
      </c>
      <c r="D5317" t="inlineStr">
        <is>
          <t>kilogram</t>
        </is>
      </c>
      <c r="E5317" t="inlineStr">
        <is>
          <t>air::urban air close to ground</t>
        </is>
      </c>
      <c r="F5317" t="inlineStr">
        <is>
          <t>biosphere</t>
        </is>
      </c>
      <c r="I5317">
        <v>0</v>
      </c>
    </row>
    <row r="5318">
      <c r="A5318" t="inlineStr">
        <is>
          <t>o-Xylene</t>
        </is>
      </c>
      <c r="B5318">
        <v>4.4405832863683197e-07</v>
      </c>
      <c r="D5318" t="inlineStr">
        <is>
          <t>kilogram</t>
        </is>
      </c>
      <c r="E5318" t="inlineStr">
        <is>
          <t>air::urban air close to ground</t>
        </is>
      </c>
      <c r="F5318" t="inlineStr">
        <is>
          <t>biosphere</t>
        </is>
      </c>
      <c r="I5318">
        <v>0</v>
      </c>
    </row>
    <row r="5319">
      <c r="A5319" t="inlineStr">
        <is>
          <t>Propylene</t>
        </is>
      </c>
      <c r="B5319">
        <v>7.33661582790573e-07</v>
      </c>
      <c r="D5319" t="inlineStr">
        <is>
          <t>kilogram</t>
        </is>
      </c>
      <c r="E5319" t="inlineStr">
        <is>
          <t>air::urban air close to ground</t>
        </is>
      </c>
      <c r="F5319" t="inlineStr">
        <is>
          <t>biosphere</t>
        </is>
      </c>
      <c r="I5319">
        <v>0</v>
      </c>
    </row>
    <row r="5320">
      <c r="A5320" t="inlineStr">
        <is>
          <t>Selenium IV</t>
        </is>
      </c>
      <c r="B5320">
        <v>2.0241433189600118e-12</v>
      </c>
      <c r="D5320" t="inlineStr">
        <is>
          <t>kilogram</t>
        </is>
      </c>
      <c r="E5320" t="inlineStr">
        <is>
          <t>air::urban air close to ground</t>
        </is>
      </c>
      <c r="F5320" t="inlineStr">
        <is>
          <t>biosphere</t>
        </is>
      </c>
      <c r="I5320">
        <v>0</v>
      </c>
    </row>
    <row r="5321">
      <c r="A5321" t="inlineStr">
        <is>
          <t>Styrene</t>
        </is>
      </c>
      <c r="B5321">
        <v>1.9306884310386417e-07</v>
      </c>
      <c r="D5321" t="inlineStr">
        <is>
          <t>kilogram</t>
        </is>
      </c>
      <c r="E5321" t="inlineStr">
        <is>
          <t>air::urban air close to ground</t>
        </is>
      </c>
      <c r="F5321" t="inlineStr">
        <is>
          <t>biosphere</t>
        </is>
      </c>
      <c r="I5321">
        <v>0</v>
      </c>
    </row>
    <row r="5322">
      <c r="A5322" t="inlineStr">
        <is>
          <t>1-Pentene</t>
        </is>
      </c>
      <c r="B5322">
        <v>7.714340658770217e-10</v>
      </c>
      <c r="D5322" t="inlineStr">
        <is>
          <t>kilogram</t>
        </is>
      </c>
      <c r="E5322" t="inlineStr">
        <is>
          <t>air::non-urban air or from high stacks</t>
        </is>
      </c>
      <c r="F5322" t="inlineStr">
        <is>
          <t>biosphere</t>
        </is>
      </c>
      <c r="I5322">
        <v>0</v>
      </c>
    </row>
    <row r="5323">
      <c r="A5323" t="inlineStr">
        <is>
          <t>Acetaldehyde</t>
        </is>
      </c>
      <c r="B5323">
        <v>6.171472527016175e-09</v>
      </c>
      <c r="D5323" t="inlineStr">
        <is>
          <t>kilogram</t>
        </is>
      </c>
      <c r="E5323" t="inlineStr">
        <is>
          <t>air::non-urban air or from high stacks</t>
        </is>
      </c>
      <c r="F5323" t="inlineStr">
        <is>
          <t>biosphere</t>
        </is>
      </c>
      <c r="I5323">
        <v>0</v>
      </c>
    </row>
    <row r="5324">
      <c r="A5324" t="inlineStr">
        <is>
          <t>Acetone</t>
        </is>
      </c>
      <c r="B5324">
        <v>4.628604395262132e-09</v>
      </c>
      <c r="D5324" t="inlineStr">
        <is>
          <t>kilogram</t>
        </is>
      </c>
      <c r="E5324" t="inlineStr">
        <is>
          <t>air::non-urban air or from high stacks</t>
        </is>
      </c>
      <c r="F5324" t="inlineStr">
        <is>
          <t>biosphere</t>
        </is>
      </c>
      <c r="I5324">
        <v>0</v>
      </c>
    </row>
    <row r="5325">
      <c r="A5325" t="inlineStr">
        <is>
          <t>Acrolein</t>
        </is>
      </c>
      <c r="B5325">
        <v>1.542868131754044e-09</v>
      </c>
      <c r="D5325" t="inlineStr">
        <is>
          <t>kilogram</t>
        </is>
      </c>
      <c r="E5325" t="inlineStr">
        <is>
          <t>air::non-urban air or from high stacks</t>
        </is>
      </c>
      <c r="F5325" t="inlineStr">
        <is>
          <t>biosphere</t>
        </is>
      </c>
      <c r="I5325">
        <v>0</v>
      </c>
    </row>
    <row r="5326">
      <c r="A5326" t="inlineStr">
        <is>
          <t>Benzaldehyde</t>
        </is>
      </c>
      <c r="B5326">
        <v>1.542868131754044e-09</v>
      </c>
      <c r="D5326" t="inlineStr">
        <is>
          <t>kilogram</t>
        </is>
      </c>
      <c r="E5326" t="inlineStr">
        <is>
          <t>air::non-urban air or from high stacks</t>
        </is>
      </c>
      <c r="F5326" t="inlineStr">
        <is>
          <t>biosphere</t>
        </is>
      </c>
      <c r="I5326">
        <v>0</v>
      </c>
    </row>
    <row r="5327">
      <c r="A5327" t="inlineStr">
        <is>
          <t>Cyclohexane</t>
        </is>
      </c>
      <c r="B5327">
        <v>8.485775052836473e-09</v>
      </c>
      <c r="D5327" t="inlineStr">
        <is>
          <t>kilogram</t>
        </is>
      </c>
      <c r="E5327" t="inlineStr">
        <is>
          <t>air::non-urban air or from high stacks</t>
        </is>
      </c>
      <c r="F5327" t="inlineStr">
        <is>
          <t>biosphere</t>
        </is>
      </c>
      <c r="I5327">
        <v>0</v>
      </c>
    </row>
    <row r="5328">
      <c r="A5328" t="inlineStr">
        <is>
          <t>Heptane</t>
        </is>
      </c>
      <c r="B5328">
        <v>5.4000384611391535e-09</v>
      </c>
      <c r="D5328" t="inlineStr">
        <is>
          <t>kilogram</t>
        </is>
      </c>
      <c r="E5328" t="inlineStr">
        <is>
          <t>air::non-urban air or from high stacks</t>
        </is>
      </c>
      <c r="F5328" t="inlineStr">
        <is>
          <t>biosphere</t>
        </is>
      </c>
      <c r="I5328">
        <v>0</v>
      </c>
    </row>
    <row r="5329">
      <c r="A5329" t="inlineStr">
        <is>
          <t>Hexane</t>
        </is>
      </c>
      <c r="B5329">
        <v>1.234294505403235e-08</v>
      </c>
      <c r="D5329" t="inlineStr">
        <is>
          <t>kilogram</t>
        </is>
      </c>
      <c r="E5329" t="inlineStr">
        <is>
          <t>air::non-urban air or from high stacks</t>
        </is>
      </c>
      <c r="F5329" t="inlineStr">
        <is>
          <t>biosphere</t>
        </is>
      </c>
      <c r="I5329">
        <v>0</v>
      </c>
    </row>
    <row r="5330">
      <c r="A5330" t="inlineStr">
        <is>
          <t>Methyl ethyl ketone</t>
        </is>
      </c>
      <c r="B5330">
        <v>7.714340658770217e-10</v>
      </c>
      <c r="D5330" t="inlineStr">
        <is>
          <t>kilogram</t>
        </is>
      </c>
      <c r="E5330" t="inlineStr">
        <is>
          <t>air::non-urban air or from high stacks</t>
        </is>
      </c>
      <c r="F5330" t="inlineStr">
        <is>
          <t>biosphere</t>
        </is>
      </c>
      <c r="I5330">
        <v>0</v>
      </c>
    </row>
    <row r="5331">
      <c r="A5331" t="inlineStr">
        <is>
          <t>m-Xylene</t>
        </is>
      </c>
      <c r="B5331">
        <v>4.165743758822378e-08</v>
      </c>
      <c r="D5331" t="inlineStr">
        <is>
          <t>kilogram</t>
        </is>
      </c>
      <c r="E5331" t="inlineStr">
        <is>
          <t>air::non-urban air or from high stacks</t>
        </is>
      </c>
      <c r="F5331" t="inlineStr">
        <is>
          <t>biosphere</t>
        </is>
      </c>
      <c r="I5331">
        <v>0</v>
      </c>
    </row>
    <row r="5332">
      <c r="A5332" t="inlineStr">
        <is>
          <t>o-Xylene</t>
        </is>
      </c>
      <c r="B5332">
        <v>1.7742983843360735e-08</v>
      </c>
      <c r="D5332" t="inlineStr">
        <is>
          <t>kilogram</t>
        </is>
      </c>
      <c r="E5332" t="inlineStr">
        <is>
          <t>air::non-urban air or from high stacks</t>
        </is>
      </c>
      <c r="F5332" t="inlineStr">
        <is>
          <t>biosphere</t>
        </is>
      </c>
      <c r="I5332">
        <v>0</v>
      </c>
    </row>
    <row r="5333">
      <c r="A5333" t="inlineStr">
        <is>
          <t>Styrene</t>
        </is>
      </c>
      <c r="B5333">
        <v>7.714340002391748e-09</v>
      </c>
      <c r="D5333" t="inlineStr">
        <is>
          <t>kilogram</t>
        </is>
      </c>
      <c r="E5333" t="inlineStr">
        <is>
          <t>air::non-urban air or from high stacks</t>
        </is>
      </c>
      <c r="F5333" t="inlineStr">
        <is>
          <t>biosphere</t>
        </is>
      </c>
      <c r="I5333">
        <v>0</v>
      </c>
    </row>
    <row r="5334">
      <c r="A5334" t="inlineStr">
        <is>
          <t>Ethylene</t>
        </is>
      </c>
      <c r="B5334">
        <v>1.4094024811438196e-06</v>
      </c>
      <c r="D5334" t="inlineStr">
        <is>
          <t>kilogram</t>
        </is>
      </c>
      <c r="E5334" t="inlineStr">
        <is>
          <t>air::urban air close to ground</t>
        </is>
      </c>
      <c r="F5334" t="inlineStr">
        <is>
          <t>biosphere</t>
        </is>
      </c>
      <c r="I5334">
        <v>0</v>
      </c>
    </row>
    <row r="5335">
      <c r="A5335" t="inlineStr">
        <is>
          <t>Ethylene</t>
        </is>
      </c>
      <c r="B5335">
        <v>5.631468910634723e-08</v>
      </c>
      <c r="D5335" t="inlineStr">
        <is>
          <t>kilogram</t>
        </is>
      </c>
      <c r="E5335" t="inlineStr">
        <is>
          <t>air::non-urban air or from high stacks</t>
        </is>
      </c>
      <c r="F5335" t="inlineStr">
        <is>
          <t>biosphere</t>
        </is>
      </c>
      <c r="I5335">
        <v>0</v>
      </c>
    </row>
    <row r="5336">
      <c r="A5336" t="inlineStr">
        <is>
          <t>market for internal combustion engine, passenger car</t>
        </is>
      </c>
      <c r="B5336">
        <v>0.0004975535070430082</v>
      </c>
      <c r="C5336" t="inlineStr">
        <is>
          <t>GLO</t>
        </is>
      </c>
      <c r="D5336" t="inlineStr">
        <is>
          <t>kilogram</t>
        </is>
      </c>
      <c r="F5336" t="inlineStr">
        <is>
          <t>technosphere</t>
        </is>
      </c>
      <c r="G5336" t="inlineStr">
        <is>
          <t>internal combustion engine, passenger car</t>
        </is>
      </c>
      <c r="H5336" t="inlineStr">
        <is>
          <t> Energy-use allocation: 269.3057861328125 * 4.999999873689376e-06 / 2.7062996795066048 MJ per kilometer.</t>
        </is>
      </c>
      <c r="I5336">
        <v>0</v>
      </c>
    </row>
    <row r="5337">
      <c r="A5337" t="inlineStr">
        <is>
          <t>market for waste plastic, industrial electronics</t>
        </is>
      </c>
      <c r="B5337">
        <v>-8.978854216197933e-05</v>
      </c>
      <c r="C5337" t="inlineStr">
        <is>
          <t>CH</t>
        </is>
      </c>
      <c r="D5337" t="inlineStr">
        <is>
          <t>kilogram</t>
        </is>
      </c>
      <c r="F5337" t="inlineStr">
        <is>
          <t>technosphere</t>
        </is>
      </c>
      <c r="G5337" t="inlineStr">
        <is>
          <t>waste plastic, industrial electronics</t>
        </is>
      </c>
      <c r="H5337" t="inlineStr">
        <is>
          <t> Energy-use allocation: -48.59894180297852 * 4.999999873689376e-06 / 2.7062996795066048 MJ per kilometer.</t>
        </is>
      </c>
      <c r="I5337">
        <v>0</v>
      </c>
    </row>
    <row r="5338">
      <c r="A5338" t="inlineStr">
        <is>
          <t>polyethylene production, high density, granulate</t>
        </is>
      </c>
      <c r="B5338">
        <v>8.978854216197933e-05</v>
      </c>
      <c r="C5338" t="inlineStr">
        <is>
          <t>RER</t>
        </is>
      </c>
      <c r="D5338" t="inlineStr">
        <is>
          <t>kilogram</t>
        </is>
      </c>
      <c r="F5338" t="inlineStr">
        <is>
          <t>technosphere</t>
        </is>
      </c>
      <c r="G5338" t="inlineStr">
        <is>
          <t>polyethylene, high density, granulate</t>
        </is>
      </c>
      <c r="H5338" t="inlineStr">
        <is>
          <t> Energy-use allocation: 48.59894180297852 * 4.999999873689376e-06 / 2.7062996795066048 MJ per kilometer.</t>
        </is>
      </c>
      <c r="I5338">
        <v>0</v>
      </c>
    </row>
    <row r="5339">
      <c r="A5339" t="inlineStr">
        <is>
          <t>Carbon dioxide, non-fossil</t>
        </is>
      </c>
      <c r="B5339">
        <v>0.0739</v>
      </c>
      <c r="D5339" t="inlineStr">
        <is>
          <t>kilogram</t>
        </is>
      </c>
      <c r="E5339" t="inlineStr">
        <is>
          <t>air::urban air close to ground</t>
        </is>
      </c>
      <c r="F5339" t="inlineStr">
        <is>
          <t>biosphere</t>
        </is>
      </c>
      <c r="I5339">
        <v>0</v>
      </c>
    </row>
    <row r="5340"/>
    <row r="5341">
      <c r="A5341" t="inlineStr">
        <is>
          <t>Activity</t>
        </is>
      </c>
      <c r="B5341" t="inlineStr">
        <is>
          <t>electricity, used in passenger car</t>
        </is>
      </c>
    </row>
    <row r="5342">
      <c r="A5342" t="inlineStr">
        <is>
          <t>location</t>
        </is>
      </c>
      <c r="B5342" t="inlineStr">
        <is>
          <t>RER</t>
        </is>
      </c>
    </row>
    <row r="5343">
      <c r="A5343" t="inlineStr">
        <is>
          <t>comment</t>
        </is>
      </c>
      <c r="B5343"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44">
      <c r="A5344" t="inlineStr">
        <is>
          <t>production amount</t>
        </is>
      </c>
      <c r="B5344">
        <v>1</v>
      </c>
    </row>
    <row r="5345">
      <c r="A5345" t="inlineStr">
        <is>
          <t>reference product</t>
        </is>
      </c>
      <c r="B5345" t="inlineStr">
        <is>
          <t>electricity, low voltage</t>
        </is>
      </c>
    </row>
    <row r="5346">
      <c r="A5346" t="inlineStr">
        <is>
          <t>type</t>
        </is>
      </c>
      <c r="B5346" t="inlineStr">
        <is>
          <t>process</t>
        </is>
      </c>
    </row>
    <row r="5347">
      <c r="A5347" t="inlineStr">
        <is>
          <t>unit</t>
        </is>
      </c>
      <c r="B5347" t="inlineStr">
        <is>
          <t>megajoule</t>
        </is>
      </c>
    </row>
    <row r="5348">
      <c r="A5348" t="inlineStr">
        <is>
          <t>Power, mean</t>
        </is>
      </c>
      <c r="B5348">
        <v>141</v>
      </c>
    </row>
    <row r="5349">
      <c r="A5349" t="inlineStr">
        <is>
          <t>Power, min</t>
        </is>
      </c>
      <c r="B5349">
        <v>57</v>
      </c>
    </row>
    <row r="5350">
      <c r="A5350" t="inlineStr">
        <is>
          <t>Power, max</t>
        </is>
      </c>
      <c r="B5350">
        <v>166</v>
      </c>
    </row>
    <row r="5351">
      <c r="A5351" t="inlineStr">
        <is>
          <t>Lifetime, mean</t>
        </is>
      </c>
      <c r="B5351">
        <v>200000</v>
      </c>
    </row>
    <row r="5352">
      <c r="A5352" t="inlineStr">
        <is>
          <t>Lifetime, min</t>
        </is>
      </c>
      <c r="B5352">
        <v>160000</v>
      </c>
    </row>
    <row r="5353">
      <c r="A5353" t="inlineStr">
        <is>
          <t>Lifetime, max</t>
        </is>
      </c>
      <c r="B5353">
        <v>250000</v>
      </c>
    </row>
    <row r="5354">
      <c r="A5354" t="inlineStr">
        <is>
          <t>Energy use, mean</t>
        </is>
      </c>
      <c r="B5354">
        <v>610</v>
      </c>
    </row>
    <row r="5355">
      <c r="A5355" t="inlineStr">
        <is>
          <t>Energy use, min</t>
        </is>
      </c>
      <c r="B5355">
        <v>530</v>
      </c>
    </row>
    <row r="5356">
      <c r="A5356" t="inlineStr">
        <is>
          <t>Energy use, max</t>
        </is>
      </c>
      <c r="B5356">
        <v>900</v>
      </c>
    </row>
    <row r="5357">
      <c r="A5357" t="inlineStr">
        <is>
          <t>Electric motor, mean</t>
        </is>
      </c>
      <c r="B5357">
        <v>90</v>
      </c>
    </row>
    <row r="5358">
      <c r="A5358" t="inlineStr">
        <is>
          <t>Electric motor, min</t>
        </is>
      </c>
      <c r="B5358">
        <v>47</v>
      </c>
    </row>
    <row r="5359">
      <c r="A5359" t="inlineStr">
        <is>
          <t>Electric motor, max</t>
        </is>
      </c>
      <c r="B5359">
        <v>102</v>
      </c>
    </row>
    <row r="5360">
      <c r="A5360" t="inlineStr">
        <is>
          <t>Combustion engine, mean</t>
        </is>
      </c>
      <c r="B5360">
        <v>0</v>
      </c>
    </row>
    <row r="5361">
      <c r="A5361" t="inlineStr">
        <is>
          <t>Combustion engine, min</t>
        </is>
      </c>
      <c r="B5361">
        <v>0</v>
      </c>
    </row>
    <row r="5362">
      <c r="A5362" t="inlineStr">
        <is>
          <t>Combustion engine, max</t>
        </is>
      </c>
      <c r="B5362">
        <v>0</v>
      </c>
    </row>
    <row r="5363">
      <c r="A5363" t="inlineStr">
        <is>
          <t>Fuel tank, mean</t>
        </is>
      </c>
      <c r="B5363">
        <v>0</v>
      </c>
    </row>
    <row r="5364">
      <c r="A5364" t="inlineStr">
        <is>
          <t>Fuel tank, min</t>
        </is>
      </c>
      <c r="B5364">
        <v>0</v>
      </c>
    </row>
    <row r="5365">
      <c r="A5365" t="inlineStr">
        <is>
          <t>Fuel tank, max</t>
        </is>
      </c>
      <c r="B5365">
        <v>0</v>
      </c>
    </row>
    <row r="5366">
      <c r="A5366" t="inlineStr">
        <is>
          <t>Battery capacity, mean</t>
        </is>
      </c>
      <c r="B5366">
        <v>67</v>
      </c>
    </row>
    <row r="5367">
      <c r="A5367" t="inlineStr">
        <is>
          <t>Battery capacity, min</t>
        </is>
      </c>
      <c r="B5367">
        <v>48</v>
      </c>
    </row>
    <row r="5368">
      <c r="A5368" t="inlineStr">
        <is>
          <t>Battery capacity, max</t>
        </is>
      </c>
      <c r="B5368">
        <v>110</v>
      </c>
    </row>
    <row r="5369">
      <c r="A5369" t="inlineStr">
        <is>
          <t>Battery replacement, mean</t>
        </is>
      </c>
      <c r="B5369">
        <v>0</v>
      </c>
    </row>
    <row r="5370">
      <c r="A5370" t="inlineStr">
        <is>
          <t>Battery replacement, min</t>
        </is>
      </c>
      <c r="B5370">
        <v>0</v>
      </c>
    </row>
    <row r="5371">
      <c r="A5371" t="inlineStr">
        <is>
          <t>Battery replacement, max</t>
        </is>
      </c>
      <c r="B5371">
        <v>0</v>
      </c>
    </row>
    <row r="5372">
      <c r="A5372" t="inlineStr">
        <is>
          <t>Fuel cell system, mean</t>
        </is>
      </c>
      <c r="B5372">
        <v>0</v>
      </c>
    </row>
    <row r="5373">
      <c r="A5373" t="inlineStr">
        <is>
          <t>Fuel cell system, min</t>
        </is>
      </c>
      <c r="B5373">
        <v>0</v>
      </c>
    </row>
    <row r="5374">
      <c r="A5374" t="inlineStr">
        <is>
          <t>Fuel cell system, max</t>
        </is>
      </c>
      <c r="B5374">
        <v>0</v>
      </c>
    </row>
    <row r="5375">
      <c r="A5375" t="inlineStr">
        <is>
          <t>Fuel cell stack replacement, mean</t>
        </is>
      </c>
      <c r="B5375">
        <v>0</v>
      </c>
    </row>
    <row r="5376">
      <c r="A5376" t="inlineStr">
        <is>
          <t>Fuel cell replacement, min</t>
        </is>
      </c>
      <c r="B5376">
        <v>0</v>
      </c>
    </row>
    <row r="5377">
      <c r="A5377" t="inlineStr">
        <is>
          <t>Fuel cell replacement, max</t>
        </is>
      </c>
      <c r="B5377">
        <v>0</v>
      </c>
    </row>
    <row r="5378">
      <c r="A5378" t="inlineStr">
        <is>
          <t>Onboard charger mass</t>
        </is>
      </c>
      <c r="B5378">
        <v>5</v>
      </c>
    </row>
    <row r="5379">
      <c r="A5379" t="inlineStr">
        <is>
          <t>Controller mass</t>
        </is>
      </c>
      <c r="B5379">
        <v>3</v>
      </c>
    </row>
    <row r="5380">
      <c r="A5380" t="inlineStr">
        <is>
          <t>Converter mass</t>
        </is>
      </c>
      <c r="B5380">
        <v>4</v>
      </c>
    </row>
    <row r="5381">
      <c r="A5381" t="inlineStr">
        <is>
          <t>Electrical powertrain mass</t>
        </is>
      </c>
      <c r="B5381">
        <v>0</v>
      </c>
    </row>
    <row r="5382">
      <c r="A5382" t="inlineStr">
        <is>
          <t>Inverter mass</t>
        </is>
      </c>
      <c r="B5382">
        <v>8</v>
      </c>
    </row>
    <row r="5383">
      <c r="A5383" t="inlineStr">
        <is>
          <t>NOx</t>
        </is>
      </c>
      <c r="B5383">
        <v>0</v>
      </c>
    </row>
    <row r="5384">
      <c r="A5384" t="inlineStr">
        <is>
          <t>PM 2.5</t>
        </is>
      </c>
      <c r="B5384">
        <v>0</v>
      </c>
    </row>
    <row r="5385">
      <c r="A5385" t="inlineStr">
        <is>
          <t>energy use source</t>
        </is>
      </c>
      <c r="B5385"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internal combustion engine, passenger car", "internal combustion engine, passenger car", "GLO", "kilogram"], "amount per vehicle": 89.87989807128906,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0.000708832501869731},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 "vehicle per source service": 4.999999873689376e-06}, {"supplier": ["market for glider, passenger car", "glider, passenger car", "GLO", "kilogram"], "amount per vehicle": 1350, "vehicle per source service": 4.999999873689376e-06}], "alternative fuel recipe retained": false}</t>
        </is>
      </c>
    </row>
    <row r="5386">
      <c r="A5386" t="inlineStr">
        <is>
          <t>Exchanges</t>
        </is>
      </c>
    </row>
    <row r="5387">
      <c r="A5387" t="inlineStr">
        <is>
          <t>name</t>
        </is>
      </c>
      <c r="B5387" t="inlineStr">
        <is>
          <t>amount</t>
        </is>
      </c>
      <c r="C5387" t="inlineStr">
        <is>
          <t>location</t>
        </is>
      </c>
      <c r="D5387" t="inlineStr">
        <is>
          <t>unit</t>
        </is>
      </c>
      <c r="E5387" t="inlineStr">
        <is>
          <t>categories</t>
        </is>
      </c>
      <c r="F5387" t="inlineStr">
        <is>
          <t>type</t>
        </is>
      </c>
      <c r="G5387" t="inlineStr">
        <is>
          <t>reference product</t>
        </is>
      </c>
      <c r="H5387" t="inlineStr">
        <is>
          <t>comment</t>
        </is>
      </c>
      <c r="I5387" t="inlineStr">
        <is>
          <t>uncertainty type</t>
        </is>
      </c>
    </row>
    <row r="5388">
      <c r="A5388" t="inlineStr">
        <is>
          <t>electricity, used in passenger car</t>
        </is>
      </c>
      <c r="B5388">
        <v>1.0</v>
      </c>
      <c r="C5388" t="inlineStr">
        <is>
          <t>RER</t>
        </is>
      </c>
      <c r="D5388" t="inlineStr">
        <is>
          <t>megajoule</t>
        </is>
      </c>
      <c r="F5388" t="inlineStr">
        <is>
          <t>production</t>
        </is>
      </c>
      <c r="G5388" t="inlineStr">
        <is>
          <t>electricity, low voltage</t>
        </is>
      </c>
      <c r="I5388">
        <v>0</v>
      </c>
    </row>
    <row r="5389">
      <c r="A5389" t="inlineStr">
        <is>
          <t>market group for electricity, low voltage</t>
        </is>
      </c>
      <c r="B5389">
        <v>0.2777777777777778</v>
      </c>
      <c r="C5389" t="inlineStr">
        <is>
          <t>RER</t>
        </is>
      </c>
      <c r="D5389" t="inlineStr">
        <is>
          <t>kilowatt hour</t>
        </is>
      </c>
      <c r="F5389" t="inlineStr">
        <is>
          <t>technosphere</t>
        </is>
      </c>
      <c r="G5389" t="inlineStr">
        <is>
          <t>electricity, low voltage</t>
        </is>
      </c>
      <c r="H5389" t="inlineStr">
        <is>
          <t>Grid purchase including default charging losses; premise regional electricity supply.</t>
        </is>
      </c>
      <c r="I5389">
        <v>0</v>
      </c>
    </row>
    <row r="5390">
      <c r="A5390" t="inlineStr">
        <is>
          <t>treatment of brake wear emissions, passenger car</t>
        </is>
      </c>
      <c r="B5390">
        <v>-1.2917585606368163e-05</v>
      </c>
      <c r="C5390" t="inlineStr">
        <is>
          <t>RER</t>
        </is>
      </c>
      <c r="D5390" t="inlineStr">
        <is>
          <t>kilogram</t>
        </is>
      </c>
      <c r="F5390" t="inlineStr">
        <is>
          <t>technosphere</t>
        </is>
      </c>
      <c r="G5390" t="inlineStr">
        <is>
          <t>brake wear emissions, passenger car</t>
        </is>
      </c>
      <c r="I5390">
        <v>0</v>
      </c>
    </row>
    <row r="5391">
      <c r="A5391" t="inlineStr">
        <is>
          <t>treatment of road wear emissions, passenger car</t>
        </is>
      </c>
      <c r="B5391">
        <v>-2.8763892607167598e-05</v>
      </c>
      <c r="C5391" t="inlineStr">
        <is>
          <t>RER</t>
        </is>
      </c>
      <c r="D5391" t="inlineStr">
        <is>
          <t>kilogram</t>
        </is>
      </c>
      <c r="F5391" t="inlineStr">
        <is>
          <t>technosphere</t>
        </is>
      </c>
      <c r="G5391" t="inlineStr">
        <is>
          <t>road wear emissions, passenger car</t>
        </is>
      </c>
      <c r="I5391">
        <v>0</v>
      </c>
    </row>
    <row r="5392">
      <c r="A5392" t="inlineStr">
        <is>
          <t>treatment of tyre wear emissions, passenger car</t>
        </is>
      </c>
      <c r="B5392">
        <v>-3.2713899830380004e-05</v>
      </c>
      <c r="C5392" t="inlineStr">
        <is>
          <t>RER</t>
        </is>
      </c>
      <c r="D5392" t="inlineStr">
        <is>
          <t>kilogram</t>
        </is>
      </c>
      <c r="F5392" t="inlineStr">
        <is>
          <t>technosphere</t>
        </is>
      </c>
      <c r="G5392" t="inlineStr">
        <is>
          <t>tyre wear emissions, passenger car</t>
        </is>
      </c>
      <c r="I5392">
        <v>0</v>
      </c>
    </row>
    <row r="5393">
      <c r="A5393" t="inlineStr">
        <is>
          <t>market for tetrafluoroethane, R134a</t>
        </is>
      </c>
      <c r="B5393">
        <v>1.0252373279210404e-05</v>
      </c>
      <c r="C5393" t="inlineStr">
        <is>
          <t>GLO</t>
        </is>
      </c>
      <c r="D5393" t="inlineStr">
        <is>
          <t>kilogram</t>
        </is>
      </c>
      <c r="F5393" t="inlineStr">
        <is>
          <t>technosphere</t>
        </is>
      </c>
      <c r="G5393" t="inlineStr">
        <is>
          <t>tetrafluoroethane, R134a</t>
        </is>
      </c>
      <c r="I5393">
        <v>0</v>
      </c>
    </row>
    <row r="5394">
      <c r="A5394" t="inlineStr">
        <is>
          <t>1,1,1,2-Tetrafluoroethane</t>
        </is>
      </c>
      <c r="B5394">
        <v>5.914830655244352e-06</v>
      </c>
      <c r="D5394" t="inlineStr">
        <is>
          <t>kilogram</t>
        </is>
      </c>
      <c r="E5394" t="inlineStr">
        <is>
          <t>air</t>
        </is>
      </c>
      <c r="F5394" t="inlineStr">
        <is>
          <t>biosphere</t>
        </is>
      </c>
      <c r="I5394">
        <v>0</v>
      </c>
    </row>
    <row r="5395">
      <c r="A5395" t="inlineStr">
        <is>
          <t>market for charger, electric passenger car</t>
        </is>
      </c>
      <c r="B5395">
        <v>4.701004714750376e-05</v>
      </c>
      <c r="C5395" t="inlineStr">
        <is>
          <t>GLO</t>
        </is>
      </c>
      <c r="D5395" t="inlineStr">
        <is>
          <t>kilogram</t>
        </is>
      </c>
      <c r="F5395" t="inlineStr">
        <is>
          <t>technosphere</t>
        </is>
      </c>
      <c r="G5395" t="inlineStr">
        <is>
          <t>charger, electric passenger car</t>
        </is>
      </c>
      <c r="H5395" t="inlineStr">
        <is>
          <t> Energy-use allocation: 5.960869789123535 * 4.999999873689376e-06 / 0.6339995384216309 MJ per kilometer.</t>
        </is>
      </c>
      <c r="I5395">
        <v>0</v>
      </c>
    </row>
    <row r="5396">
      <c r="A5396" t="inlineStr">
        <is>
          <t>market for converter, for electric passenger car</t>
        </is>
      </c>
      <c r="B5396">
        <v>3.525753348035379e-05</v>
      </c>
      <c r="C5396" t="inlineStr">
        <is>
          <t>GLO</t>
        </is>
      </c>
      <c r="D5396" t="inlineStr">
        <is>
          <t>kilogram</t>
        </is>
      </c>
      <c r="F5396" t="inlineStr">
        <is>
          <t>technosphere</t>
        </is>
      </c>
      <c r="G5396" t="inlineStr">
        <is>
          <t>converter, for electric passenger car</t>
        </is>
      </c>
      <c r="H5396" t="inlineStr">
        <is>
          <t> Energy-use allocation: 4.470652103424072 * 4.999999873689376e-06 / 0.6339995384216309 MJ per kilometer.</t>
        </is>
      </c>
      <c r="I5396">
        <v>0</v>
      </c>
    </row>
    <row r="5397">
      <c r="A5397" t="inlineStr">
        <is>
          <t>market for electric motor, electric passenger car</t>
        </is>
      </c>
      <c r="B5397">
        <v>0.0007090970037776945</v>
      </c>
      <c r="C5397" t="inlineStr">
        <is>
          <t>GLO</t>
        </is>
      </c>
      <c r="D5397" t="inlineStr">
        <is>
          <t>kilogram</t>
        </is>
      </c>
      <c r="F5397" t="inlineStr">
        <is>
          <t>technosphere</t>
        </is>
      </c>
      <c r="G5397" t="inlineStr">
        <is>
          <t>electric motor, electric passenger car</t>
        </is>
      </c>
      <c r="H5397" t="inlineStr">
        <is>
          <t> Energy-use allocation: 89.91343688964844 * 4.999999873689376e-06 / 0.6339995384216309 MJ per kilometer.</t>
        </is>
      </c>
      <c r="I5397">
        <v>0</v>
      </c>
    </row>
    <row r="5398">
      <c r="A5398" t="inlineStr">
        <is>
          <t>market for internal combustion engine, passenger car</t>
        </is>
      </c>
      <c r="B5398">
        <v>0.000708832501869731</v>
      </c>
      <c r="C5398" t="inlineStr">
        <is>
          <t>GLO</t>
        </is>
      </c>
      <c r="D5398" t="inlineStr">
        <is>
          <t>kilogram</t>
        </is>
      </c>
      <c r="F5398" t="inlineStr">
        <is>
          <t>technosphere</t>
        </is>
      </c>
      <c r="G5398" t="inlineStr">
        <is>
          <t>internal combustion engine, passenger car</t>
        </is>
      </c>
      <c r="H5398" t="inlineStr">
        <is>
          <t> Energy-use allocation: 89.87989807128906 * 4.999999873689376e-06 / 0.6339995384216309 MJ per kilometer.</t>
        </is>
      </c>
      <c r="I5398">
        <v>0</v>
      </c>
    </row>
    <row r="5399">
      <c r="A5399" t="inlineStr">
        <is>
          <t>market for inverter, for electric passenger car</t>
        </is>
      </c>
      <c r="B5399">
        <v>7.051506696070758e-05</v>
      </c>
      <c r="C5399" t="inlineStr">
        <is>
          <t>GLO</t>
        </is>
      </c>
      <c r="D5399" t="inlineStr">
        <is>
          <t>kilogram</t>
        </is>
      </c>
      <c r="F5399" t="inlineStr">
        <is>
          <t>technosphere</t>
        </is>
      </c>
      <c r="G5399" t="inlineStr">
        <is>
          <t>inverter, for electric passenger car</t>
        </is>
      </c>
      <c r="H5399" t="inlineStr">
        <is>
          <t> Energy-use allocation: 8.941304206848145 * 4.999999873689376e-06 / 0.6339995384216309 MJ per kilometer.</t>
        </is>
      </c>
      <c r="I5399">
        <v>0</v>
      </c>
    </row>
    <row r="5400">
      <c r="A5400" t="inlineStr">
        <is>
          <t>market for power distribution unit, for electric passenger car</t>
        </is>
      </c>
      <c r="B5400">
        <v>3.134002955139514e-05</v>
      </c>
      <c r="C5400" t="inlineStr">
        <is>
          <t>GLO</t>
        </is>
      </c>
      <c r="D5400" t="inlineStr">
        <is>
          <t>kilogram</t>
        </is>
      </c>
      <c r="F5400" t="inlineStr">
        <is>
          <t>technosphere</t>
        </is>
      </c>
      <c r="G5400" t="inlineStr">
        <is>
          <t>power distribution unit, for electric passenger car</t>
        </is>
      </c>
      <c r="H5400" t="inlineStr">
        <is>
          <t> Energy-use allocation: 3.973912954330444 * 4.999999873689376e-06 / 0.6339995384216309 MJ per kilometer.</t>
        </is>
      </c>
      <c r="I5400">
        <v>0</v>
      </c>
    </row>
    <row r="5401">
      <c r="A5401" t="inlineStr">
        <is>
          <t>market for used powertrain from electric passenger car, manual dismantling</t>
        </is>
      </c>
      <c r="B5401">
        <v>-0.0008932196940795731</v>
      </c>
      <c r="C5401" t="inlineStr">
        <is>
          <t>GLO</t>
        </is>
      </c>
      <c r="D5401" t="inlineStr">
        <is>
          <t>kilogram</t>
        </is>
      </c>
      <c r="F5401" t="inlineStr">
        <is>
          <t>technosphere</t>
        </is>
      </c>
      <c r="G5401" t="inlineStr">
        <is>
          <t>used powertrain from electric passenger car, manual dismantling</t>
        </is>
      </c>
      <c r="H5401" t="inlineStr">
        <is>
          <t> Energy-use allocation: -113.2601776123047 * 4.999999873689376e-06 / 0.6339995384216309 MJ per kilometer.</t>
        </is>
      </c>
      <c r="I5401">
        <v>0</v>
      </c>
    </row>
    <row r="5402">
      <c r="A5402" t="inlineStr">
        <is>
          <t>market for battery capacity (MIX scenario)</t>
        </is>
      </c>
      <c r="B5402">
        <v>0.0005299688026423864</v>
      </c>
      <c r="C5402" t="inlineStr">
        <is>
          <t>GLO</t>
        </is>
      </c>
      <c r="D5402" t="inlineStr">
        <is>
          <t>kilowatt hour</t>
        </is>
      </c>
      <c r="F5402" t="inlineStr">
        <is>
          <t>technosphere</t>
        </is>
      </c>
      <c r="G5402" t="inlineStr">
        <is>
          <t>electricity storage capacity</t>
        </is>
      </c>
      <c r="H5402" t="inlineStr">
        <is>
          <t>67.1999969482 kWh nominal * (1 + 0 lifetime replacements). Capacity market includes battery manufacture AND end of life; original kg pack and disposal removed. Energy-use allocation: 67.19999694824219 * 4.999999873689376e-06 / 0.6339995384216309 MJ per kilometer.</t>
        </is>
      </c>
      <c r="I5402">
        <v>0</v>
      </c>
    </row>
    <row r="5403"/>
    <row r="5404">
      <c r="A5404" t="inlineStr">
        <is>
          <t>Activity</t>
        </is>
      </c>
      <c r="B5404" t="inlineStr">
        <is>
          <t>hydrogen, used in a fuel cell in a passenger car</t>
        </is>
      </c>
    </row>
    <row r="5405">
      <c r="A5405" t="inlineStr">
        <is>
          <t>location</t>
        </is>
      </c>
      <c r="B5405" t="inlineStr">
        <is>
          <t>RER</t>
        </is>
      </c>
    </row>
    <row r="5406">
      <c r="A5406" t="inlineStr">
        <is>
          <t>production amount</t>
        </is>
      </c>
      <c r="B5406">
        <v>1</v>
      </c>
    </row>
    <row r="5407">
      <c r="A5407" t="inlineStr">
        <is>
          <t>reference product</t>
        </is>
      </c>
      <c r="B5407" t="inlineStr">
        <is>
          <t>heat</t>
        </is>
      </c>
    </row>
    <row r="5408">
      <c r="A5408" t="inlineStr">
        <is>
          <t>type</t>
        </is>
      </c>
      <c r="B5408" t="inlineStr">
        <is>
          <t>process</t>
        </is>
      </c>
    </row>
    <row r="5409">
      <c r="A5409" t="inlineStr">
        <is>
          <t>comment</t>
        </is>
      </c>
      <c r="B5409"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410">
      <c r="A5410" t="inlineStr">
        <is>
          <t>unit</t>
        </is>
      </c>
      <c r="B5410" t="inlineStr">
        <is>
          <t>megajoule</t>
        </is>
      </c>
    </row>
    <row r="5411">
      <c r="A5411" t="inlineStr">
        <is>
          <t>Power, mean</t>
        </is>
      </c>
      <c r="B5411">
        <v>139</v>
      </c>
    </row>
    <row r="5412">
      <c r="A5412" t="inlineStr">
        <is>
          <t>Power, min</t>
        </is>
      </c>
      <c r="B5412">
        <v>58</v>
      </c>
    </row>
    <row r="5413">
      <c r="A5413" t="inlineStr">
        <is>
          <t>Power, max</t>
        </is>
      </c>
      <c r="B5413">
        <v>176</v>
      </c>
    </row>
    <row r="5414">
      <c r="A5414" t="inlineStr">
        <is>
          <t>Lifetime, mean</t>
        </is>
      </c>
      <c r="B5414">
        <v>200000</v>
      </c>
    </row>
    <row r="5415">
      <c r="A5415" t="inlineStr">
        <is>
          <t>Lifetime, min</t>
        </is>
      </c>
      <c r="B5415">
        <v>160000</v>
      </c>
    </row>
    <row r="5416">
      <c r="A5416" t="inlineStr">
        <is>
          <t>Lifetime, max</t>
        </is>
      </c>
      <c r="B5416">
        <v>250000</v>
      </c>
    </row>
    <row r="5417">
      <c r="A5417" t="inlineStr">
        <is>
          <t>Energy use, mean</t>
        </is>
      </c>
      <c r="B5417">
        <v>1180</v>
      </c>
    </row>
    <row r="5418">
      <c r="A5418" t="inlineStr">
        <is>
          <t>Energy use, min</t>
        </is>
      </c>
      <c r="B5418">
        <v>900</v>
      </c>
    </row>
    <row r="5419">
      <c r="A5419" t="inlineStr">
        <is>
          <t>Energy use, max</t>
        </is>
      </c>
      <c r="B5419">
        <v>1660</v>
      </c>
    </row>
    <row r="5420">
      <c r="A5420" t="inlineStr">
        <is>
          <t>Electric motor, mean</t>
        </is>
      </c>
      <c r="B5420">
        <v>88</v>
      </c>
    </row>
    <row r="5421">
      <c r="A5421" t="inlineStr">
        <is>
          <t>Electric motor, min</t>
        </is>
      </c>
      <c r="B5421">
        <v>48</v>
      </c>
    </row>
    <row r="5422">
      <c r="A5422" t="inlineStr">
        <is>
          <t>Electric motor, max</t>
        </is>
      </c>
      <c r="B5422">
        <v>107</v>
      </c>
    </row>
    <row r="5423">
      <c r="A5423" t="inlineStr">
        <is>
          <t>Combustion engine, mean</t>
        </is>
      </c>
      <c r="B5423">
        <v>0</v>
      </c>
    </row>
    <row r="5424">
      <c r="A5424" t="inlineStr">
        <is>
          <t>Combustion engine, min</t>
        </is>
      </c>
      <c r="B5424">
        <v>0</v>
      </c>
    </row>
    <row r="5425">
      <c r="A5425" t="inlineStr">
        <is>
          <t>Combustion engine, max</t>
        </is>
      </c>
      <c r="B5425">
        <v>0</v>
      </c>
    </row>
    <row r="5426">
      <c r="A5426" t="inlineStr">
        <is>
          <t>Fuel tank, mean</t>
        </is>
      </c>
      <c r="B5426">
        <v>102</v>
      </c>
    </row>
    <row r="5427">
      <c r="A5427" t="inlineStr">
        <is>
          <t>Fuel tank, min</t>
        </is>
      </c>
      <c r="B5427">
        <v>78</v>
      </c>
    </row>
    <row r="5428">
      <c r="A5428" t="inlineStr">
        <is>
          <t>Fuel tank, max</t>
        </is>
      </c>
      <c r="B5428">
        <v>117</v>
      </c>
    </row>
    <row r="5429">
      <c r="A5429" t="inlineStr">
        <is>
          <t>Battery capacity, mean</t>
        </is>
      </c>
      <c r="B5429">
        <v>3</v>
      </c>
    </row>
    <row r="5430">
      <c r="A5430" t="inlineStr">
        <is>
          <t>Battery capacity, min</t>
        </is>
      </c>
      <c r="B5430">
        <v>1</v>
      </c>
    </row>
    <row r="5431">
      <c r="A5431" t="inlineStr">
        <is>
          <t>Battery capacity, max</t>
        </is>
      </c>
      <c r="B5431">
        <v>4</v>
      </c>
    </row>
    <row r="5432">
      <c r="A5432" t="inlineStr">
        <is>
          <t>Battery replacement, mean</t>
        </is>
      </c>
      <c r="B5432">
        <v>0</v>
      </c>
    </row>
    <row r="5433">
      <c r="A5433" t="inlineStr">
        <is>
          <t>Battery replacement, min</t>
        </is>
      </c>
      <c r="B5433">
        <v>0</v>
      </c>
    </row>
    <row r="5434">
      <c r="A5434" t="inlineStr">
        <is>
          <t>Battery replacement, max</t>
        </is>
      </c>
      <c r="B5434">
        <v>0</v>
      </c>
    </row>
    <row r="5435">
      <c r="A5435" t="inlineStr">
        <is>
          <t>Fuel cell system, mean</t>
        </is>
      </c>
      <c r="B5435">
        <v>119</v>
      </c>
    </row>
    <row r="5436">
      <c r="A5436" t="inlineStr">
        <is>
          <t>Fuel cell system, min</t>
        </is>
      </c>
      <c r="B5436">
        <v>49</v>
      </c>
    </row>
    <row r="5437">
      <c r="A5437" t="inlineStr">
        <is>
          <t>Fuel cell system, max</t>
        </is>
      </c>
      <c r="B5437">
        <v>151</v>
      </c>
    </row>
    <row r="5438">
      <c r="A5438" t="inlineStr">
        <is>
          <t>Fuel cell stack replacement, mean</t>
        </is>
      </c>
      <c r="B5438">
        <v>0</v>
      </c>
    </row>
    <row r="5439">
      <c r="A5439" t="inlineStr">
        <is>
          <t>Fuel cell replacement, min</t>
        </is>
      </c>
      <c r="B5439">
        <v>0</v>
      </c>
    </row>
    <row r="5440">
      <c r="A5440" t="inlineStr">
        <is>
          <t>Fuel cell replacement, max</t>
        </is>
      </c>
      <c r="B5440">
        <v>0</v>
      </c>
    </row>
    <row r="5441">
      <c r="A5441" t="inlineStr">
        <is>
          <t>Onboard charger mass</t>
        </is>
      </c>
      <c r="B5441">
        <v>0</v>
      </c>
    </row>
    <row r="5442">
      <c r="A5442" t="inlineStr">
        <is>
          <t>Controller mass</t>
        </is>
      </c>
      <c r="B5442">
        <v>3</v>
      </c>
    </row>
    <row r="5443">
      <c r="A5443" t="inlineStr">
        <is>
          <t>Converter mass</t>
        </is>
      </c>
      <c r="B5443">
        <v>4</v>
      </c>
    </row>
    <row r="5444">
      <c r="A5444" t="inlineStr">
        <is>
          <t>Electrical powertrain mass</t>
        </is>
      </c>
      <c r="B5444">
        <v>0</v>
      </c>
    </row>
    <row r="5445">
      <c r="A5445" t="inlineStr">
        <is>
          <t>Inverter mass</t>
        </is>
      </c>
      <c r="B5445">
        <v>8</v>
      </c>
    </row>
    <row r="5446">
      <c r="A5446" t="inlineStr">
        <is>
          <t>NOx</t>
        </is>
      </c>
      <c r="B5446">
        <v>0</v>
      </c>
    </row>
    <row r="5447">
      <c r="A5447" t="inlineStr">
        <is>
          <t>PM 2.5</t>
        </is>
      </c>
      <c r="B5447">
        <v>0</v>
      </c>
    </row>
    <row r="5448">
      <c r="A5448" t="inlineStr">
        <is>
          <t>energy use source</t>
        </is>
      </c>
      <c r="B5448"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5449">
      <c r="A5449" t="inlineStr">
        <is>
          <t>Exchanges</t>
        </is>
      </c>
    </row>
    <row r="5450">
      <c r="A5450" t="inlineStr">
        <is>
          <t>name</t>
        </is>
      </c>
      <c r="B5450" t="inlineStr">
        <is>
          <t>amount</t>
        </is>
      </c>
      <c r="C5450" t="inlineStr">
        <is>
          <t>location</t>
        </is>
      </c>
      <c r="D5450" t="inlineStr">
        <is>
          <t>unit</t>
        </is>
      </c>
      <c r="E5450" t="inlineStr">
        <is>
          <t>categories</t>
        </is>
      </c>
      <c r="F5450" t="inlineStr">
        <is>
          <t>type</t>
        </is>
      </c>
      <c r="G5450" t="inlineStr">
        <is>
          <t>reference product</t>
        </is>
      </c>
      <c r="H5450" t="inlineStr">
        <is>
          <t>comment</t>
        </is>
      </c>
      <c r="I5450" t="inlineStr">
        <is>
          <t>uncertainty type</t>
        </is>
      </c>
    </row>
    <row r="5451">
      <c r="A5451" t="inlineStr">
        <is>
          <t>hydrogen, used in a fuel cell in a passenger car</t>
        </is>
      </c>
      <c r="B5451">
        <v>1.0</v>
      </c>
      <c r="C5451" t="inlineStr">
        <is>
          <t>RER</t>
        </is>
      </c>
      <c r="D5451" t="inlineStr">
        <is>
          <t>megajoule</t>
        </is>
      </c>
      <c r="F5451" t="inlineStr">
        <is>
          <t>production</t>
        </is>
      </c>
      <c r="G5451" t="inlineStr">
        <is>
          <t>heat</t>
        </is>
      </c>
      <c r="I5451">
        <v>0</v>
      </c>
    </row>
    <row r="5452">
      <c r="A5452" t="inlineStr">
        <is>
          <t>market for hydrogen, gaseous, low pressure</t>
        </is>
      </c>
      <c r="B5452">
        <v>0.008333333333333333</v>
      </c>
      <c r="C5452" t="inlineStr">
        <is>
          <t>RER</t>
        </is>
      </c>
      <c r="D5452" t="inlineStr">
        <is>
          <t>kilogram</t>
        </is>
      </c>
      <c r="F5452" t="inlineStr">
        <is>
          <t>technosphere</t>
        </is>
      </c>
      <c r="G5452" t="inlineStr">
        <is>
          <t>hydrogen, gaseous, low pressure</t>
        </is>
      </c>
      <c r="H5452" t="inlineStr">
        <is>
          <t>Default carculator fuel energy preserved (1.07263356625 MJ/vkm); premise reference LHV 120.0 MJ/kg. Regional scenario blend belongs to premise.</t>
        </is>
      </c>
      <c r="I5452">
        <v>0</v>
      </c>
    </row>
    <row r="5453">
      <c r="A5453" t="inlineStr">
        <is>
          <t>treatment of brake wear emissions, passenger car</t>
        </is>
      </c>
      <c r="B5453">
        <v>-7.811243251597881e-06</v>
      </c>
      <c r="C5453" t="inlineStr">
        <is>
          <t>RER</t>
        </is>
      </c>
      <c r="D5453" t="inlineStr">
        <is>
          <t>kilogram</t>
        </is>
      </c>
      <c r="F5453" t="inlineStr">
        <is>
          <t>technosphere</t>
        </is>
      </c>
      <c r="G5453" t="inlineStr">
        <is>
          <t>brake wear emissions, passenger car</t>
        </is>
      </c>
      <c r="I5453">
        <v>0</v>
      </c>
    </row>
    <row r="5454">
      <c r="A5454" t="inlineStr">
        <is>
          <t>treatment of road wear emissions, passenger car</t>
        </is>
      </c>
      <c r="B5454">
        <v>-1.7354722075946138e-05</v>
      </c>
      <c r="C5454" t="inlineStr">
        <is>
          <t>RER</t>
        </is>
      </c>
      <c r="D5454" t="inlineStr">
        <is>
          <t>kilogram</t>
        </is>
      </c>
      <c r="F5454" t="inlineStr">
        <is>
          <t>technosphere</t>
        </is>
      </c>
      <c r="G5454" t="inlineStr">
        <is>
          <t>road wear emissions, passenger car</t>
        </is>
      </c>
      <c r="I5454">
        <v>0</v>
      </c>
    </row>
    <row r="5455">
      <c r="A5455" t="inlineStr">
        <is>
          <t>treatment of tyre wear emissions, passenger car</t>
        </is>
      </c>
      <c r="B5455">
        <v>-1.9644274084031096e-05</v>
      </c>
      <c r="C5455" t="inlineStr">
        <is>
          <t>RER</t>
        </is>
      </c>
      <c r="D5455" t="inlineStr">
        <is>
          <t>kilogram</t>
        </is>
      </c>
      <c r="F5455" t="inlineStr">
        <is>
          <t>technosphere</t>
        </is>
      </c>
      <c r="G5455" t="inlineStr">
        <is>
          <t>tyre wear emissions, passenger car</t>
        </is>
      </c>
      <c r="I5455">
        <v>0</v>
      </c>
    </row>
    <row r="5456">
      <c r="A5456" t="inlineStr">
        <is>
          <t>market for tetrafluoroethane, R134a</t>
        </is>
      </c>
      <c r="B5456">
        <v>6.05985131483241e-06</v>
      </c>
      <c r="C5456" t="inlineStr">
        <is>
          <t>GLO</t>
        </is>
      </c>
      <c r="D5456" t="inlineStr">
        <is>
          <t>kilogram</t>
        </is>
      </c>
      <c r="F5456" t="inlineStr">
        <is>
          <t>technosphere</t>
        </is>
      </c>
      <c r="G5456" t="inlineStr">
        <is>
          <t>tetrafluoroethane, R134a</t>
        </is>
      </c>
      <c r="I5456">
        <v>0</v>
      </c>
    </row>
    <row r="5457">
      <c r="A5457" t="inlineStr">
        <is>
          <t>1,1,1,2-Tetrafluoroethane</t>
        </is>
      </c>
      <c r="B5457">
        <v>3.4960680173316915e-06</v>
      </c>
      <c r="D5457" t="inlineStr">
        <is>
          <t>kilogram</t>
        </is>
      </c>
      <c r="E5457" t="inlineStr">
        <is>
          <t>air</t>
        </is>
      </c>
      <c r="F5457" t="inlineStr">
        <is>
          <t>biosphere</t>
        </is>
      </c>
      <c r="I5457">
        <v>0</v>
      </c>
    </row>
    <row r="5458">
      <c r="A5458" t="inlineStr">
        <is>
          <t>market group for electricity, low voltage</t>
        </is>
      </c>
      <c r="B5458">
        <v>0.020421827056420445</v>
      </c>
      <c r="C5458" t="inlineStr">
        <is>
          <t>RER</t>
        </is>
      </c>
      <c r="D5458" t="inlineStr">
        <is>
          <t>kilowatt hour</t>
        </is>
      </c>
      <c r="F5458" t="inlineStr">
        <is>
          <t>technosphere</t>
        </is>
      </c>
      <c r="G5458" t="inlineStr">
        <is>
          <t>electricity, low voltage</t>
        </is>
      </c>
      <c r="H5458" t="inlineStr">
        <is>
          <t>Hydrogen tank compression, 30 to 700 bar: 2.45061924677 kWh/kg H2, using the model's default compressor assumptions and Premise's documented delivery pressure.</t>
        </is>
      </c>
      <c r="I5458">
        <v>0</v>
      </c>
    </row>
    <row r="5459">
      <c r="A5459" t="inlineStr">
        <is>
          <t>fuel cell Balance of Plant production, 1 kWe, proton exchange membrane (PEM), carculator passenger car 2020</t>
        </is>
      </c>
      <c r="B5459">
        <v>0.00013256366446464648</v>
      </c>
      <c r="C5459" t="inlineStr">
        <is>
          <t>GLO</t>
        </is>
      </c>
      <c r="D5459" t="inlineStr">
        <is>
          <t>unit</t>
        </is>
      </c>
      <c r="F5459" t="inlineStr">
        <is>
          <t>technosphere</t>
        </is>
      </c>
      <c r="G5459" t="inlineStr">
        <is>
          <t>fuel cell Balance of Plant, 1 kWe, proton exchange membrane (PEM)</t>
        </is>
      </c>
      <c r="H5459" t="inlineStr">
        <is>
          <t> Energy-use allocation: 28.43844795227051 * 4.999999873689376e-06 / 1.0726335662454156 MJ per kilometer.</t>
        </is>
      </c>
      <c r="I5459">
        <v>0</v>
      </c>
    </row>
    <row r="5460">
      <c r="A5460" t="inlineStr">
        <is>
          <t>fuel cell stack production, 1 kWe, proton exchange membrane (PEM), carculator passenger car 2020</t>
        </is>
      </c>
      <c r="B5460">
        <v>0.0006491343068889693</v>
      </c>
      <c r="C5460" t="inlineStr">
        <is>
          <t>GLO</t>
        </is>
      </c>
      <c r="D5460" t="inlineStr">
        <is>
          <t>unit</t>
        </is>
      </c>
      <c r="F5460" t="inlineStr">
        <is>
          <t>technosphere</t>
        </is>
      </c>
      <c r="G5460" t="inlineStr">
        <is>
          <t>fuel cell stack, 1 kWe, proton exchange membrane (PEM)</t>
        </is>
      </c>
      <c r="H5460" t="inlineStr">
        <is>
          <t> Energy-use allocation: 139.2566528320312 * 4.999999873689376e-06 / 1.0726335662454156 MJ per kilometer.</t>
        </is>
      </c>
      <c r="I5460">
        <v>0</v>
      </c>
    </row>
    <row r="5461">
      <c r="A5461" t="inlineStr">
        <is>
          <t>fuel tank, compressed hydrogen gas, 700bar, with HDPE liner, carculator passenger car 2020</t>
        </is>
      </c>
      <c r="B5461">
        <v>0.0004560088764646349</v>
      </c>
      <c r="C5461" t="inlineStr">
        <is>
          <t>RER</t>
        </is>
      </c>
      <c r="D5461" t="inlineStr">
        <is>
          <t>kilogram</t>
        </is>
      </c>
      <c r="F5461" t="inlineStr">
        <is>
          <t>technosphere</t>
        </is>
      </c>
      <c r="G5461" t="inlineStr">
        <is>
          <t>hydrogen tank</t>
        </is>
      </c>
      <c r="H5461" t="inlineStr">
        <is>
          <t> Energy-use allocation: 97.82608795166016 * 4.999999873689376e-06 / 1.0726335662454156 MJ per kilometer.</t>
        </is>
      </c>
      <c r="I5461">
        <v>0</v>
      </c>
    </row>
    <row r="5462">
      <c r="A5462" t="inlineStr">
        <is>
          <t>market for converter, for electric passenger car</t>
        </is>
      </c>
      <c r="B5462">
        <v>2.0839605113863403e-05</v>
      </c>
      <c r="C5462" t="inlineStr">
        <is>
          <t>GLO</t>
        </is>
      </c>
      <c r="D5462" t="inlineStr">
        <is>
          <t>kilogram</t>
        </is>
      </c>
      <c r="F5462" t="inlineStr">
        <is>
          <t>technosphere</t>
        </is>
      </c>
      <c r="G5462" t="inlineStr">
        <is>
          <t>converter, for electric passenger car</t>
        </is>
      </c>
      <c r="H5462" t="inlineStr">
        <is>
          <t> Energy-use allocation: 4.470652103424072 * 4.999999873689376e-06 / 1.0726335662454156 MJ per kilometer.</t>
        </is>
      </c>
      <c r="I5462">
        <v>0</v>
      </c>
    </row>
    <row r="5463">
      <c r="A5463" t="inlineStr">
        <is>
          <t>market for electric motor, electric passenger car</t>
        </is>
      </c>
      <c r="B5463">
        <v>0.0004290234592004841</v>
      </c>
      <c r="C5463" t="inlineStr">
        <is>
          <t>GLO</t>
        </is>
      </c>
      <c r="D5463" t="inlineStr">
        <is>
          <t>kilogram</t>
        </is>
      </c>
      <c r="F5463" t="inlineStr">
        <is>
          <t>technosphere</t>
        </is>
      </c>
      <c r="G5463" t="inlineStr">
        <is>
          <t>electric motor, electric passenger car</t>
        </is>
      </c>
      <c r="H5463" t="inlineStr">
        <is>
          <t> Energy-use allocation: 92.03699493408203 * 4.999999873689376e-06 / 1.0726335662454156 MJ per kilometer.</t>
        </is>
      </c>
      <c r="I5463">
        <v>0</v>
      </c>
    </row>
    <row r="5464">
      <c r="A5464" t="inlineStr">
        <is>
          <t>market for internal combustion engine, passenger car</t>
        </is>
      </c>
      <c r="B5464">
        <v>0.0004267582557876431</v>
      </c>
      <c r="C5464" t="inlineStr">
        <is>
          <t>GLO</t>
        </is>
      </c>
      <c r="D5464" t="inlineStr">
        <is>
          <t>kilogram</t>
        </is>
      </c>
      <c r="F5464" t="inlineStr">
        <is>
          <t>technosphere</t>
        </is>
      </c>
      <c r="G5464" t="inlineStr">
        <is>
          <t>internal combustion engine, passenger car</t>
        </is>
      </c>
      <c r="H5464" t="inlineStr">
        <is>
          <t> Energy-use allocation: 91.5510482788086 * 4.999999873689376e-06 / 1.0726335662454156 MJ per kilometer.</t>
        </is>
      </c>
      <c r="I5464">
        <v>0</v>
      </c>
    </row>
    <row r="5465">
      <c r="A5465" t="inlineStr">
        <is>
          <t>market for inverter, for electric passenger car</t>
        </is>
      </c>
      <c r="B5465">
        <v>4.1679210227726807e-05</v>
      </c>
      <c r="C5465" t="inlineStr">
        <is>
          <t>GLO</t>
        </is>
      </c>
      <c r="D5465" t="inlineStr">
        <is>
          <t>kilogram</t>
        </is>
      </c>
      <c r="F5465" t="inlineStr">
        <is>
          <t>technosphere</t>
        </is>
      </c>
      <c r="G5465" t="inlineStr">
        <is>
          <t>inverter, for electric passenger car</t>
        </is>
      </c>
      <c r="H5465" t="inlineStr">
        <is>
          <t> Energy-use allocation: 8.941304206848145 * 4.999999873689376e-06 / 1.0726335662454156 MJ per kilometer.</t>
        </is>
      </c>
      <c r="I5465">
        <v>0</v>
      </c>
    </row>
    <row r="5466">
      <c r="A5466" t="inlineStr">
        <is>
          <t>market for power distribution unit, for electric passenger car</t>
        </is>
      </c>
      <c r="B5466">
        <v>1.852409331105968e-05</v>
      </c>
      <c r="C5466" t="inlineStr">
        <is>
          <t>GLO</t>
        </is>
      </c>
      <c r="D5466" t="inlineStr">
        <is>
          <t>kilogram</t>
        </is>
      </c>
      <c r="F5466" t="inlineStr">
        <is>
          <t>technosphere</t>
        </is>
      </c>
      <c r="G5466" t="inlineStr">
        <is>
          <t>power distribution unit, for electric passenger car</t>
        </is>
      </c>
      <c r="H5466" t="inlineStr">
        <is>
          <t> Energy-use allocation: 3.973912954330444 * 4.999999873689376e-06 / 1.0726335662454156 MJ per kilometer.</t>
        </is>
      </c>
      <c r="I5466">
        <v>0</v>
      </c>
    </row>
    <row r="5467">
      <c r="A5467" t="inlineStr">
        <is>
          <t>market for used powertrain from electric passenger car, manual dismantling</t>
        </is>
      </c>
      <c r="B5467">
        <v>-0.0016750567184222265</v>
      </c>
      <c r="C5467" t="inlineStr">
        <is>
          <t>GLO</t>
        </is>
      </c>
      <c r="D5467" t="inlineStr">
        <is>
          <t>kilogram</t>
        </is>
      </c>
      <c r="F5467" t="inlineStr">
        <is>
          <t>technosphere</t>
        </is>
      </c>
      <c r="G5467" t="inlineStr">
        <is>
          <t>used powertrain from electric passenger car, manual dismantling</t>
        </is>
      </c>
      <c r="H5467" t="inlineStr">
        <is>
          <t> Energy-use allocation: -359.3444213867188 * 4.999999873689376e-06 / 1.0726335662454156 MJ per kilometer.</t>
        </is>
      </c>
      <c r="I5467">
        <v>0</v>
      </c>
    </row>
    <row r="5468">
      <c r="A5468" t="inlineStr">
        <is>
          <t>market for waste plastic, industrial electronics</t>
        </is>
      </c>
      <c r="B5468">
        <v>-0.0004560088764646349</v>
      </c>
      <c r="C5468" t="inlineStr">
        <is>
          <t>CH</t>
        </is>
      </c>
      <c r="D5468" t="inlineStr">
        <is>
          <t>kilogram</t>
        </is>
      </c>
      <c r="F5468" t="inlineStr">
        <is>
          <t>technosphere</t>
        </is>
      </c>
      <c r="G5468" t="inlineStr">
        <is>
          <t>waste plastic, industrial electronics</t>
        </is>
      </c>
      <c r="H5468" t="inlineStr">
        <is>
          <t> Energy-use allocation: -97.82608795166016 * 4.999999873689376e-06 / 1.0726335662454156 MJ per kilometer.</t>
        </is>
      </c>
      <c r="I5468">
        <v>0</v>
      </c>
    </row>
    <row r="5469">
      <c r="A5469" t="inlineStr">
        <is>
          <t>market for battery capacity (MIX scenario)</t>
        </is>
      </c>
      <c r="B5469">
        <v>7.446961466462621e-06</v>
      </c>
      <c r="C5469" t="inlineStr">
        <is>
          <t>GLO</t>
        </is>
      </c>
      <c r="D5469" t="inlineStr">
        <is>
          <t>kilowatt hour</t>
        </is>
      </c>
      <c r="F5469" t="inlineStr">
        <is>
          <t>technosphere</t>
        </is>
      </c>
      <c r="G5469" t="inlineStr">
        <is>
          <t>electricity storage capacity</t>
        </is>
      </c>
      <c r="H5469" t="inlineStr">
        <is>
          <t>1.59757220745 kWh nominal * (1 + 0 lifetime replacements). Capacity market includes battery manufacture AND end of life; original kg pack and disposal removed. Energy-use allocation: 1.597572207450867 * 4.999999873689376e-06 / 1.0726335662454156 MJ per kilometer.</t>
        </is>
      </c>
      <c r="I5469">
        <v>0</v>
      </c>
    </row>
    <row r="5470"/>
    <row r="5471">
      <c r="A5471" t="inlineStr">
        <is>
          <t>Activity</t>
        </is>
      </c>
      <c r="B5471" t="inlineStr">
        <is>
          <t>compressed gas, burned in passenger car</t>
        </is>
      </c>
    </row>
    <row r="5472">
      <c r="A5472" t="inlineStr">
        <is>
          <t>location</t>
        </is>
      </c>
      <c r="B5472" t="inlineStr">
        <is>
          <t>RER</t>
        </is>
      </c>
    </row>
    <row r="5473">
      <c r="A5473" t="inlineStr">
        <is>
          <t>production amount</t>
        </is>
      </c>
      <c r="B5473">
        <v>1</v>
      </c>
    </row>
    <row r="5474">
      <c r="A5474" t="inlineStr">
        <is>
          <t>reference product</t>
        </is>
      </c>
      <c r="B5474" t="inlineStr">
        <is>
          <t>heat</t>
        </is>
      </c>
    </row>
    <row r="5475">
      <c r="A5475" t="inlineStr">
        <is>
          <t>type</t>
        </is>
      </c>
      <c r="B5475" t="inlineStr">
        <is>
          <t>process</t>
        </is>
      </c>
    </row>
    <row r="5476">
      <c r="A5476" t="inlineStr">
        <is>
          <t>unit</t>
        </is>
      </c>
      <c r="B5476" t="inlineStr">
        <is>
          <t>megajoule</t>
        </is>
      </c>
    </row>
    <row r="5477">
      <c r="A5477" t="inlineStr">
        <is>
          <t>Power, mean</t>
        </is>
      </c>
      <c r="B5477">
        <v>126</v>
      </c>
    </row>
    <row r="5478">
      <c r="A5478" t="inlineStr">
        <is>
          <t>Power, min</t>
        </is>
      </c>
      <c r="B5478">
        <v>55</v>
      </c>
    </row>
    <row r="5479">
      <c r="A5479" t="inlineStr">
        <is>
          <t>Power, max</t>
        </is>
      </c>
      <c r="B5479">
        <v>160</v>
      </c>
    </row>
    <row r="5480">
      <c r="A5480" t="inlineStr">
        <is>
          <t>Lifetime, mean</t>
        </is>
      </c>
      <c r="B5480">
        <v>200000</v>
      </c>
    </row>
    <row r="5481">
      <c r="A5481" t="inlineStr">
        <is>
          <t>Lifetime, min</t>
        </is>
      </c>
      <c r="B5481">
        <v>160000</v>
      </c>
    </row>
    <row r="5482">
      <c r="A5482" t="inlineStr">
        <is>
          <t>Lifetime, max</t>
        </is>
      </c>
      <c r="B5482">
        <v>250000</v>
      </c>
    </row>
    <row r="5483">
      <c r="A5483" t="inlineStr">
        <is>
          <t>Energy use, mean</t>
        </is>
      </c>
      <c r="B5483">
        <v>2540</v>
      </c>
    </row>
    <row r="5484">
      <c r="A5484" t="inlineStr">
        <is>
          <t>Energy use, min</t>
        </is>
      </c>
      <c r="B5484">
        <v>1660</v>
      </c>
    </row>
    <row r="5485">
      <c r="A5485" t="inlineStr">
        <is>
          <t>Energy use, max</t>
        </is>
      </c>
      <c r="B5485">
        <v>3020</v>
      </c>
    </row>
    <row r="5486">
      <c r="A5486" t="inlineStr">
        <is>
          <t>Electric motor, mean</t>
        </is>
      </c>
      <c r="B5486">
        <v>0</v>
      </c>
    </row>
    <row r="5487">
      <c r="A5487" t="inlineStr">
        <is>
          <t>Electric motor, min</t>
        </is>
      </c>
      <c r="B5487">
        <v>0</v>
      </c>
    </row>
    <row r="5488">
      <c r="A5488" t="inlineStr">
        <is>
          <t>Electric motor, max</t>
        </is>
      </c>
      <c r="B5488">
        <v>0</v>
      </c>
    </row>
    <row r="5489">
      <c r="A5489" t="inlineStr">
        <is>
          <t>Combustion engine, mean</t>
        </is>
      </c>
      <c r="B5489">
        <v>145</v>
      </c>
    </row>
    <row r="5490">
      <c r="A5490" t="inlineStr">
        <is>
          <t>Combustion engine, min</t>
        </is>
      </c>
      <c r="B5490">
        <v>96</v>
      </c>
    </row>
    <row r="5491">
      <c r="A5491" t="inlineStr">
        <is>
          <t>Combustion engine, max</t>
        </is>
      </c>
      <c r="B5491">
        <v>169</v>
      </c>
    </row>
    <row r="5492">
      <c r="A5492" t="inlineStr">
        <is>
          <t>Fuel tank, mean</t>
        </is>
      </c>
      <c r="B5492">
        <v>75</v>
      </c>
    </row>
    <row r="5493">
      <c r="A5493" t="inlineStr">
        <is>
          <t>Fuel tank, min</t>
        </is>
      </c>
      <c r="B5493">
        <v>57</v>
      </c>
    </row>
    <row r="5494">
      <c r="A5494" t="inlineStr">
        <is>
          <t>Fuel tank, max</t>
        </is>
      </c>
      <c r="B5494">
        <v>89</v>
      </c>
    </row>
    <row r="5495">
      <c r="A5495" t="inlineStr">
        <is>
          <t>Battery capacity, mean</t>
        </is>
      </c>
      <c r="B5495">
        <v>0</v>
      </c>
    </row>
    <row r="5496">
      <c r="A5496" t="inlineStr">
        <is>
          <t>Battery capacity, min</t>
        </is>
      </c>
      <c r="B5496">
        <v>0</v>
      </c>
    </row>
    <row r="5497">
      <c r="A5497" t="inlineStr">
        <is>
          <t>Battery capacity, max</t>
        </is>
      </c>
      <c r="B5497">
        <v>0</v>
      </c>
    </row>
    <row r="5498">
      <c r="A5498" t="inlineStr">
        <is>
          <t>Battery replacement, mean</t>
        </is>
      </c>
      <c r="B5498">
        <v>0</v>
      </c>
    </row>
    <row r="5499">
      <c r="A5499" t="inlineStr">
        <is>
          <t>Battery replacement, min</t>
        </is>
      </c>
      <c r="B5499">
        <v>0</v>
      </c>
    </row>
    <row r="5500">
      <c r="A5500" t="inlineStr">
        <is>
          <t>Battery replacement, max</t>
        </is>
      </c>
      <c r="B5500">
        <v>0</v>
      </c>
    </row>
    <row r="5501">
      <c r="A5501" t="inlineStr">
        <is>
          <t>Fuel cell system, mean</t>
        </is>
      </c>
      <c r="B5501">
        <v>0</v>
      </c>
    </row>
    <row r="5502">
      <c r="A5502" t="inlineStr">
        <is>
          <t>Fuel cell system, min</t>
        </is>
      </c>
      <c r="B5502">
        <v>0</v>
      </c>
    </row>
    <row r="5503">
      <c r="A5503" t="inlineStr">
        <is>
          <t>Fuel cell system, max</t>
        </is>
      </c>
      <c r="B5503">
        <v>0</v>
      </c>
    </row>
    <row r="5504">
      <c r="A5504" t="inlineStr">
        <is>
          <t>Fuel cell stack replacement, mean</t>
        </is>
      </c>
      <c r="B5504">
        <v>0</v>
      </c>
    </row>
    <row r="5505">
      <c r="A5505" t="inlineStr">
        <is>
          <t>Fuel cell replacement, min</t>
        </is>
      </c>
      <c r="B5505">
        <v>0</v>
      </c>
    </row>
    <row r="5506">
      <c r="A5506" t="inlineStr">
        <is>
          <t>Fuel cell replacement, max</t>
        </is>
      </c>
      <c r="B5506">
        <v>0</v>
      </c>
    </row>
    <row r="5507">
      <c r="A5507" t="inlineStr">
        <is>
          <t>Onboard charger mass</t>
        </is>
      </c>
      <c r="B5507">
        <v>0</v>
      </c>
    </row>
    <row r="5508">
      <c r="A5508" t="inlineStr">
        <is>
          <t>Controller mass</t>
        </is>
      </c>
      <c r="B5508">
        <v>0</v>
      </c>
    </row>
    <row r="5509">
      <c r="A5509" t="inlineStr">
        <is>
          <t>Converter mass</t>
        </is>
      </c>
      <c r="B5509">
        <v>0</v>
      </c>
    </row>
    <row r="5510">
      <c r="A5510" t="inlineStr">
        <is>
          <t>Electrical powertrain mass</t>
        </is>
      </c>
      <c r="B5510">
        <v>0</v>
      </c>
    </row>
    <row r="5511">
      <c r="A5511" t="inlineStr">
        <is>
          <t>Inverter mass</t>
        </is>
      </c>
      <c r="B5511">
        <v>0</v>
      </c>
    </row>
    <row r="5512">
      <c r="A5512" t="inlineStr">
        <is>
          <t>NOx</t>
        </is>
      </c>
      <c r="B5512">
        <v>0.006443871</v>
      </c>
    </row>
    <row r="5513">
      <c r="A5513" t="inlineStr">
        <is>
          <t>PM 2.5</t>
        </is>
      </c>
      <c r="B5513">
        <v>0.000968063</v>
      </c>
    </row>
    <row r="5514">
      <c r="A5514" t="inlineStr">
        <is>
          <t>energy use source</t>
        </is>
      </c>
      <c r="B5514"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false}</t>
        </is>
      </c>
    </row>
    <row r="5515">
      <c r="A5515" t="inlineStr">
        <is>
          <t>comment</t>
        </is>
      </c>
      <c r="B5515"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16">
      <c r="A5516" t="inlineStr">
        <is>
          <t>Exchanges</t>
        </is>
      </c>
    </row>
    <row r="5517">
      <c r="A5517" t="inlineStr">
        <is>
          <t>name</t>
        </is>
      </c>
      <c r="B5517" t="inlineStr">
        <is>
          <t>amount</t>
        </is>
      </c>
      <c r="C5517" t="inlineStr">
        <is>
          <t>location</t>
        </is>
      </c>
      <c r="D5517" t="inlineStr">
        <is>
          <t>unit</t>
        </is>
      </c>
      <c r="E5517" t="inlineStr">
        <is>
          <t>categories</t>
        </is>
      </c>
      <c r="F5517" t="inlineStr">
        <is>
          <t>type</t>
        </is>
      </c>
      <c r="G5517" t="inlineStr">
        <is>
          <t>reference product</t>
        </is>
      </c>
      <c r="H5517" t="inlineStr">
        <is>
          <t>comment</t>
        </is>
      </c>
      <c r="I5517" t="inlineStr">
        <is>
          <t>uncertainty type</t>
        </is>
      </c>
    </row>
    <row r="5518">
      <c r="A5518" t="inlineStr">
        <is>
          <t>compressed gas, burned in passenger car</t>
        </is>
      </c>
      <c r="B5518">
        <v>1.0</v>
      </c>
      <c r="C5518" t="inlineStr">
        <is>
          <t>RER</t>
        </is>
      </c>
      <c r="D5518" t="inlineStr">
        <is>
          <t>megajoule</t>
        </is>
      </c>
      <c r="F5518" t="inlineStr">
        <is>
          <t>production</t>
        </is>
      </c>
      <c r="G5518" t="inlineStr">
        <is>
          <t>heat</t>
        </is>
      </c>
      <c r="I5518">
        <v>0</v>
      </c>
    </row>
    <row r="5519">
      <c r="A5519" t="inlineStr">
        <is>
          <t>market for natural gas, medium pressure, vehicle grade</t>
        </is>
      </c>
      <c r="B5519">
        <v>0.02150537634408602</v>
      </c>
      <c r="C5519" t="inlineStr">
        <is>
          <t>GLO</t>
        </is>
      </c>
      <c r="D5519" t="inlineStr">
        <is>
          <t>kilogram</t>
        </is>
      </c>
      <c r="F5519" t="inlineStr">
        <is>
          <t>technosphere</t>
        </is>
      </c>
      <c r="G5519" t="inlineStr">
        <is>
          <t>natural gas, medium pressure, vehicle grade</t>
        </is>
      </c>
      <c r="H5519" t="inlineStr">
        <is>
          <t>Default carculator fuel energy preserved (2.16163290851 MJ/vkm); premise reference LHV 46.5 MJ/kg. Regional scenario blend belongs to premise.</t>
        </is>
      </c>
      <c r="I5519">
        <v>0</v>
      </c>
    </row>
    <row r="5520">
      <c r="A5520" t="inlineStr">
        <is>
          <t>treatment of brake wear emissions, passenger car</t>
        </is>
      </c>
      <c r="B5520">
        <v>-6.778061331794415e-06</v>
      </c>
      <c r="C5520" t="inlineStr">
        <is>
          <t>RER</t>
        </is>
      </c>
      <c r="D5520" t="inlineStr">
        <is>
          <t>kilogram</t>
        </is>
      </c>
      <c r="F5520" t="inlineStr">
        <is>
          <t>technosphere</t>
        </is>
      </c>
      <c r="G5520" t="inlineStr">
        <is>
          <t>brake wear emissions, passenger car</t>
        </is>
      </c>
      <c r="I5520">
        <v>0</v>
      </c>
    </row>
    <row r="5521">
      <c r="A5521" t="inlineStr">
        <is>
          <t>treatment of road wear emissions, passenger car</t>
        </is>
      </c>
      <c r="B5521">
        <v>-7.779768914966537e-06</v>
      </c>
      <c r="C5521" t="inlineStr">
        <is>
          <t>RER</t>
        </is>
      </c>
      <c r="D5521" t="inlineStr">
        <is>
          <t>kilogram</t>
        </is>
      </c>
      <c r="F5521" t="inlineStr">
        <is>
          <t>technosphere</t>
        </is>
      </c>
      <c r="G5521" t="inlineStr">
        <is>
          <t>road wear emissions, passenger car</t>
        </is>
      </c>
      <c r="I5521">
        <v>0</v>
      </c>
    </row>
    <row r="5522">
      <c r="A5522" t="inlineStr">
        <is>
          <t>treatment of tyre wear emissions, passenger car</t>
        </is>
      </c>
      <c r="B5522">
        <v>-9.017947831786646e-06</v>
      </c>
      <c r="C5522" t="inlineStr">
        <is>
          <t>RER</t>
        </is>
      </c>
      <c r="D5522" t="inlineStr">
        <is>
          <t>kilogram</t>
        </is>
      </c>
      <c r="F5522" t="inlineStr">
        <is>
          <t>technosphere</t>
        </is>
      </c>
      <c r="G5522" t="inlineStr">
        <is>
          <t>tyre wear emissions, passenger car</t>
        </is>
      </c>
      <c r="I5522">
        <v>0</v>
      </c>
    </row>
    <row r="5523">
      <c r="A5523" t="inlineStr">
        <is>
          <t>market for tetrafluoroethane, R134a</t>
        </is>
      </c>
      <c r="B5523">
        <v>3.0069860156014323e-06</v>
      </c>
      <c r="C5523" t="inlineStr">
        <is>
          <t>GLO</t>
        </is>
      </c>
      <c r="D5523" t="inlineStr">
        <is>
          <t>kilogram</t>
        </is>
      </c>
      <c r="F5523" t="inlineStr">
        <is>
          <t>technosphere</t>
        </is>
      </c>
      <c r="G5523" t="inlineStr">
        <is>
          <t>tetrafluoroethane, R134a</t>
        </is>
      </c>
      <c r="I5523">
        <v>0</v>
      </c>
    </row>
    <row r="5524">
      <c r="A5524" t="inlineStr">
        <is>
          <t>NMVOC, non-methane volatile organic compounds</t>
        </is>
      </c>
      <c r="B5524">
        <v>3.716326596666934e-06</v>
      </c>
      <c r="D5524" t="inlineStr">
        <is>
          <t>kilogram</t>
        </is>
      </c>
      <c r="E5524" t="inlineStr">
        <is>
          <t>air::non-urban air or from high stacks</t>
        </is>
      </c>
      <c r="F5524" t="inlineStr">
        <is>
          <t>biosphere</t>
        </is>
      </c>
      <c r="I5524">
        <v>0</v>
      </c>
    </row>
    <row r="5525">
      <c r="A5525" t="inlineStr">
        <is>
          <t>Nitrogen oxides</t>
        </is>
      </c>
      <c r="B5525">
        <v>3.973486347763085e-06</v>
      </c>
      <c r="D5525" t="inlineStr">
        <is>
          <t>kilogram</t>
        </is>
      </c>
      <c r="E5525" t="inlineStr">
        <is>
          <t>air::non-urban air or from high stacks</t>
        </is>
      </c>
      <c r="F5525" t="inlineStr">
        <is>
          <t>biosphere</t>
        </is>
      </c>
      <c r="I5525">
        <v>0</v>
      </c>
    </row>
    <row r="5526">
      <c r="A5526" t="inlineStr">
        <is>
          <t>Benzene</t>
        </is>
      </c>
      <c r="B5526">
        <v>2.997037832439638e-08</v>
      </c>
      <c r="D5526" t="inlineStr">
        <is>
          <t>kilogram</t>
        </is>
      </c>
      <c r="E5526" t="inlineStr">
        <is>
          <t>air::non-urban air or from high stacks</t>
        </is>
      </c>
      <c r="F5526" t="inlineStr">
        <is>
          <t>biosphere</t>
        </is>
      </c>
      <c r="I5526">
        <v>0</v>
      </c>
    </row>
    <row r="5527">
      <c r="A5527" t="inlineStr">
        <is>
          <t>Methane, fossil</t>
        </is>
      </c>
      <c r="B5527">
        <v>1.3562634312581863e-06</v>
      </c>
      <c r="D5527" t="inlineStr">
        <is>
          <t>kilogram</t>
        </is>
      </c>
      <c r="E5527" t="inlineStr">
        <is>
          <t>air::urban air close to ground</t>
        </is>
      </c>
      <c r="F5527" t="inlineStr">
        <is>
          <t>biosphere</t>
        </is>
      </c>
      <c r="I5527">
        <v>0</v>
      </c>
    </row>
    <row r="5528">
      <c r="A5528" t="inlineStr">
        <is>
          <t>NMVOC, non-methane volatile organic compounds</t>
        </is>
      </c>
      <c r="B5528">
        <v>3.6528790310344626e-05</v>
      </c>
      <c r="D5528" t="inlineStr">
        <is>
          <t>kilogram</t>
        </is>
      </c>
      <c r="E5528" t="inlineStr">
        <is>
          <t>air::urban air close to ground</t>
        </is>
      </c>
      <c r="F5528" t="inlineStr">
        <is>
          <t>biosphere</t>
        </is>
      </c>
      <c r="I5528">
        <v>0</v>
      </c>
    </row>
    <row r="5529">
      <c r="A5529" t="inlineStr">
        <is>
          <t>Nitrogen oxides</t>
        </is>
      </c>
      <c r="B5529">
        <v>1.0599559274731076e-05</v>
      </c>
      <c r="D5529" t="inlineStr">
        <is>
          <t>kilogram</t>
        </is>
      </c>
      <c r="E5529" t="inlineStr">
        <is>
          <t>air::urban air close to ground</t>
        </is>
      </c>
      <c r="F5529" t="inlineStr">
        <is>
          <t>biosphere</t>
        </is>
      </c>
      <c r="I5529">
        <v>0</v>
      </c>
    </row>
    <row r="5530">
      <c r="A5530" t="inlineStr">
        <is>
          <t>Carbon monoxide, fossil</t>
        </is>
      </c>
      <c r="B5530">
        <v>0.0001491440623544035</v>
      </c>
      <c r="D5530" t="inlineStr">
        <is>
          <t>kilogram</t>
        </is>
      </c>
      <c r="E5530" t="inlineStr">
        <is>
          <t>air::urban air close to ground</t>
        </is>
      </c>
      <c r="F5530" t="inlineStr">
        <is>
          <t>biosphere</t>
        </is>
      </c>
      <c r="I5530">
        <v>0</v>
      </c>
    </row>
    <row r="5531">
      <c r="A5531" t="inlineStr">
        <is>
          <t>1,1,1,2-Tetrafluoroethane</t>
        </is>
      </c>
      <c r="B5531">
        <v>1.7347996001117329e-06</v>
      </c>
      <c r="D5531" t="inlineStr">
        <is>
          <t>kilogram</t>
        </is>
      </c>
      <c r="E5531" t="inlineStr">
        <is>
          <t>air</t>
        </is>
      </c>
      <c r="F5531" t="inlineStr">
        <is>
          <t>biosphere</t>
        </is>
      </c>
      <c r="I5531">
        <v>0</v>
      </c>
    </row>
    <row r="5532">
      <c r="A5532" t="inlineStr">
        <is>
          <t>Benzene</t>
        </is>
      </c>
      <c r="B5532">
        <v>1.7940791045168867e-06</v>
      </c>
      <c r="D5532" t="inlineStr">
        <is>
          <t>kilogram</t>
        </is>
      </c>
      <c r="E5532" t="inlineStr">
        <is>
          <t>air::urban air close to ground</t>
        </is>
      </c>
      <c r="F5532" t="inlineStr">
        <is>
          <t>biosphere</t>
        </is>
      </c>
      <c r="I5532">
        <v>0</v>
      </c>
    </row>
    <row r="5533">
      <c r="A5533" t="inlineStr">
        <is>
          <t>fuel tank assembly, compressed natural gas, 200 bar, carculator passenger car 2020</t>
        </is>
      </c>
      <c r="B5533">
        <v>0.00017353583134432305</v>
      </c>
      <c r="C5533" t="inlineStr">
        <is>
          <t>RER</t>
        </is>
      </c>
      <c r="D5533" t="inlineStr">
        <is>
          <t>kilogram</t>
        </is>
      </c>
      <c r="F5533" t="inlineStr">
        <is>
          <t>technosphere</t>
        </is>
      </c>
      <c r="G5533" t="inlineStr">
        <is>
          <t>fuel tank, compressed natural gas, 200 bar</t>
        </is>
      </c>
      <c r="H5533" t="inlineStr">
        <is>
          <t> Energy-use allocation: 75.02415466308594 * 4.999999873689376e-06 / 2.1616329085074186 MJ per kilometer.</t>
        </is>
      </c>
      <c r="I5533">
        <v>0</v>
      </c>
    </row>
    <row r="5534">
      <c r="A5534" t="inlineStr">
        <is>
          <t>market for internal combustion engine, passenger car</t>
        </is>
      </c>
      <c r="B5534">
        <v>0.0006204787197014541</v>
      </c>
      <c r="C5534" t="inlineStr">
        <is>
          <t>GLO</t>
        </is>
      </c>
      <c r="D5534" t="inlineStr">
        <is>
          <t>kilogram</t>
        </is>
      </c>
      <c r="F5534" t="inlineStr">
        <is>
          <t>technosphere</t>
        </is>
      </c>
      <c r="G5534" t="inlineStr">
        <is>
          <t>internal combustion engine, passenger car</t>
        </is>
      </c>
      <c r="H5534" t="inlineStr">
        <is>
          <t> Energy-use allocation: 268.2494506835938 * 4.999999873689376e-06 / 2.1616329085074186 MJ per kilometer.</t>
        </is>
      </c>
      <c r="I5534">
        <v>0</v>
      </c>
    </row>
    <row r="5535">
      <c r="A5535" t="inlineStr">
        <is>
          <t>market for waste plastic, industrial electronics</t>
        </is>
      </c>
      <c r="B5535">
        <v>-0.00017353583134432305</v>
      </c>
      <c r="C5535" t="inlineStr">
        <is>
          <t>CH</t>
        </is>
      </c>
      <c r="D5535" t="inlineStr">
        <is>
          <t>kilogram</t>
        </is>
      </c>
      <c r="F5535" t="inlineStr">
        <is>
          <t>technosphere</t>
        </is>
      </c>
      <c r="G5535" t="inlineStr">
        <is>
          <t>waste plastic, industrial electronics</t>
        </is>
      </c>
      <c r="H5535" t="inlineStr">
        <is>
          <t> Energy-use allocation: -75.02415466308594 * 4.999999873689376e-06 / 2.1616329085074186 MJ per kilometer.</t>
        </is>
      </c>
      <c r="I5535">
        <v>0</v>
      </c>
    </row>
    <row r="5536">
      <c r="A5536" t="inlineStr">
        <is>
          <t>Carbon dioxide, fossil</t>
        </is>
      </c>
      <c r="B5536">
        <v>0.05999999999999999</v>
      </c>
      <c r="D5536" t="inlineStr">
        <is>
          <t>kilogram</t>
        </is>
      </c>
      <c r="E5536" t="inlineStr">
        <is>
          <t>air</t>
        </is>
      </c>
      <c r="F5536" t="inlineStr">
        <is>
          <t>biosphere</t>
        </is>
      </c>
      <c r="H5536" t="inlineStr">
        <is>
          <t>Reference fuel full-oxidation CO2; premise reclassifies fossil/biogenic emissions with its regional blend. Other carbon pollutants remain model defaults (not an elemental closure).</t>
        </is>
      </c>
      <c r="I5536">
        <v>0</v>
      </c>
    </row>
    <row r="5537"/>
    <row r="5538">
      <c r="A5538" t="inlineStr">
        <is>
          <t>Activity</t>
        </is>
      </c>
      <c r="B5538" t="inlineStr">
        <is>
          <t>compressed gas, synthetic, burned in passenger car</t>
        </is>
      </c>
    </row>
    <row r="5539">
      <c r="A5539" t="inlineStr">
        <is>
          <t>location</t>
        </is>
      </c>
      <c r="B5539" t="inlineStr">
        <is>
          <t>RER</t>
        </is>
      </c>
    </row>
    <row r="5540">
      <c r="A5540" t="inlineStr">
        <is>
          <t>production amount</t>
        </is>
      </c>
      <c r="B5540">
        <v>1</v>
      </c>
    </row>
    <row r="5541">
      <c r="A5541" t="inlineStr">
        <is>
          <t>reference product</t>
        </is>
      </c>
      <c r="B5541" t="inlineStr">
        <is>
          <t>heat</t>
        </is>
      </c>
    </row>
    <row r="5542">
      <c r="A5542" t="inlineStr">
        <is>
          <t>type</t>
        </is>
      </c>
      <c r="B5542" t="inlineStr">
        <is>
          <t>process</t>
        </is>
      </c>
    </row>
    <row r="5543">
      <c r="A5543" t="inlineStr">
        <is>
          <t>unit</t>
        </is>
      </c>
      <c r="B5543" t="inlineStr">
        <is>
          <t>megajoule</t>
        </is>
      </c>
    </row>
    <row r="5544">
      <c r="A5544" t="inlineStr">
        <is>
          <t>Power, mean</t>
        </is>
      </c>
      <c r="B5544">
        <v>126</v>
      </c>
    </row>
    <row r="5545">
      <c r="A5545" t="inlineStr">
        <is>
          <t>Power, min</t>
        </is>
      </c>
      <c r="B5545">
        <v>55</v>
      </c>
    </row>
    <row r="5546">
      <c r="A5546" t="inlineStr">
        <is>
          <t>Power, max</t>
        </is>
      </c>
      <c r="B5546">
        <v>160</v>
      </c>
    </row>
    <row r="5547">
      <c r="A5547" t="inlineStr">
        <is>
          <t>Lifetime, mean</t>
        </is>
      </c>
      <c r="B5547">
        <v>200000</v>
      </c>
    </row>
    <row r="5548">
      <c r="A5548" t="inlineStr">
        <is>
          <t>Lifetime, min</t>
        </is>
      </c>
      <c r="B5548">
        <v>160000</v>
      </c>
    </row>
    <row r="5549">
      <c r="A5549" t="inlineStr">
        <is>
          <t>Lifetime, max</t>
        </is>
      </c>
      <c r="B5549">
        <v>250000</v>
      </c>
    </row>
    <row r="5550">
      <c r="A5550" t="inlineStr">
        <is>
          <t>Energy use, mean</t>
        </is>
      </c>
      <c r="B5550">
        <v>2540</v>
      </c>
    </row>
    <row r="5551">
      <c r="A5551" t="inlineStr">
        <is>
          <t>Energy use, min</t>
        </is>
      </c>
      <c r="B5551">
        <v>1660</v>
      </c>
    </row>
    <row r="5552">
      <c r="A5552" t="inlineStr">
        <is>
          <t>Energy use, max</t>
        </is>
      </c>
      <c r="B5552">
        <v>3020</v>
      </c>
    </row>
    <row r="5553">
      <c r="A5553" t="inlineStr">
        <is>
          <t>Electric motor, mean</t>
        </is>
      </c>
      <c r="B5553">
        <v>0</v>
      </c>
    </row>
    <row r="5554">
      <c r="A5554" t="inlineStr">
        <is>
          <t>Electric motor, min</t>
        </is>
      </c>
      <c r="B5554">
        <v>0</v>
      </c>
    </row>
    <row r="5555">
      <c r="A5555" t="inlineStr">
        <is>
          <t>Electric motor, max</t>
        </is>
      </c>
      <c r="B5555">
        <v>0</v>
      </c>
    </row>
    <row r="5556">
      <c r="A5556" t="inlineStr">
        <is>
          <t>Combustion engine, mean</t>
        </is>
      </c>
      <c r="B5556">
        <v>145</v>
      </c>
    </row>
    <row r="5557">
      <c r="A5557" t="inlineStr">
        <is>
          <t>Combustion engine, min</t>
        </is>
      </c>
      <c r="B5557">
        <v>96</v>
      </c>
    </row>
    <row r="5558">
      <c r="A5558" t="inlineStr">
        <is>
          <t>Combustion engine, max</t>
        </is>
      </c>
      <c r="B5558">
        <v>169</v>
      </c>
    </row>
    <row r="5559">
      <c r="A5559" t="inlineStr">
        <is>
          <t>Fuel tank, mean</t>
        </is>
      </c>
      <c r="B5559">
        <v>75</v>
      </c>
    </row>
    <row r="5560">
      <c r="A5560" t="inlineStr">
        <is>
          <t>Fuel tank, min</t>
        </is>
      </c>
      <c r="B5560">
        <v>57</v>
      </c>
    </row>
    <row r="5561">
      <c r="A5561" t="inlineStr">
        <is>
          <t>Fuel tank, max</t>
        </is>
      </c>
      <c r="B5561">
        <v>89</v>
      </c>
    </row>
    <row r="5562">
      <c r="A5562" t="inlineStr">
        <is>
          <t>Battery capacity, mean</t>
        </is>
      </c>
      <c r="B5562">
        <v>0</v>
      </c>
    </row>
    <row r="5563">
      <c r="A5563" t="inlineStr">
        <is>
          <t>Battery capacity, min</t>
        </is>
      </c>
      <c r="B5563">
        <v>0</v>
      </c>
    </row>
    <row r="5564">
      <c r="A5564" t="inlineStr">
        <is>
          <t>Battery capacity, max</t>
        </is>
      </c>
      <c r="B5564">
        <v>0</v>
      </c>
    </row>
    <row r="5565">
      <c r="A5565" t="inlineStr">
        <is>
          <t>Battery replacement, mean</t>
        </is>
      </c>
      <c r="B5565">
        <v>0</v>
      </c>
    </row>
    <row r="5566">
      <c r="A5566" t="inlineStr">
        <is>
          <t>Battery replacement, min</t>
        </is>
      </c>
      <c r="B5566">
        <v>0</v>
      </c>
    </row>
    <row r="5567">
      <c r="A5567" t="inlineStr">
        <is>
          <t>Battery replacement, max</t>
        </is>
      </c>
      <c r="B5567">
        <v>0</v>
      </c>
    </row>
    <row r="5568">
      <c r="A5568" t="inlineStr">
        <is>
          <t>Fuel cell system, mean</t>
        </is>
      </c>
      <c r="B5568">
        <v>0</v>
      </c>
    </row>
    <row r="5569">
      <c r="A5569" t="inlineStr">
        <is>
          <t>Fuel cell system, min</t>
        </is>
      </c>
      <c r="B5569">
        <v>0</v>
      </c>
    </row>
    <row r="5570">
      <c r="A5570" t="inlineStr">
        <is>
          <t>Fuel cell system, max</t>
        </is>
      </c>
      <c r="B5570">
        <v>0</v>
      </c>
    </row>
    <row r="5571">
      <c r="A5571" t="inlineStr">
        <is>
          <t>Fuel cell stack replacement, mean</t>
        </is>
      </c>
      <c r="B5571">
        <v>0</v>
      </c>
    </row>
    <row r="5572">
      <c r="A5572" t="inlineStr">
        <is>
          <t>Fuel cell replacement, min</t>
        </is>
      </c>
      <c r="B5572">
        <v>0</v>
      </c>
    </row>
    <row r="5573">
      <c r="A5573" t="inlineStr">
        <is>
          <t>Fuel cell replacement, max</t>
        </is>
      </c>
      <c r="B5573">
        <v>0</v>
      </c>
    </row>
    <row r="5574">
      <c r="A5574" t="inlineStr">
        <is>
          <t>Onboard charger mass</t>
        </is>
      </c>
      <c r="B5574">
        <v>0</v>
      </c>
    </row>
    <row r="5575">
      <c r="A5575" t="inlineStr">
        <is>
          <t>Controller mass</t>
        </is>
      </c>
      <c r="B5575">
        <v>0</v>
      </c>
    </row>
    <row r="5576">
      <c r="A5576" t="inlineStr">
        <is>
          <t>Converter mass</t>
        </is>
      </c>
      <c r="B5576">
        <v>0</v>
      </c>
    </row>
    <row r="5577">
      <c r="A5577" t="inlineStr">
        <is>
          <t>Electrical powertrain mass</t>
        </is>
      </c>
      <c r="B5577">
        <v>0</v>
      </c>
    </row>
    <row r="5578">
      <c r="A5578" t="inlineStr">
        <is>
          <t>Inverter mass</t>
        </is>
      </c>
      <c r="B5578">
        <v>0</v>
      </c>
    </row>
    <row r="5579">
      <c r="A5579" t="inlineStr">
        <is>
          <t>NOx</t>
        </is>
      </c>
      <c r="B5579">
        <v>0.006443871</v>
      </c>
    </row>
    <row r="5580">
      <c r="A5580" t="inlineStr">
        <is>
          <t>PM 2.5</t>
        </is>
      </c>
      <c r="B5580">
        <v>0.000968063</v>
      </c>
    </row>
    <row r="5581">
      <c r="A5581" t="inlineStr">
        <is>
          <t>energy use source</t>
        </is>
      </c>
      <c r="B5581"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82">
      <c r="A5582" t="inlineStr">
        <is>
          <t>comment</t>
        </is>
      </c>
      <c r="B5582"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83">
      <c r="A5583" t="inlineStr">
        <is>
          <t>Exchanges</t>
        </is>
      </c>
    </row>
    <row r="5584">
      <c r="A5584" t="inlineStr">
        <is>
          <t>name</t>
        </is>
      </c>
      <c r="B5584" t="inlineStr">
        <is>
          <t>amount</t>
        </is>
      </c>
      <c r="C5584" t="inlineStr">
        <is>
          <t>location</t>
        </is>
      </c>
      <c r="D5584" t="inlineStr">
        <is>
          <t>unit</t>
        </is>
      </c>
      <c r="E5584" t="inlineStr">
        <is>
          <t>categories</t>
        </is>
      </c>
      <c r="F5584" t="inlineStr">
        <is>
          <t>type</t>
        </is>
      </c>
      <c r="G5584" t="inlineStr">
        <is>
          <t>reference product</t>
        </is>
      </c>
      <c r="H5584" t="inlineStr">
        <is>
          <t>comment</t>
        </is>
      </c>
      <c r="I5584" t="inlineStr">
        <is>
          <t>uncertainty type</t>
        </is>
      </c>
    </row>
    <row r="5585">
      <c r="A5585" t="inlineStr">
        <is>
          <t>compressed gas, synthetic, burned in passenger car</t>
        </is>
      </c>
      <c r="B5585">
        <v>1.0</v>
      </c>
      <c r="C5585" t="inlineStr">
        <is>
          <t>RER</t>
        </is>
      </c>
      <c r="D5585" t="inlineStr">
        <is>
          <t>megajoule</t>
        </is>
      </c>
      <c r="F5585" t="inlineStr">
        <is>
          <t>production</t>
        </is>
      </c>
      <c r="G5585" t="inlineStr">
        <is>
          <t>heat</t>
        </is>
      </c>
      <c r="I5585">
        <v>0</v>
      </c>
    </row>
    <row r="5586">
      <c r="A5586" t="inlineStr">
        <is>
          <t>methane, from electrochemical methanation, with carbon from atmosphere, using heat pump heat</t>
        </is>
      </c>
      <c r="B5586">
        <v>0.021052631578947368</v>
      </c>
      <c r="C5586" t="inlineStr">
        <is>
          <t>RER</t>
        </is>
      </c>
      <c r="D5586" t="inlineStr">
        <is>
          <t>kilogram</t>
        </is>
      </c>
      <c r="F5586" t="inlineStr">
        <is>
          <t>technosphere</t>
        </is>
      </c>
      <c r="G5586" t="inlineStr">
        <is>
          <t>methane, from electrochemical methanation</t>
        </is>
      </c>
      <c r="I5586">
        <v>0</v>
      </c>
    </row>
    <row r="5587">
      <c r="A5587" t="inlineStr">
        <is>
          <t>treatment of brake wear emissions, passenger car</t>
        </is>
      </c>
      <c r="B5587">
        <v>-6.778061331794415e-06</v>
      </c>
      <c r="C5587" t="inlineStr">
        <is>
          <t>RER</t>
        </is>
      </c>
      <c r="D5587" t="inlineStr">
        <is>
          <t>kilogram</t>
        </is>
      </c>
      <c r="F5587" t="inlineStr">
        <is>
          <t>technosphere</t>
        </is>
      </c>
      <c r="G5587" t="inlineStr">
        <is>
          <t>brake wear emissions, passenger car</t>
        </is>
      </c>
      <c r="I5587">
        <v>0</v>
      </c>
    </row>
    <row r="5588">
      <c r="A5588" t="inlineStr">
        <is>
          <t>treatment of road wear emissions, passenger car</t>
        </is>
      </c>
      <c r="B5588">
        <v>-7.779768914966537e-06</v>
      </c>
      <c r="C5588" t="inlineStr">
        <is>
          <t>RER</t>
        </is>
      </c>
      <c r="D5588" t="inlineStr">
        <is>
          <t>kilogram</t>
        </is>
      </c>
      <c r="F5588" t="inlineStr">
        <is>
          <t>technosphere</t>
        </is>
      </c>
      <c r="G5588" t="inlineStr">
        <is>
          <t>road wear emissions, passenger car</t>
        </is>
      </c>
      <c r="I5588">
        <v>0</v>
      </c>
    </row>
    <row r="5589">
      <c r="A5589" t="inlineStr">
        <is>
          <t>treatment of tyre wear emissions, passenger car</t>
        </is>
      </c>
      <c r="B5589">
        <v>-9.017947831786646e-06</v>
      </c>
      <c r="C5589" t="inlineStr">
        <is>
          <t>RER</t>
        </is>
      </c>
      <c r="D5589" t="inlineStr">
        <is>
          <t>kilogram</t>
        </is>
      </c>
      <c r="F5589" t="inlineStr">
        <is>
          <t>technosphere</t>
        </is>
      </c>
      <c r="G5589" t="inlineStr">
        <is>
          <t>tyre wear emissions, passenger car</t>
        </is>
      </c>
      <c r="I5589">
        <v>0</v>
      </c>
    </row>
    <row r="5590">
      <c r="A5590" t="inlineStr">
        <is>
          <t>market for tetrafluoroethane, R134a</t>
        </is>
      </c>
      <c r="B5590">
        <v>3.0069860156014323e-06</v>
      </c>
      <c r="C5590" t="inlineStr">
        <is>
          <t>GLO</t>
        </is>
      </c>
      <c r="D5590" t="inlineStr">
        <is>
          <t>kilogram</t>
        </is>
      </c>
      <c r="F5590" t="inlineStr">
        <is>
          <t>technosphere</t>
        </is>
      </c>
      <c r="G5590" t="inlineStr">
        <is>
          <t>tetrafluoroethane, R134a</t>
        </is>
      </c>
      <c r="I5590">
        <v>0</v>
      </c>
    </row>
    <row r="5591">
      <c r="A5591" t="inlineStr">
        <is>
          <t>NMVOC, non-methane volatile organic compounds</t>
        </is>
      </c>
      <c r="B5591">
        <v>3.716326596666934e-06</v>
      </c>
      <c r="D5591" t="inlineStr">
        <is>
          <t>kilogram</t>
        </is>
      </c>
      <c r="E5591" t="inlineStr">
        <is>
          <t>air::non-urban air or from high stacks</t>
        </is>
      </c>
      <c r="F5591" t="inlineStr">
        <is>
          <t>biosphere</t>
        </is>
      </c>
      <c r="I5591">
        <v>0</v>
      </c>
    </row>
    <row r="5592">
      <c r="A5592" t="inlineStr">
        <is>
          <t>Nitrogen oxides</t>
        </is>
      </c>
      <c r="B5592">
        <v>3.973486347763085e-06</v>
      </c>
      <c r="D5592" t="inlineStr">
        <is>
          <t>kilogram</t>
        </is>
      </c>
      <c r="E5592" t="inlineStr">
        <is>
          <t>air::non-urban air or from high stacks</t>
        </is>
      </c>
      <c r="F5592" t="inlineStr">
        <is>
          <t>biosphere</t>
        </is>
      </c>
      <c r="I5592">
        <v>0</v>
      </c>
    </row>
    <row r="5593">
      <c r="A5593" t="inlineStr">
        <is>
          <t>Benzene</t>
        </is>
      </c>
      <c r="B5593">
        <v>2.997037832439638e-08</v>
      </c>
      <c r="D5593" t="inlineStr">
        <is>
          <t>kilogram</t>
        </is>
      </c>
      <c r="E5593" t="inlineStr">
        <is>
          <t>air::non-urban air or from high stacks</t>
        </is>
      </c>
      <c r="F5593" t="inlineStr">
        <is>
          <t>biosphere</t>
        </is>
      </c>
      <c r="I5593">
        <v>0</v>
      </c>
    </row>
    <row r="5594">
      <c r="A5594" t="inlineStr">
        <is>
          <t>Methane, fossil</t>
        </is>
      </c>
      <c r="B5594">
        <v>1.3562634312581863e-06</v>
      </c>
      <c r="D5594" t="inlineStr">
        <is>
          <t>kilogram</t>
        </is>
      </c>
      <c r="E5594" t="inlineStr">
        <is>
          <t>air::urban air close to ground</t>
        </is>
      </c>
      <c r="F5594" t="inlineStr">
        <is>
          <t>biosphere</t>
        </is>
      </c>
      <c r="I5594">
        <v>0</v>
      </c>
    </row>
    <row r="5595">
      <c r="A5595" t="inlineStr">
        <is>
          <t>NMVOC, non-methane volatile organic compounds</t>
        </is>
      </c>
      <c r="B5595">
        <v>3.6528790310344626e-05</v>
      </c>
      <c r="D5595" t="inlineStr">
        <is>
          <t>kilogram</t>
        </is>
      </c>
      <c r="E5595" t="inlineStr">
        <is>
          <t>air::urban air close to ground</t>
        </is>
      </c>
      <c r="F5595" t="inlineStr">
        <is>
          <t>biosphere</t>
        </is>
      </c>
      <c r="I5595">
        <v>0</v>
      </c>
    </row>
    <row r="5596">
      <c r="A5596" t="inlineStr">
        <is>
          <t>Nitrogen oxides</t>
        </is>
      </c>
      <c r="B5596">
        <v>1.0599559274731076e-05</v>
      </c>
      <c r="D5596" t="inlineStr">
        <is>
          <t>kilogram</t>
        </is>
      </c>
      <c r="E5596" t="inlineStr">
        <is>
          <t>air::urban air close to ground</t>
        </is>
      </c>
      <c r="F5596" t="inlineStr">
        <is>
          <t>biosphere</t>
        </is>
      </c>
      <c r="I5596">
        <v>0</v>
      </c>
    </row>
    <row r="5597">
      <c r="A5597" t="inlineStr">
        <is>
          <t>Carbon monoxide, fossil</t>
        </is>
      </c>
      <c r="B5597">
        <v>0.0001491440623544035</v>
      </c>
      <c r="D5597" t="inlineStr">
        <is>
          <t>kilogram</t>
        </is>
      </c>
      <c r="E5597" t="inlineStr">
        <is>
          <t>air::urban air close to ground</t>
        </is>
      </c>
      <c r="F5597" t="inlineStr">
        <is>
          <t>biosphere</t>
        </is>
      </c>
      <c r="I5597">
        <v>0</v>
      </c>
    </row>
    <row r="5598">
      <c r="A5598" t="inlineStr">
        <is>
          <t>1,1,1,2-Tetrafluoroethane</t>
        </is>
      </c>
      <c r="B5598">
        <v>1.7347996001117329e-06</v>
      </c>
      <c r="D5598" t="inlineStr">
        <is>
          <t>kilogram</t>
        </is>
      </c>
      <c r="E5598" t="inlineStr">
        <is>
          <t>air</t>
        </is>
      </c>
      <c r="F5598" t="inlineStr">
        <is>
          <t>biosphere</t>
        </is>
      </c>
      <c r="I5598">
        <v>0</v>
      </c>
    </row>
    <row r="5599">
      <c r="A5599" t="inlineStr">
        <is>
          <t>Benzene</t>
        </is>
      </c>
      <c r="B5599">
        <v>1.7940791045168867e-06</v>
      </c>
      <c r="D5599" t="inlineStr">
        <is>
          <t>kilogram</t>
        </is>
      </c>
      <c r="E5599" t="inlineStr">
        <is>
          <t>air::urban air close to ground</t>
        </is>
      </c>
      <c r="F5599" t="inlineStr">
        <is>
          <t>biosphere</t>
        </is>
      </c>
      <c r="I5599">
        <v>0</v>
      </c>
    </row>
    <row r="5600">
      <c r="A5600" t="inlineStr">
        <is>
          <t>fuel tank assembly, compressed natural gas, 200 bar, carculator passenger car 2020</t>
        </is>
      </c>
      <c r="B5600">
        <v>0.00017353583134432305</v>
      </c>
      <c r="C5600" t="inlineStr">
        <is>
          <t>RER</t>
        </is>
      </c>
      <c r="D5600" t="inlineStr">
        <is>
          <t>kilogram</t>
        </is>
      </c>
      <c r="F5600" t="inlineStr">
        <is>
          <t>technosphere</t>
        </is>
      </c>
      <c r="G5600" t="inlineStr">
        <is>
          <t>fuel tank, compressed natural gas, 200 bar</t>
        </is>
      </c>
      <c r="H5600" t="inlineStr">
        <is>
          <t> Energy-use allocation: 75.02415466308594 * 4.999999873689376e-06 / 2.1616329085074186 MJ per kilometer.</t>
        </is>
      </c>
      <c r="I5600">
        <v>0</v>
      </c>
    </row>
    <row r="5601">
      <c r="A5601" t="inlineStr">
        <is>
          <t>market for internal combustion engine, passenger car</t>
        </is>
      </c>
      <c r="B5601">
        <v>0.0006204787197014541</v>
      </c>
      <c r="C5601" t="inlineStr">
        <is>
          <t>GLO</t>
        </is>
      </c>
      <c r="D5601" t="inlineStr">
        <is>
          <t>kilogram</t>
        </is>
      </c>
      <c r="F5601" t="inlineStr">
        <is>
          <t>technosphere</t>
        </is>
      </c>
      <c r="G5601" t="inlineStr">
        <is>
          <t>internal combustion engine, passenger car</t>
        </is>
      </c>
      <c r="H5601" t="inlineStr">
        <is>
          <t> Energy-use allocation: 268.2494506835938 * 4.999999873689376e-06 / 2.1616329085074186 MJ per kilometer.</t>
        </is>
      </c>
      <c r="I5601">
        <v>0</v>
      </c>
    </row>
    <row r="5602">
      <c r="A5602" t="inlineStr">
        <is>
          <t>market for waste plastic, industrial electronics</t>
        </is>
      </c>
      <c r="B5602">
        <v>-0.00017353583134432305</v>
      </c>
      <c r="C5602" t="inlineStr">
        <is>
          <t>CH</t>
        </is>
      </c>
      <c r="D5602" t="inlineStr">
        <is>
          <t>kilogram</t>
        </is>
      </c>
      <c r="F5602" t="inlineStr">
        <is>
          <t>technosphere</t>
        </is>
      </c>
      <c r="G5602" t="inlineStr">
        <is>
          <t>waste plastic, industrial electronics</t>
        </is>
      </c>
      <c r="H5602" t="inlineStr">
        <is>
          <t> Energy-use allocation: -75.02415466308594 * 4.999999873689376e-06 / 2.1616329085074186 MJ per kilometer.</t>
        </is>
      </c>
      <c r="I5602">
        <v>0</v>
      </c>
    </row>
    <row r="5603">
      <c r="A5603" t="inlineStr">
        <is>
          <t>Carbon dioxide, non-fossil</t>
        </is>
      </c>
      <c r="B5603">
        <v>0.06</v>
      </c>
      <c r="D5603" t="inlineStr">
        <is>
          <t>kilogram</t>
        </is>
      </c>
      <c r="E5603" t="inlineStr">
        <is>
          <t>air::urban air close to ground</t>
        </is>
      </c>
      <c r="F5603" t="inlineStr">
        <is>
          <t>biosphere</t>
        </is>
      </c>
      <c r="I5603">
        <v>0</v>
      </c>
    </row>
    <row r="5604"/>
    <row r="5605">
      <c r="A5605" t="inlineStr">
        <is>
          <t>Activity</t>
        </is>
      </c>
      <c r="B5605" t="inlineStr">
        <is>
          <t>biomethane, burned in passenger car</t>
        </is>
      </c>
    </row>
    <row r="5606">
      <c r="A5606" t="inlineStr">
        <is>
          <t>location</t>
        </is>
      </c>
      <c r="B5606" t="inlineStr">
        <is>
          <t>RER</t>
        </is>
      </c>
    </row>
    <row r="5607">
      <c r="A5607" t="inlineStr">
        <is>
          <t>production amount</t>
        </is>
      </c>
      <c r="B5607">
        <v>1</v>
      </c>
    </row>
    <row r="5608">
      <c r="A5608" t="inlineStr">
        <is>
          <t>reference product</t>
        </is>
      </c>
      <c r="B5608" t="inlineStr">
        <is>
          <t>heat</t>
        </is>
      </c>
    </row>
    <row r="5609">
      <c r="A5609" t="inlineStr">
        <is>
          <t>type</t>
        </is>
      </c>
      <c r="B5609" t="inlineStr">
        <is>
          <t>process</t>
        </is>
      </c>
    </row>
    <row r="5610">
      <c r="A5610" t="inlineStr">
        <is>
          <t>unit</t>
        </is>
      </c>
      <c r="B5610" t="inlineStr">
        <is>
          <t>megajoule</t>
        </is>
      </c>
    </row>
    <row r="5611">
      <c r="A5611" t="inlineStr">
        <is>
          <t>Power, mean</t>
        </is>
      </c>
      <c r="B5611">
        <v>126</v>
      </c>
    </row>
    <row r="5612">
      <c r="A5612" t="inlineStr">
        <is>
          <t>Power, min</t>
        </is>
      </c>
      <c r="B5612">
        <v>55</v>
      </c>
    </row>
    <row r="5613">
      <c r="A5613" t="inlineStr">
        <is>
          <t>Power, max</t>
        </is>
      </c>
      <c r="B5613">
        <v>160</v>
      </c>
    </row>
    <row r="5614">
      <c r="A5614" t="inlineStr">
        <is>
          <t>Lifetime, mean</t>
        </is>
      </c>
      <c r="B5614">
        <v>200000</v>
      </c>
    </row>
    <row r="5615">
      <c r="A5615" t="inlineStr">
        <is>
          <t>Lifetime, min</t>
        </is>
      </c>
      <c r="B5615">
        <v>160000</v>
      </c>
    </row>
    <row r="5616">
      <c r="A5616" t="inlineStr">
        <is>
          <t>Lifetime, max</t>
        </is>
      </c>
      <c r="B5616">
        <v>250000</v>
      </c>
    </row>
    <row r="5617">
      <c r="A5617" t="inlineStr">
        <is>
          <t>Energy use, mean</t>
        </is>
      </c>
      <c r="B5617">
        <v>2540</v>
      </c>
    </row>
    <row r="5618">
      <c r="A5618" t="inlineStr">
        <is>
          <t>Energy use, min</t>
        </is>
      </c>
      <c r="B5618">
        <v>1660</v>
      </c>
    </row>
    <row r="5619">
      <c r="A5619" t="inlineStr">
        <is>
          <t>Energy use, max</t>
        </is>
      </c>
      <c r="B5619">
        <v>3020</v>
      </c>
    </row>
    <row r="5620">
      <c r="A5620" t="inlineStr">
        <is>
          <t>Electric motor, mean</t>
        </is>
      </c>
      <c r="B5620">
        <v>0</v>
      </c>
    </row>
    <row r="5621">
      <c r="A5621" t="inlineStr">
        <is>
          <t>Electric motor, min</t>
        </is>
      </c>
      <c r="B5621">
        <v>0</v>
      </c>
    </row>
    <row r="5622">
      <c r="A5622" t="inlineStr">
        <is>
          <t>Electric motor, max</t>
        </is>
      </c>
      <c r="B5622">
        <v>0</v>
      </c>
    </row>
    <row r="5623">
      <c r="A5623" t="inlineStr">
        <is>
          <t>Combustion engine, mean</t>
        </is>
      </c>
      <c r="B5623">
        <v>145</v>
      </c>
    </row>
    <row r="5624">
      <c r="A5624" t="inlineStr">
        <is>
          <t>Combustion engine, min</t>
        </is>
      </c>
      <c r="B5624">
        <v>96</v>
      </c>
    </row>
    <row r="5625">
      <c r="A5625" t="inlineStr">
        <is>
          <t>Combustion engine, max</t>
        </is>
      </c>
      <c r="B5625">
        <v>169</v>
      </c>
    </row>
    <row r="5626">
      <c r="A5626" t="inlineStr">
        <is>
          <t>Fuel tank, mean</t>
        </is>
      </c>
      <c r="B5626">
        <v>75</v>
      </c>
    </row>
    <row r="5627">
      <c r="A5627" t="inlineStr">
        <is>
          <t>Fuel tank, min</t>
        </is>
      </c>
      <c r="B5627">
        <v>57</v>
      </c>
    </row>
    <row r="5628">
      <c r="A5628" t="inlineStr">
        <is>
          <t>Fuel tank, max</t>
        </is>
      </c>
      <c r="B5628">
        <v>89</v>
      </c>
    </row>
    <row r="5629">
      <c r="A5629" t="inlineStr">
        <is>
          <t>Battery capacity, mean</t>
        </is>
      </c>
      <c r="B5629">
        <v>0</v>
      </c>
    </row>
    <row r="5630">
      <c r="A5630" t="inlineStr">
        <is>
          <t>Battery capacity, min</t>
        </is>
      </c>
      <c r="B5630">
        <v>0</v>
      </c>
    </row>
    <row r="5631">
      <c r="A5631" t="inlineStr">
        <is>
          <t>Battery capacity, max</t>
        </is>
      </c>
      <c r="B5631">
        <v>0</v>
      </c>
    </row>
    <row r="5632">
      <c r="A5632" t="inlineStr">
        <is>
          <t>Battery replacement, mean</t>
        </is>
      </c>
      <c r="B5632">
        <v>0</v>
      </c>
    </row>
    <row r="5633">
      <c r="A5633" t="inlineStr">
        <is>
          <t>Battery replacement, min</t>
        </is>
      </c>
      <c r="B5633">
        <v>0</v>
      </c>
    </row>
    <row r="5634">
      <c r="A5634" t="inlineStr">
        <is>
          <t>Battery replacement, max</t>
        </is>
      </c>
      <c r="B5634">
        <v>0</v>
      </c>
    </row>
    <row r="5635">
      <c r="A5635" t="inlineStr">
        <is>
          <t>Fuel cell system, mean</t>
        </is>
      </c>
      <c r="B5635">
        <v>0</v>
      </c>
    </row>
    <row r="5636">
      <c r="A5636" t="inlineStr">
        <is>
          <t>Fuel cell system, min</t>
        </is>
      </c>
      <c r="B5636">
        <v>0</v>
      </c>
    </row>
    <row r="5637">
      <c r="A5637" t="inlineStr">
        <is>
          <t>Fuel cell system, max</t>
        </is>
      </c>
      <c r="B5637">
        <v>0</v>
      </c>
    </row>
    <row r="5638">
      <c r="A5638" t="inlineStr">
        <is>
          <t>Fuel cell stack replacement, mean</t>
        </is>
      </c>
      <c r="B5638">
        <v>0</v>
      </c>
    </row>
    <row r="5639">
      <c r="A5639" t="inlineStr">
        <is>
          <t>Fuel cell replacement, min</t>
        </is>
      </c>
      <c r="B5639">
        <v>0</v>
      </c>
    </row>
    <row r="5640">
      <c r="A5640" t="inlineStr">
        <is>
          <t>Fuel cell replacement, max</t>
        </is>
      </c>
      <c r="B5640">
        <v>0</v>
      </c>
    </row>
    <row r="5641">
      <c r="A5641" t="inlineStr">
        <is>
          <t>Onboard charger mass</t>
        </is>
      </c>
      <c r="B5641">
        <v>0</v>
      </c>
    </row>
    <row r="5642">
      <c r="A5642" t="inlineStr">
        <is>
          <t>Controller mass</t>
        </is>
      </c>
      <c r="B5642">
        <v>0</v>
      </c>
    </row>
    <row r="5643">
      <c r="A5643" t="inlineStr">
        <is>
          <t>Converter mass</t>
        </is>
      </c>
      <c r="B5643">
        <v>0</v>
      </c>
    </row>
    <row r="5644">
      <c r="A5644" t="inlineStr">
        <is>
          <t>Electrical powertrain mass</t>
        </is>
      </c>
      <c r="B5644">
        <v>0</v>
      </c>
    </row>
    <row r="5645">
      <c r="A5645" t="inlineStr">
        <is>
          <t>Inverter mass</t>
        </is>
      </c>
      <c r="B5645">
        <v>0</v>
      </c>
    </row>
    <row r="5646">
      <c r="A5646" t="inlineStr">
        <is>
          <t>NOx</t>
        </is>
      </c>
      <c r="B5646">
        <v>0.006443871</v>
      </c>
    </row>
    <row r="5647">
      <c r="A5647" t="inlineStr">
        <is>
          <t>PM 2.5</t>
        </is>
      </c>
      <c r="B5647">
        <v>0.000968063</v>
      </c>
    </row>
    <row r="5648">
      <c r="A5648" t="inlineStr">
        <is>
          <t>energy use source</t>
        </is>
      </c>
      <c r="B5648"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49">
      <c r="A5649" t="inlineStr">
        <is>
          <t>comment</t>
        </is>
      </c>
      <c r="B5649"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50">
      <c r="A5650" t="inlineStr">
        <is>
          <t>Exchanges</t>
        </is>
      </c>
    </row>
    <row r="5651">
      <c r="A5651" t="inlineStr">
        <is>
          <t>name</t>
        </is>
      </c>
      <c r="B5651" t="inlineStr">
        <is>
          <t>amount</t>
        </is>
      </c>
      <c r="C5651" t="inlineStr">
        <is>
          <t>location</t>
        </is>
      </c>
      <c r="D5651" t="inlineStr">
        <is>
          <t>unit</t>
        </is>
      </c>
      <c r="E5651" t="inlineStr">
        <is>
          <t>categories</t>
        </is>
      </c>
      <c r="F5651" t="inlineStr">
        <is>
          <t>type</t>
        </is>
      </c>
      <c r="G5651" t="inlineStr">
        <is>
          <t>reference product</t>
        </is>
      </c>
      <c r="H5651" t="inlineStr">
        <is>
          <t>comment</t>
        </is>
      </c>
      <c r="I5651" t="inlineStr">
        <is>
          <t>uncertainty type</t>
        </is>
      </c>
    </row>
    <row r="5652">
      <c r="A5652" t="inlineStr">
        <is>
          <t>biomethane, burned in passenger car</t>
        </is>
      </c>
      <c r="B5652">
        <v>1.0</v>
      </c>
      <c r="C5652" t="inlineStr">
        <is>
          <t>RER</t>
        </is>
      </c>
      <c r="D5652" t="inlineStr">
        <is>
          <t>megajoule</t>
        </is>
      </c>
      <c r="F5652" t="inlineStr">
        <is>
          <t>production</t>
        </is>
      </c>
      <c r="G5652" t="inlineStr">
        <is>
          <t>heat</t>
        </is>
      </c>
      <c r="I5652">
        <v>0</v>
      </c>
    </row>
    <row r="5653">
      <c r="A5653" t="inlineStr">
        <is>
          <t>biomethane, gaseous, 5 bar, from sewage sludge fermentation, at fuelling station</t>
        </is>
      </c>
      <c r="B5653">
        <v>0.021052631578947368</v>
      </c>
      <c r="C5653" t="inlineStr">
        <is>
          <t>RER</t>
        </is>
      </c>
      <c r="D5653" t="inlineStr">
        <is>
          <t>kilogram</t>
        </is>
      </c>
      <c r="F5653" t="inlineStr">
        <is>
          <t>technosphere</t>
        </is>
      </c>
      <c r="G5653" t="inlineStr">
        <is>
          <t>biomethane, high pressure</t>
        </is>
      </c>
      <c r="I5653">
        <v>0</v>
      </c>
    </row>
    <row r="5654">
      <c r="A5654" t="inlineStr">
        <is>
          <t>treatment of brake wear emissions, passenger car</t>
        </is>
      </c>
      <c r="B5654">
        <v>-6.778061331794415e-06</v>
      </c>
      <c r="C5654" t="inlineStr">
        <is>
          <t>RER</t>
        </is>
      </c>
      <c r="D5654" t="inlineStr">
        <is>
          <t>kilogram</t>
        </is>
      </c>
      <c r="F5654" t="inlineStr">
        <is>
          <t>technosphere</t>
        </is>
      </c>
      <c r="G5654" t="inlineStr">
        <is>
          <t>brake wear emissions, passenger car</t>
        </is>
      </c>
      <c r="I5654">
        <v>0</v>
      </c>
    </row>
    <row r="5655">
      <c r="A5655" t="inlineStr">
        <is>
          <t>treatment of road wear emissions, passenger car</t>
        </is>
      </c>
      <c r="B5655">
        <v>-7.779768914966537e-06</v>
      </c>
      <c r="C5655" t="inlineStr">
        <is>
          <t>RER</t>
        </is>
      </c>
      <c r="D5655" t="inlineStr">
        <is>
          <t>kilogram</t>
        </is>
      </c>
      <c r="F5655" t="inlineStr">
        <is>
          <t>technosphere</t>
        </is>
      </c>
      <c r="G5655" t="inlineStr">
        <is>
          <t>road wear emissions, passenger car</t>
        </is>
      </c>
      <c r="I5655">
        <v>0</v>
      </c>
    </row>
    <row r="5656">
      <c r="A5656" t="inlineStr">
        <is>
          <t>treatment of tyre wear emissions, passenger car</t>
        </is>
      </c>
      <c r="B5656">
        <v>-9.017947831786646e-06</v>
      </c>
      <c r="C5656" t="inlineStr">
        <is>
          <t>RER</t>
        </is>
      </c>
      <c r="D5656" t="inlineStr">
        <is>
          <t>kilogram</t>
        </is>
      </c>
      <c r="F5656" t="inlineStr">
        <is>
          <t>technosphere</t>
        </is>
      </c>
      <c r="G5656" t="inlineStr">
        <is>
          <t>tyre wear emissions, passenger car</t>
        </is>
      </c>
      <c r="I5656">
        <v>0</v>
      </c>
    </row>
    <row r="5657">
      <c r="A5657" t="inlineStr">
        <is>
          <t>market for tetrafluoroethane, R134a</t>
        </is>
      </c>
      <c r="B5657">
        <v>3.0069860156014323e-06</v>
      </c>
      <c r="C5657" t="inlineStr">
        <is>
          <t>GLO</t>
        </is>
      </c>
      <c r="D5657" t="inlineStr">
        <is>
          <t>kilogram</t>
        </is>
      </c>
      <c r="F5657" t="inlineStr">
        <is>
          <t>technosphere</t>
        </is>
      </c>
      <c r="G5657" t="inlineStr">
        <is>
          <t>tetrafluoroethane, R134a</t>
        </is>
      </c>
      <c r="I5657">
        <v>0</v>
      </c>
    </row>
    <row r="5658">
      <c r="A5658" t="inlineStr">
        <is>
          <t>NMVOC, non-methane volatile organic compounds</t>
        </is>
      </c>
      <c r="B5658">
        <v>3.716326596666934e-06</v>
      </c>
      <c r="D5658" t="inlineStr">
        <is>
          <t>kilogram</t>
        </is>
      </c>
      <c r="E5658" t="inlineStr">
        <is>
          <t>air::non-urban air or from high stacks</t>
        </is>
      </c>
      <c r="F5658" t="inlineStr">
        <is>
          <t>biosphere</t>
        </is>
      </c>
      <c r="I5658">
        <v>0</v>
      </c>
    </row>
    <row r="5659">
      <c r="A5659" t="inlineStr">
        <is>
          <t>Nitrogen oxides</t>
        </is>
      </c>
      <c r="B5659">
        <v>3.973486347763085e-06</v>
      </c>
      <c r="D5659" t="inlineStr">
        <is>
          <t>kilogram</t>
        </is>
      </c>
      <c r="E5659" t="inlineStr">
        <is>
          <t>air::non-urban air or from high stacks</t>
        </is>
      </c>
      <c r="F5659" t="inlineStr">
        <is>
          <t>biosphere</t>
        </is>
      </c>
      <c r="I5659">
        <v>0</v>
      </c>
    </row>
    <row r="5660">
      <c r="A5660" t="inlineStr">
        <is>
          <t>Benzene</t>
        </is>
      </c>
      <c r="B5660">
        <v>2.997037832439638e-08</v>
      </c>
      <c r="D5660" t="inlineStr">
        <is>
          <t>kilogram</t>
        </is>
      </c>
      <c r="E5660" t="inlineStr">
        <is>
          <t>air::non-urban air or from high stacks</t>
        </is>
      </c>
      <c r="F5660" t="inlineStr">
        <is>
          <t>biosphere</t>
        </is>
      </c>
      <c r="I5660">
        <v>0</v>
      </c>
    </row>
    <row r="5661">
      <c r="A5661" t="inlineStr">
        <is>
          <t>Methane, fossil</t>
        </is>
      </c>
      <c r="B5661">
        <v>1.3562634312581863e-06</v>
      </c>
      <c r="D5661" t="inlineStr">
        <is>
          <t>kilogram</t>
        </is>
      </c>
      <c r="E5661" t="inlineStr">
        <is>
          <t>air::urban air close to ground</t>
        </is>
      </c>
      <c r="F5661" t="inlineStr">
        <is>
          <t>biosphere</t>
        </is>
      </c>
      <c r="I5661">
        <v>0</v>
      </c>
    </row>
    <row r="5662">
      <c r="A5662" t="inlineStr">
        <is>
          <t>NMVOC, non-methane volatile organic compounds</t>
        </is>
      </c>
      <c r="B5662">
        <v>3.6528790310344626e-05</v>
      </c>
      <c r="D5662" t="inlineStr">
        <is>
          <t>kilogram</t>
        </is>
      </c>
      <c r="E5662" t="inlineStr">
        <is>
          <t>air::urban air close to ground</t>
        </is>
      </c>
      <c r="F5662" t="inlineStr">
        <is>
          <t>biosphere</t>
        </is>
      </c>
      <c r="I5662">
        <v>0</v>
      </c>
    </row>
    <row r="5663">
      <c r="A5663" t="inlineStr">
        <is>
          <t>Nitrogen oxides</t>
        </is>
      </c>
      <c r="B5663">
        <v>1.0599559274731076e-05</v>
      </c>
      <c r="D5663" t="inlineStr">
        <is>
          <t>kilogram</t>
        </is>
      </c>
      <c r="E5663" t="inlineStr">
        <is>
          <t>air::urban air close to ground</t>
        </is>
      </c>
      <c r="F5663" t="inlineStr">
        <is>
          <t>biosphere</t>
        </is>
      </c>
      <c r="I5663">
        <v>0</v>
      </c>
    </row>
    <row r="5664">
      <c r="A5664" t="inlineStr">
        <is>
          <t>Carbon monoxide, fossil</t>
        </is>
      </c>
      <c r="B5664">
        <v>0.0001491440623544035</v>
      </c>
      <c r="D5664" t="inlineStr">
        <is>
          <t>kilogram</t>
        </is>
      </c>
      <c r="E5664" t="inlineStr">
        <is>
          <t>air::urban air close to ground</t>
        </is>
      </c>
      <c r="F5664" t="inlineStr">
        <is>
          <t>biosphere</t>
        </is>
      </c>
      <c r="I5664">
        <v>0</v>
      </c>
    </row>
    <row r="5665">
      <c r="A5665" t="inlineStr">
        <is>
          <t>1,1,1,2-Tetrafluoroethane</t>
        </is>
      </c>
      <c r="B5665">
        <v>1.7347996001117329e-06</v>
      </c>
      <c r="D5665" t="inlineStr">
        <is>
          <t>kilogram</t>
        </is>
      </c>
      <c r="E5665" t="inlineStr">
        <is>
          <t>air</t>
        </is>
      </c>
      <c r="F5665" t="inlineStr">
        <is>
          <t>biosphere</t>
        </is>
      </c>
      <c r="I5665">
        <v>0</v>
      </c>
    </row>
    <row r="5666">
      <c r="A5666" t="inlineStr">
        <is>
          <t>Benzene</t>
        </is>
      </c>
      <c r="B5666">
        <v>1.7940791045168867e-06</v>
      </c>
      <c r="D5666" t="inlineStr">
        <is>
          <t>kilogram</t>
        </is>
      </c>
      <c r="E5666" t="inlineStr">
        <is>
          <t>air::urban air close to ground</t>
        </is>
      </c>
      <c r="F5666" t="inlineStr">
        <is>
          <t>biosphere</t>
        </is>
      </c>
      <c r="I5666">
        <v>0</v>
      </c>
    </row>
    <row r="5667">
      <c r="A5667" t="inlineStr">
        <is>
          <t>fuel tank assembly, compressed natural gas, 200 bar, carculator passenger car 2020</t>
        </is>
      </c>
      <c r="B5667">
        <v>0.00017353583134432305</v>
      </c>
      <c r="C5667" t="inlineStr">
        <is>
          <t>RER</t>
        </is>
      </c>
      <c r="D5667" t="inlineStr">
        <is>
          <t>kilogram</t>
        </is>
      </c>
      <c r="F5667" t="inlineStr">
        <is>
          <t>technosphere</t>
        </is>
      </c>
      <c r="G5667" t="inlineStr">
        <is>
          <t>fuel tank, compressed natural gas, 200 bar</t>
        </is>
      </c>
      <c r="H5667" t="inlineStr">
        <is>
          <t> Energy-use allocation: 75.02415466308594 * 4.999999873689376e-06 / 2.1616329085074186 MJ per kilometer.</t>
        </is>
      </c>
      <c r="I5667">
        <v>0</v>
      </c>
    </row>
    <row r="5668">
      <c r="A5668" t="inlineStr">
        <is>
          <t>market for internal combustion engine, passenger car</t>
        </is>
      </c>
      <c r="B5668">
        <v>0.0006204787197014541</v>
      </c>
      <c r="C5668" t="inlineStr">
        <is>
          <t>GLO</t>
        </is>
      </c>
      <c r="D5668" t="inlineStr">
        <is>
          <t>kilogram</t>
        </is>
      </c>
      <c r="F5668" t="inlineStr">
        <is>
          <t>technosphere</t>
        </is>
      </c>
      <c r="G5668" t="inlineStr">
        <is>
          <t>internal combustion engine, passenger car</t>
        </is>
      </c>
      <c r="H5668" t="inlineStr">
        <is>
          <t> Energy-use allocation: 268.2494506835938 * 4.999999873689376e-06 / 2.1616329085074186 MJ per kilometer.</t>
        </is>
      </c>
      <c r="I5668">
        <v>0</v>
      </c>
    </row>
    <row r="5669">
      <c r="A5669" t="inlineStr">
        <is>
          <t>market for waste plastic, industrial electronics</t>
        </is>
      </c>
      <c r="B5669">
        <v>-0.00017353583134432305</v>
      </c>
      <c r="C5669" t="inlineStr">
        <is>
          <t>CH</t>
        </is>
      </c>
      <c r="D5669" t="inlineStr">
        <is>
          <t>kilogram</t>
        </is>
      </c>
      <c r="F5669" t="inlineStr">
        <is>
          <t>technosphere</t>
        </is>
      </c>
      <c r="G5669" t="inlineStr">
        <is>
          <t>waste plastic, industrial electronics</t>
        </is>
      </c>
      <c r="H5669" t="inlineStr">
        <is>
          <t> Energy-use allocation: -75.02415466308594 * 4.999999873689376e-06 / 2.1616329085074186 MJ per kilometer.</t>
        </is>
      </c>
      <c r="I5669">
        <v>0</v>
      </c>
    </row>
    <row r="5670">
      <c r="A5670" t="inlineStr">
        <is>
          <t>Carbon dioxide, non-fossil</t>
        </is>
      </c>
      <c r="B5670">
        <v>0.06</v>
      </c>
      <c r="D5670" t="inlineStr">
        <is>
          <t>kilogram</t>
        </is>
      </c>
      <c r="E5670" t="inlineStr">
        <is>
          <t>air::urban air close to ground</t>
        </is>
      </c>
      <c r="F5670" t="inlineStr">
        <is>
          <t>biosphere</t>
        </is>
      </c>
      <c r="I5670">
        <v>0</v>
      </c>
    </row>
    <row r="5671"/>
    <row r="5672" spans="1:12" ns3:dyDescent="0.2">
      <c r="A5672" s="17" t="s">
        <v>2</v>
      </c>
      <c r="B5672" s="17" t="s">
        <v>281</v>
      </c>
    </row>
    <row r="5673" spans="1:12" customFormat="1" ht="16" ns3:dyDescent="0.2">
      <c r="A5673" s="2" t="s">
        <v>3</v>
      </c>
      <c r="B5673" s="2" t="s">
        <v>18</v>
      </c>
      <c r="C5673" s="2"/>
      <c r="D5673" s="2"/>
      <c r="E5673" s="2"/>
      <c r="F5673" s="2"/>
      <c r="G5673" s="2"/>
      <c r="H5673" s="2"/>
      <c r="I5673" s="2"/>
      <c r="J5673" s="2"/>
      <c r="K5673" s="2"/>
      <c r="L5673" s="2"/>
    </row>
    <row r="5674" spans="1:12" customFormat="1" ht="16" ns3:dyDescent="0.2">
      <c r="A5674" s="2" t="s">
        <v>4</v>
      </c>
      <c r="B5674" s="2">
        <v>1</v>
      </c>
      <c r="C5674" s="2"/>
      <c r="D5674" s="2"/>
      <c r="E5674" s="2"/>
      <c r="F5674" s="2"/>
      <c r="G5674" s="2"/>
      <c r="H5674" s="2"/>
      <c r="I5674" s="2"/>
      <c r="J5674" s="2"/>
      <c r="K5674" s="2"/>
      <c r="L5674" s="2"/>
    </row>
    <row r="5675" spans="1:12" customFormat="1" ht="16" ns3:dyDescent="0.2">
      <c r="A5675" s="2" t="s">
        <v>5</v>
      </c>
      <c r="B5675" s="2" t="s">
        <v>1</v>
      </c>
      <c r="C5675" s="2"/>
      <c r="D5675" s="2"/>
      <c r="E5675" s="2"/>
      <c r="F5675" s="2"/>
      <c r="G5675" s="2"/>
      <c r="H5675" s="2"/>
      <c r="I5675" s="2"/>
      <c r="J5675" s="2"/>
    </row>
    <row r="5676" spans="1:12" customFormat="1" ht="16" ns3:dyDescent="0.2">
      <c r="A5676" s="2" t="s">
        <v>6</v>
      </c>
      <c r="B5676" s="2" t="s">
        <v>7</v>
      </c>
      <c r="C5676" s="2"/>
      <c r="D5676" s="2"/>
      <c r="E5676" s="2"/>
      <c r="F5676" s="2"/>
      <c r="G5676" s="2"/>
      <c r="H5676" s="2"/>
      <c r="I5676" s="2"/>
      <c r="J5676" s="2"/>
      <c r="K5676" s="2"/>
      <c r="L5676" s="2"/>
    </row>
    <row r="5677" spans="1:12" customFormat="1" ht="16" ns3:dyDescent="0.2">
      <c r="A5677" s="2" t="s">
        <v>8</v>
      </c>
      <c r="B5677" s="2" t="s">
        <v>17</v>
      </c>
      <c r="C5677" s="2"/>
      <c r="D5677" s="2"/>
      <c r="E5677" s="2"/>
      <c r="F5677" s="2"/>
      <c r="G5677" s="2"/>
      <c r="H5677" s="2"/>
      <c r="I5677" s="2"/>
      <c r="J5677" s="2"/>
      <c r="K5677" s="2"/>
      <c r="L5677" s="2"/>
    </row>
    <row r="5678" spans="1:12" customFormat="1" ht="16" ns3:dyDescent="0.2">
      <c r="A5678" s="1" t="s">
        <v>10</v>
      </c>
      <c r="B5678" s="2"/>
      <c r="C5678" s="2"/>
      <c r="D5678" s="2"/>
      <c r="E5678" s="2"/>
      <c r="F5678" s="2"/>
      <c r="G5678" s="2"/>
      <c r="H5678" s="2"/>
      <c r="I5678" s="2"/>
      <c r="J5678" s="2"/>
      <c r="K5678" s="2"/>
      <c r="L5678" s="2"/>
    </row>
    <row r="5679" spans="1:12" ns3:dyDescent="0.2">
      <c r="A5679" s="17" t="s">
        <v>11</v>
      </c>
      <c r="B5679" s="17" t="s">
        <v>12</v>
      </c>
      <c r="C5679" s="17" t="s">
        <v>3</v>
      </c>
      <c r="D5679" s="17" t="s">
        <v>13</v>
      </c>
      <c r="E5679" s="17" t="s">
        <v>8</v>
      </c>
      <c r="F5679" s="17" t="s">
        <v>6</v>
      </c>
      <c r="G5679" s="17" t="s">
        <v>5</v>
      </c>
    </row>
    <row r="5680" spans="1:12" customFormat="1" ht="16" ns3:dyDescent="0.2">
      <c r="A5680" s="2" t="str">
        <f>B5672</f>
        <v>diesel, synthetic, burned in diesel-electric generating set, 10MW</v>
      </c>
      <c r="B5680" s="2">
        <v>1</v>
      </c>
      <c r="C5680" s="2" t="str">
        <f>B5673</f>
        <v>RER</v>
      </c>
      <c r="D5680" s="2"/>
      <c r="E5680" s="2" t="str">
        <f>B5677</f>
        <v>megajoule</v>
      </c>
      <c r="F5680" s="2" t="s">
        <v>19</v>
      </c>
      <c r="G5680" s="2" t="s">
        <v>1</v>
      </c>
      <c r="H5680" s="2"/>
      <c r="I5680" s="2"/>
      <c r="J5680" s="2"/>
      <c r="K5680" s="2"/>
      <c r="L5680" s="2"/>
    </row>
    <row r="5681" spans="1:12" customFormat="1" ht="16" ns3:dyDescent="0.2">
      <c r="A5681" t="s">
        <v>501</v>
      </c>
      <c r="B5681">
        <v>2.3400000000000001E-2</v>
      </c>
      <c r="C5681" t="s">
        <v>18</v>
      </c>
      <c r="E5681" t="s">
        <v>9</v>
      </c>
      <c r="F5681" t="s">
        <v>23</v>
      </c>
      <c r="G5681" t="s">
        <v>273</v>
      </c>
      <c r="H5681" s="2"/>
      <c r="I5681" s="2"/>
      <c r="J5681" s="2"/>
      <c r="K5681" s="2"/>
    </row>
    <row r="5682" spans="1:12" customFormat="1" ht="16" ns3:dyDescent="0.2">
      <c r="A5682" t="s">
        <v>283</v>
      </c>
      <c r="B5682" s="3">
        <v>1.8500000000000001E-10</v>
      </c>
      <c r="C5682" t="s">
        <v>114</v>
      </c>
      <c r="E5682" t="s">
        <v>8</v>
      </c>
      <c r="F5682" t="s">
        <v>23</v>
      </c>
      <c r="G5682" t="s">
        <v>282</v>
      </c>
      <c r="H5682" s="2"/>
      <c r="I5682" s="2"/>
      <c r="J5682" s="2"/>
      <c r="K5682" s="2"/>
    </row>
    <row r="5683" spans="1:12" customFormat="1" ht="16" ns3:dyDescent="0.2">
      <c r="A5683" t="s">
        <v>285</v>
      </c>
      <c r="B5683" s="3">
        <v>6.7000000000000002E-5</v>
      </c>
      <c r="C5683" t="s">
        <v>127</v>
      </c>
      <c r="E5683" t="s">
        <v>9</v>
      </c>
      <c r="F5683" t="s">
        <v>23</v>
      </c>
      <c r="G5683" t="s">
        <v>284</v>
      </c>
      <c r="H5683" s="2"/>
      <c r="I5683" s="2"/>
      <c r="J5683" s="2"/>
      <c r="K5683" s="2"/>
    </row>
    <row r="5684" spans="1:12" customFormat="1" ht="16" ns3:dyDescent="0.2">
      <c r="A5684" t="s">
        <v>287</v>
      </c>
      <c r="B5684" s="3">
        <v>-6.7000000000000002E-5</v>
      </c>
      <c r="C5684" t="s">
        <v>22</v>
      </c>
      <c r="E5684" t="s">
        <v>9</v>
      </c>
      <c r="F5684" t="s">
        <v>23</v>
      </c>
      <c r="G5684" t="s">
        <v>286</v>
      </c>
      <c r="H5684" s="2"/>
      <c r="I5684" s="2"/>
      <c r="J5684" s="2"/>
      <c r="K5684" s="2"/>
    </row>
    <row r="5685" spans="1:12" customFormat="1" ht="16" ns3:dyDescent="0.2">
      <c r="A5685" t="s">
        <v>50</v>
      </c>
      <c r="B5685" s="3">
        <v>2E-8</v>
      </c>
      <c r="D5685" t="s">
        <v>100</v>
      </c>
      <c r="E5685" t="s">
        <v>9</v>
      </c>
      <c r="F5685" t="s">
        <v>15</v>
      </c>
      <c r="H5685" s="2"/>
      <c r="I5685" s="2"/>
      <c r="J5685" s="2"/>
      <c r="K5685" s="2"/>
    </row>
    <row r="5686" spans="1:11" customFormat="1" ht="16" ns3:dyDescent="0.2">
      <c r="A5686" t="s">
        <v>288</v>
      </c>
      <c r="B5686" s="3">
        <v>1E-10</v>
      </c>
      <c r="D5686" t="s">
        <v>100</v>
      </c>
      <c r="E5686" t="s">
        <v>9</v>
      </c>
      <c r="F5686" t="s">
        <v>15</v>
      </c>
      <c r="H5686" s="2"/>
      <c r="I5686" s="2"/>
      <c r="J5686" s="2"/>
      <c r="K5686" s="2"/>
    </row>
    <row r="5687" spans="1:11" customFormat="1" ht="16" ns3:dyDescent="0.2">
      <c r="A5687" t="s">
        <v>52</v>
      </c>
      <c r="B5687" s="3">
        <v>2.3400000000000002E-10</v>
      </c>
      <c r="D5687" t="s">
        <v>100</v>
      </c>
      <c r="E5687" t="s">
        <v>9</v>
      </c>
      <c r="F5687" t="s">
        <v>15</v>
      </c>
      <c r="H5687" s="2"/>
      <c r="I5687" s="2"/>
      <c r="J5687" s="2"/>
      <c r="K5687" s="2"/>
    </row>
    <row r="5688" spans="1:11" customFormat="1" ht="16" ns3:dyDescent="0.2">
      <c r="A5688" t="s">
        <v>123</v>
      </c>
      <c r="B5688">
        <v>6.8000000000000005E-4</v>
      </c>
      <c r="D5688" t="s">
        <v>100</v>
      </c>
      <c r="E5688" t="s">
        <v>9</v>
      </c>
      <c r="F5688" t="s">
        <v>15</v>
      </c>
      <c r="H5688" s="2"/>
      <c r="I5688" s="2"/>
      <c r="J5688" s="2"/>
      <c r="K5688" s="2"/>
    </row>
    <row r="5689" spans="1:11" customFormat="1" ht="16" ns3:dyDescent="0.2">
      <c r="A5689" t="s">
        <v>55</v>
      </c>
      <c r="B5689" s="3">
        <v>1.1700000000000001E-9</v>
      </c>
      <c r="D5689" t="s">
        <v>100</v>
      </c>
      <c r="E5689" t="s">
        <v>9</v>
      </c>
      <c r="F5689" t="s">
        <v>15</v>
      </c>
      <c r="H5689" s="2"/>
      <c r="I5689" s="2"/>
      <c r="J5689" s="2"/>
      <c r="K5689" s="2"/>
    </row>
    <row r="5690" spans="1:11" customFormat="1" ht="16" ns3:dyDescent="0.2">
      <c r="A5690" t="s">
        <v>56</v>
      </c>
      <c r="B5690" s="3">
        <v>2.3400000000000001E-12</v>
      </c>
      <c r="D5690" t="s">
        <v>100</v>
      </c>
      <c r="E5690" t="s">
        <v>9</v>
      </c>
      <c r="F5690" t="s">
        <v>15</v>
      </c>
      <c r="H5690" s="2"/>
      <c r="I5690" s="2"/>
      <c r="J5690" s="2"/>
      <c r="K5690" s="2"/>
    </row>
    <row r="5691" spans="1:11" customFormat="1" ht="16" ns3:dyDescent="0.2">
      <c r="A5691" t="s">
        <v>57</v>
      </c>
      <c r="B5691" s="3">
        <v>3.9699999999999998E-8</v>
      </c>
      <c r="D5691" t="s">
        <v>100</v>
      </c>
      <c r="E5691" t="s">
        <v>9</v>
      </c>
      <c r="F5691" t="s">
        <v>15</v>
      </c>
      <c r="H5691" s="2"/>
      <c r="I5691" s="2"/>
      <c r="J5691" s="2"/>
      <c r="K5691" s="2"/>
    </row>
    <row r="5692" spans="1:11" customFormat="1" ht="16" ns3:dyDescent="0.2">
      <c r="A5692" t="s">
        <v>58</v>
      </c>
      <c r="B5692" s="3">
        <v>6.0000000000000002E-6</v>
      </c>
      <c r="D5692" t="s">
        <v>100</v>
      </c>
      <c r="E5692" t="s">
        <v>9</v>
      </c>
      <c r="F5692" t="s">
        <v>15</v>
      </c>
      <c r="H5692" s="2"/>
      <c r="I5692" s="2"/>
      <c r="J5692" s="2"/>
      <c r="K5692" s="2"/>
    </row>
    <row r="5693" spans="1:11" customFormat="1" ht="16" ns3:dyDescent="0.2">
      <c r="A5693" t="s">
        <v>64</v>
      </c>
      <c r="B5693" s="3">
        <v>4.6700000000000004E-10</v>
      </c>
      <c r="D5693" t="s">
        <v>100</v>
      </c>
      <c r="E5693" t="s">
        <v>9</v>
      </c>
      <c r="F5693" t="s">
        <v>15</v>
      </c>
      <c r="H5693" s="2"/>
      <c r="I5693" s="2"/>
      <c r="J5693" s="2"/>
      <c r="K5693" s="2"/>
    </row>
    <row r="5694" spans="1:11" customFormat="1" ht="16" ns3:dyDescent="0.2">
      <c r="A5694" t="s">
        <v>177</v>
      </c>
      <c r="B5694" s="3">
        <v>1.6550862912263E-7</v>
      </c>
      <c r="D5694" t="s">
        <v>100</v>
      </c>
      <c r="E5694" t="s">
        <v>9</v>
      </c>
      <c r="F5694" t="s">
        <v>15</v>
      </c>
      <c r="H5694" s="2"/>
      <c r="I5694" s="2"/>
      <c r="J5694" s="2"/>
      <c r="K5694" s="2"/>
    </row>
    <row r="5695" spans="1:11" customFormat="1" ht="16" ns3:dyDescent="0.2">
      <c r="A5695" t="s">
        <v>67</v>
      </c>
      <c r="B5695" s="3">
        <v>9.2399999999999996E-5</v>
      </c>
      <c r="D5695" t="s">
        <v>100</v>
      </c>
      <c r="E5695" t="s">
        <v>9</v>
      </c>
      <c r="F5695" t="s">
        <v>15</v>
      </c>
      <c r="H5695" s="2"/>
      <c r="I5695" s="2"/>
      <c r="J5695" s="2"/>
      <c r="K5695" s="2"/>
    </row>
    <row r="5696" spans="1:11" customFormat="1" ht="16" ns3:dyDescent="0.2">
      <c r="A5696" t="s">
        <v>68</v>
      </c>
      <c r="B5696" s="3">
        <v>1.6399999999999999E-9</v>
      </c>
      <c r="D5696" t="s">
        <v>100</v>
      </c>
      <c r="E5696" t="s">
        <v>9</v>
      </c>
      <c r="F5696" t="s">
        <v>15</v>
      </c>
      <c r="H5696" s="2"/>
      <c r="I5696" s="2"/>
      <c r="J5696" s="2"/>
      <c r="K5696" s="2"/>
    </row>
    <row r="5697" spans="1:11" customFormat="1" ht="16" ns3:dyDescent="0.2">
      <c r="A5697" t="s">
        <v>69</v>
      </c>
      <c r="B5697">
        <v>1.21684812166632E-3</v>
      </c>
      <c r="D5697" t="s">
        <v>100</v>
      </c>
      <c r="E5697" t="s">
        <v>9</v>
      </c>
      <c r="F5697" t="s">
        <v>15</v>
      </c>
      <c r="H5697" s="2"/>
      <c r="I5697" s="2"/>
      <c r="J5697" s="2"/>
      <c r="K5697" s="2"/>
    </row>
    <row r="5698" spans="1:11" customFormat="1" ht="16" ns3:dyDescent="0.2">
      <c r="A5698" t="s">
        <v>71</v>
      </c>
      <c r="B5698">
        <v>1.7000000000000001E-4</v>
      </c>
      <c r="D5698" t="s">
        <v>100</v>
      </c>
      <c r="E5698" t="s">
        <v>9</v>
      </c>
      <c r="F5698" t="s">
        <v>15</v>
      </c>
      <c r="H5698" s="2"/>
      <c r="I5698" s="2"/>
      <c r="J5698" s="2"/>
      <c r="K5698" s="2"/>
    </row>
    <row r="5699" spans="1:11" customFormat="1" ht="16" ns3:dyDescent="0.2">
      <c r="A5699" t="s">
        <v>75</v>
      </c>
      <c r="B5699" s="3">
        <v>2.3400000000000002E-10</v>
      </c>
      <c r="D5699" t="s">
        <v>100</v>
      </c>
      <c r="E5699" t="s">
        <v>9</v>
      </c>
      <c r="F5699" t="s">
        <v>15</v>
      </c>
      <c r="H5699" s="2"/>
      <c r="I5699" s="2"/>
      <c r="J5699" s="2"/>
      <c r="K5699" s="2"/>
    </row>
    <row r="5700" spans="1:11" customFormat="1" ht="16" ns3:dyDescent="0.2">
      <c r="A5700" t="s">
        <v>77</v>
      </c>
      <c r="B5700" s="3">
        <v>6.0099999999999997E-5</v>
      </c>
      <c r="D5700" t="s">
        <v>100</v>
      </c>
      <c r="E5700" t="s">
        <v>9</v>
      </c>
      <c r="F5700" t="s">
        <v>15</v>
      </c>
      <c r="H5700" s="2"/>
      <c r="I5700" s="2"/>
      <c r="J5700" s="2"/>
      <c r="K5700" s="2"/>
    </row>
    <row r="5701" spans="1:11" customFormat="1" ht="16" ns3:dyDescent="0.2">
      <c r="A5701" t="s">
        <v>79</v>
      </c>
      <c r="B5701" s="3">
        <v>2.3400000000000001E-8</v>
      </c>
      <c r="D5701" t="s">
        <v>100</v>
      </c>
      <c r="E5701" t="s">
        <v>9</v>
      </c>
      <c r="F5701" t="s">
        <v>15</v>
      </c>
      <c r="H5701" s="2"/>
      <c r="I5701" s="2"/>
      <c r="J5701" s="2"/>
      <c r="K5701" s="2"/>
    </row>
    <row r="5702" spans="1:11" customFormat="1" ht="16" ns3:dyDescent="0.2">
      <c r="A5702" t="s">
        <v>122</v>
      </c>
      <c r="B5702">
        <f>B5681*3.15</f>
        <v>7.3709999999999998E-2</v>
      </c>
      <c r="D5702" t="s">
        <v>116</v>
      </c>
      <c r="E5702" t="s">
        <v>9</v>
      </c>
      <c r="F5702" t="s">
        <v>15</v>
      </c>
      <c r="H5702" s="2"/>
      <c r="I5702" s="2"/>
      <c r="J5702" s="2"/>
      <c r="K5702"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