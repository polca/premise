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<sst xmlns="http://schemas.openxmlformats.org/spreadsheetml/2006/main" count="14523" uniqueCount="505">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</sst>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road auxiliary DC engineering analogue", "converter, road auxiliary DC engineering analogue", "GLO", "kilogram"], "amount per vehicle": 25.0, "vehicle per source service": 1.428571428571429e-07, "replacement correction factor": 1.0, "amount per MJ": 4.70255175861621e-06},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 "approved workbook reference": "Batch4; lifetime energy allocation retained unless explicitly stated."}</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converter, road auxiliary DC engineering analogue</t>
        </is>
      </c>
      <c r="B1771">
        <v>4.70255175861621e-06</v>
      </c>
      <c r="C1771" t="inlineStr">
        <is>
          <t>GLO</t>
        </is>
      </c>
      <c r="D1771" t="inlineStr">
        <is>
          <t>kilogram</t>
        </is>
      </c>
      <c r="F1771" t="inlineStr">
        <is>
          <t>technosphere</t>
        </is>
      </c>
      <c r="G1771" t="inlineStr">
        <is>
          <t>converter, road auxiliary DC engineering analogue</t>
        </is>
      </c>
      <c r="H1771" t="inlineStr">
        <is>
          <t> Energy-use allocation: 25 * 1.428571428571429e-07 / 0.7594660845326908 MJ per person kilometer.</t>
        </is>
      </c>
      <c r="I1771">
        <v>0</v>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road auxiliary DC engineering analogue", "converter, road auxiliary DC engineering analogue", "GLO", "kilogram"], "amount per vehicle": 25.0, "vehicle per source service": 1.428571428571429e-07, "replacement correction factor": 1.0, "amount per MJ": 3.4101477255284147e-06},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 "approved workbook reference": "Batch4; lifetime energy allocation retained unless explicitly stated."}</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converter, road auxiliary DC engineering analogue</t>
        </is>
      </c>
      <c r="B1842">
        <v>3.4101477255284147e-06</v>
      </c>
      <c r="C1842" t="inlineStr">
        <is>
          <t>GLO</t>
        </is>
      </c>
      <c r="D1842" t="inlineStr">
        <is>
          <t>kilogram</t>
        </is>
      </c>
      <c r="F1842" t="inlineStr">
        <is>
          <t>technosphere</t>
        </is>
      </c>
      <c r="G1842" t="inlineStr">
        <is>
          <t>converter, road auxiliary DC engineering analogue</t>
        </is>
      </c>
      <c r="H1842" t="inlineStr">
        <is>
          <t> Energy-use allocation: 25 * 1.428571428571429e-07 / 1.0472943868949744 MJ per person kilometer.</t>
        </is>
      </c>
      <c r="I1842">
        <v>0</v>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road auxiliary DC engineering analogue", "converter, road auxiliary DC engineering analogue", "GLO", "kilogram"], "amount per vehicle": 25.0, "vehicle per source service": 1e-07, "replacement correction factor": 1.0, "amount per MJ": 4.332507071149654e-06}, {"supplier": ["traction powertrain, permanent-magnet motor engineering reference", "traction powertrain, permanent-magnet motor engineering reference",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 "approved workbook reference": "Batch4; lifetime energy allocation retained unless explicitly stated."}</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converter, road auxiliary DC engineering analogue</t>
        </is>
      </c>
      <c r="B1909">
        <v>4.332507071149654e-06</v>
      </c>
      <c r="C1909" t="inlineStr">
        <is>
          <t>GLO</t>
        </is>
      </c>
      <c r="D1909" t="inlineStr">
        <is>
          <t>kilogram</t>
        </is>
      </c>
      <c r="F1909" t="inlineStr">
        <is>
          <t>technosphere</t>
        </is>
      </c>
      <c r="G1909" t="inlineStr">
        <is>
          <t>converter, road auxiliary DC engineering analogue</t>
        </is>
      </c>
      <c r="H1909" t="inlineStr">
        <is>
          <t> Energy-use allocation: 25 * 1e-07 / 0.5770331032227517 MJ per person kilometer.</t>
        </is>
      </c>
      <c r="I1909">
        <v>0</v>
      </c>
    </row>
    <row r="1910">
      <c r="A1910" t="inlineStr">
        <is>
          <t>traction powertrain, permanent-magnet motor engineering reference</t>
        </is>
      </c>
      <c r="B1910">
        <v>1.5106321069400454e-05</v>
      </c>
      <c r="C1910" t="inlineStr">
        <is>
          <t>GLO</t>
        </is>
      </c>
      <c r="D1910" t="inlineStr">
        <is>
          <t>kilogram</t>
        </is>
      </c>
      <c r="F1910" t="inlineStr">
        <is>
          <t>technosphere</t>
        </is>
      </c>
      <c r="G1910" t="inlineStr">
        <is>
          <t>traction powertrain, permanent-magnet motor engineering reference</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"approved workbook reference": "Batch4; lifetime energy allocation retained unless explicitly stated."}</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Energy-use allocation: 4.470652103424072 * 4.999999873689376e-06 / 1.0726335662454156 MJ per kilometer.</t>
        </is>
      </c>
      <c r="I2075">
        <v>0</v>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road auxiliary DC engineering analogue", "converter, road auxiliary DC engineering analogue", "GLO", "kilogram"], "amount per vehicle": 25.0, "vehicle per source service": 1.367427797431765e-07, "replacement correction factor": 1.0, "amount per MJ": 7.869231653337545e-06},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converter, road auxiliary DC engineering analogue</t>
        </is>
      </c>
      <c r="B2853">
        <v>7.869231653337545e-06</v>
      </c>
      <c r="C2853" t="inlineStr">
        <is>
          <t>GLO</t>
        </is>
      </c>
      <c r="D2853" t="inlineStr">
        <is>
          <t>kilogram</t>
        </is>
      </c>
      <c r="F2853" t="inlineStr">
        <is>
          <t>technosphere</t>
        </is>
      </c>
      <c r="G2853" t="inlineStr">
        <is>
          <t>converter, road auxiliary DC engineering analogue</t>
        </is>
      </c>
      <c r="H2853" t="inlineStr">
        <is>
          <t> Energy-use allocation: 25 * 1.367427797431765e-07 / 0.4344222719799472 MJ per ton kilometer.</t>
        </is>
      </c>
      <c r="I2853">
        <v>0</v>
      </c>
    </row>
    <row r="2854">
      <c r="A2854" t="inlineStr">
        <is>
          <t>traction powertrain, permanent-magnet motor engineering reference</t>
        </is>
      </c>
      <c r="B2854">
        <v>0.00018886155968010109</v>
      </c>
      <c r="C2854" t="inlineStr">
        <is>
          <t>GLO</t>
        </is>
      </c>
      <c r="D2854" t="inlineStr">
        <is>
          <t>kilogram</t>
        </is>
      </c>
      <c r="F2854" t="inlineStr">
        <is>
          <t>technosphere</t>
        </is>
      </c>
      <c r="G2854" t="inlineStr">
        <is>
          <t>traction powertrain, permanent-magnet motor engineering reference</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road auxiliary DC engineering analogue", "converter, road auxiliary DC engineering analogue", "GLO", "kilogram"], "amount per vehicle": 25.0, "vehicle per source service": 1.367427797431765e-07, "replacement correction factor": 1.0, "amount per MJ": 4.3220679480869664e-06},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"approved workbook reference": "Batch4; lifetime energy allocation retained unless explicitly stated."}</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converter, road auxiliary DC engineering analogue</t>
        </is>
      </c>
      <c r="B2922">
        <v>4.3220679480869664e-06</v>
      </c>
      <c r="C2922" t="inlineStr">
        <is>
          <t>GLO</t>
        </is>
      </c>
      <c r="D2922" t="inlineStr">
        <is>
          <t>kilogram</t>
        </is>
      </c>
      <c r="F2922" t="inlineStr">
        <is>
          <t>technosphere</t>
        </is>
      </c>
      <c r="G2922" t="inlineStr">
        <is>
          <t>converter, road auxiliary DC engineering analogue</t>
        </is>
      </c>
      <c r="H2922" t="inlineStr">
        <is>
          <t> Energy-use allocation: 25 * 1.367427797431765e-07 / 0.7909569064254391 MJ per ton kilometer.</t>
        </is>
      </c>
      <c r="I2922">
        <v>0</v>
      </c>
    </row>
    <row r="2923">
      <c r="A2923" t="inlineStr">
        <is>
          <t>traction powertrain, permanent-magnet motor engineering reference</t>
        </is>
      </c>
      <c r="B2923">
        <v>4.3230698532424135e-05</v>
      </c>
      <c r="C2923" t="inlineStr">
        <is>
          <t>GLO</t>
        </is>
      </c>
      <c r="D2923" t="inlineStr">
        <is>
          <t>kilogram</t>
        </is>
      </c>
      <c r="F2923" t="inlineStr">
        <is>
          <t>technosphere</t>
        </is>
      </c>
      <c r="G2923" t="inlineStr">
        <is>
          <t>traction powertrain, permanent-magnet motor engineering reference</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2.1539736382199533e-05}],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 "rail fuel cell lifetime reference": "Item29:8stacksets and12BoPsets over240000h", "approved workbook reference": "Batch4; lifetime energy allocation retained unless explicitly stated."}</t>
        </is>
      </c>
    </row>
    <row r="3816">
      <c r="A3816" t="inlineStr">
        <is>
          <t>comment</t>
        </is>
      </c>
      <c r="B3816" t="inlineStr">
        <is>
          <t xml:space="preserve">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Energy-use allocation: 5.960869789123535 * 4.999999873689376e-06 / 0.6339995384216309 MJ per kilometer.</t>
        </is>
      </c>
      <c r="I5377">
        <v>0</v>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Energy-use allocation: 4.470652103424072 * 4.999999873689376e-06 / 0.6339995384216309 MJ per kilometer.</t>
        </is>
      </c>
      <c r="I5378">
        <v>0</v>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ROAD CHARGER/CONVERTER REFERENCE MASS ACCOUNTING, issue37, 2026-10-18. NewRide2013 public appendix p66 https://www.newride.ch/documents/Forschungsprojekt_E-Scooters_2013/Anhang_zu_Schlussbericht_E-Scooter_2013.pdf; BRUSA NLG513 Jan2013 datasheet6.2kgwatercooled/3.3kWDC(3.68kWAC); BRUSA2023 BSC624 https://www.brusahypower.com/wp-content/uploads/2023/08/Datasheet_BSC6xx_20230704_Rev.-2.pdf pp2-3. Historical partial9.43145percent/4.4542percent positive residuals are NOT proven overcounts. New explicit6.2kgwatercooled NLG513-class charger:public gross material purchases from p66, engineering95percentretention for nonmetalcomponent purchases,80percentCu/steel/brass retention; retain source grossAl3.812kg and calibrate only its finishedhousing mass as6.2kg minus separately declared retainedcomponents. This is a mass-budget housing ENGINEERING ASSUMPTION, not recovery of measured gross-to-net yields or uniform source normalization; housing thickness,fins and wastefactor need directteardown confirmation. Include source separate.164kgmountedboardproxy plus.263m2barethroughholeboard; their assumed distinct roles may be wrong and are a board-boundary sensitivity, not merged as duplicate without evidence. Bareboardreference1.6mm1850kg/m3FR4,4x35umCu,50percentCuarea;retained3.5872kg/m2. Manufacture95percentCu/FR4retention with matching scrap,10kWh/m2; chemicaletch/drilling/plating/finish gaps remain. Nonmetal/componentprocessloss uses hazardous-waste-incineration as an explicit unvalidated mixedcomponent fateproxy. Other filmcapacitors,ferrite,resin,stainless,Cu,brass,Al2O3,silicone,HIPS retained explicitly; processservices are not counted asproductmass. Source unsupported area-only ceramicresistorprocessing is not a retainedmaterial input;source.006kgresistors modeled by real surface-resistormanufacturingproxy. Source0.0269kWh+72.7MJheat retained as assemblyreference; no new measuredfactoryclaim. New auxiliary DC/DC reference4.8kgBSC624,220-450VHV,14V200Acontinuous =&gt;2.8kW,250Apeak=&gt;3.5kW. PDF continuous/maxpower rows conflict with these currentratings; adopt conservative current-derived2.8kWcontinuous. PUBLIC COMPONENT RECIPE NOT AVAILABLE:transfer corrected charger retained material proportions perkg as explicit DC/DC ANALOGUE,not manufacturer BSC624BOM. Sensitivityboardarea0.5-2x,componentfractions andhousingresidual; increasing a component reduceshousing withinfixedmass, not normalizeallinputs. This leaves topology-specificmagnetics/semiconductor/capacitor uncertainty, so convertermetalcoefficients are not certified. Keep existingvehiclekg/duty/replacementbudgets:chargernameplateequivalent=qkg/6.2*3.3kW;converter=qkg/4.8*2.8kW. Fractionaldeviceequivalence, thermaladequacy and voltageadaptation forbus/truck remain explicit gaps; no new inferredintegerunits or fastchargerpower.400/800Vbuscompatibility is not established by this450Vdevice reference. Separate offboard fastchargers and roadinverters unchanged; railconverters unchanged. ExistingperMJadapter retains renamedcharger/converterhardware. No chassis/road added, no sourceenergydemand or primary/secondary changes; EOL remains existingvehicle treatment boundary and dedicatedcomponentEOLgap.
PREVIOUS NOTES (retained as history; the correction above takes precedence):
APPROVED TRACTION MAGNET GRADE REFERENCES, issue36, 2026-10-18. Jones etal2025 DOI10.1021/jacs.5c04150 SI TableS2, samplesB3 andA1; Hsieh etal2026 DOI10.1007/s11367-026-02610-7 SI TableS11 PMSM bulk components. Select one measured B3 magnet as engineering composition reference, NOT fleet average from two rotors. B3 masspercent:Nd21.9,Pr7.4,Tb0.5,Ho1.7,Co2.2,B0.9,Al0.2,Ca0.2,Fe64.8,Cu0.2 (sum100);Dy not detected, not proof absolutezero. Separate A1 sensitivity:Nd26.6,Tb0.6,Dy0.5,Ho2.2,Co2.4,B0.9,Al0.2,Ca0.1,Ti0.2,Fe66.2,Cu0.2;roundedsource99.9 normalized by99.9. Grade choice has substantialNd/Pr/Dy/Tb/Ho/Co sensitivity; unknown fleet penetration,gradeevolution and coercivity requirements remain gaps. Purchase individual oxide suppliers at stoichiometric containedmetal equivalents Nd2O3,Pr6O11,Tb4O7,Ho2O3,Dy2O3,Coasmetal,othermetals explicitly; B usesboricoxide/Causesquicklime/TiusesTiO2 as supply proxies. Oxide-to-metal reduction/reagents,oxygen/byproduct fate,boron/calciumretention and magnet coating are unresolved manufacturing gaps, not a closed full metallurgical process. Assume95percent magnet-material retention, matching5percentfinishedoffcut treatmentproxy, no recyclingcredit; yield sensitivity85-100percent and15kWh/kgmagnetprocess sensitivity5-30. Wholeoxide feed mass can exceed finishedmagnet mass due to oxygen:do not normalize elementalshares by gross feed mass. New roadmotor uses public PMSM non-magnet proportions20.3kgelectricalsteel,4.8Cu,14.6Al,3.9balance allocatedordinary steel as explicit shaft/bearingproxy. Missing source3.9kg componentbreakdown is not a measured steelrecipe. Keep existing0.03735849kgfinishedmagnet/kgmotor and all vehicle motor masses rather than resize magnetdemand to1.3/44.9kg/kg from a differentmotor. Distribute remainingmass across public non-magnet proportions; electricalsteelexisting3.2percentSi reference. Genericmetalworking+1kWh/kgassembly,100percentmotorassemblyretention. Existing motorsteel/Algrades remainproxies; efficiency/torque/voltage not revalidated. Dedicated name outside genericEVmetaloverlay deliberately fixes this source design over time; avoids aluminum overlay doublecount and Nd-onlyoverwrite. No unsupported future gradelearning; future static-vs-learning comparison remains required. Rewire direct car/truck/bus roadmotor inputs and explicit roadperMJ copies; inductionrail/tram unchanged. Existing sourcevehicle life andMJallocation retained. Native backgroundmotor and genericmagnet supplies remain unchanged for other consumers. Individualoxideproviders keep REidentities visible to containedmetal accounting; no primary/secondary claim.
PREVIOUS NOTES (retained as history; the correction above takes precedence):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"approved workbook reference": "Batch4; lifetime energy allocation retained unless explicitly stated."}</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Energy-use allocation: 4.470652103424072 * 4.999999873689376e-06 / 1.0726335662454156 MJ per kilometer.</t>
        </is>
      </c>
      <c r="I5444">
        <v>0</v>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