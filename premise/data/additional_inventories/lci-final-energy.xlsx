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081CFB89-CE57-A848-B478-5A33F2B46378}" xr6:coauthVersionLast="47" xr6:coauthVersionMax="47" xr10:uidLastSave="{00000000-0000-0000-0000-000000000000}"/>
  <bookViews>
    <workbookView xWindow="4460" yWindow="760" windowWidth="25800" windowHeight="18880" xr2:uid="{B8299F2D-33B8-E148-B485-6429887DEB23}"/>
  </bookViews>
  <sheets>
    <sheet name="Inventories" sheetId="1" r:id="rId1"/>
    <sheet name="Parameters" sheetId="2" r:id="rId2"/>
  </sheets>
  <definedNames>
    <definedName name="_xlnm._FilterDatabase" localSheetId="0" hidden="1">Inventories!$A$1:$O$3753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8" i="1" l="1"/>
  <c r="A318" i="1"/>
  <c r="G317" i="1"/>
  <c r="E317" i="1"/>
  <c r="C317" i="1"/>
  <c r="A317" i="1"/>
  <c r="B306" i="1"/>
  <c r="B304" i="1"/>
  <c r="B303" i="1"/>
  <c r="B296" i="1"/>
  <c r="A295" i="1"/>
  <c r="A262" i="1"/>
  <c r="A229" i="1"/>
  <c r="B285" i="1"/>
  <c r="A285" i="1"/>
  <c r="G284" i="1"/>
  <c r="E284" i="1"/>
  <c r="C284" i="1"/>
  <c r="A284" i="1"/>
  <c r="B273" i="1"/>
  <c r="B271" i="1"/>
  <c r="B263" i="1"/>
  <c r="B270" i="1" s="1"/>
  <c r="B252" i="1"/>
  <c r="A252" i="1"/>
  <c r="G251" i="1"/>
  <c r="E251" i="1"/>
  <c r="C251" i="1"/>
  <c r="A251" i="1"/>
  <c r="B240" i="1"/>
  <c r="B230" i="1"/>
  <c r="B237" i="1" s="1"/>
  <c r="B2792" i="1"/>
  <c r="B2796" i="1" s="1"/>
  <c r="G2791" i="1"/>
  <c r="E2791" i="1"/>
  <c r="C2791" i="1"/>
  <c r="A2791" i="1"/>
  <c r="B3229" i="1"/>
  <c r="B3227" i="1"/>
  <c r="B3200" i="1"/>
  <c r="J3200" i="1" s="1"/>
  <c r="L3199" i="1"/>
  <c r="K3199" i="1"/>
  <c r="B3199" i="1"/>
  <c r="J3199" i="1" s="1"/>
  <c r="B3198" i="1"/>
  <c r="B3210" i="1" s="1"/>
  <c r="G3197" i="1"/>
  <c r="E3197" i="1"/>
  <c r="C3197" i="1"/>
  <c r="A3197" i="1"/>
  <c r="B2860" i="1"/>
  <c r="B2864" i="1" s="1"/>
  <c r="G2859" i="1"/>
  <c r="E2859" i="1"/>
  <c r="C2859" i="1"/>
  <c r="A2859" i="1"/>
  <c r="B887" i="1"/>
  <c r="B885" i="1"/>
  <c r="B859" i="1"/>
  <c r="B868" i="1" s="1"/>
  <c r="L858" i="1"/>
  <c r="K858" i="1"/>
  <c r="B858" i="1"/>
  <c r="J858" i="1" s="1"/>
  <c r="L857" i="1"/>
  <c r="K857" i="1"/>
  <c r="B857" i="1"/>
  <c r="J857" i="1" s="1"/>
  <c r="A856" i="1"/>
  <c r="B457" i="1"/>
  <c r="B456" i="1"/>
  <c r="B466" i="1" s="1"/>
  <c r="E455" i="1"/>
  <c r="C455" i="1"/>
  <c r="A455" i="1"/>
  <c r="B365" i="1"/>
  <c r="B364" i="1"/>
  <c r="B374" i="1" s="1"/>
  <c r="E363" i="1"/>
  <c r="C363" i="1"/>
  <c r="A363" i="1"/>
  <c r="B3109" i="1"/>
  <c r="B3121" i="1" s="1"/>
  <c r="G3108" i="1"/>
  <c r="E3108" i="1"/>
  <c r="C3108" i="1"/>
  <c r="A3108" i="1"/>
  <c r="B3140" i="1"/>
  <c r="B3138" i="1"/>
  <c r="L3110" i="1"/>
  <c r="B2826" i="1"/>
  <c r="B2830" i="1" s="1"/>
  <c r="G2825" i="1"/>
  <c r="E2825" i="1"/>
  <c r="C2825" i="1"/>
  <c r="A2825" i="1"/>
  <c r="A766" i="1"/>
  <c r="B769" i="1"/>
  <c r="B778" i="1" s="1"/>
  <c r="B797" i="1"/>
  <c r="B795" i="1"/>
  <c r="B411" i="1"/>
  <c r="B410" i="1"/>
  <c r="B420" i="1" s="1"/>
  <c r="E409" i="1"/>
  <c r="C409" i="1"/>
  <c r="A409" i="1"/>
  <c r="B238" i="1" l="1"/>
  <c r="B3201" i="1"/>
  <c r="J3201" i="1" s="1"/>
  <c r="K3200" i="1"/>
  <c r="K3201" i="1" s="1"/>
  <c r="L3200" i="1"/>
  <c r="L3201" i="1" s="1"/>
  <c r="K3110" i="1"/>
  <c r="B3111" i="1"/>
  <c r="J3111" i="1" s="1"/>
  <c r="B3110" i="1"/>
  <c r="J3110" i="1" s="1"/>
  <c r="B3112" i="1"/>
  <c r="J3112" i="1" s="1"/>
  <c r="B767" i="1"/>
  <c r="J767" i="1" s="1"/>
  <c r="L768" i="1"/>
  <c r="B768" i="1"/>
  <c r="J768" i="1" s="1"/>
  <c r="K767" i="1"/>
  <c r="L767" i="1"/>
  <c r="K768" i="1"/>
  <c r="K3111" i="1" l="1"/>
  <c r="K3112" i="1" s="1"/>
  <c r="L3111" i="1"/>
  <c r="L3112" i="1" s="1"/>
  <c r="B2553" i="1"/>
  <c r="B2552" i="1"/>
  <c r="B208" i="1" l="1"/>
  <c r="G207" i="1"/>
  <c r="E207" i="1"/>
  <c r="C207" i="1"/>
  <c r="A207" i="1"/>
  <c r="B2650" i="1"/>
  <c r="B2654" i="1" s="1"/>
  <c r="B2601" i="1"/>
  <c r="B2509" i="1" l="1"/>
  <c r="G2508" i="1"/>
  <c r="E2508" i="1"/>
  <c r="C2508" i="1"/>
  <c r="A2508" i="1"/>
  <c r="B2529" i="1" l="1"/>
  <c r="B2528" i="1"/>
  <c r="B2513" i="1"/>
  <c r="B2627" i="1"/>
  <c r="B2626" i="1"/>
  <c r="B2625" i="1"/>
  <c r="B2646" i="1"/>
  <c r="B2645" i="1"/>
  <c r="B2644" i="1"/>
  <c r="B2643" i="1"/>
  <c r="B2642" i="1"/>
  <c r="B2641" i="1"/>
  <c r="B2640" i="1"/>
  <c r="B2639" i="1"/>
  <c r="B2638" i="1"/>
  <c r="B2637" i="1"/>
  <c r="B2636" i="1"/>
  <c r="B2635" i="1"/>
  <c r="B2634" i="1"/>
  <c r="B2633" i="1"/>
  <c r="B2632" i="1"/>
  <c r="B2631" i="1"/>
  <c r="B2630" i="1"/>
  <c r="B2629" i="1"/>
  <c r="B2628" i="1"/>
  <c r="B2624" i="1"/>
  <c r="B2623" i="1"/>
  <c r="B2622" i="1"/>
  <c r="B2621" i="1"/>
  <c r="B2620" i="1"/>
  <c r="B2619" i="1"/>
  <c r="B2618" i="1"/>
  <c r="B2617" i="1"/>
  <c r="B2616" i="1"/>
  <c r="B2615" i="1"/>
  <c r="B2614" i="1"/>
  <c r="B2613" i="1"/>
  <c r="B2612" i="1"/>
  <c r="B2611" i="1"/>
  <c r="B2610" i="1"/>
  <c r="A2600"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V58" i="2"/>
  <c r="U58" i="2"/>
  <c r="T58" i="2"/>
  <c r="AA58" i="2"/>
  <c r="AB58" i="2"/>
  <c r="Z58" i="2"/>
  <c r="S58" i="2"/>
  <c r="R58" i="2"/>
  <c r="Q58" i="2"/>
  <c r="J58" i="2"/>
  <c r="I58" i="2"/>
  <c r="H58" i="2"/>
  <c r="J59" i="2"/>
  <c r="I59" i="2"/>
  <c r="H59" i="2"/>
  <c r="G2649" i="1"/>
  <c r="E2649" i="1"/>
  <c r="C2649" i="1"/>
  <c r="A2649" i="1"/>
  <c r="G2600" i="1"/>
  <c r="E2600" i="1"/>
  <c r="C2600" i="1"/>
  <c r="B2666" i="1"/>
  <c r="B2665" i="1"/>
  <c r="B2668" i="1" s="1"/>
  <c r="G2664" i="1"/>
  <c r="E2664" i="1"/>
  <c r="C2664" i="1"/>
  <c r="A2664" i="1"/>
  <c r="J53" i="2"/>
  <c r="B2372" i="1" s="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1" i="1"/>
  <c r="B2369" i="1"/>
  <c r="B2368" i="1"/>
  <c r="B2367" i="1"/>
  <c r="B2366" i="1"/>
  <c r="B2365" i="1"/>
  <c r="B2364"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I53" i="2"/>
  <c r="H53" i="2"/>
  <c r="B2370" i="1" s="1"/>
  <c r="J52" i="2"/>
  <c r="I52" i="2"/>
  <c r="H52" i="2"/>
  <c r="J51" i="2"/>
  <c r="I51" i="2"/>
  <c r="H51" i="2"/>
  <c r="H50" i="2"/>
  <c r="I50" i="2"/>
  <c r="J50" i="2"/>
  <c r="B2651" i="1" l="1"/>
  <c r="J2651" i="1" s="1"/>
  <c r="B2653" i="1"/>
  <c r="J2653" i="1" s="1"/>
  <c r="L2651" i="1"/>
  <c r="K2653" i="1"/>
  <c r="L2653" i="1"/>
  <c r="K2651" i="1"/>
  <c r="B2652" i="1"/>
  <c r="J2652" i="1" s="1"/>
  <c r="K2652" i="1"/>
  <c r="L2652" i="1"/>
  <c r="K2602" i="1"/>
  <c r="B2602" i="1"/>
  <c r="J2602" i="1" s="1"/>
  <c r="L2602" i="1"/>
  <c r="B2667" i="1"/>
  <c r="B2405" i="1"/>
  <c r="J2405" i="1" s="1"/>
  <c r="K2405" i="1"/>
  <c r="L2405" i="1"/>
  <c r="K2455" i="1"/>
  <c r="B2455" i="1"/>
  <c r="J2455" i="1" s="1"/>
  <c r="L2455" i="1"/>
  <c r="B2404" i="1" l="1"/>
  <c r="B2454" i="1"/>
  <c r="G2453" i="1"/>
  <c r="E2453" i="1"/>
  <c r="C2453" i="1"/>
  <c r="A2453" i="1"/>
  <c r="G2403" i="1"/>
  <c r="E2403" i="1"/>
  <c r="C2403" i="1"/>
  <c r="A2403" i="1"/>
  <c r="B2206" i="1"/>
  <c r="B2225" i="1" s="1"/>
  <c r="B2205" i="1"/>
  <c r="B2227" i="1" s="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29" i="1"/>
  <c r="B2148" i="1" s="1"/>
  <c r="B2128" i="1"/>
  <c r="B2150" i="1" s="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51" i="1"/>
  <c r="B2070" i="1" s="1"/>
  <c r="B2050" i="1"/>
  <c r="B2072" i="1" s="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848" i="1"/>
  <c r="B1869" i="1" s="1"/>
  <c r="B1847" i="1"/>
  <c r="B1872" i="1" s="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760" i="1"/>
  <c r="B1781" i="1" s="1"/>
  <c r="B1759" i="1"/>
  <c r="B1784" i="1" s="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64" i="1"/>
  <c r="B1180" i="1" s="1"/>
  <c r="B1163" i="1"/>
  <c r="B1179" i="1" s="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099" i="1"/>
  <c r="B1115" i="1" s="1"/>
  <c r="B1098" i="1"/>
  <c r="B1114" i="1" s="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34" i="1"/>
  <c r="B1050" i="1" s="1"/>
  <c r="B1033" i="1"/>
  <c r="B1049" i="1" s="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43" i="1"/>
  <c r="B977" i="1" s="1"/>
  <c r="B942" i="1"/>
  <c r="B975" i="1" s="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707" i="1"/>
  <c r="B705" i="1"/>
  <c r="B583" i="1"/>
  <c r="B617" i="1" s="1"/>
  <c r="B582" i="1"/>
  <c r="B615" i="1" s="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3703" i="1"/>
  <c r="B3719" i="1" s="1"/>
  <c r="B3702" i="1"/>
  <c r="B3718" i="1" s="1"/>
  <c r="B3701" i="1"/>
  <c r="B3700" i="1"/>
  <c r="B3699" i="1"/>
  <c r="B3698" i="1"/>
  <c r="B3697" i="1"/>
  <c r="B3696" i="1"/>
  <c r="B3695" i="1"/>
  <c r="B3694" i="1"/>
  <c r="B3693" i="1"/>
  <c r="B3692" i="1"/>
  <c r="B3691" i="1"/>
  <c r="B3690" i="1"/>
  <c r="B3689" i="1"/>
  <c r="B3688" i="1"/>
  <c r="B3687" i="1"/>
  <c r="B3686" i="1"/>
  <c r="B3685" i="1"/>
  <c r="B3684" i="1"/>
  <c r="B3683" i="1"/>
  <c r="B3682" i="1"/>
  <c r="B3681" i="1"/>
  <c r="B3680" i="1"/>
  <c r="B3679" i="1"/>
  <c r="B3678" i="1"/>
  <c r="B3677" i="1"/>
  <c r="B3676" i="1"/>
  <c r="B3675" i="1"/>
  <c r="B3674" i="1"/>
  <c r="B3673" i="1"/>
  <c r="B3672" i="1"/>
  <c r="B3671" i="1"/>
  <c r="B3670" i="1"/>
  <c r="B3669" i="1"/>
  <c r="B3668" i="1"/>
  <c r="B3667" i="1"/>
  <c r="B3641" i="1"/>
  <c r="B3657" i="1" s="1"/>
  <c r="B3640" i="1"/>
  <c r="B3656" i="1" s="1"/>
  <c r="B3639" i="1"/>
  <c r="B3638" i="1"/>
  <c r="B3637" i="1"/>
  <c r="B3636" i="1"/>
  <c r="B3635" i="1"/>
  <c r="B3634" i="1"/>
  <c r="B3633" i="1"/>
  <c r="B3632" i="1"/>
  <c r="B3631" i="1"/>
  <c r="B3630" i="1"/>
  <c r="B3629" i="1"/>
  <c r="B3628" i="1"/>
  <c r="B3627" i="1"/>
  <c r="B3626" i="1"/>
  <c r="B3625" i="1"/>
  <c r="B3624" i="1"/>
  <c r="B3623" i="1"/>
  <c r="B3622" i="1"/>
  <c r="B3621" i="1"/>
  <c r="B3620" i="1"/>
  <c r="B3619" i="1"/>
  <c r="B3618" i="1"/>
  <c r="B3617" i="1"/>
  <c r="B3616" i="1"/>
  <c r="B3615" i="1"/>
  <c r="B3614" i="1"/>
  <c r="B3613" i="1"/>
  <c r="B3612" i="1"/>
  <c r="B3611" i="1"/>
  <c r="B3610" i="1"/>
  <c r="B3609" i="1"/>
  <c r="B3608" i="1"/>
  <c r="B3607" i="1"/>
  <c r="B3606" i="1"/>
  <c r="B3605" i="1"/>
  <c r="B3579" i="1"/>
  <c r="B3595" i="1" s="1"/>
  <c r="B3578" i="1"/>
  <c r="B3594" i="1" s="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3544" i="1"/>
  <c r="B3543" i="1"/>
  <c r="B3522" i="1"/>
  <c r="B3521" i="1"/>
  <c r="B3520" i="1"/>
  <c r="B3519" i="1"/>
  <c r="B3518" i="1"/>
  <c r="B3517" i="1"/>
  <c r="B3516" i="1"/>
  <c r="B3515" i="1"/>
  <c r="B3514" i="1"/>
  <c r="B3513" i="1"/>
  <c r="B3512" i="1"/>
  <c r="B3511" i="1"/>
  <c r="B3510" i="1"/>
  <c r="B3509" i="1"/>
  <c r="B3508" i="1"/>
  <c r="B3507" i="1"/>
  <c r="B3506" i="1"/>
  <c r="B3505" i="1"/>
  <c r="B3504" i="1"/>
  <c r="B3503" i="1"/>
  <c r="B3502" i="1"/>
  <c r="B3501" i="1"/>
  <c r="B3500" i="1"/>
  <c r="B3499" i="1"/>
  <c r="B3498" i="1"/>
  <c r="B3497" i="1"/>
  <c r="B3496" i="1"/>
  <c r="B3495" i="1"/>
  <c r="B3494" i="1"/>
  <c r="B3493" i="1"/>
  <c r="B3492" i="1"/>
  <c r="B3491" i="1"/>
  <c r="B3490" i="1"/>
  <c r="B3489" i="1"/>
  <c r="B3488" i="1"/>
  <c r="B3487" i="1"/>
  <c r="B3486" i="1"/>
  <c r="B3467" i="1"/>
  <c r="B3466" i="1"/>
  <c r="B3465" i="1"/>
  <c r="B3464" i="1"/>
  <c r="B3463" i="1"/>
  <c r="B3462" i="1"/>
  <c r="B3461" i="1"/>
  <c r="B3460" i="1"/>
  <c r="B3459" i="1"/>
  <c r="B3458" i="1"/>
  <c r="B3457" i="1"/>
  <c r="B3456" i="1"/>
  <c r="B3455" i="1"/>
  <c r="B3454" i="1"/>
  <c r="B3453" i="1"/>
  <c r="B3452" i="1"/>
  <c r="B3451" i="1"/>
  <c r="B3450" i="1"/>
  <c r="B3449" i="1"/>
  <c r="B3448" i="1"/>
  <c r="B3447" i="1"/>
  <c r="B3446" i="1"/>
  <c r="B3445" i="1"/>
  <c r="B3444" i="1"/>
  <c r="B3443" i="1"/>
  <c r="B3442" i="1"/>
  <c r="B3441" i="1"/>
  <c r="B3440" i="1"/>
  <c r="B3439" i="1"/>
  <c r="B3438" i="1"/>
  <c r="B3437" i="1"/>
  <c r="B3436" i="1"/>
  <c r="B3435" i="1"/>
  <c r="B3434" i="1"/>
  <c r="B3433" i="1"/>
  <c r="B3432" i="1"/>
  <c r="B3431" i="1"/>
  <c r="B3372" i="1"/>
  <c r="B3411" i="1" s="1"/>
  <c r="B3371" i="1"/>
  <c r="B3409" i="1" s="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283" i="1"/>
  <c r="B3318" i="1" s="1"/>
  <c r="B3282" i="1"/>
  <c r="B3316" i="1" s="1"/>
  <c r="B3281" i="1"/>
  <c r="B3280" i="1"/>
  <c r="B3279" i="1"/>
  <c r="B3278" i="1"/>
  <c r="B3277" i="1"/>
  <c r="B3276" i="1"/>
  <c r="B3275" i="1"/>
  <c r="B3274" i="1"/>
  <c r="B3273" i="1"/>
  <c r="B3272" i="1"/>
  <c r="B3271" i="1"/>
  <c r="B3270" i="1"/>
  <c r="B3269" i="1"/>
  <c r="B3268" i="1"/>
  <c r="B3267" i="1"/>
  <c r="B3266" i="1"/>
  <c r="B3265" i="1"/>
  <c r="B3263" i="1"/>
  <c r="B3262" i="1"/>
  <c r="B3261" i="1"/>
  <c r="B3260" i="1"/>
  <c r="B3259" i="1"/>
  <c r="B3258" i="1"/>
  <c r="B3257" i="1"/>
  <c r="B3256" i="1"/>
  <c r="B3255" i="1"/>
  <c r="B3254" i="1"/>
  <c r="B3253" i="1"/>
  <c r="B3252" i="1"/>
  <c r="B3251" i="1"/>
  <c r="B3250" i="1"/>
  <c r="B3249" i="1"/>
  <c r="B3248" i="1"/>
  <c r="B3247" i="1"/>
  <c r="B3051" i="1"/>
  <c r="B3049" i="1"/>
  <c r="B2927" i="1"/>
  <c r="B2962" i="1" s="1"/>
  <c r="B2926" i="1"/>
  <c r="B2960" i="1" s="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1483" i="1"/>
  <c r="B1482" i="1"/>
  <c r="B1481" i="1"/>
  <c r="B1480" i="1"/>
  <c r="B1479" i="1"/>
  <c r="L1105" i="1" l="1"/>
  <c r="L1040" i="1"/>
  <c r="L1170" i="1"/>
  <c r="B2456" i="1"/>
  <c r="B2457" i="1"/>
  <c r="K2001" i="1"/>
  <c r="L2212" i="1"/>
  <c r="B2211" i="1"/>
  <c r="J2211" i="1" s="1"/>
  <c r="K2211" i="1"/>
  <c r="L2211" i="1"/>
  <c r="L2135" i="1"/>
  <c r="B2212" i="1"/>
  <c r="J2212" i="1" s="1"/>
  <c r="K2134" i="1"/>
  <c r="K2212" i="1"/>
  <c r="K2135" i="1"/>
  <c r="B2134" i="1"/>
  <c r="J2134" i="1" s="1"/>
  <c r="L2134" i="1"/>
  <c r="K2003" i="1"/>
  <c r="L2056" i="1"/>
  <c r="B2056" i="1"/>
  <c r="B2135" i="1"/>
  <c r="J2135" i="1" s="1"/>
  <c r="K2057" i="1"/>
  <c r="L2057" i="1"/>
  <c r="K2002" i="1"/>
  <c r="K2056" i="1"/>
  <c r="K2004" i="1"/>
  <c r="B2057" i="1"/>
  <c r="L2003" i="1"/>
  <c r="L2002" i="1"/>
  <c r="L2001" i="1"/>
  <c r="L2004" i="1"/>
  <c r="K1945" i="1"/>
  <c r="B2003" i="1"/>
  <c r="B1999" i="1"/>
  <c r="B2001" i="1"/>
  <c r="B2002" i="1"/>
  <c r="K1946" i="1"/>
  <c r="B2000" i="1"/>
  <c r="B2004" i="1"/>
  <c r="B1945" i="1"/>
  <c r="B1998" i="1"/>
  <c r="L1945" i="1"/>
  <c r="L1946" i="1"/>
  <c r="B1944" i="1"/>
  <c r="B1852" i="1"/>
  <c r="J1852" i="1" s="1"/>
  <c r="L1853" i="1"/>
  <c r="B1942" i="1"/>
  <c r="B1946" i="1"/>
  <c r="B1943" i="1"/>
  <c r="L1852" i="1"/>
  <c r="B1853" i="1"/>
  <c r="J1853" i="1" s="1"/>
  <c r="K1853" i="1"/>
  <c r="K1852" i="1"/>
  <c r="K1765" i="1"/>
  <c r="L1765" i="1"/>
  <c r="B1764" i="1"/>
  <c r="K1764" i="1"/>
  <c r="L1764" i="1"/>
  <c r="B1765" i="1"/>
  <c r="J1765" i="1" s="1"/>
  <c r="L1370" i="1"/>
  <c r="B1369" i="1"/>
  <c r="B1372" i="1"/>
  <c r="B1370" i="1"/>
  <c r="K1370" i="1"/>
  <c r="B1373" i="1"/>
  <c r="B1371" i="1"/>
  <c r="K1373" i="1"/>
  <c r="L1373" i="1"/>
  <c r="L1313" i="1"/>
  <c r="K1316" i="1"/>
  <c r="L1316" i="1"/>
  <c r="K1311" i="1"/>
  <c r="K1310" i="1"/>
  <c r="L1310" i="1"/>
  <c r="K1313" i="1"/>
  <c r="L1311" i="1"/>
  <c r="B1313" i="1"/>
  <c r="B1312" i="1"/>
  <c r="B1241" i="1"/>
  <c r="B1240" i="1"/>
  <c r="B1315" i="1"/>
  <c r="B1310" i="1"/>
  <c r="J1310" i="1" s="1"/>
  <c r="B1316" i="1"/>
  <c r="B1314" i="1"/>
  <c r="B1311" i="1"/>
  <c r="B1238" i="1"/>
  <c r="B1235" i="1"/>
  <c r="B1236" i="1"/>
  <c r="B1169" i="1"/>
  <c r="J1169" i="1" s="1"/>
  <c r="K1236" i="1"/>
  <c r="B1239" i="1"/>
  <c r="B1237" i="1"/>
  <c r="B1039" i="1"/>
  <c r="L1236" i="1"/>
  <c r="K1239" i="1"/>
  <c r="L1239" i="1"/>
  <c r="K1169" i="1"/>
  <c r="L1169" i="1"/>
  <c r="K1170" i="1"/>
  <c r="B1170" i="1"/>
  <c r="J1170" i="1" s="1"/>
  <c r="K1105" i="1"/>
  <c r="B1105" i="1"/>
  <c r="J1105" i="1" s="1"/>
  <c r="K1104" i="1"/>
  <c r="L1104" i="1"/>
  <c r="B1104" i="1"/>
  <c r="J1104" i="1" s="1"/>
  <c r="B1040" i="1"/>
  <c r="K1040" i="1"/>
  <c r="K1039" i="1"/>
  <c r="L1039" i="1"/>
  <c r="L947" i="1"/>
  <c r="B947" i="1"/>
  <c r="J947" i="1" s="1"/>
  <c r="K948" i="1"/>
  <c r="L948" i="1"/>
  <c r="K947" i="1"/>
  <c r="B948" i="1"/>
  <c r="J948" i="1" s="1"/>
  <c r="B678" i="1"/>
  <c r="J678" i="1" s="1"/>
  <c r="B677" i="1"/>
  <c r="J677" i="1" s="1"/>
  <c r="L677" i="1"/>
  <c r="K677" i="1"/>
  <c r="B587" i="1"/>
  <c r="J587" i="1" s="1"/>
  <c r="K587" i="1"/>
  <c r="K678" i="1"/>
  <c r="L587" i="1"/>
  <c r="B588" i="1"/>
  <c r="J588" i="1" s="1"/>
  <c r="L678" i="1"/>
  <c r="K588" i="1"/>
  <c r="L588" i="1"/>
  <c r="L3585" i="1"/>
  <c r="K3708" i="1"/>
  <c r="L3708" i="1"/>
  <c r="B3709" i="1"/>
  <c r="J3709" i="1" s="1"/>
  <c r="K3709" i="1"/>
  <c r="L3709" i="1"/>
  <c r="B3708" i="1"/>
  <c r="J3708" i="1" s="1"/>
  <c r="K3646" i="1"/>
  <c r="K3647" i="1"/>
  <c r="B3647" i="1"/>
  <c r="J3647" i="1" s="1"/>
  <c r="L3646" i="1"/>
  <c r="L3647" i="1"/>
  <c r="B3646" i="1"/>
  <c r="J3646" i="1" s="1"/>
  <c r="K3584" i="1"/>
  <c r="B3585" i="1"/>
  <c r="J3585" i="1" s="1"/>
  <c r="L3584" i="1"/>
  <c r="K3585" i="1"/>
  <c r="B3584" i="1"/>
  <c r="J3584" i="1" s="1"/>
  <c r="B3530" i="1"/>
  <c r="B3529" i="1"/>
  <c r="K3529" i="1"/>
  <c r="L3530" i="1"/>
  <c r="L3529" i="1"/>
  <c r="K3530" i="1"/>
  <c r="B3533" i="1"/>
  <c r="L3527" i="1"/>
  <c r="K3527" i="1"/>
  <c r="K3528" i="1"/>
  <c r="B3528" i="1"/>
  <c r="B3531" i="1"/>
  <c r="L3528" i="1"/>
  <c r="B3532" i="1"/>
  <c r="B3477" i="1"/>
  <c r="B3527" i="1"/>
  <c r="L3476" i="1"/>
  <c r="B3475" i="1"/>
  <c r="L3472" i="1"/>
  <c r="K3476" i="1"/>
  <c r="B3473" i="1"/>
  <c r="B3472" i="1"/>
  <c r="J3472" i="1" s="1"/>
  <c r="K3472" i="1"/>
  <c r="B3476" i="1"/>
  <c r="J3476" i="1" s="1"/>
  <c r="B3474" i="1"/>
  <c r="B3377" i="1"/>
  <c r="J3377" i="1" s="1"/>
  <c r="B3378" i="1"/>
  <c r="B3379" i="1" s="1"/>
  <c r="J3379" i="1" s="1"/>
  <c r="L3377" i="1"/>
  <c r="K3377" i="1"/>
  <c r="B3288" i="1"/>
  <c r="J3288" i="1" s="1"/>
  <c r="L3288" i="1"/>
  <c r="L3021" i="1"/>
  <c r="B3289" i="1"/>
  <c r="B3290" i="1" s="1"/>
  <c r="J3290" i="1" s="1"/>
  <c r="K3288" i="1"/>
  <c r="B3021" i="1"/>
  <c r="J3021" i="1" s="1"/>
  <c r="K3021" i="1"/>
  <c r="B3022" i="1"/>
  <c r="J3022" i="1" s="1"/>
  <c r="B2933" i="1"/>
  <c r="B2934" i="1" s="1"/>
  <c r="J2934" i="1" s="1"/>
  <c r="K2933" i="1"/>
  <c r="K2934" i="1" s="1"/>
  <c r="L2932" i="1"/>
  <c r="L2933" i="1"/>
  <c r="L2934" i="1" s="1"/>
  <c r="B2932" i="1"/>
  <c r="J2932" i="1" s="1"/>
  <c r="K2932" i="1"/>
  <c r="B1422" i="1"/>
  <c r="B1423" i="1"/>
  <c r="B1424" i="1"/>
  <c r="B1425" i="1"/>
  <c r="B1426" i="1"/>
  <c r="AB11" i="2"/>
  <c r="B1475" i="1" s="1"/>
  <c r="AA11" i="2"/>
  <c r="Z11" i="2"/>
  <c r="B1485" i="1"/>
  <c r="B1484" i="1"/>
  <c r="B1478" i="1"/>
  <c r="B1477" i="1"/>
  <c r="B1476"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28" i="1"/>
  <c r="B1427"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665" i="1"/>
  <c r="B1682" i="1" s="1"/>
  <c r="B1664" i="1"/>
  <c r="B1681" i="1" s="1"/>
  <c r="B1663" i="1"/>
  <c r="B1662" i="1"/>
  <c r="B1661" i="1"/>
  <c r="B1660" i="1"/>
  <c r="B1659" i="1"/>
  <c r="B1658" i="1"/>
  <c r="B1657" i="1"/>
  <c r="B1656" i="1"/>
  <c r="B1655" i="1"/>
  <c r="B1654" i="1"/>
  <c r="B1653" i="1"/>
  <c r="B1652" i="1"/>
  <c r="B1651" i="1"/>
  <c r="B1650" i="1"/>
  <c r="B1649" i="1"/>
  <c r="B1593" i="1"/>
  <c r="B1610" i="1" s="1"/>
  <c r="B1592" i="1"/>
  <c r="B1609" i="1" s="1"/>
  <c r="B1591" i="1"/>
  <c r="B1590" i="1"/>
  <c r="B1589" i="1"/>
  <c r="B1588" i="1"/>
  <c r="B1587" i="1"/>
  <c r="B1586" i="1"/>
  <c r="B1585" i="1"/>
  <c r="B1584" i="1"/>
  <c r="B1583" i="1"/>
  <c r="B1582" i="1"/>
  <c r="B1581" i="1"/>
  <c r="B1580" i="1"/>
  <c r="B1579" i="1"/>
  <c r="B1578" i="1"/>
  <c r="B1577" i="1"/>
  <c r="K3022" i="1" l="1"/>
  <c r="K3023" i="1" s="1"/>
  <c r="L3022" i="1"/>
  <c r="L3023" i="1" s="1"/>
  <c r="J3378" i="1"/>
  <c r="J3289" i="1"/>
  <c r="B3023" i="1"/>
  <c r="J3023" i="1" s="1"/>
  <c r="J2933" i="1"/>
  <c r="B1496" i="1"/>
  <c r="B1493" i="1"/>
  <c r="B1494" i="1"/>
  <c r="B1495" i="1"/>
  <c r="B1438" i="1"/>
  <c r="B1436" i="1"/>
  <c r="B1439" i="1"/>
  <c r="B1440" i="1"/>
  <c r="B1437" i="1"/>
  <c r="K1434" i="1"/>
  <c r="K1490" i="1"/>
  <c r="L1492" i="1"/>
  <c r="K1489" i="1"/>
  <c r="B1489" i="1"/>
  <c r="L1434" i="1"/>
  <c r="B1434" i="1"/>
  <c r="B1492" i="1"/>
  <c r="L1489" i="1"/>
  <c r="K1492" i="1"/>
  <c r="B1490" i="1"/>
  <c r="L1490" i="1"/>
  <c r="L1435" i="1"/>
  <c r="K1435" i="1"/>
  <c r="B1435" i="1"/>
  <c r="J1435" i="1" s="1"/>
  <c r="B1433" i="1"/>
  <c r="J1433" i="1" s="1"/>
  <c r="B1670" i="1"/>
  <c r="L1670" i="1" s="1"/>
  <c r="K1433" i="1"/>
  <c r="L1433" i="1"/>
  <c r="J1670" i="1"/>
  <c r="B1671" i="1"/>
  <c r="L1671" i="1" s="1"/>
  <c r="K1670" i="1"/>
  <c r="B1672" i="1"/>
  <c r="L1672" i="1" s="1"/>
  <c r="K1598" i="1"/>
  <c r="B1598" i="1"/>
  <c r="L1598" i="1" s="1"/>
  <c r="J1598" i="1"/>
  <c r="B1600" i="1"/>
  <c r="L1600" i="1" s="1"/>
  <c r="B1599" i="1"/>
  <c r="L1599" i="1" s="1"/>
  <c r="B1506" i="1"/>
  <c r="B1507" i="1"/>
  <c r="B1508" i="1"/>
  <c r="B1509" i="1"/>
  <c r="B1510" i="1"/>
  <c r="B1511" i="1"/>
  <c r="B1512" i="1"/>
  <c r="B1513" i="1"/>
  <c r="B1514" i="1"/>
  <c r="B1515" i="1"/>
  <c r="B1516" i="1"/>
  <c r="B1517" i="1"/>
  <c r="B1518" i="1"/>
  <c r="B1519" i="1"/>
  <c r="B1520" i="1"/>
  <c r="B1537" i="1" s="1"/>
  <c r="B1521" i="1"/>
  <c r="B1538" i="1" s="1"/>
  <c r="B1505" i="1"/>
  <c r="K3378" i="1" l="1"/>
  <c r="K3379" i="1" s="1"/>
  <c r="L3378" i="1"/>
  <c r="L3379" i="1" s="1"/>
  <c r="K3289" i="1"/>
  <c r="K3290" i="1" s="1"/>
  <c r="L3289" i="1"/>
  <c r="L3290" i="1" s="1"/>
  <c r="K1671" i="1"/>
  <c r="K1672" i="1" s="1"/>
  <c r="J1671" i="1"/>
  <c r="J1672" i="1" s="1"/>
  <c r="J1599" i="1"/>
  <c r="J1600" i="1" s="1"/>
  <c r="K1599" i="1"/>
  <c r="K1600" i="1" s="1"/>
  <c r="B1528" i="1"/>
  <c r="L1528" i="1" s="1"/>
  <c r="B1527" i="1"/>
  <c r="L1527" i="1" s="1"/>
  <c r="K1526" i="1"/>
  <c r="J1526" i="1"/>
  <c r="B1526" i="1"/>
  <c r="L1526" i="1" s="1"/>
  <c r="G2246" i="1"/>
  <c r="B23" i="1"/>
  <c r="G22" i="1"/>
  <c r="E22" i="1"/>
  <c r="C22" i="1"/>
  <c r="A22" i="1"/>
  <c r="B106" i="1"/>
  <c r="K1527" i="1" l="1"/>
  <c r="K1528" i="1" s="1"/>
  <c r="J1527" i="1"/>
  <c r="J1528" i="1" s="1"/>
  <c r="B1669" i="1"/>
  <c r="B2679" i="1" l="1"/>
  <c r="B3753" i="1"/>
  <c r="B1525" i="1"/>
  <c r="B1529" i="1" s="1"/>
  <c r="E3731" i="1" l="1"/>
  <c r="C3731" i="1"/>
  <c r="A3731" i="1"/>
  <c r="B2331" i="1"/>
  <c r="B2330" i="1"/>
  <c r="B2327" i="1"/>
  <c r="G2326" i="1"/>
  <c r="E2326" i="1"/>
  <c r="C2326" i="1"/>
  <c r="A2326" i="1"/>
  <c r="B1673" i="1"/>
  <c r="G1668" i="1"/>
  <c r="E1668" i="1"/>
  <c r="A1668" i="1"/>
  <c r="B949" i="1"/>
  <c r="B958" i="1" s="1"/>
  <c r="B3287" i="1"/>
  <c r="B3299" i="1" s="1"/>
  <c r="G3286" i="1"/>
  <c r="E3286" i="1"/>
  <c r="C3286" i="1"/>
  <c r="A3286" i="1"/>
  <c r="B2724" i="1"/>
  <c r="B2728" i="1" s="1"/>
  <c r="G2723" i="1"/>
  <c r="E2723" i="1"/>
  <c r="C2723" i="1"/>
  <c r="A2723" i="1"/>
  <c r="B1854" i="1"/>
  <c r="B1870" i="1" s="1"/>
  <c r="B2055" i="1"/>
  <c r="B2071" i="1" s="1"/>
  <c r="J2057" i="1"/>
  <c r="J2056" i="1"/>
  <c r="B2210" i="1"/>
  <c r="B2226" i="1" s="1"/>
  <c r="B1103" i="1"/>
  <c r="B1108" i="1" s="1"/>
  <c r="B3645" i="1"/>
  <c r="B3650" i="1" s="1"/>
  <c r="G3644" i="1"/>
  <c r="E3644" i="1"/>
  <c r="C3644" i="1"/>
  <c r="A3644" i="1"/>
  <c r="B341" i="1"/>
  <c r="B342" i="1" s="1"/>
  <c r="E339" i="1"/>
  <c r="C339" i="1"/>
  <c r="A339" i="1"/>
  <c r="B1597" i="1"/>
  <c r="B1601" i="1" s="1"/>
  <c r="G1596" i="1"/>
  <c r="E1596" i="1"/>
  <c r="A1596" i="1"/>
  <c r="B3707" i="1"/>
  <c r="B3712" i="1" s="1"/>
  <c r="G3706" i="1"/>
  <c r="E3706" i="1"/>
  <c r="C3706" i="1"/>
  <c r="A3706" i="1"/>
  <c r="B679" i="1"/>
  <c r="B688" i="1" s="1"/>
  <c r="B1168" i="1"/>
  <c r="B1173" i="1" s="1"/>
  <c r="G2678" i="1"/>
  <c r="E2678" i="1"/>
  <c r="C2678" i="1"/>
  <c r="A2678" i="1"/>
  <c r="B1941" i="1"/>
  <c r="B2133" i="1"/>
  <c r="B2149" i="1" s="1"/>
  <c r="J2004" i="1"/>
  <c r="J2003" i="1"/>
  <c r="J2002" i="1"/>
  <c r="J2001" i="1"/>
  <c r="B1997" i="1"/>
  <c r="J1946" i="1"/>
  <c r="J1945" i="1"/>
  <c r="B1766" i="1"/>
  <c r="B1782" i="1" s="1"/>
  <c r="J1764" i="1"/>
  <c r="G1524" i="1"/>
  <c r="E1524" i="1"/>
  <c r="A1524" i="1"/>
  <c r="J1492" i="1"/>
  <c r="B1491" i="1"/>
  <c r="B1497" i="1" s="1"/>
  <c r="J1490" i="1"/>
  <c r="J1489" i="1"/>
  <c r="J1434" i="1"/>
  <c r="B1432" i="1"/>
  <c r="B1383" i="1"/>
  <c r="J1373" i="1"/>
  <c r="J1370" i="1"/>
  <c r="B1368" i="1"/>
  <c r="J1316" i="1"/>
  <c r="J1313" i="1"/>
  <c r="J1311" i="1"/>
  <c r="B1309" i="1"/>
  <c r="B1317" i="1" s="1"/>
  <c r="J1239" i="1"/>
  <c r="J1236" i="1"/>
  <c r="B1234" i="1"/>
  <c r="J1040" i="1"/>
  <c r="J1039" i="1"/>
  <c r="B1038" i="1"/>
  <c r="B1043" i="1" s="1"/>
  <c r="B589" i="1"/>
  <c r="B598" i="1" s="1"/>
  <c r="J3528" i="1"/>
  <c r="J3529" i="1"/>
  <c r="J3530" i="1"/>
  <c r="J3527" i="1"/>
  <c r="B3526" i="1"/>
  <c r="B3535" i="1" s="1"/>
  <c r="G3525" i="1"/>
  <c r="E3525" i="1"/>
  <c r="C3525" i="1"/>
  <c r="A3525" i="1"/>
  <c r="B3471" i="1"/>
  <c r="G3470" i="1"/>
  <c r="E3470" i="1"/>
  <c r="C3470" i="1"/>
  <c r="A3470" i="1"/>
  <c r="B2758" i="1"/>
  <c r="B2762" i="1" s="1"/>
  <c r="G2757" i="1"/>
  <c r="E2757" i="1"/>
  <c r="C2757" i="1"/>
  <c r="A2757" i="1"/>
  <c r="B95" i="1"/>
  <c r="G94" i="1"/>
  <c r="E94" i="1"/>
  <c r="C94" i="1"/>
  <c r="A94" i="1"/>
  <c r="G105" i="1"/>
  <c r="E105" i="1"/>
  <c r="C105" i="1"/>
  <c r="A105" i="1"/>
  <c r="B84" i="1"/>
  <c r="G83" i="1"/>
  <c r="E83" i="1"/>
  <c r="A83" i="1"/>
  <c r="B51" i="1"/>
  <c r="G50" i="1"/>
  <c r="E50" i="1"/>
  <c r="C50" i="1"/>
  <c r="A50" i="1"/>
  <c r="B73" i="1"/>
  <c r="G72" i="1"/>
  <c r="E72" i="1"/>
  <c r="A72" i="1"/>
  <c r="B62" i="1"/>
  <c r="G61" i="1"/>
  <c r="E61" i="1"/>
  <c r="A61" i="1"/>
  <c r="B37" i="1"/>
  <c r="G33" i="1"/>
  <c r="E33" i="1"/>
  <c r="C33" i="1"/>
  <c r="A33" i="1"/>
  <c r="B3534" i="1" l="1"/>
  <c r="B503" i="1" l="1"/>
  <c r="B2931" i="1"/>
  <c r="B2943" i="1" s="1"/>
  <c r="B2690" i="1"/>
  <c r="B2694" i="1" s="1"/>
  <c r="G2689" i="1"/>
  <c r="E2689" i="1"/>
  <c r="C2689" i="1"/>
  <c r="A2689" i="1"/>
  <c r="B502" i="1"/>
  <c r="B512" i="1" s="1"/>
  <c r="E501" i="1"/>
  <c r="C501" i="1"/>
  <c r="A501" i="1"/>
  <c r="B2292" i="1"/>
  <c r="B2291" i="1"/>
  <c r="B2288" i="1"/>
  <c r="G2287" i="1"/>
  <c r="E2287" i="1"/>
  <c r="C2287" i="1"/>
  <c r="A2287" i="1"/>
  <c r="B2549" i="1"/>
  <c r="G2547" i="1"/>
  <c r="E2547" i="1"/>
  <c r="C2547" i="1"/>
  <c r="A2547" i="1"/>
  <c r="B3020" i="1"/>
  <c r="B3032" i="1" s="1"/>
  <c r="G3019" i="1"/>
  <c r="E3019" i="1"/>
  <c r="C3019" i="1"/>
  <c r="A3019" i="1"/>
  <c r="B139" i="1" l="1"/>
  <c r="B140" i="1"/>
  <c r="B142" i="1" s="1"/>
  <c r="B141" i="1" l="1"/>
  <c r="G138" i="1" l="1"/>
  <c r="E138" i="1"/>
  <c r="C138" i="1"/>
  <c r="A138" i="1"/>
  <c r="B2469" i="1"/>
  <c r="G2468" i="1"/>
  <c r="E2468" i="1"/>
  <c r="C2468" i="1"/>
  <c r="A2468" i="1"/>
  <c r="B2247" i="1"/>
  <c r="E2246" i="1"/>
  <c r="C2246" i="1"/>
  <c r="A2246" i="1"/>
  <c r="B3583" i="1"/>
  <c r="B3588" i="1" s="1"/>
  <c r="G3582" i="1"/>
  <c r="E3582" i="1"/>
  <c r="C3582" i="1"/>
  <c r="A3582" i="1"/>
  <c r="B3376" i="1"/>
  <c r="B3390" i="1" s="1"/>
  <c r="G3375" i="1"/>
  <c r="E3375" i="1"/>
  <c r="C3375" i="1"/>
  <c r="A3375" i="1"/>
  <c r="G2930" i="1"/>
  <c r="E2930" i="1"/>
  <c r="C2930" i="1"/>
  <c r="A2930" i="1"/>
  <c r="B197" i="1"/>
  <c r="G196" i="1"/>
  <c r="E196" i="1"/>
  <c r="C196" i="1"/>
  <c r="A196" i="1"/>
  <c r="B186" i="1"/>
  <c r="G185" i="1"/>
  <c r="E185" i="1"/>
  <c r="C185" i="1"/>
  <c r="A185" i="1"/>
  <c r="B164" i="1"/>
  <c r="G163" i="1"/>
  <c r="E163" i="1"/>
  <c r="C163" i="1"/>
  <c r="A163" i="1"/>
  <c r="B329" i="1"/>
  <c r="G328" i="1"/>
  <c r="E328" i="1"/>
  <c r="C328" i="1"/>
  <c r="A328" i="1"/>
  <c r="B117" i="1"/>
  <c r="G116" i="1"/>
  <c r="E116" i="1"/>
  <c r="C116" i="1"/>
  <c r="A116" i="1"/>
  <c r="B219" i="1"/>
  <c r="G218" i="1"/>
  <c r="E218" i="1"/>
  <c r="C218" i="1"/>
  <c r="A218" i="1"/>
  <c r="B175" i="1"/>
  <c r="B12" i="1"/>
  <c r="G174" i="1"/>
  <c r="E174" i="1"/>
  <c r="C174" i="1"/>
  <c r="A174" i="1"/>
  <c r="G152" i="1"/>
  <c r="E152" i="1"/>
  <c r="C152" i="1"/>
  <c r="A152" i="1"/>
  <c r="B128" i="1"/>
  <c r="B2491" i="1" l="1"/>
  <c r="B2489" i="1"/>
  <c r="B2488" i="1"/>
  <c r="G127" i="1"/>
  <c r="E127" i="1"/>
  <c r="C127" i="1"/>
  <c r="A127" i="1"/>
  <c r="G11" i="1"/>
  <c r="E11" i="1"/>
  <c r="C11" i="1"/>
  <c r="A11" i="1"/>
</calcChain>
</file>

<file path=xl/sharedStrings.xml><?xml version="1.0" encoding="utf-8"?>
<sst xmlns="http://schemas.openxmlformats.org/spreadsheetml/2006/main" count="11283" uniqueCount="454">
  <si>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</si>
  <si>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</si>
  <si>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</si>
  <si>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</si>
  <si>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</si>
  <si>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</si>
  <si>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</si>
  <si>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</si>
  <si>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</si>
  <si>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</si>
  <si>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</si>
  <si>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</si>
  <si>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</si>
  <si>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</si>
  <si>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</si>
  <si>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</si>
  <si>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</si>
  <si>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</si>
  <si>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</si>
  <si>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</si>
  <si>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</si>
  <si>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</si>
  <si>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</si>
  <si>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</si>
  <si>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</si>
  <si>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</si>
  <si>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</si>
  <si>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</si>
  <si>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</si>
  <si>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</si>
  <si>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</si>
  <si>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</si>
  <si>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</si>
  <si>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</si>
  <si>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</si>
  <si>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</si>
  <si>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</si>
  <si>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</si>
  <si>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</si>
  <si>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</si>
  <si>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</si>
  <si>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</si>
  <si>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</si>
  <si>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</si>
  <si>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</si>
  <si>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</si>
  <si>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</si>
  <si>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</si>
  <si>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</si>
  <si>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</si>
  <si>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</si>
  <si>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</si>
  <si>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</si>
  <si>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</si>
  <si>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</si>
  <si>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</si>
  <si>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</si>
  <si>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</si>
  <si>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</si>
  <si>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</si>
  <si>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</si>
  <si>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</si>
  <si>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</si>
  <si>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</si>
  <si>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</si>
  <si>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</si>
  <si>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</si>
  <si>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</si>
  <si>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</si>
  <si>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</si>
  <si>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</si>
  <si>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</si>
  <si>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</si>
  <si>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</si>
  <si>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</si>
  <si>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</si>
  <si>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</si>
  <si>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</si>
  <si>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</si>
  <si>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</si>
  <si>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</si>
  <si>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</si>
  <si>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</si>
  <si>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</si>
  <si>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</si>
  <si>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</si>
  <si>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</si>
  <si>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</si>
  <si>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</si>
  <si>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</si>
  <si>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</si>
  <si>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</si>
  <si>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</si>
  <si>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</si>
  <si>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</si>
  <si>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</si>
  <si>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</si>
  <si>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</si>
  <si>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</si>
  <si>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</si>
  <si>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</si>
  <si>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</si>
  <si>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</si>
  <si>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</si>
  <si>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</si>
  <si>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</si>
  <si>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</si>
  <si>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</si>
  <si>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</si>
  <si>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</si>
  <si>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</si>
  <si>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</si>
  <si>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</si>
  <si>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</si>
  <si>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</si>
  <si>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</si>
  <si>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</si>
  <si>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</si>
  <si>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</si>
  <si>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</si>
  <si>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</si>
  <si>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</si>
  <si>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</si>
  <si>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</si>
  <si>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</si>
  <si>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</si>
  <si>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</si>
  <si>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</si>
  <si>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</si>
  <si>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</si>
  <si>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</si>
  <si>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</si>
  <si>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</si>
  <si>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</si>
  <si>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</si>
  <si>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</si>
  <si>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</si>
  <si>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</si>
  <si>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</si>
  <si>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</si>
  <si>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</si>
  <si>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</si>
  <si>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</si>
  <si>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</si>
  <si>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</si>
  <si>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</si>
  <si>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</si>
  <si>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</si>
  <si>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</si>
  <si>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</si>
  <si>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</si>
  <si>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</si>
  <si>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</si>
  <si>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</si>
  <si>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</si>
  <si>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</si>
  <si>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</si>
  <si>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</si>
  <si>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</si>
  <si>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</si>
  <si>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</si>
  <si>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</si>
  <si>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</si>
  <si>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</si>
  <si>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</si>
  <si>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</si>
  <si>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</si>
  <si>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</si>
  <si>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</si>
  <si>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</si>
  <si>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</si>
  <si>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</si>
  <si>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</si>
  <si>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</si>
  <si>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</si>
  <si>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</si>
  <si>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</si>
  <si>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</si>
  <si>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</si>
  <si>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</si>
  <si>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</si>
  <si>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</si>
  <si>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</si>
  <si>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</si>
  <si>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</si>
  <si>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</si>
  <si>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</si>
  <si>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</si>
  <si>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</si>
  <si>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</si>
  <si>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</si>
  <si>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</si>
  <si>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</si>
  <si>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</si>
  <si>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</si>
  <si>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</si>
  <si>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</si>
  <si>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</si>
  <si>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</si>
  <si>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</si>
  <si>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</si>
  <si>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</si>
  <si>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</si>
  <si>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</si>
  <si>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</si>
  <si>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</si>
  <si>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</si>
  <si>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</si>
  <si>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</si>
  <si>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</si>
  <si>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</si>
  <si>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</si>
  <si>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</si>
  <si>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</si>
  <si>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</si>
  <si>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</si>
  <si>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</si>
  <si>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</si>
  <si>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</si>
  <si>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</si>
  <si>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</si>
  <si>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</si>
  <si>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</si>
  <si>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</si>
  <si>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</si>
  <si>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</si>
  <si>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</si>
  <si>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</si>
  <si>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</si>
  <si>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</si>
  <si>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</si>
  <si>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</si>
  <si>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</si>
  <si>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</si>
  <si>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</si>
  <si>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</si>
  <si>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</si>
  <si>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</si>
  <si>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</si>
  <si>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</si>
  <si>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</si>
  <si>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</si>
  <si>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</si>
  <si>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</si>
  <si>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</si>
  <si>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</si>
  <si>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</si>
  <si>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</si>
  <si>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</si>
  <si>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</si>
  <si>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</si>
  <si>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</si>
  <si>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</si>
  <si>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</si>
  <si>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</si>
  <si>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</si>
  <si>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</si>
  <si>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</si>
  <si>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</si>
  <si>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</si>
  <si>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</si>
  <si>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</si>
  <si>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</si>
  <si>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</si>
  <si>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</si>
  <si>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</si>
  <si>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</si>
  <si>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</si>
  <si>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</si>
  <si>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</si>
  <si>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</si>
  <si>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</si>
  <si>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</si>
  <si>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production, synthetic, from Fischer Tropsch process, hydrogen from electrolysis, energy allocation, at fuelling station</t>
  </si>
  <si>
    <t>diesel, synthetic, vehicle grade</t>
  </si>
  <si>
    <t>diesel, synthetic, burned in passenger train</t>
  </si>
  <si>
    <t>diesel, synthetic, burned in passenger car</t>
  </si>
  <si>
    <t>diesel, synthetic, burned in single deck coach or urban bus</t>
  </si>
  <si>
    <t>petrol, synthetic, burned in motorcycle</t>
  </si>
  <si>
    <t>gasoline production, from methanol, hydrogen from electrolysis, CO2 from DAC, energy allocation</t>
  </si>
  <si>
    <t>gasoline, synthetic</t>
  </si>
  <si>
    <t>kerosene, synthetic, burned in aircraft</t>
  </si>
  <si>
    <t>kerosene production, synthetic, Fischer Tropsch process, hydrogen from electrolysis, energy allocation</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</si>
  <si>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</si>
  <si>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</si>
  <si>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</si>
  <si>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</si>
  <si>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</si>
  <si>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</si>
  <si>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</si>
  <si>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</si>
  <si>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</si>
  <si>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</si>
  <si>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</si>
  <si>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</si>
  <si>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</si>
  <si>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</si>
  <si>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</si>
  <si>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</si>
  <si>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</si>
  <si>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</si>
  <si>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</si>
  <si>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</si>
  <si>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</si>
  <si>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</si>
  <si>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</si>
  <si>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</si>
  <si>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</si>
  <si>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</si>
  <si>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</si>
  <si>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</si>
  <si>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</si>
  <si>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</si>
  <si>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</si>
  <si>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</si>
  <si>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</si>
  <si>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</si>
  <si>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</si>
  <si>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</si>
  <si>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</si>
  <si>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</si>
  <si>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</si>
  <si>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</si>
  <si>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</si>
  <si>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</si>
  <si>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</si>
  <si>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</si>
  <si>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</si>
  <si>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</si>
  <si>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</si>
  <si>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</si>
  <si>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</si>
  <si>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</si>
  <si>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</si>
  <si>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</si>
  <si>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</si>
  <si>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</si>
  <si>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</si>
  <si>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</si>
  <si>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</si>
  <si>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</si>
  <si>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</si>
  <si>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</si>
  <si>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</si>
  <si>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</si>
  <si>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</si>
  <si>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</si>
  <si>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</si>
  <si>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</si>
  <si>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</si>
  <si>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</si>
  <si>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</si>
  <si>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</si>
  <si>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</si>
  <si>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</si>
  <si>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</si>
  <si>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</si>
  <si>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</si>
  <si>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</si>
  <si>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</si>
  <si>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</si>
  <si>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</si>
  <si>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</si>
  <si>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</si>
  <si>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</si>
  <si>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</si>
  <si>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</si>
  <si>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</si>
  <si>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</si>
  <si>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</si>
  <si>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</si>
  <si>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</si>
  <si>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</si>
  <si>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</si>
  <si>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</si>
  <si>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</si>
  <si>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</si>
  <si>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</si>
  <si>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</si>
  <si>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</si>
  <si>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</si>
  <si>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</si>
  <si>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</si>
  <si>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</si>
  <si>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</si>
  <si>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</si>
  <si>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</si>
  <si>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</si>
  <si>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</si>
  <si>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</si>
  <si>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</si>
  <si>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</si>
  <si>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</si>
  <si>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</si>
  <si>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</si>
  <si>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</si>
  <si>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</si>
  <si>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</si>
  <si>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diesel production, from methanol, hydrogen from electrolysis, CO2 from DAC, energy allocation</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</si>
  <si>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</si>
  <si>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</si>
  <si>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</si>
  <si>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</si>
  <si>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</si>
  <si>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</si>
  <si>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</si>
  <si>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</si>
  <si>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</si>
  <si>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</si>
  <si>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</si>
  <si>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</si>
  <si>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</si>
  <si>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</si>
  <si>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</si>
  <si>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</si>
  <si>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</si>
  <si>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</si>
  <si>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</si>
  <si>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</si>
  <si>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</si>
  <si>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</si>
  <si>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</si>
  <si>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</si>
  <si>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</si>
  <si>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</si>
  <si>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</si>
  <si>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</si>
  <si>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</si>
  <si>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</si>
  <si>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</si>
  <si>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</si>
  <si>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</si>
  <si>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</si>
  <si>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</si>
  <si>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</si>
  <si>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</si>
  <si>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</si>
  <si>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</si>
  <si>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</si>
  <si>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</si>
  <si>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</si>
  <si>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</si>
  <si>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</si>
  <si>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</si>
  <si>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</si>
  <si>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</si>
  <si>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</si>
  <si>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</si>
  <si>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</si>
  <si>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methanol, from non-residual cellulosic biomass, burned in residential boiler</t>
  </si>
  <si>
    <t>heat, residential, by combustion of light fuel oil, from cellulosic residual biomass, using boiler</t>
  </si>
  <si>
    <t>methanol, from residual cellulosic biomass, burned in residential boiler</t>
  </si>
  <si>
    <t>heat, residential, by combustion of light fuel oil, from oily biomass, using boiler</t>
  </si>
  <si>
    <t>methanol, from oily biomass, burned in residential boiler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</si>
</sst>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2">
    <fill>
      <patternFill patternType="none"/>
    </fill>
    <fill>
      <patternFill patternType="gray125"/>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6">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C42E2-D17A-554B-A2D9-4F73B84316EE}">
  <dimension ref="A1:T3753"/>
  <sheetViews>
    <sheetView tabSelected="1" topLeftCell="A288" zoomScale="125" workbookViewId="0">
      <selection activeCell="A314" sqref="A314"/>
    </sheetView>
  </sheetViews>
  <sheetFormatPr baseColWidth="10" defaultRowHeight="15" x14ac:dyDescent="0.2"/>
  <cols>
    <col min="1" max="1" width="61.6640625" style="2" customWidth="1"/>
    <col min="2" max="2" width="12.5" style="2" bestFit="1" customWidth="1"/>
    <col min="3" max="3" width="7.83203125" style="2" customWidth="1"/>
    <col min="4"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x14ac:dyDescent="0.2">
      <c r="A1" s="17" t="s">
        <v>0</v>
      </c>
      <c r="B1" s="2" t="s">
        <v>1</v>
      </c>
    </row>
    <row r="2" spans="1:12" customFormat="1" ht="16" x14ac:dyDescent="0.2"/>
    <row r="3" spans="1:12" x14ac:dyDescent="0.2">
      <c r="A3" s="17" t="s">
        <v>2</v>
      </c>
      <c r="B3" s="17" t="s">
        <v>16</v>
      </c>
    </row>
    <row r="4" spans="1:12" customFormat="1" ht="16" x14ac:dyDescent="0.2">
      <c r="A4" s="2" t="s">
        <v>3</v>
      </c>
      <c r="B4" s="2" t="s">
        <v>18</v>
      </c>
      <c r="C4" s="2"/>
      <c r="D4" s="2"/>
      <c r="E4" s="2"/>
      <c r="F4" s="2"/>
      <c r="G4" s="2"/>
      <c r="H4" s="2"/>
      <c r="I4" s="2"/>
      <c r="J4" s="2"/>
      <c r="K4" s="2"/>
      <c r="L4" s="2"/>
    </row>
    <row r="5" spans="1:12" customFormat="1" ht="16" x14ac:dyDescent="0.2">
      <c r="A5" s="2" t="s">
        <v>4</v>
      </c>
      <c r="B5" s="2">
        <v>1</v>
      </c>
      <c r="C5" s="2"/>
      <c r="D5" s="2"/>
      <c r="E5" s="2"/>
      <c r="F5" s="2"/>
      <c r="G5" s="2"/>
      <c r="H5" s="2"/>
      <c r="I5" s="2"/>
      <c r="J5" s="2"/>
      <c r="K5" s="2"/>
      <c r="L5" s="2"/>
    </row>
    <row r="6" spans="1:12" customFormat="1" ht="16" x14ac:dyDescent="0.2">
      <c r="A6" s="2" t="s">
        <v>5</v>
      </c>
      <c r="B6" s="2" t="s">
        <v>1</v>
      </c>
      <c r="C6" s="2"/>
      <c r="D6" s="2"/>
      <c r="E6" s="2"/>
      <c r="F6" s="2"/>
      <c r="G6" s="2"/>
      <c r="H6" s="2"/>
      <c r="I6" s="2"/>
      <c r="J6" s="2"/>
    </row>
    <row r="7" spans="1:12" customFormat="1" ht="16" x14ac:dyDescent="0.2">
      <c r="A7" s="2" t="s">
        <v>6</v>
      </c>
      <c r="B7" s="2" t="s">
        <v>7</v>
      </c>
      <c r="C7" s="2"/>
      <c r="D7" s="2"/>
      <c r="E7" s="2"/>
      <c r="F7" s="2"/>
      <c r="G7" s="2"/>
      <c r="H7" s="2"/>
      <c r="I7" s="2"/>
      <c r="J7" s="2"/>
      <c r="K7" s="2"/>
      <c r="L7" s="2"/>
    </row>
    <row r="8" spans="1:12" customFormat="1" ht="16" x14ac:dyDescent="0.2">
      <c r="A8" s="2" t="s">
        <v>8</v>
      </c>
      <c r="B8" s="2" t="s">
        <v>17</v>
      </c>
      <c r="C8" s="2"/>
      <c r="D8" s="2"/>
      <c r="E8" s="2"/>
      <c r="F8" s="2"/>
      <c r="G8" s="2"/>
      <c r="H8" s="2"/>
      <c r="I8" s="2"/>
      <c r="J8" s="2"/>
      <c r="K8" s="2"/>
      <c r="L8" s="2"/>
    </row>
    <row r="9" spans="1:12" customFormat="1" ht="16" x14ac:dyDescent="0.2">
      <c r="A9" s="1" t="s">
        <v>10</v>
      </c>
      <c r="B9" s="2"/>
      <c r="C9" s="2"/>
      <c r="D9" s="2"/>
      <c r="E9" s="2"/>
      <c r="F9" s="2"/>
      <c r="G9" s="2"/>
      <c r="H9" s="2"/>
      <c r="I9" s="2"/>
      <c r="J9" s="2"/>
      <c r="K9" s="2"/>
      <c r="L9" s="2"/>
    </row>
    <row r="10" spans="1:12" x14ac:dyDescent="0.2">
      <c r="A10" s="17" t="s">
        <v>11</v>
      </c>
      <c r="B10" s="17" t="s">
        <v>12</v>
      </c>
      <c r="C10" s="17" t="s">
        <v>3</v>
      </c>
      <c r="D10" s="17" t="s">
        <v>13</v>
      </c>
      <c r="E10" s="17" t="s">
        <v>8</v>
      </c>
      <c r="F10" s="17" t="s">
        <v>6</v>
      </c>
      <c r="G10" s="17" t="s">
        <v>5</v>
      </c>
    </row>
    <row r="11" spans="1:12" customFormat="1" ht="16" x14ac: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x14ac:dyDescent="0.2">
      <c r="A12" s="2" t="s">
        <v>20</v>
      </c>
      <c r="B12">
        <f>1/(0.069808*19.1)</f>
        <v>0.75000030000011997</v>
      </c>
      <c r="C12" t="s">
        <v>22</v>
      </c>
      <c r="E12" t="s">
        <v>17</v>
      </c>
      <c r="F12" t="s">
        <v>23</v>
      </c>
      <c r="G12" t="s">
        <v>21</v>
      </c>
      <c r="H12" s="2"/>
    </row>
    <row r="13" spans="1:12" customFormat="1" ht="16" x14ac:dyDescent="0.2">
      <c r="H13" s="2"/>
    </row>
    <row r="14" spans="1:12" x14ac:dyDescent="0.2">
      <c r="A14" s="17" t="s">
        <v>2</v>
      </c>
      <c r="B14" s="17" t="s">
        <v>307</v>
      </c>
    </row>
    <row r="15" spans="1:12" customFormat="1" ht="16" x14ac:dyDescent="0.2">
      <c r="A15" s="2" t="s">
        <v>3</v>
      </c>
      <c r="B15" s="2" t="s">
        <v>18</v>
      </c>
      <c r="C15" s="2"/>
      <c r="D15" s="2"/>
      <c r="E15" s="2"/>
      <c r="F15" s="2"/>
      <c r="G15" s="2"/>
      <c r="H15" s="2"/>
      <c r="I15" s="2"/>
      <c r="J15" s="2"/>
      <c r="K15" s="2"/>
      <c r="L15" s="2"/>
    </row>
    <row r="16" spans="1:12" customFormat="1" ht="16" x14ac:dyDescent="0.2">
      <c r="A16" s="2" t="s">
        <v>4</v>
      </c>
      <c r="B16" s="2">
        <v>1</v>
      </c>
      <c r="C16" s="2"/>
      <c r="D16" s="2"/>
      <c r="E16" s="2"/>
      <c r="F16" s="2"/>
      <c r="G16" s="2"/>
      <c r="H16" s="2"/>
      <c r="I16" s="2"/>
      <c r="J16" s="2"/>
      <c r="K16" s="2"/>
      <c r="L16" s="2"/>
    </row>
    <row r="17" spans="1:12" customFormat="1" ht="16" x14ac:dyDescent="0.2">
      <c r="A17" s="2" t="s">
        <v>5</v>
      </c>
      <c r="B17" s="2" t="s">
        <v>1</v>
      </c>
      <c r="C17" s="2"/>
      <c r="D17" s="2"/>
      <c r="E17" s="2"/>
      <c r="F17" s="2"/>
      <c r="G17" s="2"/>
      <c r="H17" s="2"/>
      <c r="I17" s="2"/>
      <c r="J17" s="2"/>
    </row>
    <row r="18" spans="1:12" customFormat="1" ht="16" x14ac:dyDescent="0.2">
      <c r="A18" s="2" t="s">
        <v>6</v>
      </c>
      <c r="B18" s="2" t="s">
        <v>7</v>
      </c>
      <c r="C18" s="2"/>
      <c r="D18" s="2"/>
      <c r="E18" s="2"/>
      <c r="F18" s="2"/>
      <c r="G18" s="2"/>
      <c r="H18" s="2"/>
      <c r="I18" s="2"/>
      <c r="J18" s="2"/>
      <c r="K18" s="2"/>
      <c r="L18" s="2"/>
    </row>
    <row r="19" spans="1:12" customFormat="1" ht="16" x14ac:dyDescent="0.2">
      <c r="A19" s="2" t="s">
        <v>8</v>
      </c>
      <c r="B19" s="2" t="s">
        <v>17</v>
      </c>
      <c r="C19" s="2"/>
      <c r="D19" s="2"/>
      <c r="E19" s="2"/>
      <c r="F19" s="2"/>
      <c r="G19" s="2"/>
      <c r="H19" s="2"/>
      <c r="I19" s="2"/>
      <c r="J19" s="2"/>
      <c r="K19" s="2"/>
      <c r="L19" s="2"/>
    </row>
    <row r="20" spans="1:12" customFormat="1" ht="16" x14ac:dyDescent="0.2">
      <c r="A20" s="1" t="s">
        <v>10</v>
      </c>
      <c r="B20" s="2"/>
      <c r="C20" s="2"/>
      <c r="D20" s="2"/>
      <c r="E20" s="2"/>
      <c r="F20" s="2"/>
      <c r="G20" s="2"/>
      <c r="H20" s="2"/>
      <c r="I20" s="2"/>
      <c r="J20" s="2"/>
      <c r="K20" s="2"/>
      <c r="L20" s="2"/>
    </row>
    <row r="21" spans="1:12" x14ac:dyDescent="0.2">
      <c r="A21" s="17" t="s">
        <v>11</v>
      </c>
      <c r="B21" s="17" t="s">
        <v>12</v>
      </c>
      <c r="C21" s="17" t="s">
        <v>3</v>
      </c>
      <c r="D21" s="17" t="s">
        <v>13</v>
      </c>
      <c r="E21" s="17" t="s">
        <v>8</v>
      </c>
      <c r="F21" s="17" t="s">
        <v>6</v>
      </c>
      <c r="G21" s="17" t="s">
        <v>5</v>
      </c>
    </row>
    <row r="22" spans="1:12" customFormat="1" ht="16" x14ac: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x14ac:dyDescent="0.2">
      <c r="A23" s="2" t="s">
        <v>306</v>
      </c>
      <c r="B23">
        <f>1/(0.1078*19.1)</f>
        <v>0.48567737423384383</v>
      </c>
      <c r="C23" t="s">
        <v>22</v>
      </c>
      <c r="E23" t="s">
        <v>17</v>
      </c>
      <c r="F23" t="s">
        <v>23</v>
      </c>
      <c r="G23" t="s">
        <v>39</v>
      </c>
      <c r="H23" s="2"/>
    </row>
    <row r="24" spans="1:12" customFormat="1" ht="16" x14ac:dyDescent="0.2">
      <c r="H24" s="2"/>
    </row>
    <row r="25" spans="1:12" x14ac:dyDescent="0.2">
      <c r="A25" s="17" t="s">
        <v>2</v>
      </c>
      <c r="B25" s="17" t="s">
        <v>396</v>
      </c>
    </row>
    <row r="26" spans="1:12" customFormat="1" ht="16" x14ac:dyDescent="0.2">
      <c r="A26" s="2" t="s">
        <v>3</v>
      </c>
      <c r="B26" s="2" t="s">
        <v>22</v>
      </c>
      <c r="C26" s="2"/>
      <c r="D26" s="2"/>
      <c r="E26" s="2"/>
      <c r="F26" s="2"/>
      <c r="G26" s="2"/>
      <c r="H26" s="2"/>
      <c r="I26" s="2"/>
      <c r="J26" s="2"/>
      <c r="K26" s="2"/>
      <c r="L26" s="2"/>
    </row>
    <row r="27" spans="1:12" customFormat="1" ht="16" x14ac:dyDescent="0.2">
      <c r="A27" s="2" t="s">
        <v>4</v>
      </c>
      <c r="B27" s="2">
        <v>1</v>
      </c>
      <c r="C27" s="2"/>
      <c r="D27" s="2"/>
      <c r="E27" s="2"/>
      <c r="F27" s="2"/>
      <c r="G27" s="2"/>
      <c r="H27" s="2"/>
      <c r="I27" s="2"/>
      <c r="J27" s="2"/>
      <c r="K27" s="2"/>
      <c r="L27" s="2"/>
    </row>
    <row r="28" spans="1:12" customFormat="1" ht="16" x14ac:dyDescent="0.2">
      <c r="A28" s="2" t="s">
        <v>5</v>
      </c>
      <c r="B28" s="2" t="s">
        <v>1</v>
      </c>
      <c r="C28" s="2"/>
      <c r="D28" s="2"/>
      <c r="E28" s="2"/>
      <c r="F28" s="2"/>
      <c r="G28" s="2"/>
      <c r="H28" s="2"/>
      <c r="I28" s="2"/>
      <c r="J28" s="2"/>
    </row>
    <row r="29" spans="1:12" customFormat="1" ht="16" x14ac:dyDescent="0.2">
      <c r="A29" s="2" t="s">
        <v>6</v>
      </c>
      <c r="B29" s="2" t="s">
        <v>7</v>
      </c>
      <c r="C29" s="2"/>
      <c r="D29" s="2"/>
      <c r="E29" s="2"/>
      <c r="F29" s="2"/>
      <c r="G29" s="2"/>
      <c r="H29" s="2"/>
      <c r="I29" s="2"/>
      <c r="J29" s="2"/>
      <c r="K29" s="2"/>
      <c r="L29" s="2"/>
    </row>
    <row r="30" spans="1:12" customFormat="1" ht="16" x14ac:dyDescent="0.2">
      <c r="A30" s="2" t="s">
        <v>8</v>
      </c>
      <c r="B30" s="2" t="s">
        <v>17</v>
      </c>
      <c r="C30" s="2"/>
      <c r="D30" s="2"/>
      <c r="E30" s="2"/>
      <c r="F30" s="2"/>
      <c r="G30" s="2"/>
      <c r="H30" s="2"/>
      <c r="I30" s="2"/>
      <c r="J30" s="2"/>
      <c r="K30" s="2"/>
      <c r="L30" s="2"/>
    </row>
    <row r="31" spans="1:12" customFormat="1" ht="16" x14ac:dyDescent="0.2">
      <c r="A31" s="1" t="s">
        <v>10</v>
      </c>
      <c r="B31" s="2"/>
      <c r="C31" s="2"/>
      <c r="D31" s="2"/>
      <c r="E31" s="2"/>
      <c r="F31" s="2"/>
      <c r="G31" s="2"/>
      <c r="H31" s="2"/>
      <c r="I31" s="2"/>
      <c r="J31" s="2"/>
      <c r="K31" s="2"/>
      <c r="L31" s="2"/>
    </row>
    <row r="32" spans="1:12" x14ac:dyDescent="0.2">
      <c r="A32" s="17" t="s">
        <v>11</v>
      </c>
      <c r="B32" s="17" t="s">
        <v>12</v>
      </c>
      <c r="C32" s="17" t="s">
        <v>3</v>
      </c>
      <c r="D32" s="17" t="s">
        <v>13</v>
      </c>
      <c r="E32" s="17" t="s">
        <v>8</v>
      </c>
      <c r="F32" s="17" t="s">
        <v>6</v>
      </c>
      <c r="G32" s="17" t="s">
        <v>5</v>
      </c>
    </row>
    <row r="33" spans="1:15" customFormat="1" ht="16" x14ac:dyDescent="0.2">
      <c r="A33" s="2" t="str">
        <f>B25</f>
        <v>hydrogen, burned in residential boiler</v>
      </c>
      <c r="B33" s="2">
        <v>1</v>
      </c>
      <c r="C33" s="2" t="str">
        <f>B26</f>
        <v>CH</v>
      </c>
      <c r="D33" s="2"/>
      <c r="E33" s="2" t="str">
        <f>B30</f>
        <v>megajoule</v>
      </c>
      <c r="F33" s="2" t="s">
        <v>19</v>
      </c>
      <c r="G33" s="2" t="str">
        <f>B28</f>
        <v>heat</v>
      </c>
      <c r="H33" s="2"/>
      <c r="I33" s="2"/>
      <c r="J33" s="2"/>
      <c r="K33" s="2"/>
      <c r="L33" s="2"/>
    </row>
    <row r="34" spans="1:15" customFormat="1" ht="16" x14ac:dyDescent="0.2">
      <c r="A34" t="s">
        <v>152</v>
      </c>
      <c r="B34" s="3">
        <v>4.4004494642869032E-7</v>
      </c>
      <c r="C34" t="s">
        <v>114</v>
      </c>
      <c r="E34" t="s">
        <v>8</v>
      </c>
      <c r="F34" t="s">
        <v>23</v>
      </c>
      <c r="G34" t="s">
        <v>153</v>
      </c>
      <c r="H34" s="2"/>
    </row>
    <row r="35" spans="1:15" customFormat="1" ht="16" x14ac:dyDescent="0.2">
      <c r="A35" t="s">
        <v>154</v>
      </c>
      <c r="B35" s="3">
        <v>8.8008989285738064E-7</v>
      </c>
      <c r="C35" t="s">
        <v>114</v>
      </c>
      <c r="E35" t="s">
        <v>155</v>
      </c>
      <c r="F35" t="s">
        <v>23</v>
      </c>
      <c r="G35" t="s">
        <v>156</v>
      </c>
      <c r="H35" s="2"/>
    </row>
    <row r="36" spans="1:15" customFormat="1" ht="16" x14ac:dyDescent="0.2">
      <c r="A36" t="s">
        <v>157</v>
      </c>
      <c r="B36">
        <v>8.1068656716417958E-4</v>
      </c>
      <c r="C36" t="s">
        <v>22</v>
      </c>
      <c r="E36" t="s">
        <v>141</v>
      </c>
      <c r="F36" t="s">
        <v>23</v>
      </c>
      <c r="G36" t="s">
        <v>142</v>
      </c>
      <c r="H36" s="2"/>
    </row>
    <row r="37" spans="1:15" s="4" customFormat="1" ht="16" x14ac:dyDescent="0.2">
      <c r="A37" s="2" t="s">
        <v>158</v>
      </c>
      <c r="B37" s="11">
        <f>1/120</f>
        <v>8.3333333333333332E-3</v>
      </c>
      <c r="C37" s="4" t="s">
        <v>18</v>
      </c>
      <c r="E37" s="4" t="s">
        <v>9</v>
      </c>
      <c r="F37" s="4" t="s">
        <v>23</v>
      </c>
      <c r="G37" s="2" t="s">
        <v>159</v>
      </c>
      <c r="K37" s="6"/>
      <c r="L37"/>
      <c r="M37"/>
      <c r="O37" s="5"/>
    </row>
    <row r="38" spans="1:15" customFormat="1" ht="16" x14ac:dyDescent="0.2">
      <c r="A38" s="2" t="s">
        <v>98</v>
      </c>
      <c r="B38" s="12">
        <v>7.4626865671641873E-5</v>
      </c>
      <c r="C38" s="2"/>
      <c r="D38" s="2" t="s">
        <v>116</v>
      </c>
      <c r="E38" s="2" t="s">
        <v>94</v>
      </c>
      <c r="F38" t="s">
        <v>15</v>
      </c>
      <c r="G38" s="2"/>
      <c r="H38" s="2"/>
      <c r="I38" s="2"/>
      <c r="J38" s="2"/>
      <c r="K38" s="2"/>
      <c r="L38" s="2"/>
    </row>
    <row r="39" spans="1:15" customFormat="1" ht="16" x14ac:dyDescent="0.2">
      <c r="A39" s="2" t="s">
        <v>69</v>
      </c>
      <c r="B39" s="12">
        <v>7.669983416252073E-6</v>
      </c>
      <c r="C39" s="2"/>
      <c r="D39" s="2" t="s">
        <v>116</v>
      </c>
      <c r="E39" s="2" t="s">
        <v>9</v>
      </c>
      <c r="F39" t="s">
        <v>15</v>
      </c>
      <c r="G39" s="2"/>
      <c r="H39" s="2"/>
      <c r="I39" s="2"/>
      <c r="J39" s="2"/>
      <c r="K39" s="2"/>
      <c r="L39" s="2"/>
    </row>
    <row r="40" spans="1:15" customFormat="1" ht="16" x14ac:dyDescent="0.2">
      <c r="A40" s="2" t="s">
        <v>118</v>
      </c>
      <c r="B40" s="12">
        <v>4.1459369817577878E-5</v>
      </c>
      <c r="C40" s="2"/>
      <c r="D40" s="2" t="s">
        <v>116</v>
      </c>
      <c r="E40" s="2" t="s">
        <v>9</v>
      </c>
      <c r="F40" t="s">
        <v>15</v>
      </c>
      <c r="G40" s="2"/>
      <c r="H40" s="2"/>
      <c r="I40" s="2"/>
      <c r="J40" s="2"/>
    </row>
    <row r="41" spans="1:15" customFormat="1" ht="16" x14ac:dyDescent="0.2">
      <c r="A41" s="2"/>
      <c r="B41" s="2"/>
      <c r="C41" s="2"/>
      <c r="D41" s="2"/>
      <c r="E41" s="2"/>
      <c r="F41" s="2"/>
      <c r="G41" s="2"/>
      <c r="H41" s="2"/>
      <c r="I41" s="2"/>
      <c r="J41" s="2"/>
      <c r="K41" s="2"/>
      <c r="L41" s="2"/>
    </row>
    <row r="42" spans="1:15" x14ac:dyDescent="0.2">
      <c r="A42" s="17" t="s">
        <v>2</v>
      </c>
      <c r="B42" s="17" t="s">
        <v>160</v>
      </c>
    </row>
    <row r="43" spans="1:15" customFormat="1" ht="16" x14ac:dyDescent="0.2">
      <c r="A43" s="2" t="s">
        <v>3</v>
      </c>
      <c r="B43" s="2" t="s">
        <v>18</v>
      </c>
      <c r="C43" s="2"/>
      <c r="D43" s="2"/>
      <c r="E43" s="2"/>
      <c r="F43" s="2"/>
      <c r="G43" s="2"/>
      <c r="H43" s="2"/>
      <c r="I43" s="2"/>
      <c r="J43" s="2"/>
      <c r="K43" s="2"/>
      <c r="L43" s="2"/>
    </row>
    <row r="44" spans="1:15" customFormat="1" ht="16" x14ac:dyDescent="0.2">
      <c r="A44" s="2" t="s">
        <v>4</v>
      </c>
      <c r="B44" s="2">
        <v>1</v>
      </c>
      <c r="C44" s="2"/>
      <c r="D44" s="2"/>
      <c r="E44" s="2"/>
      <c r="F44" s="2"/>
      <c r="G44" s="2"/>
      <c r="H44" s="2"/>
      <c r="I44" s="2"/>
      <c r="J44" s="2"/>
      <c r="K44" s="2"/>
      <c r="L44" s="2"/>
    </row>
    <row r="45" spans="1:15" customFormat="1" ht="16" x14ac:dyDescent="0.2">
      <c r="A45" s="2" t="s">
        <v>5</v>
      </c>
      <c r="B45" s="2" t="s">
        <v>1</v>
      </c>
      <c r="C45" s="2"/>
      <c r="D45" s="2"/>
      <c r="E45" s="2"/>
      <c r="F45" s="2"/>
      <c r="G45" s="2"/>
      <c r="H45" s="2"/>
      <c r="I45" s="2"/>
      <c r="J45" s="2"/>
    </row>
    <row r="46" spans="1:15" customFormat="1" ht="16" x14ac:dyDescent="0.2">
      <c r="A46" s="2" t="s">
        <v>6</v>
      </c>
      <c r="B46" s="2" t="s">
        <v>7</v>
      </c>
      <c r="C46" s="2"/>
      <c r="D46" s="2"/>
      <c r="E46" s="2"/>
      <c r="F46" s="2"/>
      <c r="G46" s="2"/>
      <c r="H46" s="2"/>
      <c r="I46" s="2"/>
      <c r="J46" s="2"/>
      <c r="K46" s="2"/>
      <c r="L46" s="2"/>
    </row>
    <row r="47" spans="1:15" customFormat="1" ht="16" x14ac:dyDescent="0.2">
      <c r="A47" s="2" t="s">
        <v>8</v>
      </c>
      <c r="B47" s="2" t="s">
        <v>17</v>
      </c>
      <c r="C47" s="2"/>
      <c r="D47" s="2"/>
      <c r="E47" s="2"/>
      <c r="F47" s="2"/>
      <c r="G47" s="2"/>
      <c r="H47" s="2"/>
      <c r="I47" s="2"/>
      <c r="J47" s="2"/>
      <c r="K47" s="2"/>
      <c r="L47" s="2"/>
    </row>
    <row r="48" spans="1:15" customFormat="1" ht="16" x14ac:dyDescent="0.2">
      <c r="A48" s="1" t="s">
        <v>10</v>
      </c>
      <c r="B48" s="2"/>
      <c r="C48" s="2"/>
      <c r="D48" s="2"/>
      <c r="E48" s="2"/>
      <c r="F48" s="2"/>
      <c r="G48" s="2"/>
      <c r="H48" s="2"/>
      <c r="I48" s="2"/>
      <c r="J48" s="2"/>
      <c r="K48" s="2"/>
      <c r="L48" s="2"/>
    </row>
    <row r="49" spans="1:12" x14ac:dyDescent="0.2">
      <c r="A49" s="17" t="s">
        <v>11</v>
      </c>
      <c r="B49" s="17" t="s">
        <v>12</v>
      </c>
      <c r="C49" s="17" t="s">
        <v>3</v>
      </c>
      <c r="D49" s="17" t="s">
        <v>13</v>
      </c>
      <c r="E49" s="17" t="s">
        <v>8</v>
      </c>
      <c r="F49" s="17" t="s">
        <v>6</v>
      </c>
      <c r="G49" s="17" t="s">
        <v>5</v>
      </c>
    </row>
    <row r="50" spans="1:12" customFormat="1" ht="16" x14ac:dyDescent="0.2">
      <c r="A50" s="2" t="str">
        <f>B42</f>
        <v>natural gas, burned in residential natural gas boiler &lt;100kW</v>
      </c>
      <c r="B50" s="2">
        <v>1</v>
      </c>
      <c r="C50" s="2" t="str">
        <f>B43</f>
        <v>RER</v>
      </c>
      <c r="D50" s="2"/>
      <c r="E50" s="2" t="str">
        <f>B47</f>
        <v>megajoule</v>
      </c>
      <c r="F50" s="2" t="s">
        <v>19</v>
      </c>
      <c r="G50" s="2" t="str">
        <f>B45</f>
        <v>heat</v>
      </c>
      <c r="H50" s="2"/>
      <c r="I50" s="2"/>
      <c r="J50" s="2"/>
      <c r="K50" s="2"/>
      <c r="L50" s="2"/>
    </row>
    <row r="51" spans="1:12" customFormat="1" ht="16" x14ac:dyDescent="0.2">
      <c r="A51" s="2" t="s">
        <v>161</v>
      </c>
      <c r="B51">
        <f>1/(0.025337607*36)</f>
        <v>1.0963062840850668</v>
      </c>
      <c r="C51" t="s">
        <v>27</v>
      </c>
      <c r="E51" t="s">
        <v>17</v>
      </c>
      <c r="F51" t="s">
        <v>23</v>
      </c>
      <c r="G51" t="s">
        <v>162</v>
      </c>
      <c r="H51" s="2"/>
    </row>
    <row r="52" spans="1:12" customFormat="1" ht="16" x14ac:dyDescent="0.2">
      <c r="H52" s="2"/>
    </row>
    <row r="53" spans="1:12" x14ac:dyDescent="0.2">
      <c r="A53" s="17" t="s">
        <v>2</v>
      </c>
      <c r="B53" s="17" t="s">
        <v>163</v>
      </c>
    </row>
    <row r="54" spans="1:12" customFormat="1" ht="16" x14ac:dyDescent="0.2">
      <c r="A54" s="2" t="s">
        <v>3</v>
      </c>
      <c r="B54" s="2" t="s">
        <v>18</v>
      </c>
      <c r="C54" s="2"/>
      <c r="D54" s="2"/>
      <c r="E54" s="2"/>
      <c r="F54" s="2"/>
      <c r="G54" s="2"/>
      <c r="H54" s="2"/>
      <c r="I54" s="2"/>
      <c r="J54" s="2"/>
      <c r="K54" s="2"/>
      <c r="L54" s="2"/>
    </row>
    <row r="55" spans="1:12" customFormat="1" ht="16" x14ac:dyDescent="0.2">
      <c r="A55" s="2" t="s">
        <v>4</v>
      </c>
      <c r="B55" s="2">
        <v>1</v>
      </c>
      <c r="C55" s="2"/>
      <c r="D55" s="2"/>
      <c r="E55" s="2"/>
      <c r="F55" s="2"/>
      <c r="G55" s="2"/>
      <c r="H55" s="2"/>
      <c r="I55" s="2"/>
      <c r="J55" s="2"/>
      <c r="K55" s="2"/>
      <c r="L55" s="2"/>
    </row>
    <row r="56" spans="1:12" customFormat="1" ht="16" x14ac:dyDescent="0.2">
      <c r="A56" s="2" t="s">
        <v>5</v>
      </c>
      <c r="B56" s="2" t="s">
        <v>1</v>
      </c>
      <c r="C56" s="2"/>
      <c r="D56" s="2"/>
      <c r="E56" s="2"/>
      <c r="F56" s="2"/>
      <c r="G56" s="2"/>
      <c r="H56" s="2"/>
      <c r="I56" s="2"/>
      <c r="J56" s="2"/>
    </row>
    <row r="57" spans="1:12" customFormat="1" ht="16" x14ac:dyDescent="0.2">
      <c r="A57" s="2" t="s">
        <v>6</v>
      </c>
      <c r="B57" s="2" t="s">
        <v>7</v>
      </c>
      <c r="C57" s="2"/>
      <c r="D57" s="2"/>
      <c r="E57" s="2"/>
      <c r="F57" s="2"/>
      <c r="G57" s="2"/>
      <c r="H57" s="2"/>
      <c r="I57" s="2"/>
      <c r="J57" s="2"/>
      <c r="K57" s="2"/>
      <c r="L57" s="2"/>
    </row>
    <row r="58" spans="1:12" customFormat="1" ht="16" x14ac:dyDescent="0.2">
      <c r="A58" s="2" t="s">
        <v>8</v>
      </c>
      <c r="B58" s="2" t="s">
        <v>17</v>
      </c>
      <c r="C58" s="2"/>
      <c r="D58" s="2"/>
      <c r="E58" s="2"/>
      <c r="F58" s="2"/>
      <c r="G58" s="2"/>
      <c r="H58" s="2"/>
      <c r="I58" s="2"/>
      <c r="J58" s="2"/>
      <c r="K58" s="2"/>
      <c r="L58" s="2"/>
    </row>
    <row r="59" spans="1:12" customFormat="1" ht="16" x14ac:dyDescent="0.2">
      <c r="A59" s="1" t="s">
        <v>10</v>
      </c>
      <c r="B59" s="2"/>
      <c r="C59" s="2"/>
      <c r="D59" s="2"/>
      <c r="E59" s="2"/>
      <c r="F59" s="2"/>
      <c r="G59" s="2"/>
      <c r="H59" s="2"/>
      <c r="I59" s="2"/>
      <c r="J59" s="2"/>
      <c r="K59" s="2"/>
      <c r="L59" s="2"/>
    </row>
    <row r="60" spans="1:12" x14ac:dyDescent="0.2">
      <c r="A60" s="17" t="s">
        <v>11</v>
      </c>
      <c r="B60" s="17" t="s">
        <v>12</v>
      </c>
      <c r="C60" s="17" t="s">
        <v>3</v>
      </c>
      <c r="D60" s="17" t="s">
        <v>13</v>
      </c>
      <c r="E60" s="17" t="s">
        <v>8</v>
      </c>
      <c r="F60" s="17" t="s">
        <v>6</v>
      </c>
      <c r="G60" s="17" t="s">
        <v>5</v>
      </c>
    </row>
    <row r="61" spans="1:12" customFormat="1" ht="16" x14ac:dyDescent="0.2">
      <c r="A61" s="2" t="str">
        <f>B53</f>
        <v>natural gas, synthetic, burned in residential natural gas boiler &lt;100kW</v>
      </c>
      <c r="B61" s="2">
        <v>1</v>
      </c>
      <c r="C61" s="2" t="s">
        <v>18</v>
      </c>
      <c r="D61" s="2"/>
      <c r="E61" s="2" t="str">
        <f>B58</f>
        <v>megajoule</v>
      </c>
      <c r="F61" s="2" t="s">
        <v>19</v>
      </c>
      <c r="G61" s="2" t="str">
        <f>B56</f>
        <v>heat</v>
      </c>
      <c r="H61" s="2"/>
      <c r="I61" s="2"/>
      <c r="J61" s="2"/>
      <c r="K61" s="2"/>
      <c r="L61" s="2"/>
    </row>
    <row r="62" spans="1:12" customFormat="1" ht="16" x14ac:dyDescent="0.2">
      <c r="A62" s="2" t="s">
        <v>164</v>
      </c>
      <c r="B62">
        <f>1/(0.019025875*47.5)</f>
        <v>1.106526326854737</v>
      </c>
      <c r="C62" t="s">
        <v>18</v>
      </c>
      <c r="E62" t="s">
        <v>17</v>
      </c>
      <c r="F62" t="s">
        <v>23</v>
      </c>
      <c r="G62" t="s">
        <v>31</v>
      </c>
      <c r="H62" s="2"/>
    </row>
    <row r="63" spans="1:12" customFormat="1" ht="16" x14ac:dyDescent="0.2">
      <c r="H63" s="2"/>
    </row>
    <row r="64" spans="1:12" x14ac:dyDescent="0.2">
      <c r="A64" s="17" t="s">
        <v>2</v>
      </c>
      <c r="B64" s="17" t="s">
        <v>165</v>
      </c>
    </row>
    <row r="65" spans="1:12" customFormat="1" ht="16" x14ac:dyDescent="0.2">
      <c r="A65" s="2" t="s">
        <v>3</v>
      </c>
      <c r="B65" s="2" t="s">
        <v>18</v>
      </c>
      <c r="C65" s="2"/>
      <c r="D65" s="2"/>
      <c r="E65" s="2"/>
      <c r="F65" s="2"/>
      <c r="G65" s="2"/>
      <c r="H65" s="2"/>
      <c r="I65" s="2"/>
      <c r="J65" s="2"/>
      <c r="K65" s="2"/>
      <c r="L65" s="2"/>
    </row>
    <row r="66" spans="1:12" customFormat="1" ht="16" x14ac:dyDescent="0.2">
      <c r="A66" s="2" t="s">
        <v>4</v>
      </c>
      <c r="B66" s="2">
        <v>1</v>
      </c>
      <c r="C66" s="2"/>
      <c r="D66" s="2"/>
      <c r="E66" s="2"/>
      <c r="F66" s="2"/>
      <c r="G66" s="2"/>
      <c r="H66" s="2"/>
      <c r="I66" s="2"/>
      <c r="J66" s="2"/>
      <c r="K66" s="2"/>
      <c r="L66" s="2"/>
    </row>
    <row r="67" spans="1:12" customFormat="1" ht="16" x14ac:dyDescent="0.2">
      <c r="A67" s="2" t="s">
        <v>5</v>
      </c>
      <c r="B67" s="2" t="s">
        <v>1</v>
      </c>
      <c r="C67" s="2"/>
      <c r="D67" s="2"/>
      <c r="E67" s="2"/>
      <c r="F67" s="2"/>
      <c r="G67" s="2"/>
      <c r="H67" s="2"/>
      <c r="I67" s="2"/>
      <c r="J67" s="2"/>
    </row>
    <row r="68" spans="1:12" customFormat="1" ht="16" x14ac:dyDescent="0.2">
      <c r="A68" s="2" t="s">
        <v>6</v>
      </c>
      <c r="B68" s="2" t="s">
        <v>7</v>
      </c>
      <c r="C68" s="2"/>
      <c r="D68" s="2"/>
      <c r="E68" s="2"/>
      <c r="F68" s="2"/>
      <c r="G68" s="2"/>
      <c r="H68" s="2"/>
      <c r="I68" s="2"/>
      <c r="J68" s="2"/>
      <c r="K68" s="2"/>
      <c r="L68" s="2"/>
    </row>
    <row r="69" spans="1:12" customFormat="1" ht="16" x14ac:dyDescent="0.2">
      <c r="A69" s="2" t="s">
        <v>8</v>
      </c>
      <c r="B69" s="2" t="s">
        <v>17</v>
      </c>
      <c r="C69" s="2"/>
      <c r="D69" s="2"/>
      <c r="E69" s="2"/>
      <c r="F69" s="2"/>
      <c r="G69" s="2"/>
      <c r="H69" s="2"/>
      <c r="I69" s="2"/>
      <c r="J69" s="2"/>
      <c r="K69" s="2"/>
      <c r="L69" s="2"/>
    </row>
    <row r="70" spans="1:12" customFormat="1" ht="16" x14ac:dyDescent="0.2">
      <c r="A70" s="1" t="s">
        <v>10</v>
      </c>
      <c r="B70" s="2"/>
      <c r="C70" s="2"/>
      <c r="D70" s="2"/>
      <c r="E70" s="2"/>
      <c r="F70" s="2"/>
      <c r="G70" s="2"/>
      <c r="H70" s="2"/>
      <c r="I70" s="2"/>
      <c r="J70" s="2"/>
      <c r="K70" s="2"/>
      <c r="L70" s="2"/>
    </row>
    <row r="71" spans="1:12" x14ac:dyDescent="0.2">
      <c r="A71" s="17" t="s">
        <v>11</v>
      </c>
      <c r="B71" s="17" t="s">
        <v>12</v>
      </c>
      <c r="C71" s="17" t="s">
        <v>3</v>
      </c>
      <c r="D71" s="17" t="s">
        <v>13</v>
      </c>
      <c r="E71" s="17" t="s">
        <v>8</v>
      </c>
      <c r="F71" s="17" t="s">
        <v>6</v>
      </c>
      <c r="G71" s="17" t="s">
        <v>5</v>
      </c>
    </row>
    <row r="72" spans="1:12" customFormat="1" ht="16" x14ac:dyDescent="0.2">
      <c r="A72" s="2" t="str">
        <f>B64</f>
        <v>natural gas, coal-based, burned in residential natural gas boiler &lt;100kW</v>
      </c>
      <c r="B72" s="2">
        <v>1</v>
      </c>
      <c r="C72" s="2" t="s">
        <v>18</v>
      </c>
      <c r="D72" s="2"/>
      <c r="E72" s="2" t="str">
        <f>B69</f>
        <v>megajoule</v>
      </c>
      <c r="F72" s="2" t="s">
        <v>19</v>
      </c>
      <c r="G72" s="2" t="str">
        <f>B67</f>
        <v>heat</v>
      </c>
      <c r="H72" s="2"/>
      <c r="I72" s="2"/>
      <c r="J72" s="2"/>
      <c r="K72" s="2"/>
      <c r="L72" s="2"/>
    </row>
    <row r="73" spans="1:12" customFormat="1" ht="16" x14ac:dyDescent="0.2">
      <c r="A73" s="2" t="s">
        <v>166</v>
      </c>
      <c r="B73">
        <f>1/(0.019025875*47.5)</f>
        <v>1.106526326854737</v>
      </c>
      <c r="C73" t="s">
        <v>18</v>
      </c>
      <c r="E73" t="s">
        <v>17</v>
      </c>
      <c r="F73" t="s">
        <v>23</v>
      </c>
      <c r="G73" t="s">
        <v>31</v>
      </c>
      <c r="H73" s="2"/>
    </row>
    <row r="74" spans="1:12" customFormat="1" ht="16" x14ac:dyDescent="0.2">
      <c r="H74" s="2"/>
    </row>
    <row r="75" spans="1:12" x14ac:dyDescent="0.2">
      <c r="A75" s="17" t="s">
        <v>2</v>
      </c>
      <c r="B75" s="17" t="s">
        <v>173</v>
      </c>
    </row>
    <row r="76" spans="1:12" customFormat="1" ht="16" x14ac:dyDescent="0.2">
      <c r="A76" s="2" t="s">
        <v>3</v>
      </c>
      <c r="B76" s="2" t="s">
        <v>18</v>
      </c>
      <c r="C76" s="2"/>
      <c r="D76" s="2"/>
      <c r="E76" s="2"/>
      <c r="F76" s="2"/>
      <c r="G76" s="2"/>
      <c r="H76" s="2"/>
      <c r="I76" s="2"/>
      <c r="J76" s="2"/>
      <c r="K76" s="2"/>
      <c r="L76" s="2"/>
    </row>
    <row r="77" spans="1:12" customFormat="1" ht="16" x14ac:dyDescent="0.2">
      <c r="A77" s="2" t="s">
        <v>4</v>
      </c>
      <c r="B77" s="2">
        <v>1</v>
      </c>
      <c r="C77" s="2"/>
      <c r="D77" s="2"/>
      <c r="E77" s="2"/>
      <c r="F77" s="2"/>
      <c r="G77" s="2"/>
      <c r="H77" s="2"/>
      <c r="I77" s="2"/>
      <c r="J77" s="2"/>
      <c r="K77" s="2"/>
      <c r="L77" s="2"/>
    </row>
    <row r="78" spans="1:12" customFormat="1" ht="16" x14ac:dyDescent="0.2">
      <c r="A78" s="2" t="s">
        <v>5</v>
      </c>
      <c r="B78" s="2" t="s">
        <v>1</v>
      </c>
      <c r="C78" s="2"/>
      <c r="D78" s="2"/>
      <c r="E78" s="2"/>
      <c r="F78" s="2"/>
      <c r="G78" s="2"/>
      <c r="H78" s="2"/>
      <c r="I78" s="2"/>
      <c r="J78" s="2"/>
    </row>
    <row r="79" spans="1:12" customFormat="1" ht="16" x14ac:dyDescent="0.2">
      <c r="A79" s="2" t="s">
        <v>6</v>
      </c>
      <c r="B79" s="2" t="s">
        <v>7</v>
      </c>
      <c r="C79" s="2"/>
      <c r="D79" s="2"/>
      <c r="E79" s="2"/>
      <c r="F79" s="2"/>
      <c r="G79" s="2"/>
      <c r="H79" s="2"/>
      <c r="I79" s="2"/>
      <c r="J79" s="2"/>
      <c r="K79" s="2"/>
      <c r="L79" s="2"/>
    </row>
    <row r="80" spans="1:12" customFormat="1" ht="16" x14ac:dyDescent="0.2">
      <c r="A80" s="2" t="s">
        <v>8</v>
      </c>
      <c r="B80" s="2" t="s">
        <v>17</v>
      </c>
      <c r="C80" s="2"/>
      <c r="D80" s="2"/>
      <c r="E80" s="2"/>
      <c r="F80" s="2"/>
      <c r="G80" s="2"/>
      <c r="H80" s="2"/>
      <c r="I80" s="2"/>
      <c r="J80" s="2"/>
      <c r="K80" s="2"/>
      <c r="L80" s="2"/>
    </row>
    <row r="81" spans="1:12" customFormat="1" ht="16" x14ac:dyDescent="0.2">
      <c r="A81" s="1" t="s">
        <v>10</v>
      </c>
      <c r="B81" s="2"/>
      <c r="C81" s="2"/>
      <c r="D81" s="2"/>
      <c r="E81" s="2"/>
      <c r="F81" s="2"/>
      <c r="G81" s="2"/>
      <c r="H81" s="2"/>
      <c r="I81" s="2"/>
      <c r="J81" s="2"/>
      <c r="K81" s="2"/>
      <c r="L81" s="2"/>
    </row>
    <row r="82" spans="1:12" x14ac:dyDescent="0.2">
      <c r="A82" s="17" t="s">
        <v>11</v>
      </c>
      <c r="B82" s="17" t="s">
        <v>12</v>
      </c>
      <c r="C82" s="17" t="s">
        <v>3</v>
      </c>
      <c r="D82" s="17" t="s">
        <v>13</v>
      </c>
      <c r="E82" s="17" t="s">
        <v>8</v>
      </c>
      <c r="F82" s="17" t="s">
        <v>6</v>
      </c>
      <c r="G82" s="17" t="s">
        <v>5</v>
      </c>
    </row>
    <row r="83" spans="1:12" customFormat="1" ht="16" x14ac:dyDescent="0.2">
      <c r="A83" s="2" t="str">
        <f>B75</f>
        <v>biomethane, burned in residential natural gas boiler &lt;100kW</v>
      </c>
      <c r="B83" s="2">
        <v>1</v>
      </c>
      <c r="C83" s="2" t="s">
        <v>18</v>
      </c>
      <c r="D83" s="2"/>
      <c r="E83" s="2" t="str">
        <f>B80</f>
        <v>megajoule</v>
      </c>
      <c r="F83" s="2" t="s">
        <v>19</v>
      </c>
      <c r="G83" s="2" t="str">
        <f>B78</f>
        <v>heat</v>
      </c>
      <c r="H83" s="2"/>
      <c r="I83" s="2"/>
      <c r="J83" s="2"/>
      <c r="K83" s="2"/>
      <c r="L83" s="2"/>
    </row>
    <row r="84" spans="1:12" customFormat="1" ht="16" x14ac:dyDescent="0.2">
      <c r="A84" s="2" t="s">
        <v>167</v>
      </c>
      <c r="B84">
        <f>1/(0.019025875*47.5)</f>
        <v>1.106526326854737</v>
      </c>
      <c r="C84" t="s">
        <v>18</v>
      </c>
      <c r="E84" t="s">
        <v>17</v>
      </c>
      <c r="F84" t="s">
        <v>23</v>
      </c>
      <c r="G84" t="s">
        <v>31</v>
      </c>
      <c r="H84" s="2"/>
    </row>
    <row r="85" spans="1:12" customFormat="1" ht="16" x14ac:dyDescent="0.2">
      <c r="H85" s="2"/>
    </row>
    <row r="86" spans="1:12" x14ac:dyDescent="0.2">
      <c r="A86" s="17" t="s">
        <v>2</v>
      </c>
      <c r="B86" s="17" t="s">
        <v>171</v>
      </c>
    </row>
    <row r="87" spans="1:12" customFormat="1" ht="16" x14ac:dyDescent="0.2">
      <c r="A87" s="2" t="s">
        <v>3</v>
      </c>
      <c r="B87" s="2" t="s">
        <v>18</v>
      </c>
      <c r="C87" s="2"/>
      <c r="D87" s="2"/>
      <c r="E87" s="2"/>
      <c r="F87" s="2"/>
      <c r="G87" s="2"/>
      <c r="H87" s="2"/>
      <c r="I87" s="2"/>
      <c r="J87" s="2"/>
      <c r="K87" s="2"/>
      <c r="L87" s="2"/>
    </row>
    <row r="88" spans="1:12" customFormat="1" ht="16" x14ac:dyDescent="0.2">
      <c r="A88" s="2" t="s">
        <v>4</v>
      </c>
      <c r="B88" s="2">
        <v>1</v>
      </c>
      <c r="C88" s="2"/>
      <c r="D88" s="2"/>
      <c r="E88" s="2"/>
      <c r="F88" s="2"/>
      <c r="G88" s="2"/>
      <c r="H88" s="2"/>
      <c r="I88" s="2"/>
      <c r="J88" s="2"/>
      <c r="K88" s="2"/>
      <c r="L88" s="2"/>
    </row>
    <row r="89" spans="1:12" customFormat="1" ht="16" x14ac:dyDescent="0.2">
      <c r="A89" s="2" t="s">
        <v>5</v>
      </c>
      <c r="B89" s="2" t="s">
        <v>1</v>
      </c>
      <c r="C89" s="2"/>
      <c r="D89" s="2"/>
      <c r="E89" s="2"/>
      <c r="F89" s="2"/>
      <c r="G89" s="2"/>
      <c r="H89" s="2"/>
      <c r="I89" s="2"/>
      <c r="J89" s="2"/>
    </row>
    <row r="90" spans="1:12" customFormat="1" ht="16" x14ac:dyDescent="0.2">
      <c r="A90" s="2" t="s">
        <v>6</v>
      </c>
      <c r="B90" s="2" t="s">
        <v>7</v>
      </c>
      <c r="C90" s="2"/>
      <c r="D90" s="2"/>
      <c r="E90" s="2"/>
      <c r="F90" s="2"/>
      <c r="G90" s="2"/>
      <c r="H90" s="2"/>
      <c r="I90" s="2"/>
      <c r="J90" s="2"/>
      <c r="K90" s="2"/>
      <c r="L90" s="2"/>
    </row>
    <row r="91" spans="1:12" customFormat="1" ht="16" x14ac:dyDescent="0.2">
      <c r="A91" s="2" t="s">
        <v>8</v>
      </c>
      <c r="B91" s="2" t="s">
        <v>17</v>
      </c>
      <c r="C91" s="2"/>
      <c r="D91" s="2"/>
      <c r="E91" s="2"/>
      <c r="F91" s="2"/>
      <c r="G91" s="2"/>
      <c r="H91" s="2"/>
      <c r="I91" s="2"/>
      <c r="J91" s="2"/>
      <c r="K91" s="2"/>
      <c r="L91" s="2"/>
    </row>
    <row r="92" spans="1:12" customFormat="1" ht="16" x14ac:dyDescent="0.2">
      <c r="A92" s="1" t="s">
        <v>10</v>
      </c>
      <c r="B92" s="2"/>
      <c r="C92" s="2"/>
      <c r="D92" s="2"/>
      <c r="E92" s="2"/>
      <c r="F92" s="2"/>
      <c r="G92" s="2"/>
      <c r="H92" s="2"/>
      <c r="I92" s="2"/>
      <c r="J92" s="2"/>
      <c r="K92" s="2"/>
      <c r="L92" s="2"/>
    </row>
    <row r="93" spans="1:12" x14ac:dyDescent="0.2">
      <c r="A93" s="17" t="s">
        <v>11</v>
      </c>
      <c r="B93" s="17" t="s">
        <v>12</v>
      </c>
      <c r="C93" s="17" t="s">
        <v>3</v>
      </c>
      <c r="D93" s="17" t="s">
        <v>13</v>
      </c>
      <c r="E93" s="17" t="s">
        <v>8</v>
      </c>
      <c r="F93" s="17" t="s">
        <v>6</v>
      </c>
      <c r="G93" s="17" t="s">
        <v>5</v>
      </c>
    </row>
    <row r="94" spans="1:12" customFormat="1" ht="16" x14ac:dyDescent="0.2">
      <c r="A94" s="2" t="str">
        <f>B86</f>
        <v>liquefied petroleum gas, burned in residential natural gas boiler &lt;100kW</v>
      </c>
      <c r="B94" s="2">
        <v>1</v>
      </c>
      <c r="C94" s="2" t="str">
        <f>B87</f>
        <v>RER</v>
      </c>
      <c r="D94" s="2"/>
      <c r="E94" s="2" t="str">
        <f>B91</f>
        <v>megajoule</v>
      </c>
      <c r="F94" s="2" t="s">
        <v>19</v>
      </c>
      <c r="G94" s="2" t="str">
        <f>B89</f>
        <v>heat</v>
      </c>
      <c r="H94" s="2"/>
      <c r="I94" s="2"/>
      <c r="J94" s="2"/>
      <c r="K94" s="2"/>
      <c r="L94" s="2"/>
    </row>
    <row r="95" spans="1:12" customFormat="1" ht="16" x14ac:dyDescent="0.2">
      <c r="A95" s="2" t="s">
        <v>172</v>
      </c>
      <c r="B95">
        <f>1/(0.025337607*36)</f>
        <v>1.0963062840850668</v>
      </c>
      <c r="C95" t="s">
        <v>18</v>
      </c>
      <c r="E95" t="s">
        <v>17</v>
      </c>
      <c r="F95" t="s">
        <v>23</v>
      </c>
      <c r="G95" t="s">
        <v>31</v>
      </c>
      <c r="H95" s="2"/>
    </row>
    <row r="96" spans="1:12" customFormat="1" ht="16" x14ac:dyDescent="0.2">
      <c r="H96" s="2"/>
    </row>
    <row r="97" spans="1:12" x14ac:dyDescent="0.2">
      <c r="A97" s="17" t="s">
        <v>2</v>
      </c>
      <c r="B97" s="17" t="s">
        <v>168</v>
      </c>
    </row>
    <row r="98" spans="1:12" customFormat="1" ht="16" x14ac:dyDescent="0.2">
      <c r="A98" s="2" t="s">
        <v>3</v>
      </c>
      <c r="B98" s="2" t="s">
        <v>18</v>
      </c>
      <c r="C98" s="2"/>
      <c r="D98" s="2"/>
      <c r="E98" s="2"/>
      <c r="F98" s="2"/>
      <c r="G98" s="2"/>
      <c r="H98" s="2"/>
      <c r="I98" s="2"/>
      <c r="J98" s="2"/>
      <c r="K98" s="2"/>
      <c r="L98" s="2"/>
    </row>
    <row r="99" spans="1:12" customFormat="1" ht="16" x14ac:dyDescent="0.2">
      <c r="A99" s="2" t="s">
        <v>4</v>
      </c>
      <c r="B99" s="2">
        <v>1</v>
      </c>
      <c r="C99" s="2"/>
      <c r="D99" s="2"/>
      <c r="E99" s="2"/>
      <c r="F99" s="2"/>
      <c r="G99" s="2"/>
      <c r="H99" s="2"/>
      <c r="I99" s="2"/>
      <c r="J99" s="2"/>
      <c r="K99" s="2"/>
      <c r="L99" s="2"/>
    </row>
    <row r="100" spans="1:12" customFormat="1" ht="16" x14ac:dyDescent="0.2">
      <c r="A100" s="2" t="s">
        <v>5</v>
      </c>
      <c r="B100" s="2" t="s">
        <v>142</v>
      </c>
      <c r="C100" s="2"/>
      <c r="D100" s="2"/>
      <c r="E100" s="2"/>
      <c r="F100" s="2"/>
      <c r="G100" s="2"/>
      <c r="H100" s="2"/>
      <c r="I100" s="2"/>
      <c r="J100" s="2"/>
    </row>
    <row r="101" spans="1:12" customFormat="1" ht="16" x14ac:dyDescent="0.2">
      <c r="A101" s="2" t="s">
        <v>6</v>
      </c>
      <c r="B101" s="2" t="s">
        <v>7</v>
      </c>
      <c r="C101" s="2"/>
      <c r="D101" s="2"/>
      <c r="E101" s="2"/>
      <c r="F101" s="2"/>
      <c r="G101" s="2"/>
      <c r="H101" s="2"/>
      <c r="I101" s="2"/>
      <c r="J101" s="2"/>
      <c r="K101" s="2"/>
      <c r="L101" s="2"/>
    </row>
    <row r="102" spans="1:12" customFormat="1" ht="16" x14ac:dyDescent="0.2">
      <c r="A102" s="2" t="s">
        <v>8</v>
      </c>
      <c r="B102" s="2" t="s">
        <v>17</v>
      </c>
      <c r="C102" s="2"/>
      <c r="D102" s="2"/>
      <c r="E102" s="2"/>
      <c r="F102" s="2"/>
      <c r="G102" s="2"/>
      <c r="H102" s="2"/>
      <c r="I102" s="2"/>
      <c r="J102" s="2"/>
      <c r="K102" s="2"/>
      <c r="L102" s="2"/>
    </row>
    <row r="103" spans="1:12" customFormat="1" ht="16" x14ac:dyDescent="0.2">
      <c r="A103" s="1" t="s">
        <v>10</v>
      </c>
      <c r="B103" s="2"/>
      <c r="C103" s="2"/>
      <c r="D103" s="2"/>
      <c r="E103" s="2"/>
      <c r="F103" s="2"/>
      <c r="G103" s="2"/>
      <c r="H103" s="2"/>
      <c r="I103" s="2"/>
      <c r="J103" s="2"/>
      <c r="K103" s="2"/>
      <c r="L103" s="2"/>
    </row>
    <row r="104" spans="1:12" x14ac:dyDescent="0.2">
      <c r="A104" s="17" t="s">
        <v>11</v>
      </c>
      <c r="B104" s="17" t="s">
        <v>12</v>
      </c>
      <c r="C104" s="17" t="s">
        <v>3</v>
      </c>
      <c r="D104" s="17" t="s">
        <v>13</v>
      </c>
      <c r="E104" s="17" t="s">
        <v>8</v>
      </c>
      <c r="F104" s="17" t="s">
        <v>6</v>
      </c>
      <c r="G104" s="17" t="s">
        <v>5</v>
      </c>
    </row>
    <row r="105" spans="1:12" customFormat="1" ht="16" x14ac:dyDescent="0.2">
      <c r="A105" s="2" t="str">
        <f>B97</f>
        <v>electricity, used in residential heat pump</v>
      </c>
      <c r="B105" s="2">
        <v>1</v>
      </c>
      <c r="C105" s="2" t="str">
        <f>B98</f>
        <v>RER</v>
      </c>
      <c r="D105" s="2"/>
      <c r="E105" s="2" t="str">
        <f>B102</f>
        <v>megajoule</v>
      </c>
      <c r="F105" s="2" t="s">
        <v>19</v>
      </c>
      <c r="G105" s="2" t="str">
        <f>B100</f>
        <v>electricity, low voltage</v>
      </c>
      <c r="H105" s="2"/>
      <c r="I105" s="2"/>
      <c r="J105" s="2"/>
      <c r="K105" s="2"/>
      <c r="L105" s="2"/>
    </row>
    <row r="106" spans="1:12" customFormat="1" ht="16" x14ac:dyDescent="0.2">
      <c r="A106" s="2" t="s">
        <v>169</v>
      </c>
      <c r="B106" s="13">
        <f>1/0.0992/3.6</f>
        <v>2.8001792114695339</v>
      </c>
      <c r="C106" t="s">
        <v>27</v>
      </c>
      <c r="E106" t="s">
        <v>17</v>
      </c>
      <c r="F106" t="s">
        <v>23</v>
      </c>
      <c r="G106" t="s">
        <v>170</v>
      </c>
      <c r="H106" s="2"/>
    </row>
    <row r="107" spans="1:12" customFormat="1" ht="16" x14ac:dyDescent="0.2">
      <c r="A107" s="2"/>
      <c r="H107" s="2"/>
    </row>
    <row r="108" spans="1:12" x14ac:dyDescent="0.2">
      <c r="A108" s="17" t="s">
        <v>2</v>
      </c>
      <c r="B108" s="17" t="s">
        <v>33</v>
      </c>
    </row>
    <row r="109" spans="1:12" customFormat="1" ht="16" x14ac:dyDescent="0.2">
      <c r="A109" s="2" t="s">
        <v>3</v>
      </c>
      <c r="B109" s="2" t="s">
        <v>18</v>
      </c>
      <c r="C109" s="2"/>
      <c r="D109" s="2"/>
      <c r="E109" s="2"/>
      <c r="F109" s="2"/>
      <c r="G109" s="2"/>
      <c r="H109" s="2"/>
      <c r="I109" s="2"/>
      <c r="J109" s="2"/>
      <c r="K109" s="2"/>
      <c r="L109" s="2"/>
    </row>
    <row r="110" spans="1:12" customFormat="1" ht="16" x14ac:dyDescent="0.2">
      <c r="A110" s="2" t="s">
        <v>4</v>
      </c>
      <c r="B110" s="2">
        <v>1</v>
      </c>
      <c r="C110" s="2"/>
      <c r="D110" s="2"/>
      <c r="E110" s="2"/>
      <c r="F110" s="2"/>
      <c r="G110" s="2"/>
      <c r="H110" s="2"/>
      <c r="I110" s="2"/>
      <c r="J110" s="2"/>
      <c r="K110" s="2"/>
      <c r="L110" s="2"/>
    </row>
    <row r="111" spans="1:12" customFormat="1" ht="16" x14ac:dyDescent="0.2">
      <c r="A111" s="2" t="s">
        <v>5</v>
      </c>
      <c r="B111" s="2" t="s">
        <v>1</v>
      </c>
      <c r="C111" s="2"/>
      <c r="D111" s="2"/>
      <c r="E111" s="2"/>
      <c r="F111" s="2"/>
      <c r="G111" s="2"/>
      <c r="H111" s="2"/>
      <c r="I111" s="2"/>
      <c r="J111" s="2"/>
    </row>
    <row r="112" spans="1:12" customFormat="1" ht="16" x14ac:dyDescent="0.2">
      <c r="A112" s="2" t="s">
        <v>6</v>
      </c>
      <c r="B112" s="2" t="s">
        <v>7</v>
      </c>
      <c r="C112" s="2"/>
      <c r="D112" s="2"/>
      <c r="E112" s="2"/>
      <c r="F112" s="2"/>
      <c r="G112" s="2"/>
      <c r="H112" s="2"/>
      <c r="I112" s="2"/>
      <c r="J112" s="2"/>
      <c r="K112" s="2"/>
      <c r="L112" s="2"/>
    </row>
    <row r="113" spans="1:12" customFormat="1" ht="16" x14ac:dyDescent="0.2">
      <c r="A113" s="2" t="s">
        <v>8</v>
      </c>
      <c r="B113" s="2" t="s">
        <v>17</v>
      </c>
      <c r="C113" s="2"/>
      <c r="D113" s="2"/>
      <c r="E113" s="2"/>
      <c r="F113" s="2"/>
      <c r="G113" s="2"/>
      <c r="H113" s="2"/>
      <c r="I113" s="2"/>
      <c r="J113" s="2"/>
      <c r="K113" s="2"/>
      <c r="L113" s="2"/>
    </row>
    <row r="114" spans="1:12" customFormat="1" ht="16" x14ac:dyDescent="0.2">
      <c r="A114" s="1" t="s">
        <v>10</v>
      </c>
      <c r="B114" s="2"/>
      <c r="C114" s="2"/>
      <c r="D114" s="2"/>
      <c r="E114" s="2"/>
      <c r="F114" s="2"/>
      <c r="G114" s="2"/>
      <c r="H114" s="2"/>
      <c r="I114" s="2"/>
      <c r="J114" s="2"/>
      <c r="K114" s="2"/>
      <c r="L114" s="2"/>
    </row>
    <row r="115" spans="1:12" x14ac:dyDescent="0.2">
      <c r="A115" s="17" t="s">
        <v>11</v>
      </c>
      <c r="B115" s="17" t="s">
        <v>12</v>
      </c>
      <c r="C115" s="17" t="s">
        <v>3</v>
      </c>
      <c r="D115" s="17" t="s">
        <v>13</v>
      </c>
      <c r="E115" s="17" t="s">
        <v>8</v>
      </c>
      <c r="F115" s="17" t="s">
        <v>6</v>
      </c>
      <c r="G115" s="17" t="s">
        <v>5</v>
      </c>
    </row>
    <row r="116" spans="1:12" customFormat="1" ht="16" x14ac:dyDescent="0.2">
      <c r="A116" s="2" t="str">
        <f>B108</f>
        <v>wood pellet, burned in residential stove 9kW</v>
      </c>
      <c r="B116" s="2">
        <v>1</v>
      </c>
      <c r="C116" s="2" t="str">
        <f>B109</f>
        <v>RER</v>
      </c>
      <c r="D116" s="2"/>
      <c r="E116" s="2" t="str">
        <f>B113</f>
        <v>megajoule</v>
      </c>
      <c r="F116" s="2" t="s">
        <v>19</v>
      </c>
      <c r="G116" s="2" t="str">
        <f>B111</f>
        <v>heat</v>
      </c>
      <c r="H116" s="2"/>
      <c r="I116" s="2"/>
      <c r="J116" s="2"/>
      <c r="K116" s="2"/>
      <c r="L116" s="2"/>
    </row>
    <row r="117" spans="1:12" customFormat="1" ht="16" x14ac:dyDescent="0.2">
      <c r="A117" s="2" t="s">
        <v>292</v>
      </c>
      <c r="B117">
        <f>1/(0.076236*19.1)</f>
        <v>0.68676243431460693</v>
      </c>
      <c r="C117" t="s">
        <v>22</v>
      </c>
      <c r="E117" t="s">
        <v>17</v>
      </c>
      <c r="F117" t="s">
        <v>23</v>
      </c>
      <c r="G117" t="s">
        <v>39</v>
      </c>
      <c r="H117" s="2"/>
    </row>
    <row r="118" spans="1:12" customFormat="1" ht="16" x14ac:dyDescent="0.2">
      <c r="H118" s="2"/>
    </row>
    <row r="119" spans="1:12" x14ac:dyDescent="0.2">
      <c r="A119" s="17" t="s">
        <v>2</v>
      </c>
      <c r="B119" s="17" t="s">
        <v>34</v>
      </c>
    </row>
    <row r="120" spans="1:12" customFormat="1" ht="16" x14ac:dyDescent="0.2">
      <c r="A120" s="2" t="s">
        <v>3</v>
      </c>
      <c r="B120" s="2" t="s">
        <v>18</v>
      </c>
      <c r="C120" s="2"/>
      <c r="D120" s="2"/>
      <c r="E120" s="2"/>
      <c r="F120" s="2"/>
      <c r="G120" s="2"/>
      <c r="H120" s="2"/>
      <c r="I120" s="2"/>
      <c r="J120" s="2"/>
      <c r="K120" s="2"/>
      <c r="L120" s="2"/>
    </row>
    <row r="121" spans="1:12" customFormat="1" ht="16" x14ac:dyDescent="0.2">
      <c r="A121" s="2" t="s">
        <v>4</v>
      </c>
      <c r="B121" s="2">
        <v>1</v>
      </c>
      <c r="C121" s="2"/>
      <c r="D121" s="2"/>
      <c r="E121" s="2"/>
      <c r="F121" s="2"/>
      <c r="G121" s="2"/>
      <c r="H121" s="2"/>
      <c r="I121" s="2"/>
      <c r="J121" s="2"/>
      <c r="K121" s="2"/>
      <c r="L121" s="2"/>
    </row>
    <row r="122" spans="1:12" customFormat="1" ht="16" x14ac:dyDescent="0.2">
      <c r="A122" s="2" t="s">
        <v>5</v>
      </c>
      <c r="B122" s="2" t="s">
        <v>1</v>
      </c>
      <c r="C122" s="2"/>
      <c r="D122" s="2"/>
      <c r="E122" s="2"/>
      <c r="F122" s="2"/>
      <c r="G122" s="2"/>
      <c r="H122" s="2"/>
      <c r="I122" s="2"/>
      <c r="J122" s="2"/>
    </row>
    <row r="123" spans="1:12" customFormat="1" ht="16" x14ac:dyDescent="0.2">
      <c r="A123" s="2" t="s">
        <v>6</v>
      </c>
      <c r="B123" s="2" t="s">
        <v>7</v>
      </c>
      <c r="C123" s="2"/>
      <c r="D123" s="2"/>
      <c r="E123" s="2"/>
      <c r="F123" s="2"/>
      <c r="G123" s="2"/>
      <c r="H123" s="2"/>
      <c r="I123" s="2"/>
      <c r="J123" s="2"/>
      <c r="K123" s="2"/>
      <c r="L123" s="2"/>
    </row>
    <row r="124" spans="1:12" customFormat="1" ht="16" x14ac:dyDescent="0.2">
      <c r="A124" s="2" t="s">
        <v>8</v>
      </c>
      <c r="B124" s="2" t="s">
        <v>17</v>
      </c>
      <c r="C124" s="2"/>
      <c r="D124" s="2"/>
      <c r="E124" s="2"/>
      <c r="F124" s="2"/>
      <c r="G124" s="2"/>
      <c r="H124" s="2"/>
      <c r="I124" s="2"/>
      <c r="J124" s="2"/>
      <c r="K124" s="2"/>
      <c r="L124" s="2"/>
    </row>
    <row r="125" spans="1:12" customFormat="1" ht="16" x14ac:dyDescent="0.2">
      <c r="A125" s="1" t="s">
        <v>10</v>
      </c>
      <c r="B125" s="2"/>
      <c r="C125" s="2"/>
      <c r="D125" s="2"/>
      <c r="E125" s="2"/>
      <c r="F125" s="2"/>
      <c r="G125" s="2"/>
      <c r="H125" s="2"/>
      <c r="I125" s="2"/>
      <c r="J125" s="2"/>
      <c r="K125" s="2"/>
      <c r="L125" s="2"/>
    </row>
    <row r="126" spans="1:12" x14ac:dyDescent="0.2">
      <c r="A126" s="17" t="s">
        <v>11</v>
      </c>
      <c r="B126" s="17" t="s">
        <v>12</v>
      </c>
      <c r="C126" s="17" t="s">
        <v>3</v>
      </c>
      <c r="D126" s="17" t="s">
        <v>13</v>
      </c>
      <c r="E126" s="17" t="s">
        <v>8</v>
      </c>
      <c r="F126" s="17" t="s">
        <v>6</v>
      </c>
      <c r="G126" s="17" t="s">
        <v>5</v>
      </c>
    </row>
    <row r="127" spans="1:12" customFormat="1" ht="16" x14ac:dyDescent="0.2">
      <c r="A127" s="2" t="str">
        <f>B119</f>
        <v>hydrogen, burned in gas turbine 1GW</v>
      </c>
      <c r="B127" s="2">
        <v>1</v>
      </c>
      <c r="C127" s="2" t="str">
        <f>B120</f>
        <v>RER</v>
      </c>
      <c r="D127" s="2"/>
      <c r="E127" s="2" t="str">
        <f>B124</f>
        <v>megajoule</v>
      </c>
      <c r="F127" s="2" t="s">
        <v>19</v>
      </c>
      <c r="G127" s="2" t="str">
        <f>B122</f>
        <v>heat</v>
      </c>
      <c r="H127" s="2"/>
      <c r="I127" s="2"/>
      <c r="J127" s="2"/>
      <c r="K127" s="2"/>
      <c r="L127" s="2"/>
    </row>
    <row r="128" spans="1:12" customFormat="1" ht="16" x14ac:dyDescent="0.2">
      <c r="A128" s="2" t="s">
        <v>24</v>
      </c>
      <c r="B128">
        <f>1/(0.00877*120)</f>
        <v>0.9502090459901178</v>
      </c>
      <c r="C128" t="s">
        <v>18</v>
      </c>
      <c r="E128" t="s">
        <v>17</v>
      </c>
      <c r="F128" t="s">
        <v>23</v>
      </c>
      <c r="G128" t="s">
        <v>1</v>
      </c>
      <c r="H128" s="2"/>
    </row>
    <row r="129" spans="1:15" customFormat="1" ht="16" x14ac:dyDescent="0.2">
      <c r="H129" s="2"/>
    </row>
    <row r="130" spans="1:15" x14ac:dyDescent="0.2">
      <c r="A130" s="17" t="s">
        <v>2</v>
      </c>
      <c r="B130" s="17" t="s">
        <v>117</v>
      </c>
    </row>
    <row r="131" spans="1:15" customFormat="1" ht="16" x14ac:dyDescent="0.2">
      <c r="A131" s="2" t="s">
        <v>3</v>
      </c>
      <c r="B131" s="2" t="s">
        <v>18</v>
      </c>
      <c r="C131" s="2"/>
      <c r="D131" s="2"/>
      <c r="E131" s="2"/>
      <c r="F131" s="2"/>
      <c r="G131" s="2"/>
      <c r="H131" s="2"/>
      <c r="I131" s="2"/>
      <c r="J131" s="2"/>
      <c r="K131" s="2"/>
      <c r="L131" s="2"/>
    </row>
    <row r="132" spans="1:15" customFormat="1" ht="16" x14ac:dyDescent="0.2">
      <c r="A132" s="2" t="s">
        <v>4</v>
      </c>
      <c r="B132" s="2">
        <v>1</v>
      </c>
      <c r="C132" s="2"/>
      <c r="D132" s="2"/>
      <c r="E132" s="2"/>
      <c r="F132" s="2"/>
      <c r="G132" s="2"/>
      <c r="H132" s="2"/>
      <c r="I132" s="2"/>
      <c r="J132" s="2"/>
      <c r="K132" s="2"/>
      <c r="L132" s="2"/>
    </row>
    <row r="133" spans="1:15" customFormat="1" ht="16" x14ac:dyDescent="0.2">
      <c r="A133" s="2" t="s">
        <v>5</v>
      </c>
      <c r="B133" s="2" t="s">
        <v>1</v>
      </c>
      <c r="C133" s="2"/>
      <c r="D133" s="2"/>
      <c r="E133" s="2"/>
      <c r="F133" s="2"/>
      <c r="G133" s="2"/>
      <c r="H133" s="2"/>
      <c r="I133" s="2"/>
      <c r="J133" s="2"/>
    </row>
    <row r="134" spans="1:15" customFormat="1" ht="16" x14ac:dyDescent="0.2">
      <c r="A134" s="2" t="s">
        <v>6</v>
      </c>
      <c r="B134" s="2" t="s">
        <v>7</v>
      </c>
      <c r="C134" s="2"/>
      <c r="D134" s="2"/>
      <c r="E134" s="2"/>
      <c r="F134" s="2"/>
      <c r="G134" s="2"/>
      <c r="H134" s="2"/>
      <c r="I134" s="2"/>
      <c r="J134" s="2"/>
      <c r="K134" s="2"/>
      <c r="L134" s="2"/>
    </row>
    <row r="135" spans="1:15" customFormat="1" ht="16" x14ac:dyDescent="0.2">
      <c r="A135" s="2" t="s">
        <v>8</v>
      </c>
      <c r="B135" s="2" t="s">
        <v>17</v>
      </c>
      <c r="C135" s="2"/>
      <c r="D135" s="2"/>
      <c r="E135" s="2"/>
      <c r="F135" s="2"/>
      <c r="G135" s="2"/>
      <c r="H135" s="2"/>
      <c r="I135" s="2"/>
      <c r="J135" s="2"/>
      <c r="K135" s="2"/>
      <c r="L135" s="2"/>
    </row>
    <row r="136" spans="1:15" customFormat="1" ht="16" x14ac:dyDescent="0.2">
      <c r="A136" s="1" t="s">
        <v>10</v>
      </c>
      <c r="B136" s="2"/>
      <c r="C136" s="2"/>
      <c r="D136" s="2"/>
      <c r="E136" s="2"/>
      <c r="F136" s="2"/>
      <c r="G136" s="2"/>
      <c r="H136" s="2"/>
      <c r="I136" s="2"/>
      <c r="J136" s="2"/>
      <c r="K136" s="2"/>
      <c r="L136" s="2"/>
    </row>
    <row r="137" spans="1:15" x14ac:dyDescent="0.2">
      <c r="A137" s="17" t="s">
        <v>11</v>
      </c>
      <c r="B137" s="17" t="s">
        <v>12</v>
      </c>
      <c r="C137" s="17" t="s">
        <v>3</v>
      </c>
      <c r="D137" s="17" t="s">
        <v>13</v>
      </c>
      <c r="E137" s="17" t="s">
        <v>8</v>
      </c>
      <c r="F137" s="17" t="s">
        <v>6</v>
      </c>
      <c r="G137" s="17" t="s">
        <v>5</v>
      </c>
    </row>
    <row r="138" spans="1:15" customFormat="1" ht="16" x14ac:dyDescent="0.2">
      <c r="A138" s="2" t="str">
        <f>B130</f>
        <v>hydrogen, converted in 1kWe fuel cell</v>
      </c>
      <c r="B138" s="2">
        <v>1</v>
      </c>
      <c r="C138" s="2" t="str">
        <f>B131</f>
        <v>RER</v>
      </c>
      <c r="D138" s="2"/>
      <c r="E138" s="2" t="str">
        <f>B135</f>
        <v>megajoule</v>
      </c>
      <c r="F138" s="2" t="s">
        <v>19</v>
      </c>
      <c r="G138" s="2" t="str">
        <f>B133</f>
        <v>heat</v>
      </c>
      <c r="H138" s="2"/>
      <c r="I138" s="2"/>
      <c r="J138" s="2"/>
      <c r="K138" s="2"/>
      <c r="L138" s="2"/>
    </row>
    <row r="139" spans="1:15" s="4" customFormat="1" ht="16" x14ac:dyDescent="0.2">
      <c r="A139" s="4" t="s">
        <v>113</v>
      </c>
      <c r="B139" s="7">
        <f>0.00000507/2</f>
        <v>2.5349999999999999E-6</v>
      </c>
      <c r="C139" s="4" t="s">
        <v>114</v>
      </c>
      <c r="E139" s="4" t="s">
        <v>8</v>
      </c>
      <c r="F139" s="4" t="s">
        <v>23</v>
      </c>
      <c r="G139" s="4" t="s">
        <v>115</v>
      </c>
      <c r="O139" s="5"/>
    </row>
    <row r="140" spans="1:15" s="4" customFormat="1" ht="16" x14ac:dyDescent="0.2">
      <c r="A140" t="s">
        <v>158</v>
      </c>
      <c r="B140" s="11">
        <f>0.01676/2</f>
        <v>8.3800000000000003E-3</v>
      </c>
      <c r="C140" s="4" t="s">
        <v>18</v>
      </c>
      <c r="E140" s="4" t="s">
        <v>9</v>
      </c>
      <c r="F140" s="4" t="s">
        <v>23</v>
      </c>
      <c r="G140" s="4" t="s">
        <v>159</v>
      </c>
      <c r="J140" s="6"/>
      <c r="O140" s="5"/>
    </row>
    <row r="141" spans="1:15" s="4" customFormat="1" ht="16" x14ac:dyDescent="0.2">
      <c r="A141" s="2" t="s">
        <v>118</v>
      </c>
      <c r="B141" s="7">
        <f>0.56%*B140</f>
        <v>4.6928000000000009E-5</v>
      </c>
      <c r="D141" s="4" t="s">
        <v>116</v>
      </c>
      <c r="E141" s="4" t="s">
        <v>9</v>
      </c>
      <c r="F141" s="2" t="s">
        <v>15</v>
      </c>
      <c r="J141" s="6"/>
      <c r="O141" s="5"/>
    </row>
    <row r="142" spans="1:15" s="4" customFormat="1" ht="16" x14ac:dyDescent="0.2">
      <c r="A142" s="2" t="s">
        <v>98</v>
      </c>
      <c r="B142" s="7">
        <f>B140*9/1000</f>
        <v>7.5420000000000006E-5</v>
      </c>
      <c r="D142" s="4" t="s">
        <v>116</v>
      </c>
      <c r="E142" s="2" t="s">
        <v>94</v>
      </c>
      <c r="F142" s="2" t="s">
        <v>15</v>
      </c>
      <c r="O142" s="5"/>
    </row>
    <row r="143" spans="1:15" customFormat="1" ht="16" x14ac:dyDescent="0.2">
      <c r="H143" s="2"/>
    </row>
    <row r="144" spans="1:15" x14ac:dyDescent="0.2">
      <c r="A144" s="17" t="s">
        <v>2</v>
      </c>
      <c r="B144" s="17" t="s">
        <v>25</v>
      </c>
    </row>
    <row r="145" spans="1:12" customFormat="1" ht="16" x14ac:dyDescent="0.2">
      <c r="A145" s="2" t="s">
        <v>3</v>
      </c>
      <c r="B145" s="2" t="s">
        <v>18</v>
      </c>
      <c r="C145" s="2"/>
      <c r="D145" s="2"/>
      <c r="E145" s="2"/>
      <c r="F145" s="2"/>
      <c r="G145" s="2"/>
      <c r="H145" s="2"/>
      <c r="I145" s="2"/>
      <c r="J145" s="2"/>
      <c r="K145" s="2"/>
      <c r="L145" s="2"/>
    </row>
    <row r="146" spans="1:12" customFormat="1" ht="16" x14ac:dyDescent="0.2">
      <c r="A146" s="2" t="s">
        <v>4</v>
      </c>
      <c r="B146" s="2">
        <v>1</v>
      </c>
      <c r="C146" s="2"/>
      <c r="D146" s="2"/>
      <c r="E146" s="2"/>
      <c r="F146" s="2"/>
      <c r="G146" s="2"/>
      <c r="H146" s="2"/>
      <c r="I146" s="2"/>
      <c r="J146" s="2"/>
      <c r="K146" s="2"/>
      <c r="L146" s="2"/>
    </row>
    <row r="147" spans="1:12" customFormat="1" ht="16" x14ac:dyDescent="0.2">
      <c r="A147" s="2" t="s">
        <v>5</v>
      </c>
      <c r="B147" s="2" t="s">
        <v>1</v>
      </c>
      <c r="C147" s="2"/>
      <c r="D147" s="2"/>
      <c r="E147" s="2"/>
      <c r="F147" s="2"/>
      <c r="G147" s="2"/>
      <c r="H147" s="2"/>
      <c r="I147" s="2"/>
      <c r="J147" s="2"/>
    </row>
    <row r="148" spans="1:12" customFormat="1" ht="16" x14ac:dyDescent="0.2">
      <c r="A148" s="2" t="s">
        <v>6</v>
      </c>
      <c r="B148" s="2" t="s">
        <v>7</v>
      </c>
      <c r="C148" s="2"/>
      <c r="D148" s="2"/>
      <c r="E148" s="2"/>
      <c r="F148" s="2"/>
      <c r="G148" s="2"/>
      <c r="H148" s="2"/>
      <c r="I148" s="2"/>
      <c r="J148" s="2"/>
      <c r="K148" s="2"/>
      <c r="L148" s="2"/>
    </row>
    <row r="149" spans="1:12" customFormat="1" ht="16" x14ac:dyDescent="0.2">
      <c r="A149" s="2" t="s">
        <v>8</v>
      </c>
      <c r="B149" s="2" t="s">
        <v>17</v>
      </c>
      <c r="C149" s="2"/>
      <c r="D149" s="2"/>
      <c r="E149" s="2"/>
      <c r="F149" s="2"/>
      <c r="G149" s="2"/>
      <c r="H149" s="2"/>
      <c r="I149" s="2"/>
      <c r="J149" s="2"/>
      <c r="K149" s="2"/>
      <c r="L149" s="2"/>
    </row>
    <row r="150" spans="1:12" customFormat="1" ht="16" x14ac:dyDescent="0.2">
      <c r="A150" s="1" t="s">
        <v>10</v>
      </c>
      <c r="B150" s="2"/>
      <c r="C150" s="2"/>
      <c r="D150" s="2"/>
      <c r="E150" s="2"/>
      <c r="F150" s="2"/>
      <c r="G150" s="2"/>
      <c r="H150" s="2"/>
      <c r="I150" s="2"/>
      <c r="J150" s="2"/>
      <c r="K150" s="2"/>
      <c r="L150" s="2"/>
    </row>
    <row r="151" spans="1:12" x14ac:dyDescent="0.2">
      <c r="A151" s="17" t="s">
        <v>11</v>
      </c>
      <c r="B151" s="17" t="s">
        <v>12</v>
      </c>
      <c r="C151" s="17" t="s">
        <v>3</v>
      </c>
      <c r="D151" s="17" t="s">
        <v>13</v>
      </c>
      <c r="E151" s="17" t="s">
        <v>8</v>
      </c>
      <c r="F151" s="17" t="s">
        <v>6</v>
      </c>
      <c r="G151" s="17" t="s">
        <v>5</v>
      </c>
    </row>
    <row r="152" spans="1:12" customFormat="1" ht="16" x14ac:dyDescent="0.2">
      <c r="A152" s="2" t="str">
        <f>B144</f>
        <v>hard coal, burned in hard coal industrial furnace 1-10MW</v>
      </c>
      <c r="B152" s="2">
        <v>1</v>
      </c>
      <c r="C152" s="2" t="str">
        <f>B145</f>
        <v>RER</v>
      </c>
      <c r="D152" s="2"/>
      <c r="E152" s="2" t="str">
        <f>B149</f>
        <v>megajoule</v>
      </c>
      <c r="F152" s="2" t="s">
        <v>19</v>
      </c>
      <c r="G152" s="2" t="str">
        <f>B147</f>
        <v>heat</v>
      </c>
      <c r="H152" s="2"/>
      <c r="I152" s="2"/>
      <c r="J152" s="2"/>
      <c r="K152" s="2"/>
      <c r="L152" s="2"/>
    </row>
    <row r="153" spans="1:12" customFormat="1" ht="16" x14ac:dyDescent="0.2">
      <c r="A153" s="2" t="s">
        <v>26</v>
      </c>
      <c r="B153">
        <v>0.8</v>
      </c>
      <c r="C153" t="s">
        <v>27</v>
      </c>
      <c r="E153" t="s">
        <v>17</v>
      </c>
      <c r="F153" t="s">
        <v>23</v>
      </c>
      <c r="G153" t="s">
        <v>21</v>
      </c>
      <c r="H153" s="2"/>
    </row>
    <row r="154" spans="1:12" customFormat="1" ht="16" x14ac:dyDescent="0.2">
      <c r="H154" s="2"/>
    </row>
    <row r="155" spans="1:12" x14ac:dyDescent="0.2">
      <c r="A155" s="17" t="s">
        <v>2</v>
      </c>
      <c r="B155" s="17" t="s">
        <v>37</v>
      </c>
    </row>
    <row r="156" spans="1:12" customFormat="1" ht="16" x14ac:dyDescent="0.2">
      <c r="A156" s="2" t="s">
        <v>3</v>
      </c>
      <c r="B156" s="2" t="s">
        <v>18</v>
      </c>
      <c r="C156" s="2"/>
      <c r="D156" s="2"/>
      <c r="E156" s="2"/>
      <c r="F156" s="2"/>
      <c r="G156" s="2"/>
      <c r="H156" s="2"/>
      <c r="I156" s="2"/>
      <c r="J156" s="2"/>
      <c r="K156" s="2"/>
      <c r="L156" s="2"/>
    </row>
    <row r="157" spans="1:12" customFormat="1" ht="16" x14ac:dyDescent="0.2">
      <c r="A157" s="2" t="s">
        <v>4</v>
      </c>
      <c r="B157" s="2">
        <v>1</v>
      </c>
      <c r="C157" s="2"/>
      <c r="D157" s="2"/>
      <c r="E157" s="2"/>
      <c r="F157" s="2"/>
      <c r="G157" s="2"/>
      <c r="H157" s="2"/>
      <c r="I157" s="2"/>
      <c r="J157" s="2"/>
      <c r="K157" s="2"/>
      <c r="L157" s="2"/>
    </row>
    <row r="158" spans="1:12" customFormat="1" ht="16" x14ac:dyDescent="0.2">
      <c r="A158" s="2" t="s">
        <v>5</v>
      </c>
      <c r="B158" s="2" t="s">
        <v>1</v>
      </c>
      <c r="C158" s="2"/>
      <c r="D158" s="2"/>
      <c r="E158" s="2"/>
      <c r="F158" s="2"/>
      <c r="G158" s="2"/>
      <c r="H158" s="2"/>
      <c r="I158" s="2"/>
      <c r="J158" s="2"/>
    </row>
    <row r="159" spans="1:12" customFormat="1" ht="16" x14ac:dyDescent="0.2">
      <c r="A159" s="2" t="s">
        <v>6</v>
      </c>
      <c r="B159" s="2" t="s">
        <v>7</v>
      </c>
      <c r="C159" s="2"/>
      <c r="D159" s="2"/>
      <c r="E159" s="2"/>
      <c r="F159" s="2"/>
      <c r="G159" s="2"/>
      <c r="H159" s="2"/>
      <c r="I159" s="2"/>
      <c r="J159" s="2"/>
      <c r="K159" s="2"/>
      <c r="L159" s="2"/>
    </row>
    <row r="160" spans="1:12" customFormat="1" ht="16" x14ac:dyDescent="0.2">
      <c r="A160" s="2" t="s">
        <v>8</v>
      </c>
      <c r="B160" s="2" t="s">
        <v>17</v>
      </c>
      <c r="C160" s="2"/>
      <c r="D160" s="2"/>
      <c r="E160" s="2"/>
      <c r="F160" s="2"/>
      <c r="G160" s="2"/>
      <c r="H160" s="2"/>
      <c r="I160" s="2"/>
      <c r="J160" s="2"/>
      <c r="K160" s="2"/>
      <c r="L160" s="2"/>
    </row>
    <row r="161" spans="1:12" customFormat="1" ht="16" x14ac:dyDescent="0.2">
      <c r="A161" s="1" t="s">
        <v>10</v>
      </c>
      <c r="B161" s="2"/>
      <c r="C161" s="2"/>
      <c r="D161" s="2"/>
      <c r="E161" s="2"/>
      <c r="F161" s="2"/>
      <c r="G161" s="2"/>
      <c r="H161" s="2"/>
      <c r="I161" s="2"/>
      <c r="J161" s="2"/>
      <c r="K161" s="2"/>
      <c r="L161" s="2"/>
    </row>
    <row r="162" spans="1:12" x14ac:dyDescent="0.2">
      <c r="A162" s="17" t="s">
        <v>11</v>
      </c>
      <c r="B162" s="17" t="s">
        <v>12</v>
      </c>
      <c r="C162" s="17" t="s">
        <v>3</v>
      </c>
      <c r="D162" s="17" t="s">
        <v>13</v>
      </c>
      <c r="E162" s="17" t="s">
        <v>8</v>
      </c>
      <c r="F162" s="17" t="s">
        <v>6</v>
      </c>
      <c r="G162" s="17" t="s">
        <v>5</v>
      </c>
    </row>
    <row r="163" spans="1:12" customFormat="1" ht="16" x14ac:dyDescent="0.2">
      <c r="A163" s="2" t="str">
        <f>B155</f>
        <v>hard coal briquettes, burned in stove 5-15kW</v>
      </c>
      <c r="B163" s="2">
        <v>1</v>
      </c>
      <c r="C163" s="2" t="str">
        <f>B156</f>
        <v>RER</v>
      </c>
      <c r="D163" s="2"/>
      <c r="E163" s="2" t="str">
        <f>B160</f>
        <v>megajoule</v>
      </c>
      <c r="F163" s="2" t="s">
        <v>19</v>
      </c>
      <c r="G163" s="2" t="str">
        <f>B158</f>
        <v>heat</v>
      </c>
      <c r="H163" s="2"/>
      <c r="I163" s="2"/>
      <c r="J163" s="2"/>
      <c r="K163" s="2"/>
      <c r="L163" s="2"/>
    </row>
    <row r="164" spans="1:12" customFormat="1" ht="16" x14ac:dyDescent="0.2">
      <c r="A164" s="2" t="s">
        <v>38</v>
      </c>
      <c r="B164">
        <f>1/1.43</f>
        <v>0.69930069930069938</v>
      </c>
      <c r="C164" t="s">
        <v>27</v>
      </c>
      <c r="E164" t="s">
        <v>17</v>
      </c>
      <c r="F164" t="s">
        <v>23</v>
      </c>
      <c r="G164" t="s">
        <v>39</v>
      </c>
      <c r="H164" s="2"/>
    </row>
    <row r="165" spans="1:12" customFormat="1" ht="16" x14ac:dyDescent="0.2">
      <c r="H165" s="2"/>
    </row>
    <row r="166" spans="1:12" x14ac:dyDescent="0.2">
      <c r="A166" s="17" t="s">
        <v>2</v>
      </c>
      <c r="B166" s="17" t="s">
        <v>28</v>
      </c>
    </row>
    <row r="167" spans="1:12" customFormat="1" ht="16" x14ac:dyDescent="0.2">
      <c r="A167" s="2" t="s">
        <v>3</v>
      </c>
      <c r="B167" s="2" t="s">
        <v>18</v>
      </c>
      <c r="C167" s="2"/>
      <c r="D167" s="2"/>
      <c r="E167" s="2"/>
      <c r="F167" s="2"/>
      <c r="G167" s="2"/>
      <c r="H167" s="2"/>
      <c r="I167" s="2"/>
      <c r="J167" s="2"/>
      <c r="K167" s="2"/>
      <c r="L167" s="2"/>
    </row>
    <row r="168" spans="1:12" customFormat="1" ht="16" x14ac:dyDescent="0.2">
      <c r="A168" s="2" t="s">
        <v>4</v>
      </c>
      <c r="B168" s="2">
        <v>1</v>
      </c>
      <c r="C168" s="2"/>
      <c r="D168" s="2"/>
      <c r="E168" s="2"/>
      <c r="F168" s="2"/>
      <c r="G168" s="2"/>
      <c r="H168" s="2"/>
      <c r="I168" s="2"/>
      <c r="J168" s="2"/>
      <c r="K168" s="2"/>
      <c r="L168" s="2"/>
    </row>
    <row r="169" spans="1:12" customFormat="1" ht="16" x14ac:dyDescent="0.2">
      <c r="A169" s="2" t="s">
        <v>5</v>
      </c>
      <c r="B169" s="2" t="s">
        <v>1</v>
      </c>
      <c r="C169" s="2"/>
      <c r="D169" s="2"/>
      <c r="E169" s="2"/>
      <c r="F169" s="2"/>
      <c r="G169" s="2"/>
      <c r="H169" s="2"/>
      <c r="I169" s="2"/>
      <c r="J169" s="2"/>
    </row>
    <row r="170" spans="1:12" customFormat="1" ht="16" x14ac:dyDescent="0.2">
      <c r="A170" s="2" t="s">
        <v>6</v>
      </c>
      <c r="B170" s="2" t="s">
        <v>7</v>
      </c>
      <c r="C170" s="2"/>
      <c r="D170" s="2"/>
      <c r="E170" s="2"/>
      <c r="F170" s="2"/>
      <c r="G170" s="2"/>
      <c r="H170" s="2"/>
      <c r="I170" s="2"/>
      <c r="J170" s="2"/>
      <c r="K170" s="2"/>
      <c r="L170" s="2"/>
    </row>
    <row r="171" spans="1:12" customFormat="1" ht="16" x14ac:dyDescent="0.2">
      <c r="A171" s="2" t="s">
        <v>8</v>
      </c>
      <c r="B171" s="2" t="s">
        <v>17</v>
      </c>
      <c r="C171" s="2"/>
      <c r="D171" s="2"/>
      <c r="E171" s="2"/>
      <c r="F171" s="2"/>
      <c r="G171" s="2"/>
      <c r="H171" s="2"/>
      <c r="I171" s="2"/>
      <c r="J171" s="2"/>
      <c r="K171" s="2"/>
      <c r="L171" s="2"/>
    </row>
    <row r="172" spans="1:12" customFormat="1" ht="16" x14ac:dyDescent="0.2">
      <c r="A172" s="1" t="s">
        <v>10</v>
      </c>
      <c r="B172" s="2"/>
      <c r="C172" s="2"/>
      <c r="D172" s="2"/>
      <c r="E172" s="2"/>
      <c r="F172" s="2"/>
      <c r="G172" s="2"/>
      <c r="H172" s="2"/>
      <c r="I172" s="2"/>
      <c r="J172" s="2"/>
      <c r="K172" s="2"/>
      <c r="L172" s="2"/>
    </row>
    <row r="173" spans="1:12" x14ac:dyDescent="0.2">
      <c r="A173" s="17" t="s">
        <v>11</v>
      </c>
      <c r="B173" s="17" t="s">
        <v>12</v>
      </c>
      <c r="C173" s="17" t="s">
        <v>3</v>
      </c>
      <c r="D173" s="17" t="s">
        <v>13</v>
      </c>
      <c r="E173" s="17" t="s">
        <v>8</v>
      </c>
      <c r="F173" s="17" t="s">
        <v>6</v>
      </c>
      <c r="G173" s="17" t="s">
        <v>5</v>
      </c>
    </row>
    <row r="174" spans="1:12" customFormat="1" ht="16" x14ac:dyDescent="0.2">
      <c r="A174" s="2" t="str">
        <f>B166</f>
        <v>light fuel oil, burned in industrial furnace 1MW</v>
      </c>
      <c r="B174" s="2">
        <v>1</v>
      </c>
      <c r="C174" s="2" t="str">
        <f>B167</f>
        <v>RER</v>
      </c>
      <c r="D174" s="2"/>
      <c r="E174" s="2" t="str">
        <f>B171</f>
        <v>megajoule</v>
      </c>
      <c r="F174" s="2" t="s">
        <v>19</v>
      </c>
      <c r="G174" s="2" t="str">
        <f>B169</f>
        <v>heat</v>
      </c>
      <c r="H174" s="2"/>
      <c r="I174" s="2"/>
      <c r="J174" s="2"/>
      <c r="K174" s="2"/>
      <c r="L174" s="2"/>
    </row>
    <row r="175" spans="1:12" customFormat="1" ht="16" x14ac:dyDescent="0.2">
      <c r="A175" s="2" t="s">
        <v>29</v>
      </c>
      <c r="B175">
        <f>1/(0.024653*40.1)</f>
        <v>1.0115464998316279</v>
      </c>
      <c r="C175" t="s">
        <v>27</v>
      </c>
      <c r="E175" t="s">
        <v>17</v>
      </c>
      <c r="F175" t="s">
        <v>23</v>
      </c>
      <c r="G175" t="s">
        <v>21</v>
      </c>
      <c r="H175" s="2"/>
    </row>
    <row r="176" spans="1:12" customFormat="1" ht="16" x14ac:dyDescent="0.2">
      <c r="H176" s="2"/>
    </row>
    <row r="177" spans="1:12" x14ac:dyDescent="0.2">
      <c r="A177" s="17" t="s">
        <v>2</v>
      </c>
      <c r="B177" s="17" t="s">
        <v>40</v>
      </c>
    </row>
    <row r="178" spans="1:12" customFormat="1" ht="16" x14ac:dyDescent="0.2">
      <c r="A178" s="2" t="s">
        <v>3</v>
      </c>
      <c r="B178" s="2" t="s">
        <v>18</v>
      </c>
      <c r="C178" s="2"/>
      <c r="D178" s="2"/>
      <c r="E178" s="2"/>
      <c r="F178" s="2"/>
      <c r="G178" s="2"/>
      <c r="H178" s="2"/>
      <c r="I178" s="2"/>
      <c r="J178" s="2"/>
      <c r="K178" s="2"/>
      <c r="L178" s="2"/>
    </row>
    <row r="179" spans="1:12" customFormat="1" ht="16" x14ac:dyDescent="0.2">
      <c r="A179" s="2" t="s">
        <v>4</v>
      </c>
      <c r="B179" s="2">
        <v>1</v>
      </c>
      <c r="C179" s="2"/>
      <c r="D179" s="2"/>
      <c r="E179" s="2"/>
      <c r="F179" s="2"/>
      <c r="G179" s="2"/>
      <c r="H179" s="2"/>
      <c r="I179" s="2"/>
      <c r="J179" s="2"/>
      <c r="K179" s="2"/>
      <c r="L179" s="2"/>
    </row>
    <row r="180" spans="1:12" customFormat="1" ht="16" x14ac:dyDescent="0.2">
      <c r="A180" s="2" t="s">
        <v>5</v>
      </c>
      <c r="B180" s="2" t="s">
        <v>1</v>
      </c>
      <c r="C180" s="2"/>
      <c r="D180" s="2"/>
      <c r="E180" s="2"/>
      <c r="F180" s="2"/>
      <c r="G180" s="2"/>
      <c r="H180" s="2"/>
      <c r="I180" s="2"/>
      <c r="J180" s="2"/>
    </row>
    <row r="181" spans="1:12" customFormat="1" ht="16" x14ac:dyDescent="0.2">
      <c r="A181" s="2" t="s">
        <v>6</v>
      </c>
      <c r="B181" s="2" t="s">
        <v>7</v>
      </c>
      <c r="C181" s="2"/>
      <c r="D181" s="2"/>
      <c r="E181" s="2"/>
      <c r="F181" s="2"/>
      <c r="G181" s="2"/>
      <c r="H181" s="2"/>
      <c r="I181" s="2"/>
      <c r="J181" s="2"/>
      <c r="K181" s="2"/>
      <c r="L181" s="2"/>
    </row>
    <row r="182" spans="1:12" customFormat="1" ht="16" x14ac:dyDescent="0.2">
      <c r="A182" s="2" t="s">
        <v>8</v>
      </c>
      <c r="B182" s="2" t="s">
        <v>17</v>
      </c>
      <c r="C182" s="2"/>
      <c r="D182" s="2"/>
      <c r="E182" s="2"/>
      <c r="F182" s="2"/>
      <c r="G182" s="2"/>
      <c r="H182" s="2"/>
      <c r="I182" s="2"/>
      <c r="J182" s="2"/>
      <c r="K182" s="2"/>
      <c r="L182" s="2"/>
    </row>
    <row r="183" spans="1:12" customFormat="1" ht="16" x14ac:dyDescent="0.2">
      <c r="A183" s="1" t="s">
        <v>10</v>
      </c>
      <c r="B183" s="2"/>
      <c r="C183" s="2"/>
      <c r="D183" s="2"/>
      <c r="E183" s="2"/>
      <c r="F183" s="2"/>
      <c r="G183" s="2"/>
      <c r="H183" s="2"/>
      <c r="I183" s="2"/>
      <c r="J183" s="2"/>
      <c r="K183" s="2"/>
      <c r="L183" s="2"/>
    </row>
    <row r="184" spans="1:12" x14ac:dyDescent="0.2">
      <c r="A184" s="17" t="s">
        <v>11</v>
      </c>
      <c r="B184" s="17" t="s">
        <v>12</v>
      </c>
      <c r="C184" s="17" t="s">
        <v>3</v>
      </c>
      <c r="D184" s="17" t="s">
        <v>13</v>
      </c>
      <c r="E184" s="17" t="s">
        <v>8</v>
      </c>
      <c r="F184" s="17" t="s">
        <v>6</v>
      </c>
      <c r="G184" s="17" t="s">
        <v>5</v>
      </c>
    </row>
    <row r="185" spans="1:12" customFormat="1" ht="16" x14ac:dyDescent="0.2">
      <c r="A185" s="2" t="str">
        <f>B177</f>
        <v>light fuel oil, burned in residential boiler 10kW</v>
      </c>
      <c r="B185" s="2">
        <v>1</v>
      </c>
      <c r="C185" s="2" t="str">
        <f>B178</f>
        <v>RER</v>
      </c>
      <c r="D185" s="2"/>
      <c r="E185" s="2" t="str">
        <f>B182</f>
        <v>megajoule</v>
      </c>
      <c r="F185" s="2" t="s">
        <v>19</v>
      </c>
      <c r="G185" s="2" t="str">
        <f>B180</f>
        <v>heat</v>
      </c>
      <c r="H185" s="2"/>
      <c r="I185" s="2"/>
      <c r="J185" s="2"/>
      <c r="K185" s="2"/>
      <c r="L185" s="2"/>
    </row>
    <row r="186" spans="1:12" customFormat="1" ht="16" x14ac:dyDescent="0.2">
      <c r="A186" s="2" t="s">
        <v>41</v>
      </c>
      <c r="B186">
        <f>1/(0.02342*40.1)</f>
        <v>1.0648017019790403</v>
      </c>
      <c r="C186" t="s">
        <v>27</v>
      </c>
      <c r="E186" t="s">
        <v>17</v>
      </c>
      <c r="F186" t="s">
        <v>23</v>
      </c>
      <c r="G186" t="s">
        <v>39</v>
      </c>
      <c r="H186" s="2"/>
    </row>
    <row r="187" spans="1:12" customFormat="1" ht="16" x14ac:dyDescent="0.2">
      <c r="H187" s="2"/>
    </row>
    <row r="188" spans="1:12" x14ac:dyDescent="0.2">
      <c r="A188" s="17" t="s">
        <v>2</v>
      </c>
      <c r="B188" s="17" t="s">
        <v>42</v>
      </c>
    </row>
    <row r="189" spans="1:12" customFormat="1" ht="16" x14ac:dyDescent="0.2">
      <c r="A189" s="2" t="s">
        <v>3</v>
      </c>
      <c r="B189" s="2" t="s">
        <v>18</v>
      </c>
      <c r="C189" s="2"/>
      <c r="D189" s="2"/>
      <c r="E189" s="2"/>
      <c r="F189" s="2"/>
      <c r="G189" s="2"/>
      <c r="H189" s="2"/>
      <c r="I189" s="2"/>
      <c r="J189" s="2"/>
      <c r="K189" s="2"/>
      <c r="L189" s="2"/>
    </row>
    <row r="190" spans="1:12" customFormat="1" ht="16" x14ac:dyDescent="0.2">
      <c r="A190" s="2" t="s">
        <v>4</v>
      </c>
      <c r="B190" s="2">
        <v>1</v>
      </c>
      <c r="C190" s="2"/>
      <c r="D190" s="2"/>
      <c r="E190" s="2"/>
      <c r="F190" s="2"/>
      <c r="G190" s="2"/>
      <c r="H190" s="2"/>
      <c r="I190" s="2"/>
      <c r="J190" s="2"/>
      <c r="K190" s="2"/>
      <c r="L190" s="2"/>
    </row>
    <row r="191" spans="1:12" customFormat="1" ht="16" x14ac:dyDescent="0.2">
      <c r="A191" s="2" t="s">
        <v>5</v>
      </c>
      <c r="B191" s="2" t="s">
        <v>1</v>
      </c>
      <c r="C191" s="2"/>
      <c r="D191" s="2"/>
      <c r="E191" s="2"/>
      <c r="F191" s="2"/>
      <c r="G191" s="2"/>
      <c r="H191" s="2"/>
      <c r="I191" s="2"/>
      <c r="J191" s="2"/>
    </row>
    <row r="192" spans="1:12" customFormat="1" ht="16" x14ac:dyDescent="0.2">
      <c r="A192" s="2" t="s">
        <v>6</v>
      </c>
      <c r="B192" s="2" t="s">
        <v>7</v>
      </c>
      <c r="C192" s="2"/>
      <c r="D192" s="2"/>
      <c r="E192" s="2"/>
      <c r="F192" s="2"/>
      <c r="G192" s="2"/>
      <c r="H192" s="2"/>
      <c r="I192" s="2"/>
      <c r="J192" s="2"/>
      <c r="K192" s="2"/>
      <c r="L192" s="2"/>
    </row>
    <row r="193" spans="1:12" customFormat="1" ht="16" x14ac:dyDescent="0.2">
      <c r="A193" s="2" t="s">
        <v>8</v>
      </c>
      <c r="B193" s="2" t="s">
        <v>17</v>
      </c>
      <c r="C193" s="2"/>
      <c r="D193" s="2"/>
      <c r="E193" s="2"/>
      <c r="F193" s="2"/>
      <c r="G193" s="2"/>
      <c r="H193" s="2"/>
      <c r="I193" s="2"/>
      <c r="J193" s="2"/>
      <c r="K193" s="2"/>
      <c r="L193" s="2"/>
    </row>
    <row r="194" spans="1:12" customFormat="1" ht="16" x14ac:dyDescent="0.2">
      <c r="A194" s="1" t="s">
        <v>10</v>
      </c>
      <c r="B194" s="2"/>
      <c r="C194" s="2"/>
      <c r="D194" s="2"/>
      <c r="E194" s="2"/>
      <c r="F194" s="2"/>
      <c r="G194" s="2"/>
      <c r="H194" s="2"/>
      <c r="I194" s="2"/>
      <c r="J194" s="2"/>
      <c r="K194" s="2"/>
      <c r="L194" s="2"/>
    </row>
    <row r="195" spans="1:12" x14ac:dyDescent="0.2">
      <c r="A195" s="17" t="s">
        <v>11</v>
      </c>
      <c r="B195" s="17" t="s">
        <v>12</v>
      </c>
      <c r="C195" s="17" t="s">
        <v>3</v>
      </c>
      <c r="D195" s="17" t="s">
        <v>13</v>
      </c>
      <c r="E195" s="17" t="s">
        <v>8</v>
      </c>
      <c r="F195" s="17" t="s">
        <v>6</v>
      </c>
      <c r="G195" s="17" t="s">
        <v>5</v>
      </c>
    </row>
    <row r="196" spans="1:12" customFormat="1" ht="16" x14ac:dyDescent="0.2">
      <c r="A196" s="2" t="str">
        <f>B188</f>
        <v>propane, burned in industrial furnace &gt;100kW</v>
      </c>
      <c r="B196" s="2">
        <v>1</v>
      </c>
      <c r="C196" s="2" t="str">
        <f>B189</f>
        <v>RER</v>
      </c>
      <c r="D196" s="2"/>
      <c r="E196" s="2" t="str">
        <f>B193</f>
        <v>megajoule</v>
      </c>
      <c r="F196" s="2" t="s">
        <v>19</v>
      </c>
      <c r="G196" s="2" t="str">
        <f>B191</f>
        <v>heat</v>
      </c>
      <c r="H196" s="2"/>
      <c r="I196" s="2"/>
      <c r="J196" s="2"/>
      <c r="K196" s="2"/>
      <c r="L196" s="2"/>
    </row>
    <row r="197" spans="1:12" customFormat="1" ht="16" x14ac:dyDescent="0.2">
      <c r="A197" s="2" t="s">
        <v>43</v>
      </c>
      <c r="B197">
        <f>1/(0.022657*46.4)</f>
        <v>0.95121702511060757</v>
      </c>
      <c r="C197" t="s">
        <v>127</v>
      </c>
      <c r="E197" t="s">
        <v>17</v>
      </c>
      <c r="F197" t="s">
        <v>23</v>
      </c>
      <c r="G197" t="s">
        <v>21</v>
      </c>
      <c r="H197" s="2"/>
    </row>
    <row r="198" spans="1:12" customFormat="1" ht="16" x14ac:dyDescent="0.2">
      <c r="H198" s="2"/>
    </row>
    <row r="199" spans="1:12" x14ac:dyDescent="0.2">
      <c r="A199" s="17" t="s">
        <v>2</v>
      </c>
      <c r="B199" s="17" t="s">
        <v>400</v>
      </c>
    </row>
    <row r="200" spans="1:12" customFormat="1" ht="16" x14ac:dyDescent="0.2">
      <c r="A200" s="2" t="s">
        <v>3</v>
      </c>
      <c r="B200" s="2" t="s">
        <v>18</v>
      </c>
      <c r="C200" s="2"/>
      <c r="D200" s="2"/>
      <c r="E200" s="2"/>
      <c r="F200" s="2"/>
      <c r="G200" s="2"/>
      <c r="H200" s="2"/>
      <c r="I200" s="2"/>
      <c r="J200" s="2"/>
      <c r="K200" s="2"/>
      <c r="L200" s="2"/>
    </row>
    <row r="201" spans="1:12" customFormat="1" ht="16" x14ac:dyDescent="0.2">
      <c r="A201" s="2" t="s">
        <v>4</v>
      </c>
      <c r="B201" s="2">
        <v>1</v>
      </c>
      <c r="C201" s="2"/>
      <c r="D201" s="2"/>
      <c r="E201" s="2"/>
      <c r="F201" s="2"/>
      <c r="G201" s="2"/>
      <c r="H201" s="2"/>
      <c r="I201" s="2"/>
      <c r="J201" s="2"/>
      <c r="K201" s="2"/>
      <c r="L201" s="2"/>
    </row>
    <row r="202" spans="1:12" customFormat="1" ht="16" x14ac:dyDescent="0.2">
      <c r="A202" s="2" t="s">
        <v>5</v>
      </c>
      <c r="B202" s="2" t="s">
        <v>1</v>
      </c>
      <c r="C202" s="2"/>
      <c r="D202" s="2"/>
      <c r="E202" s="2"/>
      <c r="F202" s="2"/>
      <c r="G202" s="2"/>
      <c r="H202" s="2"/>
      <c r="I202" s="2"/>
      <c r="J202" s="2"/>
    </row>
    <row r="203" spans="1:12" customFormat="1" ht="16" x14ac:dyDescent="0.2">
      <c r="A203" s="2" t="s">
        <v>6</v>
      </c>
      <c r="B203" s="2" t="s">
        <v>7</v>
      </c>
      <c r="C203" s="2"/>
      <c r="D203" s="2"/>
      <c r="E203" s="2"/>
      <c r="F203" s="2"/>
      <c r="G203" s="2"/>
      <c r="H203" s="2"/>
      <c r="I203" s="2"/>
      <c r="J203" s="2"/>
      <c r="K203" s="2"/>
      <c r="L203" s="2"/>
    </row>
    <row r="204" spans="1:12" customFormat="1" ht="16" x14ac:dyDescent="0.2">
      <c r="A204" s="2" t="s">
        <v>8</v>
      </c>
      <c r="B204" s="2" t="s">
        <v>17</v>
      </c>
      <c r="C204" s="2"/>
      <c r="D204" s="2"/>
      <c r="E204" s="2"/>
      <c r="F204" s="2"/>
      <c r="G204" s="2"/>
      <c r="H204" s="2"/>
      <c r="I204" s="2"/>
      <c r="J204" s="2"/>
      <c r="K204" s="2"/>
      <c r="L204" s="2"/>
    </row>
    <row r="205" spans="1:12" customFormat="1" ht="16" x14ac:dyDescent="0.2">
      <c r="A205" s="1" t="s">
        <v>10</v>
      </c>
      <c r="B205" s="2"/>
      <c r="C205" s="2"/>
      <c r="D205" s="2"/>
      <c r="E205" s="2"/>
      <c r="F205" s="2"/>
      <c r="G205" s="2"/>
      <c r="H205" s="2"/>
      <c r="I205" s="2"/>
      <c r="J205" s="2"/>
      <c r="K205" s="2"/>
      <c r="L205" s="2"/>
    </row>
    <row r="206" spans="1:12" x14ac:dyDescent="0.2">
      <c r="A206" s="17" t="s">
        <v>11</v>
      </c>
      <c r="B206" s="17" t="s">
        <v>12</v>
      </c>
      <c r="C206" s="17" t="s">
        <v>3</v>
      </c>
      <c r="D206" s="17" t="s">
        <v>13</v>
      </c>
      <c r="E206" s="17" t="s">
        <v>8</v>
      </c>
      <c r="F206" s="17" t="s">
        <v>6</v>
      </c>
      <c r="G206" s="17" t="s">
        <v>5</v>
      </c>
    </row>
    <row r="207" spans="1:12" customFormat="1" ht="16" x14ac:dyDescent="0.2">
      <c r="A207" s="2" t="str">
        <f>B199</f>
        <v>methanol, synthetic, burned in residential boiler</v>
      </c>
      <c r="B207" s="2">
        <v>1</v>
      </c>
      <c r="C207" s="2" t="str">
        <f>B200</f>
        <v>RER</v>
      </c>
      <c r="D207" s="2"/>
      <c r="E207" s="2" t="str">
        <f>B204</f>
        <v>megajoule</v>
      </c>
      <c r="F207" s="2" t="s">
        <v>19</v>
      </c>
      <c r="G207" s="2" t="str">
        <f>B202</f>
        <v>heat</v>
      </c>
      <c r="H207" s="2"/>
      <c r="I207" s="2"/>
      <c r="J207" s="2"/>
      <c r="K207" s="2"/>
      <c r="L207" s="2"/>
    </row>
    <row r="208" spans="1:12" customFormat="1" ht="16" x14ac:dyDescent="0.2">
      <c r="A208" s="2" t="s">
        <v>401</v>
      </c>
      <c r="B208">
        <f>1/(0.05556*20)</f>
        <v>0.89992800575953924</v>
      </c>
      <c r="C208" t="s">
        <v>18</v>
      </c>
      <c r="E208" t="s">
        <v>17</v>
      </c>
      <c r="F208" t="s">
        <v>23</v>
      </c>
      <c r="G208" t="s">
        <v>31</v>
      </c>
      <c r="H208" s="2"/>
    </row>
    <row r="209" spans="1:12" customFormat="1" ht="16" x14ac:dyDescent="0.2">
      <c r="H209" s="2"/>
    </row>
    <row r="210" spans="1:12" x14ac:dyDescent="0.2">
      <c r="A210" s="17" t="s">
        <v>2</v>
      </c>
      <c r="B210" s="17" t="s">
        <v>32</v>
      </c>
    </row>
    <row r="211" spans="1:12" customFormat="1" ht="16" x14ac:dyDescent="0.2">
      <c r="A211" s="2" t="s">
        <v>3</v>
      </c>
      <c r="B211" s="2" t="s">
        <v>18</v>
      </c>
      <c r="C211" s="2"/>
      <c r="D211" s="2"/>
      <c r="E211" s="2"/>
      <c r="F211" s="2"/>
      <c r="G211" s="2"/>
      <c r="H211" s="2"/>
      <c r="I211" s="2"/>
      <c r="J211" s="2"/>
      <c r="K211" s="2"/>
      <c r="L211" s="2"/>
    </row>
    <row r="212" spans="1:12" customFormat="1" ht="16" x14ac:dyDescent="0.2">
      <c r="A212" s="2" t="s">
        <v>4</v>
      </c>
      <c r="B212" s="2">
        <v>1</v>
      </c>
      <c r="C212" s="2"/>
      <c r="D212" s="2"/>
      <c r="E212" s="2"/>
      <c r="F212" s="2"/>
      <c r="G212" s="2"/>
      <c r="H212" s="2"/>
      <c r="I212" s="2"/>
      <c r="J212" s="2"/>
      <c r="K212" s="2"/>
      <c r="L212" s="2"/>
    </row>
    <row r="213" spans="1:12" customFormat="1" ht="16" x14ac:dyDescent="0.2">
      <c r="A213" s="2" t="s">
        <v>5</v>
      </c>
      <c r="B213" s="2" t="s">
        <v>1</v>
      </c>
      <c r="C213" s="2"/>
      <c r="D213" s="2"/>
      <c r="E213" s="2"/>
      <c r="F213" s="2"/>
      <c r="G213" s="2"/>
      <c r="H213" s="2"/>
      <c r="I213" s="2"/>
      <c r="J213" s="2"/>
    </row>
    <row r="214" spans="1:12" customFormat="1" ht="16" x14ac:dyDescent="0.2">
      <c r="A214" s="2" t="s">
        <v>6</v>
      </c>
      <c r="B214" s="2" t="s">
        <v>7</v>
      </c>
      <c r="C214" s="2"/>
      <c r="D214" s="2"/>
      <c r="E214" s="2"/>
      <c r="F214" s="2"/>
      <c r="G214" s="2"/>
      <c r="H214" s="2"/>
      <c r="I214" s="2"/>
      <c r="J214" s="2"/>
      <c r="K214" s="2"/>
      <c r="L214" s="2"/>
    </row>
    <row r="215" spans="1:12" customFormat="1" ht="16" x14ac:dyDescent="0.2">
      <c r="A215" s="2" t="s">
        <v>8</v>
      </c>
      <c r="B215" s="2" t="s">
        <v>17</v>
      </c>
      <c r="C215" s="2"/>
      <c r="D215" s="2"/>
      <c r="E215" s="2"/>
      <c r="F215" s="2"/>
      <c r="G215" s="2"/>
      <c r="H215" s="2"/>
      <c r="I215" s="2"/>
      <c r="J215" s="2"/>
      <c r="K215" s="2"/>
      <c r="L215" s="2"/>
    </row>
    <row r="216" spans="1:12" customFormat="1" ht="16" x14ac:dyDescent="0.2">
      <c r="A216" s="1" t="s">
        <v>10</v>
      </c>
      <c r="B216" s="2"/>
      <c r="C216" s="2"/>
      <c r="D216" s="2"/>
      <c r="E216" s="2"/>
      <c r="F216" s="2"/>
      <c r="G216" s="2"/>
      <c r="H216" s="2"/>
      <c r="I216" s="2"/>
      <c r="J216" s="2"/>
      <c r="K216" s="2"/>
      <c r="L216" s="2"/>
    </row>
    <row r="217" spans="1:12" x14ac:dyDescent="0.2">
      <c r="A217" s="17" t="s">
        <v>11</v>
      </c>
      <c r="B217" s="17" t="s">
        <v>12</v>
      </c>
      <c r="C217" s="17" t="s">
        <v>3</v>
      </c>
      <c r="D217" s="17" t="s">
        <v>13</v>
      </c>
      <c r="E217" s="17" t="s">
        <v>8</v>
      </c>
      <c r="F217" s="17" t="s">
        <v>6</v>
      </c>
      <c r="G217" s="17" t="s">
        <v>5</v>
      </c>
    </row>
    <row r="218" spans="1:12" customFormat="1" ht="16" x14ac:dyDescent="0.2">
      <c r="A218" s="2" t="str">
        <f>B210</f>
        <v>methanol from biomass, burned in residential boiler</v>
      </c>
      <c r="B218" s="2">
        <v>1</v>
      </c>
      <c r="C218" s="2" t="str">
        <f>B211</f>
        <v>RER</v>
      </c>
      <c r="D218" s="2"/>
      <c r="E218" s="2" t="str">
        <f>B215</f>
        <v>megajoule</v>
      </c>
      <c r="F218" s="2" t="s">
        <v>19</v>
      </c>
      <c r="G218" s="2" t="str">
        <f>B213</f>
        <v>heat</v>
      </c>
      <c r="H218" s="2"/>
      <c r="I218" s="2"/>
      <c r="J218" s="2"/>
      <c r="K218" s="2"/>
      <c r="L218" s="2"/>
    </row>
    <row r="219" spans="1:12" customFormat="1" ht="16" x14ac:dyDescent="0.2">
      <c r="A219" s="2" t="s">
        <v>30</v>
      </c>
      <c r="B219">
        <f>1/(0.05556*20)</f>
        <v>0.89992800575953924</v>
      </c>
      <c r="C219" t="s">
        <v>18</v>
      </c>
      <c r="E219" t="s">
        <v>17</v>
      </c>
      <c r="F219" t="s">
        <v>23</v>
      </c>
      <c r="G219" t="s">
        <v>31</v>
      </c>
      <c r="H219" s="2"/>
    </row>
    <row r="220" spans="1:12" customFormat="1" ht="16" x14ac:dyDescent="0.2">
      <c r="H220" s="2"/>
    </row>
    <row r="221" spans="1:12" s="4" customFormat="1" ht="16" x14ac:dyDescent="0.2">
      <c r="A221" s="38" t="s">
        <v>2</v>
      </c>
      <c r="B221" s="39" t="s">
        <v>445</v>
      </c>
    </row>
    <row r="222" spans="1:12" s="4" customFormat="1" ht="16" x14ac:dyDescent="0.2">
      <c r="A222" s="4" t="s">
        <v>151</v>
      </c>
      <c r="B222" s="40" t="s">
        <v>446</v>
      </c>
    </row>
    <row r="223" spans="1:12" s="4" customFormat="1" ht="16" x14ac:dyDescent="0.2">
      <c r="A223" s="4" t="s">
        <v>204</v>
      </c>
      <c r="B223" s="40" t="s">
        <v>423</v>
      </c>
    </row>
    <row r="224" spans="1:12" s="4" customFormat="1" ht="16" x14ac:dyDescent="0.2">
      <c r="A224" s="4" t="s">
        <v>3</v>
      </c>
      <c r="B224" s="40" t="s">
        <v>18</v>
      </c>
    </row>
    <row r="225" spans="1:20" s="4" customFormat="1" ht="16" x14ac:dyDescent="0.2">
      <c r="A225" s="4" t="s">
        <v>5</v>
      </c>
      <c r="B225" s="40" t="s">
        <v>31</v>
      </c>
    </row>
    <row r="226" spans="1:20" s="4" customFormat="1" ht="16" x14ac:dyDescent="0.2">
      <c r="A226" s="4" t="s">
        <v>8</v>
      </c>
      <c r="B226" s="40" t="s">
        <v>17</v>
      </c>
    </row>
    <row r="227" spans="1:20" s="4" customFormat="1" ht="16" x14ac:dyDescent="0.2">
      <c r="A227" s="41" t="s">
        <v>10</v>
      </c>
      <c r="B227" s="40"/>
    </row>
    <row r="228" spans="1:20" s="4" customFormat="1" ht="16" x14ac:dyDescent="0.2">
      <c r="A228" s="38" t="s">
        <v>11</v>
      </c>
      <c r="B228" s="39" t="s">
        <v>12</v>
      </c>
      <c r="C228" s="38" t="s">
        <v>8</v>
      </c>
      <c r="D228" s="38" t="s">
        <v>13</v>
      </c>
      <c r="E228" s="38" t="s">
        <v>3</v>
      </c>
      <c r="F228" s="38" t="s">
        <v>6</v>
      </c>
      <c r="G228" s="38" t="s">
        <v>5</v>
      </c>
      <c r="H228" s="38" t="s">
        <v>151</v>
      </c>
      <c r="I228" s="38" t="s">
        <v>179</v>
      </c>
      <c r="J228" s="38" t="s">
        <v>180</v>
      </c>
      <c r="K228" s="38" t="s">
        <v>424</v>
      </c>
      <c r="L228" s="38" t="s">
        <v>425</v>
      </c>
      <c r="M228" s="38" t="s">
        <v>426</v>
      </c>
      <c r="N228" s="38" t="s">
        <v>427</v>
      </c>
      <c r="O228" s="38" t="s">
        <v>428</v>
      </c>
      <c r="P228" s="38" t="s">
        <v>429</v>
      </c>
      <c r="Q228" s="38" t="s">
        <v>430</v>
      </c>
      <c r="R228" s="38" t="s">
        <v>431</v>
      </c>
      <c r="S228" s="38" t="s">
        <v>432</v>
      </c>
      <c r="T228" s="38"/>
    </row>
    <row r="229" spans="1:20" s="4" customFormat="1" ht="16" x14ac:dyDescent="0.2">
      <c r="A229" s="4" t="str">
        <f>B221</f>
        <v>heat, residential, by combustion of light fuel oil, from cellulosic non-residual biomass, using boiler</v>
      </c>
      <c r="B229" s="40">
        <v>1</v>
      </c>
      <c r="C229" s="4" t="s">
        <v>17</v>
      </c>
      <c r="E229" s="40" t="s">
        <v>18</v>
      </c>
      <c r="F229" s="4" t="s">
        <v>19</v>
      </c>
      <c r="G229" s="4" t="s">
        <v>31</v>
      </c>
    </row>
    <row r="230" spans="1:20" s="4" customFormat="1" ht="16" x14ac:dyDescent="0.2">
      <c r="A230" s="4" t="s">
        <v>406</v>
      </c>
      <c r="B230" s="42">
        <f>1/43/0.9</f>
        <v>2.5839793281653745E-2</v>
      </c>
      <c r="C230" s="4" t="s">
        <v>9</v>
      </c>
      <c r="E230" s="40" t="s">
        <v>18</v>
      </c>
      <c r="F230" s="4" t="s">
        <v>23</v>
      </c>
      <c r="G230" s="4" t="s">
        <v>408</v>
      </c>
      <c r="H230" s="43" t="s">
        <v>447</v>
      </c>
      <c r="I230" s="4">
        <v>2</v>
      </c>
      <c r="J230" s="4">
        <v>-2.8903717578961645</v>
      </c>
      <c r="K230" s="4">
        <v>1.05</v>
      </c>
      <c r="L230" s="5">
        <v>1.2</v>
      </c>
      <c r="M230" s="4">
        <v>1</v>
      </c>
      <c r="N230" s="4">
        <v>1.01</v>
      </c>
      <c r="O230" s="4">
        <v>1.2</v>
      </c>
      <c r="P230" s="4">
        <v>1.2</v>
      </c>
      <c r="Q230" s="4">
        <v>1.05</v>
      </c>
      <c r="R230" s="4">
        <v>0.16169679924070957</v>
      </c>
    </row>
    <row r="231" spans="1:20" s="4" customFormat="1" ht="16" x14ac:dyDescent="0.2">
      <c r="A231" s="4" t="s">
        <v>433</v>
      </c>
      <c r="B231" s="45">
        <v>7.3486184597295713E-7</v>
      </c>
      <c r="C231" s="4" t="s">
        <v>8</v>
      </c>
      <c r="E231" s="4" t="s">
        <v>114</v>
      </c>
      <c r="F231" s="4" t="s">
        <v>23</v>
      </c>
      <c r="G231" s="4" t="s">
        <v>434</v>
      </c>
      <c r="H231" s="4" t="s">
        <v>435</v>
      </c>
      <c r="I231" s="4">
        <v>2</v>
      </c>
      <c r="J231" s="4">
        <v>-14.123583320063789</v>
      </c>
      <c r="K231" s="4">
        <v>1.05</v>
      </c>
      <c r="L231" s="5">
        <v>1.2</v>
      </c>
      <c r="M231" s="4">
        <v>1</v>
      </c>
      <c r="N231" s="4">
        <v>1.01</v>
      </c>
      <c r="O231" s="4">
        <v>1.2</v>
      </c>
      <c r="P231" s="4">
        <v>1.2</v>
      </c>
      <c r="Q231" s="4">
        <v>3</v>
      </c>
      <c r="R231" s="4">
        <v>0.57209088006881903</v>
      </c>
    </row>
    <row r="232" spans="1:20" s="4" customFormat="1" ht="16" x14ac:dyDescent="0.2">
      <c r="A232" s="4" t="s">
        <v>436</v>
      </c>
      <c r="B232" s="45">
        <v>4.4092000000000001E-7</v>
      </c>
      <c r="C232" s="4" t="s">
        <v>8</v>
      </c>
      <c r="E232" s="4" t="s">
        <v>114</v>
      </c>
      <c r="F232" s="4" t="s">
        <v>23</v>
      </c>
      <c r="G232" s="4" t="s">
        <v>437</v>
      </c>
      <c r="I232" s="4">
        <v>2</v>
      </c>
      <c r="J232" s="4">
        <v>-14.634402383851297</v>
      </c>
      <c r="K232" s="4">
        <v>1.05</v>
      </c>
      <c r="L232" s="5">
        <v>1.2</v>
      </c>
      <c r="M232" s="4">
        <v>1</v>
      </c>
      <c r="N232" s="4">
        <v>1.01</v>
      </c>
      <c r="O232" s="4">
        <v>1.2</v>
      </c>
      <c r="P232" s="4">
        <v>1.2</v>
      </c>
      <c r="Q232" s="4">
        <v>3</v>
      </c>
      <c r="R232" s="4">
        <v>0.57209088006881903</v>
      </c>
    </row>
    <row r="233" spans="1:20" s="4" customFormat="1" ht="16" x14ac:dyDescent="0.2">
      <c r="A233" s="4" t="s">
        <v>154</v>
      </c>
      <c r="B233" s="44">
        <v>2.6454999999999999E-6</v>
      </c>
      <c r="C233" s="4" t="s">
        <v>155</v>
      </c>
      <c r="E233" s="4" t="s">
        <v>114</v>
      </c>
      <c r="F233" s="4" t="s">
        <v>23</v>
      </c>
      <c r="G233" s="4" t="s">
        <v>156</v>
      </c>
      <c r="I233" s="4">
        <v>2</v>
      </c>
      <c r="J233" s="4">
        <v>-12.842650474602225</v>
      </c>
      <c r="K233" s="4">
        <v>1.05</v>
      </c>
      <c r="L233" s="5">
        <v>1.2</v>
      </c>
      <c r="M233" s="4">
        <v>1</v>
      </c>
      <c r="N233" s="4">
        <v>1.01</v>
      </c>
      <c r="O233" s="4">
        <v>1.2</v>
      </c>
      <c r="P233" s="4">
        <v>1.2</v>
      </c>
      <c r="Q233" s="4">
        <v>3</v>
      </c>
      <c r="R233" s="4">
        <v>0.57209088006881903</v>
      </c>
    </row>
    <row r="234" spans="1:20" s="4" customFormat="1" ht="16" x14ac:dyDescent="0.2">
      <c r="A234" s="4" t="s">
        <v>438</v>
      </c>
      <c r="B234" s="44">
        <v>-9.8300000000000008E-6</v>
      </c>
      <c r="C234" s="4" t="s">
        <v>94</v>
      </c>
      <c r="E234" s="4" t="s">
        <v>127</v>
      </c>
      <c r="F234" s="4" t="s">
        <v>23</v>
      </c>
      <c r="G234" s="4" t="s">
        <v>439</v>
      </c>
      <c r="I234" s="4">
        <v>2</v>
      </c>
      <c r="J234" s="4">
        <v>-11.530071623805199</v>
      </c>
      <c r="K234" s="4">
        <v>1.05</v>
      </c>
      <c r="L234" s="5">
        <v>1.2</v>
      </c>
      <c r="M234" s="4">
        <v>1</v>
      </c>
      <c r="N234" s="4">
        <v>1.01</v>
      </c>
      <c r="O234" s="4">
        <v>1.2</v>
      </c>
      <c r="P234" s="4">
        <v>1.2</v>
      </c>
      <c r="Q234" s="4">
        <v>1.05</v>
      </c>
      <c r="R234" s="4">
        <v>0.16169679924070957</v>
      </c>
      <c r="S234" s="4" t="b">
        <v>1</v>
      </c>
    </row>
    <row r="235" spans="1:20" s="4" customFormat="1" ht="16" x14ac:dyDescent="0.2">
      <c r="A235" s="4" t="s">
        <v>440</v>
      </c>
      <c r="B235" s="44">
        <v>-4.1500000000000001E-6</v>
      </c>
      <c r="C235" s="4" t="s">
        <v>9</v>
      </c>
      <c r="E235" s="40" t="s">
        <v>27</v>
      </c>
      <c r="F235" s="4" t="s">
        <v>23</v>
      </c>
      <c r="G235" s="4" t="s">
        <v>441</v>
      </c>
      <c r="I235" s="4">
        <v>2</v>
      </c>
      <c r="J235" s="4">
        <v>-12.392402223721668</v>
      </c>
      <c r="K235" s="4">
        <v>1.05</v>
      </c>
      <c r="L235" s="5">
        <v>1.2</v>
      </c>
      <c r="M235" s="4">
        <v>1</v>
      </c>
      <c r="N235" s="4">
        <v>1.01</v>
      </c>
      <c r="O235" s="4">
        <v>1.2</v>
      </c>
      <c r="P235" s="4">
        <v>1.2</v>
      </c>
      <c r="Q235" s="4">
        <v>1.05</v>
      </c>
      <c r="R235" s="4">
        <v>0.16169679924070957</v>
      </c>
      <c r="S235" s="4" t="b">
        <v>1</v>
      </c>
    </row>
    <row r="236" spans="1:20" s="4" customFormat="1" ht="16" x14ac:dyDescent="0.2">
      <c r="A236" s="4" t="s">
        <v>140</v>
      </c>
      <c r="B236" s="44">
        <v>2.7274999999999999E-3</v>
      </c>
      <c r="C236" s="4" t="s">
        <v>141</v>
      </c>
      <c r="E236" s="40" t="s">
        <v>18</v>
      </c>
      <c r="F236" s="4" t="s">
        <v>23</v>
      </c>
      <c r="G236" s="4" t="s">
        <v>142</v>
      </c>
      <c r="H236" s="4" t="s">
        <v>442</v>
      </c>
      <c r="I236" s="4">
        <v>2</v>
      </c>
      <c r="J236" s="4">
        <v>-5.9043698402570479</v>
      </c>
      <c r="K236" s="4">
        <v>1.05</v>
      </c>
      <c r="L236" s="5">
        <v>1.2</v>
      </c>
      <c r="M236" s="4">
        <v>1</v>
      </c>
      <c r="N236" s="4">
        <v>1.01</v>
      </c>
      <c r="O236" s="4">
        <v>1.2</v>
      </c>
      <c r="P236" s="4">
        <v>1.2</v>
      </c>
      <c r="Q236" s="4">
        <v>1.05</v>
      </c>
      <c r="R236" s="4">
        <v>0.16169679924070957</v>
      </c>
    </row>
    <row r="237" spans="1:20" s="4" customFormat="1" ht="16" x14ac:dyDescent="0.2">
      <c r="A237" s="4" t="s">
        <v>98</v>
      </c>
      <c r="B237" s="44">
        <f>(1.24*B230)/1000</f>
        <v>3.2041343669250644E-5</v>
      </c>
      <c r="C237" s="4" t="s">
        <v>94</v>
      </c>
      <c r="D237" s="4" t="s">
        <v>116</v>
      </c>
      <c r="F237" s="4" t="s">
        <v>15</v>
      </c>
      <c r="H237" s="4" t="s">
        <v>448</v>
      </c>
      <c r="I237" s="4">
        <v>2</v>
      </c>
      <c r="J237" s="4">
        <v>-2.7725887222397811</v>
      </c>
      <c r="K237" s="4">
        <v>1.05</v>
      </c>
      <c r="L237" s="5">
        <v>1.2</v>
      </c>
      <c r="M237" s="4">
        <v>1</v>
      </c>
      <c r="N237" s="4">
        <v>1.01</v>
      </c>
      <c r="O237" s="4">
        <v>1.2</v>
      </c>
      <c r="P237" s="4">
        <v>1.2</v>
      </c>
      <c r="Q237" s="4">
        <v>1.5</v>
      </c>
      <c r="R237" s="4">
        <v>0.25816898211842121</v>
      </c>
    </row>
    <row r="238" spans="1:20" s="4" customFormat="1" ht="16" x14ac:dyDescent="0.2">
      <c r="A238" s="4" t="s">
        <v>122</v>
      </c>
      <c r="B238" s="44">
        <f>3.16*B230</f>
        <v>8.1653746770025834E-2</v>
      </c>
      <c r="C238" s="4" t="s">
        <v>9</v>
      </c>
      <c r="D238" s="4" t="s">
        <v>14</v>
      </c>
      <c r="F238" s="4" t="s">
        <v>15</v>
      </c>
      <c r="H238" s="4" t="s">
        <v>443</v>
      </c>
      <c r="I238" s="4">
        <v>2</v>
      </c>
      <c r="J238" s="4">
        <v>-2.5741022285924711</v>
      </c>
      <c r="K238" s="4">
        <v>1.05</v>
      </c>
      <c r="L238" s="5">
        <v>1.2</v>
      </c>
      <c r="M238" s="4">
        <v>1</v>
      </c>
      <c r="N238" s="4">
        <v>1.01</v>
      </c>
      <c r="O238" s="4">
        <v>1.2</v>
      </c>
      <c r="P238" s="4">
        <v>1.2</v>
      </c>
      <c r="Q238" s="4">
        <v>1.05</v>
      </c>
      <c r="R238" s="4">
        <v>0.16169679924070957</v>
      </c>
    </row>
    <row r="239" spans="1:20" s="4" customFormat="1" ht="16" x14ac:dyDescent="0.2">
      <c r="A239" s="4" t="s">
        <v>123</v>
      </c>
      <c r="B239" s="44">
        <v>9.0000000000000002E-6</v>
      </c>
      <c r="C239" s="4" t="s">
        <v>9</v>
      </c>
      <c r="D239" s="4" t="s">
        <v>14</v>
      </c>
      <c r="F239" s="4" t="s">
        <v>15</v>
      </c>
      <c r="H239" s="4" t="s">
        <v>443</v>
      </c>
      <c r="I239" s="4">
        <v>2</v>
      </c>
      <c r="J239" s="4">
        <v>-11.618285980628055</v>
      </c>
      <c r="K239" s="4">
        <v>1.5</v>
      </c>
      <c r="L239" s="4">
        <v>1.2</v>
      </c>
      <c r="M239" s="4">
        <v>1.5</v>
      </c>
      <c r="N239" s="4">
        <v>1.1000000000000001</v>
      </c>
      <c r="O239" s="4">
        <v>2</v>
      </c>
      <c r="P239" s="4">
        <v>1.2</v>
      </c>
      <c r="Q239" s="4">
        <v>5</v>
      </c>
      <c r="R239" s="4">
        <v>0.93208283513358414</v>
      </c>
    </row>
    <row r="240" spans="1:20" s="4" customFormat="1" ht="16" x14ac:dyDescent="0.2">
      <c r="A240" s="4" t="s">
        <v>69</v>
      </c>
      <c r="B240" s="44">
        <f>0.000006875/0.75</f>
        <v>9.1666666666666664E-6</v>
      </c>
      <c r="C240" s="4" t="s">
        <v>9</v>
      </c>
      <c r="D240" s="4" t="s">
        <v>14</v>
      </c>
      <c r="F240" s="4" t="s">
        <v>15</v>
      </c>
      <c r="H240" s="4" t="s">
        <v>444</v>
      </c>
      <c r="I240" s="4">
        <v>2</v>
      </c>
      <c r="J240" s="4">
        <v>-11.88761891441164</v>
      </c>
      <c r="K240" s="4">
        <v>1.05</v>
      </c>
      <c r="L240" s="5">
        <v>1.2</v>
      </c>
      <c r="M240" s="4">
        <v>1</v>
      </c>
      <c r="N240" s="4">
        <v>1.01</v>
      </c>
      <c r="O240" s="4">
        <v>1.2</v>
      </c>
      <c r="P240" s="4">
        <v>1.2</v>
      </c>
      <c r="Q240" s="4">
        <v>1.5</v>
      </c>
      <c r="R240" s="4">
        <v>0.25816898211842121</v>
      </c>
    </row>
    <row r="241" spans="1:18" s="4" customFormat="1" ht="16" x14ac:dyDescent="0.2">
      <c r="A241" s="4" t="s">
        <v>71</v>
      </c>
      <c r="B241" s="44">
        <v>1.2499999999999999E-7</v>
      </c>
      <c r="C241" s="4" t="s">
        <v>9</v>
      </c>
      <c r="D241" s="4" t="s">
        <v>14</v>
      </c>
      <c r="F241" s="4" t="s">
        <v>15</v>
      </c>
      <c r="H241" s="4" t="s">
        <v>443</v>
      </c>
      <c r="I241" s="4">
        <v>2</v>
      </c>
      <c r="J241" s="4">
        <v>-15.89495209964411</v>
      </c>
      <c r="K241" s="4">
        <v>1.05</v>
      </c>
      <c r="L241" s="5">
        <v>1.2</v>
      </c>
      <c r="M241" s="4">
        <v>1</v>
      </c>
      <c r="N241" s="4">
        <v>1.01</v>
      </c>
      <c r="O241" s="4">
        <v>1.2</v>
      </c>
      <c r="P241" s="4">
        <v>1.2</v>
      </c>
      <c r="Q241" s="4">
        <v>3</v>
      </c>
      <c r="R241" s="4">
        <v>0.57209088006881903</v>
      </c>
    </row>
    <row r="242" spans="1:18" s="4" customFormat="1" ht="16" x14ac:dyDescent="0.2">
      <c r="B242" s="44"/>
    </row>
    <row r="243" spans="1:18" x14ac:dyDescent="0.2">
      <c r="A243" s="17" t="s">
        <v>2</v>
      </c>
      <c r="B243" s="17" t="s">
        <v>449</v>
      </c>
    </row>
    <row r="244" spans="1:18" customFormat="1" ht="16" x14ac:dyDescent="0.2">
      <c r="A244" s="2" t="s">
        <v>3</v>
      </c>
      <c r="B244" s="2" t="s">
        <v>18</v>
      </c>
      <c r="C244" s="2"/>
      <c r="D244" s="2"/>
      <c r="E244" s="2"/>
      <c r="F244" s="2"/>
      <c r="G244" s="2"/>
      <c r="H244" s="2"/>
      <c r="I244" s="2"/>
      <c r="J244" s="2"/>
      <c r="K244" s="2"/>
      <c r="L244" s="2"/>
    </row>
    <row r="245" spans="1:18" customFormat="1" ht="16" x14ac:dyDescent="0.2">
      <c r="A245" s="2" t="s">
        <v>4</v>
      </c>
      <c r="B245" s="2">
        <v>1</v>
      </c>
      <c r="C245" s="2"/>
      <c r="D245" s="2"/>
      <c r="E245" s="2"/>
      <c r="F245" s="2"/>
      <c r="G245" s="2"/>
      <c r="H245" s="2"/>
      <c r="I245" s="2"/>
      <c r="J245" s="2"/>
      <c r="K245" s="2"/>
      <c r="L245" s="2"/>
    </row>
    <row r="246" spans="1:18" customFormat="1" ht="16" x14ac:dyDescent="0.2">
      <c r="A246" s="2" t="s">
        <v>5</v>
      </c>
      <c r="B246" s="2" t="s">
        <v>1</v>
      </c>
      <c r="C246" s="2"/>
      <c r="D246" s="2"/>
      <c r="E246" s="2"/>
      <c r="F246" s="2"/>
      <c r="G246" s="2"/>
      <c r="H246" s="2"/>
      <c r="I246" s="2"/>
      <c r="J246" s="2"/>
    </row>
    <row r="247" spans="1:18" customFormat="1" ht="16" x14ac:dyDescent="0.2">
      <c r="A247" s="2" t="s">
        <v>6</v>
      </c>
      <c r="B247" s="2" t="s">
        <v>7</v>
      </c>
      <c r="C247" s="2"/>
      <c r="D247" s="2"/>
      <c r="E247" s="2"/>
      <c r="F247" s="2"/>
      <c r="G247" s="2"/>
      <c r="H247" s="2"/>
      <c r="I247" s="2"/>
      <c r="J247" s="2"/>
      <c r="K247" s="2"/>
      <c r="L247" s="2"/>
    </row>
    <row r="248" spans="1:18" customFormat="1" ht="16" x14ac:dyDescent="0.2">
      <c r="A248" s="2" t="s">
        <v>8</v>
      </c>
      <c r="B248" s="2" t="s">
        <v>17</v>
      </c>
      <c r="C248" s="2"/>
      <c r="D248" s="2"/>
      <c r="E248" s="2"/>
      <c r="F248" s="2"/>
      <c r="G248" s="2"/>
      <c r="H248" s="2"/>
      <c r="I248" s="2"/>
      <c r="J248" s="2"/>
      <c r="K248" s="2"/>
      <c r="L248" s="2"/>
    </row>
    <row r="249" spans="1:18" customFormat="1" ht="16" x14ac:dyDescent="0.2">
      <c r="A249" s="1" t="s">
        <v>10</v>
      </c>
      <c r="B249" s="2"/>
      <c r="C249" s="2"/>
      <c r="D249" s="2"/>
      <c r="E249" s="2"/>
      <c r="F249" s="2"/>
      <c r="G249" s="2"/>
      <c r="H249" s="2"/>
      <c r="I249" s="2"/>
      <c r="J249" s="2"/>
      <c r="K249" s="2"/>
      <c r="L249" s="2"/>
    </row>
    <row r="250" spans="1:18" x14ac:dyDescent="0.2">
      <c r="A250" s="17" t="s">
        <v>11</v>
      </c>
      <c r="B250" s="17" t="s">
        <v>12</v>
      </c>
      <c r="C250" s="17" t="s">
        <v>3</v>
      </c>
      <c r="D250" s="17" t="s">
        <v>13</v>
      </c>
      <c r="E250" s="17" t="s">
        <v>8</v>
      </c>
      <c r="F250" s="17" t="s">
        <v>6</v>
      </c>
      <c r="G250" s="17" t="s">
        <v>5</v>
      </c>
    </row>
    <row r="251" spans="1:18" customFormat="1" ht="16" x14ac:dyDescent="0.2">
      <c r="A251" s="2" t="str">
        <f>B243</f>
        <v>methanol, from non-residual cellulosic biomass, burned in residential boiler</v>
      </c>
      <c r="B251" s="2">
        <v>1</v>
      </c>
      <c r="C251" s="2" t="str">
        <f>B244</f>
        <v>RER</v>
      </c>
      <c r="D251" s="2"/>
      <c r="E251" s="2" t="str">
        <f>B248</f>
        <v>megajoule</v>
      </c>
      <c r="F251" s="2" t="s">
        <v>19</v>
      </c>
      <c r="G251" s="2" t="str">
        <f>B246</f>
        <v>heat</v>
      </c>
      <c r="H251" s="2"/>
      <c r="I251" s="2"/>
      <c r="J251" s="2"/>
      <c r="K251" s="2"/>
      <c r="L251" s="2"/>
    </row>
    <row r="252" spans="1:18" customFormat="1" ht="16" x14ac:dyDescent="0.2">
      <c r="A252" s="2" t="str">
        <f>B221</f>
        <v>heat, residential, by combustion of light fuel oil, from cellulosic non-residual biomass, using boiler</v>
      </c>
      <c r="B252">
        <f>1/1.1</f>
        <v>0.90909090909090906</v>
      </c>
      <c r="C252" t="s">
        <v>18</v>
      </c>
      <c r="E252" t="s">
        <v>17</v>
      </c>
      <c r="F252" t="s">
        <v>23</v>
      </c>
      <c r="G252" t="s">
        <v>31</v>
      </c>
      <c r="H252" s="2"/>
    </row>
    <row r="253" spans="1:18" customFormat="1" ht="16" x14ac:dyDescent="0.2">
      <c r="H253" s="2"/>
    </row>
    <row r="254" spans="1:18" s="4" customFormat="1" ht="16" x14ac:dyDescent="0.2">
      <c r="A254" s="38" t="s">
        <v>2</v>
      </c>
      <c r="B254" s="39" t="s">
        <v>450</v>
      </c>
    </row>
    <row r="255" spans="1:18" s="4" customFormat="1" ht="16" x14ac:dyDescent="0.2">
      <c r="A255" s="4" t="s">
        <v>151</v>
      </c>
      <c r="B255" s="40" t="s">
        <v>446</v>
      </c>
    </row>
    <row r="256" spans="1:18" s="4" customFormat="1" ht="16" x14ac:dyDescent="0.2">
      <c r="A256" s="4" t="s">
        <v>204</v>
      </c>
      <c r="B256" s="40" t="s">
        <v>423</v>
      </c>
    </row>
    <row r="257" spans="1:20" s="4" customFormat="1" ht="16" x14ac:dyDescent="0.2">
      <c r="A257" s="4" t="s">
        <v>3</v>
      </c>
      <c r="B257" s="40" t="s">
        <v>18</v>
      </c>
    </row>
    <row r="258" spans="1:20" s="4" customFormat="1" ht="16" x14ac:dyDescent="0.2">
      <c r="A258" s="4" t="s">
        <v>5</v>
      </c>
      <c r="B258" s="40" t="s">
        <v>31</v>
      </c>
    </row>
    <row r="259" spans="1:20" s="4" customFormat="1" ht="16" x14ac:dyDescent="0.2">
      <c r="A259" s="4" t="s">
        <v>8</v>
      </c>
      <c r="B259" s="40" t="s">
        <v>17</v>
      </c>
    </row>
    <row r="260" spans="1:20" s="4" customFormat="1" ht="16" x14ac:dyDescent="0.2">
      <c r="A260" s="41" t="s">
        <v>10</v>
      </c>
      <c r="B260" s="40"/>
    </row>
    <row r="261" spans="1:20" s="4" customFormat="1" ht="16" x14ac:dyDescent="0.2">
      <c r="A261" s="38" t="s">
        <v>11</v>
      </c>
      <c r="B261" s="39" t="s">
        <v>12</v>
      </c>
      <c r="C261" s="38" t="s">
        <v>8</v>
      </c>
      <c r="D261" s="38" t="s">
        <v>13</v>
      </c>
      <c r="E261" s="38" t="s">
        <v>3</v>
      </c>
      <c r="F261" s="38" t="s">
        <v>6</v>
      </c>
      <c r="G261" s="38" t="s">
        <v>5</v>
      </c>
      <c r="H261" s="38" t="s">
        <v>151</v>
      </c>
      <c r="I261" s="38" t="s">
        <v>179</v>
      </c>
      <c r="J261" s="38" t="s">
        <v>180</v>
      </c>
      <c r="K261" s="38" t="s">
        <v>424</v>
      </c>
      <c r="L261" s="38" t="s">
        <v>425</v>
      </c>
      <c r="M261" s="38" t="s">
        <v>426</v>
      </c>
      <c r="N261" s="38" t="s">
        <v>427</v>
      </c>
      <c r="O261" s="38" t="s">
        <v>428</v>
      </c>
      <c r="P261" s="38" t="s">
        <v>429</v>
      </c>
      <c r="Q261" s="38" t="s">
        <v>430</v>
      </c>
      <c r="R261" s="38" t="s">
        <v>431</v>
      </c>
      <c r="S261" s="38" t="s">
        <v>432</v>
      </c>
      <c r="T261" s="38"/>
    </row>
    <row r="262" spans="1:20" s="4" customFormat="1" ht="16" x14ac:dyDescent="0.2">
      <c r="A262" s="4" t="str">
        <f>B254</f>
        <v>heat, residential, by combustion of light fuel oil, from cellulosic residual biomass, using boiler</v>
      </c>
      <c r="B262" s="40">
        <v>1</v>
      </c>
      <c r="C262" s="4" t="s">
        <v>17</v>
      </c>
      <c r="E262" s="40" t="s">
        <v>18</v>
      </c>
      <c r="F262" s="4" t="s">
        <v>19</v>
      </c>
      <c r="G262" s="4" t="s">
        <v>31</v>
      </c>
    </row>
    <row r="263" spans="1:20" s="4" customFormat="1" ht="16" x14ac:dyDescent="0.2">
      <c r="A263" s="4" t="s">
        <v>416</v>
      </c>
      <c r="B263" s="42">
        <f>1/43/0.9</f>
        <v>2.5839793281653745E-2</v>
      </c>
      <c r="C263" s="4" t="s">
        <v>9</v>
      </c>
      <c r="E263" s="40" t="s">
        <v>18</v>
      </c>
      <c r="F263" s="4" t="s">
        <v>23</v>
      </c>
      <c r="G263" s="4" t="s">
        <v>408</v>
      </c>
      <c r="H263" s="43" t="s">
        <v>447</v>
      </c>
      <c r="I263" s="4">
        <v>2</v>
      </c>
      <c r="J263" s="4">
        <v>-2.8903717578961645</v>
      </c>
      <c r="K263" s="4">
        <v>1.05</v>
      </c>
      <c r="L263" s="5">
        <v>1.2</v>
      </c>
      <c r="M263" s="4">
        <v>1</v>
      </c>
      <c r="N263" s="4">
        <v>1.01</v>
      </c>
      <c r="O263" s="4">
        <v>1.2</v>
      </c>
      <c r="P263" s="4">
        <v>1.2</v>
      </c>
      <c r="Q263" s="4">
        <v>1.05</v>
      </c>
      <c r="R263" s="4">
        <v>0.16169679924070957</v>
      </c>
    </row>
    <row r="264" spans="1:20" s="4" customFormat="1" ht="16" x14ac:dyDescent="0.2">
      <c r="A264" s="4" t="s">
        <v>433</v>
      </c>
      <c r="B264" s="45">
        <v>7.3486184597295713E-7</v>
      </c>
      <c r="C264" s="4" t="s">
        <v>8</v>
      </c>
      <c r="E264" s="4" t="s">
        <v>114</v>
      </c>
      <c r="F264" s="4" t="s">
        <v>23</v>
      </c>
      <c r="G264" s="4" t="s">
        <v>434</v>
      </c>
      <c r="H264" s="4" t="s">
        <v>435</v>
      </c>
      <c r="I264" s="4">
        <v>2</v>
      </c>
      <c r="J264" s="4">
        <v>-14.123583320063789</v>
      </c>
      <c r="K264" s="4">
        <v>1.05</v>
      </c>
      <c r="L264" s="5">
        <v>1.2</v>
      </c>
      <c r="M264" s="4">
        <v>1</v>
      </c>
      <c r="N264" s="4">
        <v>1.01</v>
      </c>
      <c r="O264" s="4">
        <v>1.2</v>
      </c>
      <c r="P264" s="4">
        <v>1.2</v>
      </c>
      <c r="Q264" s="4">
        <v>3</v>
      </c>
      <c r="R264" s="4">
        <v>0.57209088006881903</v>
      </c>
    </row>
    <row r="265" spans="1:20" s="4" customFormat="1" ht="16" x14ac:dyDescent="0.2">
      <c r="A265" s="4" t="s">
        <v>436</v>
      </c>
      <c r="B265" s="45">
        <v>4.4092000000000001E-7</v>
      </c>
      <c r="C265" s="4" t="s">
        <v>8</v>
      </c>
      <c r="E265" s="4" t="s">
        <v>114</v>
      </c>
      <c r="F265" s="4" t="s">
        <v>23</v>
      </c>
      <c r="G265" s="4" t="s">
        <v>437</v>
      </c>
      <c r="I265" s="4">
        <v>2</v>
      </c>
      <c r="J265" s="4">
        <v>-14.634402383851297</v>
      </c>
      <c r="K265" s="4">
        <v>1.05</v>
      </c>
      <c r="L265" s="5">
        <v>1.2</v>
      </c>
      <c r="M265" s="4">
        <v>1</v>
      </c>
      <c r="N265" s="4">
        <v>1.01</v>
      </c>
      <c r="O265" s="4">
        <v>1.2</v>
      </c>
      <c r="P265" s="4">
        <v>1.2</v>
      </c>
      <c r="Q265" s="4">
        <v>3</v>
      </c>
      <c r="R265" s="4">
        <v>0.57209088006881903</v>
      </c>
    </row>
    <row r="266" spans="1:20" s="4" customFormat="1" ht="16" x14ac:dyDescent="0.2">
      <c r="A266" s="4" t="s">
        <v>154</v>
      </c>
      <c r="B266" s="44">
        <v>2.6454999999999999E-6</v>
      </c>
      <c r="C266" s="4" t="s">
        <v>155</v>
      </c>
      <c r="E266" s="4" t="s">
        <v>114</v>
      </c>
      <c r="F266" s="4" t="s">
        <v>23</v>
      </c>
      <c r="G266" s="4" t="s">
        <v>156</v>
      </c>
      <c r="I266" s="4">
        <v>2</v>
      </c>
      <c r="J266" s="4">
        <v>-12.842650474602225</v>
      </c>
      <c r="K266" s="4">
        <v>1.05</v>
      </c>
      <c r="L266" s="5">
        <v>1.2</v>
      </c>
      <c r="M266" s="4">
        <v>1</v>
      </c>
      <c r="N266" s="4">
        <v>1.01</v>
      </c>
      <c r="O266" s="4">
        <v>1.2</v>
      </c>
      <c r="P266" s="4">
        <v>1.2</v>
      </c>
      <c r="Q266" s="4">
        <v>3</v>
      </c>
      <c r="R266" s="4">
        <v>0.57209088006881903</v>
      </c>
    </row>
    <row r="267" spans="1:20" s="4" customFormat="1" ht="16" x14ac:dyDescent="0.2">
      <c r="A267" s="4" t="s">
        <v>438</v>
      </c>
      <c r="B267" s="44">
        <v>-9.8300000000000008E-6</v>
      </c>
      <c r="C267" s="4" t="s">
        <v>94</v>
      </c>
      <c r="E267" s="4" t="s">
        <v>127</v>
      </c>
      <c r="F267" s="4" t="s">
        <v>23</v>
      </c>
      <c r="G267" s="4" t="s">
        <v>439</v>
      </c>
      <c r="I267" s="4">
        <v>2</v>
      </c>
      <c r="J267" s="4">
        <v>-11.530071623805199</v>
      </c>
      <c r="K267" s="4">
        <v>1.05</v>
      </c>
      <c r="L267" s="5">
        <v>1.2</v>
      </c>
      <c r="M267" s="4">
        <v>1</v>
      </c>
      <c r="N267" s="4">
        <v>1.01</v>
      </c>
      <c r="O267" s="4">
        <v>1.2</v>
      </c>
      <c r="P267" s="4">
        <v>1.2</v>
      </c>
      <c r="Q267" s="4">
        <v>1.05</v>
      </c>
      <c r="R267" s="4">
        <v>0.16169679924070957</v>
      </c>
      <c r="S267" s="4" t="b">
        <v>1</v>
      </c>
    </row>
    <row r="268" spans="1:20" s="4" customFormat="1" ht="16" x14ac:dyDescent="0.2">
      <c r="A268" s="4" t="s">
        <v>440</v>
      </c>
      <c r="B268" s="44">
        <v>-4.1500000000000001E-6</v>
      </c>
      <c r="C268" s="4" t="s">
        <v>9</v>
      </c>
      <c r="E268" s="40" t="s">
        <v>27</v>
      </c>
      <c r="F268" s="4" t="s">
        <v>23</v>
      </c>
      <c r="G268" s="4" t="s">
        <v>441</v>
      </c>
      <c r="I268" s="4">
        <v>2</v>
      </c>
      <c r="J268" s="4">
        <v>-12.392402223721668</v>
      </c>
      <c r="K268" s="4">
        <v>1.05</v>
      </c>
      <c r="L268" s="5">
        <v>1.2</v>
      </c>
      <c r="M268" s="4">
        <v>1</v>
      </c>
      <c r="N268" s="4">
        <v>1.01</v>
      </c>
      <c r="O268" s="4">
        <v>1.2</v>
      </c>
      <c r="P268" s="4">
        <v>1.2</v>
      </c>
      <c r="Q268" s="4">
        <v>1.05</v>
      </c>
      <c r="R268" s="4">
        <v>0.16169679924070957</v>
      </c>
      <c r="S268" s="4" t="b">
        <v>1</v>
      </c>
    </row>
    <row r="269" spans="1:20" s="4" customFormat="1" ht="16" x14ac:dyDescent="0.2">
      <c r="A269" s="4" t="s">
        <v>140</v>
      </c>
      <c r="B269" s="44">
        <v>2.7274999999999999E-3</v>
      </c>
      <c r="C269" s="4" t="s">
        <v>141</v>
      </c>
      <c r="E269" s="40" t="s">
        <v>18</v>
      </c>
      <c r="F269" s="4" t="s">
        <v>23</v>
      </c>
      <c r="G269" s="4" t="s">
        <v>142</v>
      </c>
      <c r="H269" s="4" t="s">
        <v>442</v>
      </c>
      <c r="I269" s="4">
        <v>2</v>
      </c>
      <c r="J269" s="4">
        <v>-5.9043698402570479</v>
      </c>
      <c r="K269" s="4">
        <v>1.05</v>
      </c>
      <c r="L269" s="5">
        <v>1.2</v>
      </c>
      <c r="M269" s="4">
        <v>1</v>
      </c>
      <c r="N269" s="4">
        <v>1.01</v>
      </c>
      <c r="O269" s="4">
        <v>1.2</v>
      </c>
      <c r="P269" s="4">
        <v>1.2</v>
      </c>
      <c r="Q269" s="4">
        <v>1.05</v>
      </c>
      <c r="R269" s="4">
        <v>0.16169679924070957</v>
      </c>
    </row>
    <row r="270" spans="1:20" s="4" customFormat="1" ht="16" x14ac:dyDescent="0.2">
      <c r="A270" s="4" t="s">
        <v>98</v>
      </c>
      <c r="B270" s="44">
        <f>(1.24*B263)/1000</f>
        <v>3.2041343669250644E-5</v>
      </c>
      <c r="C270" s="4" t="s">
        <v>94</v>
      </c>
      <c r="D270" s="4" t="s">
        <v>116</v>
      </c>
      <c r="F270" s="4" t="s">
        <v>15</v>
      </c>
      <c r="H270" s="4" t="s">
        <v>448</v>
      </c>
      <c r="I270" s="4">
        <v>2</v>
      </c>
      <c r="J270" s="4">
        <v>-2.7725887222397811</v>
      </c>
      <c r="K270" s="4">
        <v>1.05</v>
      </c>
      <c r="L270" s="5">
        <v>1.2</v>
      </c>
      <c r="M270" s="4">
        <v>1</v>
      </c>
      <c r="N270" s="4">
        <v>1.01</v>
      </c>
      <c r="O270" s="4">
        <v>1.2</v>
      </c>
      <c r="P270" s="4">
        <v>1.2</v>
      </c>
      <c r="Q270" s="4">
        <v>1.5</v>
      </c>
      <c r="R270" s="4">
        <v>0.25816898211842121</v>
      </c>
    </row>
    <row r="271" spans="1:20" s="4" customFormat="1" ht="16" x14ac:dyDescent="0.2">
      <c r="A271" s="4" t="s">
        <v>122</v>
      </c>
      <c r="B271" s="44">
        <f>3.16*B263</f>
        <v>8.1653746770025834E-2</v>
      </c>
      <c r="C271" s="4" t="s">
        <v>9</v>
      </c>
      <c r="D271" s="4" t="s">
        <v>14</v>
      </c>
      <c r="F271" s="4" t="s">
        <v>15</v>
      </c>
      <c r="H271" s="4" t="s">
        <v>443</v>
      </c>
      <c r="I271" s="4">
        <v>2</v>
      </c>
      <c r="J271" s="4">
        <v>-2.5741022285924711</v>
      </c>
      <c r="K271" s="4">
        <v>1.05</v>
      </c>
      <c r="L271" s="5">
        <v>1.2</v>
      </c>
      <c r="M271" s="4">
        <v>1</v>
      </c>
      <c r="N271" s="4">
        <v>1.01</v>
      </c>
      <c r="O271" s="4">
        <v>1.2</v>
      </c>
      <c r="P271" s="4">
        <v>1.2</v>
      </c>
      <c r="Q271" s="4">
        <v>1.05</v>
      </c>
      <c r="R271" s="4">
        <v>0.16169679924070957</v>
      </c>
    </row>
    <row r="272" spans="1:20" s="4" customFormat="1" ht="16" x14ac:dyDescent="0.2">
      <c r="A272" s="4" t="s">
        <v>123</v>
      </c>
      <c r="B272" s="44">
        <v>9.0000000000000002E-6</v>
      </c>
      <c r="C272" s="4" t="s">
        <v>9</v>
      </c>
      <c r="D272" s="4" t="s">
        <v>14</v>
      </c>
      <c r="F272" s="4" t="s">
        <v>15</v>
      </c>
      <c r="H272" s="4" t="s">
        <v>443</v>
      </c>
      <c r="I272" s="4">
        <v>2</v>
      </c>
      <c r="J272" s="4">
        <v>-11.618285980628055</v>
      </c>
      <c r="K272" s="4">
        <v>1.5</v>
      </c>
      <c r="L272" s="4">
        <v>1.2</v>
      </c>
      <c r="M272" s="4">
        <v>1.5</v>
      </c>
      <c r="N272" s="4">
        <v>1.1000000000000001</v>
      </c>
      <c r="O272" s="4">
        <v>2</v>
      </c>
      <c r="P272" s="4">
        <v>1.2</v>
      </c>
      <c r="Q272" s="4">
        <v>5</v>
      </c>
      <c r="R272" s="4">
        <v>0.93208283513358414</v>
      </c>
    </row>
    <row r="273" spans="1:18" s="4" customFormat="1" ht="16" x14ac:dyDescent="0.2">
      <c r="A273" s="4" t="s">
        <v>69</v>
      </c>
      <c r="B273" s="44">
        <f>0.000006875/0.75</f>
        <v>9.1666666666666664E-6</v>
      </c>
      <c r="C273" s="4" t="s">
        <v>9</v>
      </c>
      <c r="D273" s="4" t="s">
        <v>14</v>
      </c>
      <c r="F273" s="4" t="s">
        <v>15</v>
      </c>
      <c r="H273" s="4" t="s">
        <v>444</v>
      </c>
      <c r="I273" s="4">
        <v>2</v>
      </c>
      <c r="J273" s="4">
        <v>-11.88761891441164</v>
      </c>
      <c r="K273" s="4">
        <v>1.05</v>
      </c>
      <c r="L273" s="5">
        <v>1.2</v>
      </c>
      <c r="M273" s="4">
        <v>1</v>
      </c>
      <c r="N273" s="4">
        <v>1.01</v>
      </c>
      <c r="O273" s="4">
        <v>1.2</v>
      </c>
      <c r="P273" s="4">
        <v>1.2</v>
      </c>
      <c r="Q273" s="4">
        <v>1.5</v>
      </c>
      <c r="R273" s="4">
        <v>0.25816898211842121</v>
      </c>
    </row>
    <row r="274" spans="1:18" s="4" customFormat="1" ht="16" x14ac:dyDescent="0.2">
      <c r="A274" s="4" t="s">
        <v>71</v>
      </c>
      <c r="B274" s="44">
        <v>1.2499999999999999E-7</v>
      </c>
      <c r="C274" s="4" t="s">
        <v>9</v>
      </c>
      <c r="D274" s="4" t="s">
        <v>14</v>
      </c>
      <c r="F274" s="4" t="s">
        <v>15</v>
      </c>
      <c r="H274" s="4" t="s">
        <v>443</v>
      </c>
      <c r="I274" s="4">
        <v>2</v>
      </c>
      <c r="J274" s="4">
        <v>-15.89495209964411</v>
      </c>
      <c r="K274" s="4">
        <v>1.05</v>
      </c>
      <c r="L274" s="5">
        <v>1.2</v>
      </c>
      <c r="M274" s="4">
        <v>1</v>
      </c>
      <c r="N274" s="4">
        <v>1.01</v>
      </c>
      <c r="O274" s="4">
        <v>1.2</v>
      </c>
      <c r="P274" s="4">
        <v>1.2</v>
      </c>
      <c r="Q274" s="4">
        <v>3</v>
      </c>
      <c r="R274" s="4">
        <v>0.57209088006881903</v>
      </c>
    </row>
    <row r="275" spans="1:18" s="4" customFormat="1" ht="16" x14ac:dyDescent="0.2">
      <c r="B275" s="44"/>
    </row>
    <row r="276" spans="1:18" x14ac:dyDescent="0.2">
      <c r="A276" s="17" t="s">
        <v>2</v>
      </c>
      <c r="B276" s="17" t="s">
        <v>451</v>
      </c>
    </row>
    <row r="277" spans="1:18" customFormat="1" ht="16" x14ac:dyDescent="0.2">
      <c r="A277" s="2" t="s">
        <v>3</v>
      </c>
      <c r="B277" s="2" t="s">
        <v>18</v>
      </c>
      <c r="C277" s="2"/>
      <c r="D277" s="2"/>
      <c r="E277" s="2"/>
      <c r="F277" s="2"/>
      <c r="G277" s="2"/>
      <c r="H277" s="2"/>
      <c r="I277" s="2"/>
      <c r="J277" s="2"/>
      <c r="K277" s="2"/>
      <c r="L277" s="2"/>
    </row>
    <row r="278" spans="1:18" customFormat="1" ht="16" x14ac:dyDescent="0.2">
      <c r="A278" s="2" t="s">
        <v>4</v>
      </c>
      <c r="B278" s="2">
        <v>1</v>
      </c>
      <c r="C278" s="2"/>
      <c r="D278" s="2"/>
      <c r="E278" s="2"/>
      <c r="F278" s="2"/>
      <c r="G278" s="2"/>
      <c r="H278" s="2"/>
      <c r="I278" s="2"/>
      <c r="J278" s="2"/>
      <c r="K278" s="2"/>
      <c r="L278" s="2"/>
    </row>
    <row r="279" spans="1:18" customFormat="1" ht="16" x14ac:dyDescent="0.2">
      <c r="A279" s="2" t="s">
        <v>5</v>
      </c>
      <c r="B279" s="2" t="s">
        <v>1</v>
      </c>
      <c r="C279" s="2"/>
      <c r="D279" s="2"/>
      <c r="E279" s="2"/>
      <c r="F279" s="2"/>
      <c r="G279" s="2"/>
      <c r="H279" s="2"/>
      <c r="I279" s="2"/>
      <c r="J279" s="2"/>
    </row>
    <row r="280" spans="1:18" customFormat="1" ht="16" x14ac:dyDescent="0.2">
      <c r="A280" s="2" t="s">
        <v>6</v>
      </c>
      <c r="B280" s="2" t="s">
        <v>7</v>
      </c>
      <c r="C280" s="2"/>
      <c r="D280" s="2"/>
      <c r="E280" s="2"/>
      <c r="F280" s="2"/>
      <c r="G280" s="2"/>
      <c r="H280" s="2"/>
      <c r="I280" s="2"/>
      <c r="J280" s="2"/>
      <c r="K280" s="2"/>
      <c r="L280" s="2"/>
    </row>
    <row r="281" spans="1:18" customFormat="1" ht="16" x14ac:dyDescent="0.2">
      <c r="A281" s="2" t="s">
        <v>8</v>
      </c>
      <c r="B281" s="2" t="s">
        <v>17</v>
      </c>
      <c r="C281" s="2"/>
      <c r="D281" s="2"/>
      <c r="E281" s="2"/>
      <c r="F281" s="2"/>
      <c r="G281" s="2"/>
      <c r="H281" s="2"/>
      <c r="I281" s="2"/>
      <c r="J281" s="2"/>
      <c r="K281" s="2"/>
      <c r="L281" s="2"/>
    </row>
    <row r="282" spans="1:18" customFormat="1" ht="16" x14ac:dyDescent="0.2">
      <c r="A282" s="1" t="s">
        <v>10</v>
      </c>
      <c r="B282" s="2"/>
      <c r="C282" s="2"/>
      <c r="D282" s="2"/>
      <c r="E282" s="2"/>
      <c r="F282" s="2"/>
      <c r="G282" s="2"/>
      <c r="H282" s="2"/>
      <c r="I282" s="2"/>
      <c r="J282" s="2"/>
      <c r="K282" s="2"/>
      <c r="L282" s="2"/>
    </row>
    <row r="283" spans="1:18" x14ac:dyDescent="0.2">
      <c r="A283" s="17" t="s">
        <v>11</v>
      </c>
      <c r="B283" s="17" t="s">
        <v>12</v>
      </c>
      <c r="C283" s="17" t="s">
        <v>3</v>
      </c>
      <c r="D283" s="17" t="s">
        <v>13</v>
      </c>
      <c r="E283" s="17" t="s">
        <v>8</v>
      </c>
      <c r="F283" s="17" t="s">
        <v>6</v>
      </c>
      <c r="G283" s="17" t="s">
        <v>5</v>
      </c>
    </row>
    <row r="284" spans="1:18" customFormat="1" ht="16" x14ac:dyDescent="0.2">
      <c r="A284" s="2" t="str">
        <f>B276</f>
        <v>methanol, from residual cellulosic biomass, burned in residential boiler</v>
      </c>
      <c r="B284" s="2">
        <v>1</v>
      </c>
      <c r="C284" s="2" t="str">
        <f>B277</f>
        <v>RER</v>
      </c>
      <c r="D284" s="2"/>
      <c r="E284" s="2" t="str">
        <f>B281</f>
        <v>megajoule</v>
      </c>
      <c r="F284" s="2" t="s">
        <v>19</v>
      </c>
      <c r="G284" s="2" t="str">
        <f>B279</f>
        <v>heat</v>
      </c>
      <c r="H284" s="2"/>
      <c r="I284" s="2"/>
      <c r="J284" s="2"/>
      <c r="K284" s="2"/>
      <c r="L284" s="2"/>
    </row>
    <row r="285" spans="1:18" customFormat="1" ht="16" x14ac:dyDescent="0.2">
      <c r="A285" s="2" t="str">
        <f>B254</f>
        <v>heat, residential, by combustion of light fuel oil, from cellulosic residual biomass, using boiler</v>
      </c>
      <c r="B285">
        <f>1/1.1</f>
        <v>0.90909090909090906</v>
      </c>
      <c r="C285" t="s">
        <v>18</v>
      </c>
      <c r="E285" t="s">
        <v>17</v>
      </c>
      <c r="F285" t="s">
        <v>23</v>
      </c>
      <c r="G285" t="s">
        <v>31</v>
      </c>
      <c r="H285" s="2"/>
    </row>
    <row r="286" spans="1:18" customFormat="1" ht="16" x14ac:dyDescent="0.2">
      <c r="H286" s="2"/>
    </row>
    <row r="287" spans="1:18" s="4" customFormat="1" ht="16" x14ac:dyDescent="0.2">
      <c r="A287" s="38" t="s">
        <v>2</v>
      </c>
      <c r="B287" s="39" t="s">
        <v>452</v>
      </c>
    </row>
    <row r="288" spans="1:18" s="4" customFormat="1" ht="16" x14ac:dyDescent="0.2">
      <c r="A288" s="4" t="s">
        <v>151</v>
      </c>
      <c r="B288" s="40" t="s">
        <v>446</v>
      </c>
    </row>
    <row r="289" spans="1:20" s="4" customFormat="1" ht="16" x14ac:dyDescent="0.2">
      <c r="A289" s="4" t="s">
        <v>204</v>
      </c>
      <c r="B289" s="40" t="s">
        <v>423</v>
      </c>
    </row>
    <row r="290" spans="1:20" s="4" customFormat="1" ht="16" x14ac:dyDescent="0.2">
      <c r="A290" s="4" t="s">
        <v>3</v>
      </c>
      <c r="B290" s="40" t="s">
        <v>18</v>
      </c>
    </row>
    <row r="291" spans="1:20" s="4" customFormat="1" ht="16" x14ac:dyDescent="0.2">
      <c r="A291" s="4" t="s">
        <v>5</v>
      </c>
      <c r="B291" s="40" t="s">
        <v>31</v>
      </c>
    </row>
    <row r="292" spans="1:20" s="4" customFormat="1" ht="16" x14ac:dyDescent="0.2">
      <c r="A292" s="4" t="s">
        <v>8</v>
      </c>
      <c r="B292" s="40" t="s">
        <v>17</v>
      </c>
    </row>
    <row r="293" spans="1:20" s="4" customFormat="1" ht="16" x14ac:dyDescent="0.2">
      <c r="A293" s="41" t="s">
        <v>10</v>
      </c>
      <c r="B293" s="40"/>
    </row>
    <row r="294" spans="1:20" s="4" customFormat="1" ht="16" x14ac:dyDescent="0.2">
      <c r="A294" s="38" t="s">
        <v>11</v>
      </c>
      <c r="B294" s="39" t="s">
        <v>12</v>
      </c>
      <c r="C294" s="38" t="s">
        <v>8</v>
      </c>
      <c r="D294" s="38" t="s">
        <v>13</v>
      </c>
      <c r="E294" s="38" t="s">
        <v>3</v>
      </c>
      <c r="F294" s="38" t="s">
        <v>6</v>
      </c>
      <c r="G294" s="38" t="s">
        <v>5</v>
      </c>
      <c r="H294" s="38" t="s">
        <v>151</v>
      </c>
      <c r="I294" s="38" t="s">
        <v>179</v>
      </c>
      <c r="J294" s="38" t="s">
        <v>180</v>
      </c>
      <c r="K294" s="38" t="s">
        <v>424</v>
      </c>
      <c r="L294" s="38" t="s">
        <v>425</v>
      </c>
      <c r="M294" s="38" t="s">
        <v>426</v>
      </c>
      <c r="N294" s="38" t="s">
        <v>427</v>
      </c>
      <c r="O294" s="38" t="s">
        <v>428</v>
      </c>
      <c r="P294" s="38" t="s">
        <v>429</v>
      </c>
      <c r="Q294" s="38" t="s">
        <v>430</v>
      </c>
      <c r="R294" s="38" t="s">
        <v>431</v>
      </c>
      <c r="S294" s="38" t="s">
        <v>432</v>
      </c>
      <c r="T294" s="38"/>
    </row>
    <row r="295" spans="1:20" s="4" customFormat="1" ht="16" x14ac:dyDescent="0.2">
      <c r="A295" s="4" t="str">
        <f>B287</f>
        <v>heat, residential, by combustion of light fuel oil, from oily biomass, using boiler</v>
      </c>
      <c r="B295" s="40">
        <v>1</v>
      </c>
      <c r="C295" s="4" t="s">
        <v>17</v>
      </c>
      <c r="E295" s="40" t="s">
        <v>18</v>
      </c>
      <c r="F295" s="4" t="s">
        <v>19</v>
      </c>
      <c r="G295" s="4" t="s">
        <v>31</v>
      </c>
    </row>
    <row r="296" spans="1:20" s="4" customFormat="1" ht="16" x14ac:dyDescent="0.2">
      <c r="A296" s="4" t="s">
        <v>421</v>
      </c>
      <c r="B296" s="42">
        <f>1/43/0.9</f>
        <v>2.5839793281653745E-2</v>
      </c>
      <c r="C296" s="4" t="s">
        <v>9</v>
      </c>
      <c r="E296" s="40" t="s">
        <v>18</v>
      </c>
      <c r="F296" s="4" t="s">
        <v>23</v>
      </c>
      <c r="G296" s="4" t="s">
        <v>422</v>
      </c>
      <c r="H296" s="43" t="s">
        <v>447</v>
      </c>
      <c r="I296" s="4">
        <v>2</v>
      </c>
      <c r="J296" s="4">
        <v>-2.8903717578961645</v>
      </c>
      <c r="K296" s="4">
        <v>1.05</v>
      </c>
      <c r="L296" s="5">
        <v>1.2</v>
      </c>
      <c r="M296" s="4">
        <v>1</v>
      </c>
      <c r="N296" s="4">
        <v>1.01</v>
      </c>
      <c r="O296" s="4">
        <v>1.2</v>
      </c>
      <c r="P296" s="4">
        <v>1.2</v>
      </c>
      <c r="Q296" s="4">
        <v>1.05</v>
      </c>
      <c r="R296" s="4">
        <v>0.16169679924070957</v>
      </c>
    </row>
    <row r="297" spans="1:20" s="4" customFormat="1" ht="16" x14ac:dyDescent="0.2">
      <c r="A297" s="4" t="s">
        <v>433</v>
      </c>
      <c r="B297" s="45">
        <v>7.3486184597295713E-7</v>
      </c>
      <c r="C297" s="4" t="s">
        <v>8</v>
      </c>
      <c r="E297" s="4" t="s">
        <v>114</v>
      </c>
      <c r="F297" s="4" t="s">
        <v>23</v>
      </c>
      <c r="G297" s="4" t="s">
        <v>434</v>
      </c>
      <c r="H297" s="4" t="s">
        <v>435</v>
      </c>
      <c r="I297" s="4">
        <v>2</v>
      </c>
      <c r="J297" s="4">
        <v>-14.123583320063789</v>
      </c>
      <c r="K297" s="4">
        <v>1.05</v>
      </c>
      <c r="L297" s="5">
        <v>1.2</v>
      </c>
      <c r="M297" s="4">
        <v>1</v>
      </c>
      <c r="N297" s="4">
        <v>1.01</v>
      </c>
      <c r="O297" s="4">
        <v>1.2</v>
      </c>
      <c r="P297" s="4">
        <v>1.2</v>
      </c>
      <c r="Q297" s="4">
        <v>3</v>
      </c>
      <c r="R297" s="4">
        <v>0.57209088006881903</v>
      </c>
    </row>
    <row r="298" spans="1:20" s="4" customFormat="1" ht="16" x14ac:dyDescent="0.2">
      <c r="A298" s="4" t="s">
        <v>436</v>
      </c>
      <c r="B298" s="45">
        <v>4.4092000000000001E-7</v>
      </c>
      <c r="C298" s="4" t="s">
        <v>8</v>
      </c>
      <c r="E298" s="4" t="s">
        <v>114</v>
      </c>
      <c r="F298" s="4" t="s">
        <v>23</v>
      </c>
      <c r="G298" s="4" t="s">
        <v>437</v>
      </c>
      <c r="I298" s="4">
        <v>2</v>
      </c>
      <c r="J298" s="4">
        <v>-14.634402383851297</v>
      </c>
      <c r="K298" s="4">
        <v>1.05</v>
      </c>
      <c r="L298" s="5">
        <v>1.2</v>
      </c>
      <c r="M298" s="4">
        <v>1</v>
      </c>
      <c r="N298" s="4">
        <v>1.01</v>
      </c>
      <c r="O298" s="4">
        <v>1.2</v>
      </c>
      <c r="P298" s="4">
        <v>1.2</v>
      </c>
      <c r="Q298" s="4">
        <v>3</v>
      </c>
      <c r="R298" s="4">
        <v>0.57209088006881903</v>
      </c>
    </row>
    <row r="299" spans="1:20" s="4" customFormat="1" ht="16" x14ac:dyDescent="0.2">
      <c r="A299" s="4" t="s">
        <v>154</v>
      </c>
      <c r="B299" s="44">
        <v>2.6454999999999999E-6</v>
      </c>
      <c r="C299" s="4" t="s">
        <v>155</v>
      </c>
      <c r="E299" s="4" t="s">
        <v>114</v>
      </c>
      <c r="F299" s="4" t="s">
        <v>23</v>
      </c>
      <c r="G299" s="4" t="s">
        <v>156</v>
      </c>
      <c r="I299" s="4">
        <v>2</v>
      </c>
      <c r="J299" s="4">
        <v>-12.842650474602225</v>
      </c>
      <c r="K299" s="4">
        <v>1.05</v>
      </c>
      <c r="L299" s="5">
        <v>1.2</v>
      </c>
      <c r="M299" s="4">
        <v>1</v>
      </c>
      <c r="N299" s="4">
        <v>1.01</v>
      </c>
      <c r="O299" s="4">
        <v>1.2</v>
      </c>
      <c r="P299" s="4">
        <v>1.2</v>
      </c>
      <c r="Q299" s="4">
        <v>3</v>
      </c>
      <c r="R299" s="4">
        <v>0.57209088006881903</v>
      </c>
    </row>
    <row r="300" spans="1:20" s="4" customFormat="1" ht="16" x14ac:dyDescent="0.2">
      <c r="A300" s="4" t="s">
        <v>438</v>
      </c>
      <c r="B300" s="44">
        <v>-9.8300000000000008E-6</v>
      </c>
      <c r="C300" s="4" t="s">
        <v>94</v>
      </c>
      <c r="E300" s="4" t="s">
        <v>127</v>
      </c>
      <c r="F300" s="4" t="s">
        <v>23</v>
      </c>
      <c r="G300" s="4" t="s">
        <v>439</v>
      </c>
      <c r="I300" s="4">
        <v>2</v>
      </c>
      <c r="J300" s="4">
        <v>-11.530071623805199</v>
      </c>
      <c r="K300" s="4">
        <v>1.05</v>
      </c>
      <c r="L300" s="5">
        <v>1.2</v>
      </c>
      <c r="M300" s="4">
        <v>1</v>
      </c>
      <c r="N300" s="4">
        <v>1.01</v>
      </c>
      <c r="O300" s="4">
        <v>1.2</v>
      </c>
      <c r="P300" s="4">
        <v>1.2</v>
      </c>
      <c r="Q300" s="4">
        <v>1.05</v>
      </c>
      <c r="R300" s="4">
        <v>0.16169679924070957</v>
      </c>
      <c r="S300" s="4" t="b">
        <v>1</v>
      </c>
    </row>
    <row r="301" spans="1:20" s="4" customFormat="1" ht="16" x14ac:dyDescent="0.2">
      <c r="A301" s="4" t="s">
        <v>440</v>
      </c>
      <c r="B301" s="44">
        <v>-4.1500000000000001E-6</v>
      </c>
      <c r="C301" s="4" t="s">
        <v>9</v>
      </c>
      <c r="E301" s="40" t="s">
        <v>27</v>
      </c>
      <c r="F301" s="4" t="s">
        <v>23</v>
      </c>
      <c r="G301" s="4" t="s">
        <v>441</v>
      </c>
      <c r="I301" s="4">
        <v>2</v>
      </c>
      <c r="J301" s="4">
        <v>-12.392402223721668</v>
      </c>
      <c r="K301" s="4">
        <v>1.05</v>
      </c>
      <c r="L301" s="5">
        <v>1.2</v>
      </c>
      <c r="M301" s="4">
        <v>1</v>
      </c>
      <c r="N301" s="4">
        <v>1.01</v>
      </c>
      <c r="O301" s="4">
        <v>1.2</v>
      </c>
      <c r="P301" s="4">
        <v>1.2</v>
      </c>
      <c r="Q301" s="4">
        <v>1.05</v>
      </c>
      <c r="R301" s="4">
        <v>0.16169679924070957</v>
      </c>
      <c r="S301" s="4" t="b">
        <v>1</v>
      </c>
    </row>
    <row r="302" spans="1:20" s="4" customFormat="1" ht="16" x14ac:dyDescent="0.2">
      <c r="A302" s="4" t="s">
        <v>140</v>
      </c>
      <c r="B302" s="44">
        <v>2.7274999999999999E-3</v>
      </c>
      <c r="C302" s="4" t="s">
        <v>141</v>
      </c>
      <c r="E302" s="40" t="s">
        <v>18</v>
      </c>
      <c r="F302" s="4" t="s">
        <v>23</v>
      </c>
      <c r="G302" s="4" t="s">
        <v>142</v>
      </c>
      <c r="H302" s="4" t="s">
        <v>442</v>
      </c>
      <c r="I302" s="4">
        <v>2</v>
      </c>
      <c r="J302" s="4">
        <v>-5.9043698402570479</v>
      </c>
      <c r="K302" s="4">
        <v>1.05</v>
      </c>
      <c r="L302" s="5">
        <v>1.2</v>
      </c>
      <c r="M302" s="4">
        <v>1</v>
      </c>
      <c r="N302" s="4">
        <v>1.01</v>
      </c>
      <c r="O302" s="4">
        <v>1.2</v>
      </c>
      <c r="P302" s="4">
        <v>1.2</v>
      </c>
      <c r="Q302" s="4">
        <v>1.05</v>
      </c>
      <c r="R302" s="4">
        <v>0.16169679924070957</v>
      </c>
    </row>
    <row r="303" spans="1:20" s="4" customFormat="1" ht="16" x14ac:dyDescent="0.2">
      <c r="A303" s="4" t="s">
        <v>98</v>
      </c>
      <c r="B303" s="44">
        <f>(1.24*B296)/1000</f>
        <v>3.2041343669250644E-5</v>
      </c>
      <c r="C303" s="4" t="s">
        <v>94</v>
      </c>
      <c r="D303" s="4" t="s">
        <v>116</v>
      </c>
      <c r="F303" s="4" t="s">
        <v>15</v>
      </c>
      <c r="H303" s="4" t="s">
        <v>448</v>
      </c>
      <c r="I303" s="4">
        <v>2</v>
      </c>
      <c r="J303" s="4">
        <v>-2.7725887222397811</v>
      </c>
      <c r="K303" s="4">
        <v>1.05</v>
      </c>
      <c r="L303" s="5">
        <v>1.2</v>
      </c>
      <c r="M303" s="4">
        <v>1</v>
      </c>
      <c r="N303" s="4">
        <v>1.01</v>
      </c>
      <c r="O303" s="4">
        <v>1.2</v>
      </c>
      <c r="P303" s="4">
        <v>1.2</v>
      </c>
      <c r="Q303" s="4">
        <v>1.5</v>
      </c>
      <c r="R303" s="4">
        <v>0.25816898211842121</v>
      </c>
    </row>
    <row r="304" spans="1:20" s="4" customFormat="1" ht="16" x14ac:dyDescent="0.2">
      <c r="A304" s="4" t="s">
        <v>122</v>
      </c>
      <c r="B304" s="44">
        <f>3.16*B296</f>
        <v>8.1653746770025834E-2</v>
      </c>
      <c r="C304" s="4" t="s">
        <v>9</v>
      </c>
      <c r="D304" s="4" t="s">
        <v>14</v>
      </c>
      <c r="F304" s="4" t="s">
        <v>15</v>
      </c>
      <c r="H304" s="4" t="s">
        <v>443</v>
      </c>
      <c r="I304" s="4">
        <v>2</v>
      </c>
      <c r="J304" s="4">
        <v>-2.5741022285924711</v>
      </c>
      <c r="K304" s="4">
        <v>1.05</v>
      </c>
      <c r="L304" s="5">
        <v>1.2</v>
      </c>
      <c r="M304" s="4">
        <v>1</v>
      </c>
      <c r="N304" s="4">
        <v>1.01</v>
      </c>
      <c r="O304" s="4">
        <v>1.2</v>
      </c>
      <c r="P304" s="4">
        <v>1.2</v>
      </c>
      <c r="Q304" s="4">
        <v>1.05</v>
      </c>
      <c r="R304" s="4">
        <v>0.16169679924070957</v>
      </c>
    </row>
    <row r="305" spans="1:18" s="4" customFormat="1" ht="16" x14ac:dyDescent="0.2">
      <c r="A305" s="4" t="s">
        <v>123</v>
      </c>
      <c r="B305" s="44">
        <v>9.0000000000000002E-6</v>
      </c>
      <c r="C305" s="4" t="s">
        <v>9</v>
      </c>
      <c r="D305" s="4" t="s">
        <v>14</v>
      </c>
      <c r="F305" s="4" t="s">
        <v>15</v>
      </c>
      <c r="H305" s="4" t="s">
        <v>443</v>
      </c>
      <c r="I305" s="4">
        <v>2</v>
      </c>
      <c r="J305" s="4">
        <v>-11.618285980628055</v>
      </c>
      <c r="K305" s="4">
        <v>1.5</v>
      </c>
      <c r="L305" s="4">
        <v>1.2</v>
      </c>
      <c r="M305" s="4">
        <v>1.5</v>
      </c>
      <c r="N305" s="4">
        <v>1.1000000000000001</v>
      </c>
      <c r="O305" s="4">
        <v>2</v>
      </c>
      <c r="P305" s="4">
        <v>1.2</v>
      </c>
      <c r="Q305" s="4">
        <v>5</v>
      </c>
      <c r="R305" s="4">
        <v>0.93208283513358414</v>
      </c>
    </row>
    <row r="306" spans="1:18" s="4" customFormat="1" ht="16" x14ac:dyDescent="0.2">
      <c r="A306" s="4" t="s">
        <v>69</v>
      </c>
      <c r="B306" s="44">
        <f>0.000006875/0.75</f>
        <v>9.1666666666666664E-6</v>
      </c>
      <c r="C306" s="4" t="s">
        <v>9</v>
      </c>
      <c r="D306" s="4" t="s">
        <v>14</v>
      </c>
      <c r="F306" s="4" t="s">
        <v>15</v>
      </c>
      <c r="H306" s="4" t="s">
        <v>444</v>
      </c>
      <c r="I306" s="4">
        <v>2</v>
      </c>
      <c r="J306" s="4">
        <v>-11.88761891441164</v>
      </c>
      <c r="K306" s="4">
        <v>1.05</v>
      </c>
      <c r="L306" s="5">
        <v>1.2</v>
      </c>
      <c r="M306" s="4">
        <v>1</v>
      </c>
      <c r="N306" s="4">
        <v>1.01</v>
      </c>
      <c r="O306" s="4">
        <v>1.2</v>
      </c>
      <c r="P306" s="4">
        <v>1.2</v>
      </c>
      <c r="Q306" s="4">
        <v>1.5</v>
      </c>
      <c r="R306" s="4">
        <v>0.25816898211842121</v>
      </c>
    </row>
    <row r="307" spans="1:18" s="4" customFormat="1" ht="16" x14ac:dyDescent="0.2">
      <c r="A307" s="4" t="s">
        <v>71</v>
      </c>
      <c r="B307" s="44">
        <v>1.2499999999999999E-7</v>
      </c>
      <c r="C307" s="4" t="s">
        <v>9</v>
      </c>
      <c r="D307" s="4" t="s">
        <v>14</v>
      </c>
      <c r="F307" s="4" t="s">
        <v>15</v>
      </c>
      <c r="H307" s="4" t="s">
        <v>443</v>
      </c>
      <c r="I307" s="4">
        <v>2</v>
      </c>
      <c r="J307" s="4">
        <v>-15.89495209964411</v>
      </c>
      <c r="K307" s="4">
        <v>1.05</v>
      </c>
      <c r="L307" s="5">
        <v>1.2</v>
      </c>
      <c r="M307" s="4">
        <v>1</v>
      </c>
      <c r="N307" s="4">
        <v>1.01</v>
      </c>
      <c r="O307" s="4">
        <v>1.2</v>
      </c>
      <c r="P307" s="4">
        <v>1.2</v>
      </c>
      <c r="Q307" s="4">
        <v>3</v>
      </c>
      <c r="R307" s="4">
        <v>0.57209088006881903</v>
      </c>
    </row>
    <row r="308" spans="1:18" s="4" customFormat="1" ht="16" x14ac:dyDescent="0.2">
      <c r="B308" s="44"/>
    </row>
    <row r="309" spans="1:18" x14ac:dyDescent="0.2">
      <c r="A309" s="17" t="s">
        <v>2</v>
      </c>
      <c r="B309" s="17" t="s">
        <v>453</v>
      </c>
    </row>
    <row r="310" spans="1:18" customFormat="1" ht="16" x14ac:dyDescent="0.2">
      <c r="A310" s="2" t="s">
        <v>3</v>
      </c>
      <c r="B310" s="2" t="s">
        <v>18</v>
      </c>
      <c r="C310" s="2"/>
      <c r="D310" s="2"/>
      <c r="E310" s="2"/>
      <c r="F310" s="2"/>
      <c r="G310" s="2"/>
      <c r="H310" s="2"/>
      <c r="I310" s="2"/>
      <c r="J310" s="2"/>
      <c r="K310" s="2"/>
      <c r="L310" s="2"/>
    </row>
    <row r="311" spans="1:18" customFormat="1" ht="16" x14ac:dyDescent="0.2">
      <c r="A311" s="2" t="s">
        <v>4</v>
      </c>
      <c r="B311" s="2">
        <v>1</v>
      </c>
      <c r="C311" s="2"/>
      <c r="D311" s="2"/>
      <c r="E311" s="2"/>
      <c r="F311" s="2"/>
      <c r="G311" s="2"/>
      <c r="H311" s="2"/>
      <c r="I311" s="2"/>
      <c r="J311" s="2"/>
      <c r="K311" s="2"/>
      <c r="L311" s="2"/>
    </row>
    <row r="312" spans="1:18" customFormat="1" ht="16" x14ac:dyDescent="0.2">
      <c r="A312" s="2" t="s">
        <v>5</v>
      </c>
      <c r="B312" s="2" t="s">
        <v>1</v>
      </c>
      <c r="C312" s="2"/>
      <c r="D312" s="2"/>
      <c r="E312" s="2"/>
      <c r="F312" s="2"/>
      <c r="G312" s="2"/>
      <c r="H312" s="2"/>
      <c r="I312" s="2"/>
      <c r="J312" s="2"/>
    </row>
    <row r="313" spans="1:18" customFormat="1" ht="16" x14ac:dyDescent="0.2">
      <c r="A313" s="2" t="s">
        <v>6</v>
      </c>
      <c r="B313" s="2" t="s">
        <v>7</v>
      </c>
      <c r="C313" s="2"/>
      <c r="D313" s="2"/>
      <c r="E313" s="2"/>
      <c r="F313" s="2"/>
      <c r="G313" s="2"/>
      <c r="H313" s="2"/>
      <c r="I313" s="2"/>
      <c r="J313" s="2"/>
      <c r="K313" s="2"/>
      <c r="L313" s="2"/>
    </row>
    <row r="314" spans="1:18" customFormat="1" ht="16" x14ac:dyDescent="0.2">
      <c r="A314" s="2" t="s">
        <v>8</v>
      </c>
      <c r="B314" s="2" t="s">
        <v>17</v>
      </c>
      <c r="C314" s="2"/>
      <c r="D314" s="2"/>
      <c r="E314" s="2"/>
      <c r="F314" s="2"/>
      <c r="G314" s="2"/>
      <c r="H314" s="2"/>
      <c r="I314" s="2"/>
      <c r="J314" s="2"/>
      <c r="K314" s="2"/>
      <c r="L314" s="2"/>
    </row>
    <row r="315" spans="1:18" customFormat="1" ht="16" x14ac:dyDescent="0.2">
      <c r="A315" s="1" t="s">
        <v>10</v>
      </c>
      <c r="B315" s="2"/>
      <c r="C315" s="2"/>
      <c r="D315" s="2"/>
      <c r="E315" s="2"/>
      <c r="F315" s="2"/>
      <c r="G315" s="2"/>
      <c r="H315" s="2"/>
      <c r="I315" s="2"/>
      <c r="J315" s="2"/>
      <c r="K315" s="2"/>
      <c r="L315" s="2"/>
    </row>
    <row r="316" spans="1:18" x14ac:dyDescent="0.2">
      <c r="A316" s="17" t="s">
        <v>11</v>
      </c>
      <c r="B316" s="17" t="s">
        <v>12</v>
      </c>
      <c r="C316" s="17" t="s">
        <v>3</v>
      </c>
      <c r="D316" s="17" t="s">
        <v>13</v>
      </c>
      <c r="E316" s="17" t="s">
        <v>8</v>
      </c>
      <c r="F316" s="17" t="s">
        <v>6</v>
      </c>
      <c r="G316" s="17" t="s">
        <v>5</v>
      </c>
    </row>
    <row r="317" spans="1:18" customFormat="1" ht="16" x14ac:dyDescent="0.2">
      <c r="A317" s="2" t="str">
        <f>B309</f>
        <v>methanol, from oily biomass, burned in residential boiler</v>
      </c>
      <c r="B317" s="2">
        <v>1</v>
      </c>
      <c r="C317" s="2" t="str">
        <f>B310</f>
        <v>RER</v>
      </c>
      <c r="D317" s="2"/>
      <c r="E317" s="2" t="str">
        <f>B314</f>
        <v>megajoule</v>
      </c>
      <c r="F317" s="2" t="s">
        <v>19</v>
      </c>
      <c r="G317" s="2" t="str">
        <f>B312</f>
        <v>heat</v>
      </c>
      <c r="H317" s="2"/>
      <c r="I317" s="2"/>
      <c r="J317" s="2"/>
      <c r="K317" s="2"/>
      <c r="L317" s="2"/>
    </row>
    <row r="318" spans="1:18" customFormat="1" ht="16" x14ac:dyDescent="0.2">
      <c r="A318" s="2" t="str">
        <f>B287</f>
        <v>heat, residential, by combustion of light fuel oil, from oily biomass, using boiler</v>
      </c>
      <c r="B318">
        <f>1/1.1</f>
        <v>0.90909090909090906</v>
      </c>
      <c r="C318" t="s">
        <v>18</v>
      </c>
      <c r="E318" t="s">
        <v>17</v>
      </c>
      <c r="F318" t="s">
        <v>23</v>
      </c>
      <c r="G318" t="s">
        <v>31</v>
      </c>
      <c r="H318" s="2"/>
    </row>
    <row r="319" spans="1:18" customFormat="1" ht="16" x14ac:dyDescent="0.2">
      <c r="H319" s="2"/>
    </row>
    <row r="320" spans="1:18" x14ac:dyDescent="0.2">
      <c r="A320" s="17" t="s">
        <v>2</v>
      </c>
      <c r="B320" s="17" t="s">
        <v>35</v>
      </c>
    </row>
    <row r="321" spans="1:12" customFormat="1" ht="16" x14ac:dyDescent="0.2">
      <c r="A321" s="2" t="s">
        <v>3</v>
      </c>
      <c r="B321" s="2" t="s">
        <v>18</v>
      </c>
      <c r="C321" s="2"/>
      <c r="D321" s="2"/>
      <c r="E321" s="2"/>
      <c r="F321" s="2"/>
      <c r="G321" s="2"/>
      <c r="H321" s="2"/>
      <c r="I321" s="2"/>
      <c r="J321" s="2"/>
      <c r="K321" s="2"/>
      <c r="L321" s="2"/>
    </row>
    <row r="322" spans="1:12" customFormat="1" ht="16" x14ac:dyDescent="0.2">
      <c r="A322" s="2" t="s">
        <v>4</v>
      </c>
      <c r="B322" s="2">
        <v>1</v>
      </c>
      <c r="C322" s="2"/>
      <c r="D322" s="2"/>
      <c r="E322" s="2"/>
      <c r="F322" s="2"/>
      <c r="G322" s="2"/>
      <c r="H322" s="2"/>
      <c r="I322" s="2"/>
      <c r="J322" s="2"/>
      <c r="K322" s="2"/>
      <c r="L322" s="2"/>
    </row>
    <row r="323" spans="1:12" customFormat="1" ht="16" x14ac:dyDescent="0.2">
      <c r="A323" s="2" t="s">
        <v>5</v>
      </c>
      <c r="B323" s="2" t="s">
        <v>1</v>
      </c>
      <c r="C323" s="2"/>
      <c r="D323" s="2"/>
      <c r="E323" s="2"/>
      <c r="F323" s="2"/>
      <c r="G323" s="2"/>
      <c r="H323" s="2"/>
      <c r="I323" s="2"/>
      <c r="J323" s="2"/>
    </row>
    <row r="324" spans="1:12" customFormat="1" ht="16" x14ac:dyDescent="0.2">
      <c r="A324" s="2" t="s">
        <v>6</v>
      </c>
      <c r="B324" s="2" t="s">
        <v>7</v>
      </c>
      <c r="C324" s="2"/>
      <c r="D324" s="2"/>
      <c r="E324" s="2"/>
      <c r="F324" s="2"/>
      <c r="G324" s="2"/>
      <c r="H324" s="2"/>
      <c r="I324" s="2"/>
      <c r="J324" s="2"/>
      <c r="K324" s="2"/>
      <c r="L324" s="2"/>
    </row>
    <row r="325" spans="1:12" customFormat="1" ht="16" x14ac:dyDescent="0.2">
      <c r="A325" s="2" t="s">
        <v>8</v>
      </c>
      <c r="B325" s="2" t="s">
        <v>17</v>
      </c>
      <c r="C325" s="2"/>
      <c r="D325" s="2"/>
      <c r="E325" s="2"/>
      <c r="F325" s="2"/>
      <c r="G325" s="2"/>
      <c r="H325" s="2"/>
      <c r="I325" s="2"/>
      <c r="J325" s="2"/>
      <c r="K325" s="2"/>
      <c r="L325" s="2"/>
    </row>
    <row r="326" spans="1:12" customFormat="1" ht="16" x14ac:dyDescent="0.2">
      <c r="A326" s="1" t="s">
        <v>10</v>
      </c>
      <c r="B326" s="2"/>
      <c r="C326" s="2"/>
      <c r="D326" s="2"/>
      <c r="E326" s="2"/>
      <c r="F326" s="2"/>
      <c r="G326" s="2"/>
      <c r="H326" s="2"/>
      <c r="I326" s="2"/>
      <c r="J326" s="2"/>
      <c r="K326" s="2"/>
      <c r="L326" s="2"/>
    </row>
    <row r="327" spans="1:12" x14ac:dyDescent="0.2">
      <c r="A327" s="17" t="s">
        <v>11</v>
      </c>
      <c r="B327" s="17" t="s">
        <v>12</v>
      </c>
      <c r="C327" s="17" t="s">
        <v>3</v>
      </c>
      <c r="D327" s="17" t="s">
        <v>13</v>
      </c>
      <c r="E327" s="17" t="s">
        <v>8</v>
      </c>
      <c r="F327" s="17" t="s">
        <v>6</v>
      </c>
      <c r="G327" s="17" t="s">
        <v>5</v>
      </c>
    </row>
    <row r="328" spans="1:12" customFormat="1" ht="16" x14ac:dyDescent="0.2">
      <c r="A328" s="2" t="str">
        <f>B320</f>
        <v>methanol from coal, burned in residential boiler</v>
      </c>
      <c r="B328" s="2">
        <v>1</v>
      </c>
      <c r="C328" s="2" t="str">
        <f>B321</f>
        <v>RER</v>
      </c>
      <c r="D328" s="2"/>
      <c r="E328" s="2" t="str">
        <f>B325</f>
        <v>megajoule</v>
      </c>
      <c r="F328" s="2" t="s">
        <v>19</v>
      </c>
      <c r="G328" s="2" t="str">
        <f>B323</f>
        <v>heat</v>
      </c>
      <c r="H328" s="2"/>
      <c r="I328" s="2"/>
      <c r="J328" s="2"/>
      <c r="K328" s="2"/>
      <c r="L328" s="2"/>
    </row>
    <row r="329" spans="1:12" customFormat="1" ht="16" x14ac:dyDescent="0.2">
      <c r="A329" s="2" t="s">
        <v>36</v>
      </c>
      <c r="B329">
        <f>1/(0.05556*20)</f>
        <v>0.89992800575953924</v>
      </c>
      <c r="C329" t="s">
        <v>18</v>
      </c>
      <c r="E329" t="s">
        <v>17</v>
      </c>
      <c r="F329" t="s">
        <v>23</v>
      </c>
      <c r="G329" t="s">
        <v>31</v>
      </c>
      <c r="H329" s="2"/>
    </row>
    <row r="330" spans="1:12" customFormat="1" ht="16" x14ac:dyDescent="0.2">
      <c r="F330" s="2"/>
    </row>
    <row r="331" spans="1:12" x14ac:dyDescent="0.2">
      <c r="A331" s="17" t="s">
        <v>2</v>
      </c>
      <c r="B331" s="17" t="s">
        <v>261</v>
      </c>
    </row>
    <row r="332" spans="1:12" customFormat="1" ht="16" x14ac:dyDescent="0.2">
      <c r="A332" s="2" t="s">
        <v>3</v>
      </c>
      <c r="B332" s="2" t="s">
        <v>18</v>
      </c>
      <c r="C332" s="2"/>
      <c r="D332" s="2"/>
      <c r="E332" s="2"/>
      <c r="F332" s="2"/>
      <c r="G332" s="2"/>
      <c r="H332" s="2"/>
      <c r="I332" s="2"/>
      <c r="J332" s="2"/>
      <c r="K332" s="2"/>
      <c r="L332" s="2"/>
    </row>
    <row r="333" spans="1:12" customFormat="1" ht="16" x14ac:dyDescent="0.2">
      <c r="A333" s="2" t="s">
        <v>4</v>
      </c>
      <c r="B333" s="2">
        <v>1</v>
      </c>
      <c r="C333" s="2"/>
      <c r="D333" s="2"/>
      <c r="E333" s="2"/>
      <c r="F333" s="2"/>
      <c r="G333" s="2"/>
      <c r="H333" s="2"/>
      <c r="I333" s="2"/>
      <c r="J333" s="2"/>
      <c r="K333" s="2"/>
      <c r="L333" s="2"/>
    </row>
    <row r="334" spans="1:12" customFormat="1" ht="16" x14ac:dyDescent="0.2">
      <c r="A334" s="2" t="s">
        <v>5</v>
      </c>
      <c r="B334" s="2" t="s">
        <v>1</v>
      </c>
      <c r="C334" s="2"/>
      <c r="D334" s="2"/>
      <c r="E334" s="2"/>
      <c r="F334" s="2"/>
      <c r="G334" s="2"/>
      <c r="H334" s="2"/>
      <c r="I334" s="2"/>
      <c r="J334" s="2"/>
    </row>
    <row r="335" spans="1:12" customFormat="1" ht="16" x14ac:dyDescent="0.2">
      <c r="A335" s="2" t="s">
        <v>6</v>
      </c>
      <c r="B335" s="2" t="s">
        <v>7</v>
      </c>
      <c r="C335" s="2"/>
      <c r="D335" s="2"/>
      <c r="E335" s="2"/>
      <c r="F335" s="2"/>
      <c r="G335" s="2"/>
      <c r="H335" s="2"/>
      <c r="I335" s="2"/>
      <c r="J335" s="2"/>
      <c r="K335" s="2"/>
      <c r="L335" s="2"/>
    </row>
    <row r="336" spans="1:12" customFormat="1" ht="16" x14ac:dyDescent="0.2">
      <c r="A336" s="2" t="s">
        <v>8</v>
      </c>
      <c r="B336" s="2" t="s">
        <v>17</v>
      </c>
      <c r="C336" s="2"/>
      <c r="D336" s="2"/>
      <c r="E336" s="2"/>
      <c r="F336" s="2"/>
      <c r="G336" s="2"/>
      <c r="H336" s="2"/>
      <c r="I336" s="2"/>
      <c r="J336" s="2"/>
      <c r="K336" s="2"/>
      <c r="L336" s="2"/>
    </row>
    <row r="337" spans="1:12" customFormat="1" ht="16" x14ac:dyDescent="0.2">
      <c r="A337" s="1" t="s">
        <v>10</v>
      </c>
      <c r="B337" s="2"/>
      <c r="C337" s="2"/>
      <c r="D337" s="2"/>
      <c r="E337" s="2"/>
      <c r="F337" s="2"/>
      <c r="G337" s="2"/>
      <c r="H337" s="2"/>
      <c r="I337" s="2"/>
      <c r="J337" s="2"/>
      <c r="K337" s="2"/>
      <c r="L337" s="2"/>
    </row>
    <row r="338" spans="1:12" x14ac:dyDescent="0.2">
      <c r="A338" s="17" t="s">
        <v>11</v>
      </c>
      <c r="B338" s="17" t="s">
        <v>12</v>
      </c>
      <c r="C338" s="17" t="s">
        <v>3</v>
      </c>
      <c r="D338" s="17" t="s">
        <v>13</v>
      </c>
      <c r="E338" s="17" t="s">
        <v>8</v>
      </c>
      <c r="F338" s="17" t="s">
        <v>6</v>
      </c>
      <c r="G338" s="17" t="s">
        <v>5</v>
      </c>
      <c r="H338" s="17" t="s">
        <v>151</v>
      </c>
    </row>
    <row r="339" spans="1:12" customFormat="1" ht="16" x14ac:dyDescent="0.2">
      <c r="A339" s="2" t="str">
        <f>B331</f>
        <v>natural gas, synthetic, burned in gas turbine</v>
      </c>
      <c r="B339" s="2">
        <v>1</v>
      </c>
      <c r="C339" s="2" t="str">
        <f>B332</f>
        <v>RER</v>
      </c>
      <c r="D339" s="2"/>
      <c r="E339" s="2" t="str">
        <f>B336</f>
        <v>megajoule</v>
      </c>
      <c r="F339" s="2" t="s">
        <v>19</v>
      </c>
      <c r="G339" s="2"/>
      <c r="H339" s="2"/>
      <c r="I339" s="2"/>
      <c r="J339" s="2"/>
      <c r="K339" s="2"/>
      <c r="L339" s="2"/>
    </row>
    <row r="340" spans="1:12" customFormat="1" ht="16" x14ac:dyDescent="0.2">
      <c r="A340" t="s">
        <v>263</v>
      </c>
      <c r="B340" s="12">
        <v>1.15E-10</v>
      </c>
      <c r="C340" t="s">
        <v>18</v>
      </c>
      <c r="E340" t="s">
        <v>8</v>
      </c>
      <c r="F340" t="s">
        <v>23</v>
      </c>
      <c r="G340" s="2" t="s">
        <v>262</v>
      </c>
      <c r="J340" s="2"/>
    </row>
    <row r="341" spans="1:12" customFormat="1" ht="16" x14ac:dyDescent="0.2">
      <c r="A341" t="s">
        <v>308</v>
      </c>
      <c r="B341" s="2">
        <f>1/47.5</f>
        <v>2.1052631578947368E-2</v>
      </c>
      <c r="C341" t="s">
        <v>18</v>
      </c>
      <c r="E341" t="s">
        <v>9</v>
      </c>
      <c r="F341" t="s">
        <v>23</v>
      </c>
      <c r="G341" t="s">
        <v>267</v>
      </c>
      <c r="J341" s="2"/>
    </row>
    <row r="342" spans="1:12" customFormat="1" ht="16" x14ac:dyDescent="0.2">
      <c r="A342" t="s">
        <v>122</v>
      </c>
      <c r="B342">
        <f>B341*2.74</f>
        <v>5.7684210526315789E-2</v>
      </c>
      <c r="D342" t="s">
        <v>14</v>
      </c>
      <c r="E342" t="s">
        <v>9</v>
      </c>
      <c r="F342" s="2" t="s">
        <v>15</v>
      </c>
      <c r="G342" s="2"/>
      <c r="H342" t="s">
        <v>294</v>
      </c>
      <c r="J342" s="2"/>
    </row>
    <row r="343" spans="1:12" customFormat="1" ht="16" x14ac:dyDescent="0.2">
      <c r="A343" t="s">
        <v>123</v>
      </c>
      <c r="B343" s="3">
        <v>4.0000000000000003E-5</v>
      </c>
      <c r="D343" t="s">
        <v>14</v>
      </c>
      <c r="E343" t="s">
        <v>9</v>
      </c>
      <c r="F343" s="2" t="s">
        <v>15</v>
      </c>
      <c r="G343" s="2"/>
      <c r="J343" s="2"/>
    </row>
    <row r="344" spans="1:12" customFormat="1" ht="16" x14ac:dyDescent="0.2">
      <c r="A344" t="s">
        <v>58</v>
      </c>
      <c r="B344" s="3">
        <v>9.9999999999999995E-7</v>
      </c>
      <c r="D344" t="s">
        <v>14</v>
      </c>
      <c r="E344" t="s">
        <v>9</v>
      </c>
      <c r="F344" s="2" t="s">
        <v>15</v>
      </c>
      <c r="J344" s="2"/>
    </row>
    <row r="345" spans="1:12" customFormat="1" ht="16" x14ac:dyDescent="0.2">
      <c r="A345" t="s">
        <v>103</v>
      </c>
      <c r="B345" s="3">
        <v>2.9000000000000003E-17</v>
      </c>
      <c r="D345" t="s">
        <v>14</v>
      </c>
      <c r="E345" t="s">
        <v>9</v>
      </c>
      <c r="F345" s="2" t="s">
        <v>15</v>
      </c>
      <c r="J345" s="2"/>
    </row>
    <row r="346" spans="1:12" customFormat="1" ht="16" x14ac:dyDescent="0.2">
      <c r="A346" t="s">
        <v>264</v>
      </c>
      <c r="B346">
        <v>1.1000000000000001</v>
      </c>
      <c r="D346" t="s">
        <v>14</v>
      </c>
      <c r="E346" t="s">
        <v>17</v>
      </c>
      <c r="F346" s="2" t="s">
        <v>15</v>
      </c>
      <c r="J346" s="2"/>
    </row>
    <row r="347" spans="1:12" customFormat="1" ht="16" x14ac:dyDescent="0.2">
      <c r="A347" t="s">
        <v>64</v>
      </c>
      <c r="B347" s="3">
        <v>3E-11</v>
      </c>
      <c r="D347" t="s">
        <v>14</v>
      </c>
      <c r="E347" t="s">
        <v>9</v>
      </c>
      <c r="F347" s="2" t="s">
        <v>15</v>
      </c>
      <c r="J347" s="2"/>
    </row>
    <row r="348" spans="1:12" customFormat="1" ht="16" x14ac:dyDescent="0.2">
      <c r="A348" t="s">
        <v>177</v>
      </c>
      <c r="B348" s="3">
        <v>4.40134279210326E-6</v>
      </c>
      <c r="D348" t="s">
        <v>14</v>
      </c>
      <c r="E348" t="s">
        <v>9</v>
      </c>
      <c r="F348" s="2" t="s">
        <v>15</v>
      </c>
      <c r="J348" s="2"/>
    </row>
    <row r="349" spans="1:12" customFormat="1" ht="16" x14ac:dyDescent="0.2">
      <c r="A349" t="s">
        <v>67</v>
      </c>
      <c r="B349" s="3">
        <v>9.9999999999999995E-7</v>
      </c>
      <c r="D349" t="s">
        <v>14</v>
      </c>
      <c r="E349" t="s">
        <v>9</v>
      </c>
      <c r="F349" s="2" t="s">
        <v>15</v>
      </c>
      <c r="J349" s="2"/>
    </row>
    <row r="350" spans="1:12" customFormat="1" ht="16" x14ac:dyDescent="0.2">
      <c r="A350" t="s">
        <v>69</v>
      </c>
      <c r="B350">
        <v>1.27058370604326E-4</v>
      </c>
      <c r="D350" t="s">
        <v>14</v>
      </c>
      <c r="E350" t="s">
        <v>9</v>
      </c>
      <c r="F350" s="2" t="s">
        <v>15</v>
      </c>
      <c r="J350" s="2"/>
    </row>
    <row r="351" spans="1:12" customFormat="1" ht="16" x14ac:dyDescent="0.2">
      <c r="A351" t="s">
        <v>77</v>
      </c>
      <c r="B351" s="3">
        <v>5.5000000000000003E-7</v>
      </c>
      <c r="D351" t="s">
        <v>14</v>
      </c>
      <c r="E351" t="s">
        <v>9</v>
      </c>
      <c r="F351" s="2" t="s">
        <v>15</v>
      </c>
      <c r="J351" s="2"/>
    </row>
    <row r="352" spans="1:12" customFormat="1" ht="16" x14ac:dyDescent="0.2">
      <c r="A352" t="s">
        <v>265</v>
      </c>
      <c r="B352">
        <v>4.0821972963304497E-2</v>
      </c>
      <c r="D352" t="s">
        <v>266</v>
      </c>
      <c r="E352" t="s">
        <v>9</v>
      </c>
      <c r="F352" s="2" t="s">
        <v>15</v>
      </c>
      <c r="J352" s="2"/>
    </row>
    <row r="353" spans="1:12" customFormat="1" ht="16" x14ac:dyDescent="0.2">
      <c r="A353" t="s">
        <v>122</v>
      </c>
      <c r="B353" s="3">
        <v>3.1941563011577698E-5</v>
      </c>
      <c r="D353" t="s">
        <v>116</v>
      </c>
      <c r="E353" t="s">
        <v>9</v>
      </c>
      <c r="F353" s="2" t="s">
        <v>15</v>
      </c>
      <c r="J353" s="2"/>
    </row>
    <row r="354" spans="1:12" customFormat="1" ht="16" x14ac:dyDescent="0.2">
      <c r="J354" s="2"/>
    </row>
    <row r="355" spans="1:12" x14ac:dyDescent="0.2">
      <c r="A355" s="17" t="s">
        <v>2</v>
      </c>
      <c r="B355" s="17" t="s">
        <v>411</v>
      </c>
    </row>
    <row r="356" spans="1:12" customFormat="1" ht="16" x14ac:dyDescent="0.2">
      <c r="A356" s="2" t="s">
        <v>3</v>
      </c>
      <c r="B356" s="2" t="s">
        <v>18</v>
      </c>
      <c r="C356" s="2"/>
      <c r="D356" s="2"/>
      <c r="E356" s="2"/>
      <c r="F356" s="2"/>
      <c r="G356" s="2"/>
      <c r="H356" s="2"/>
      <c r="I356" s="2"/>
      <c r="J356" s="2"/>
      <c r="K356" s="2"/>
      <c r="L356" s="2"/>
    </row>
    <row r="357" spans="1:12" customFormat="1" ht="16" x14ac:dyDescent="0.2">
      <c r="A357" s="2" t="s">
        <v>4</v>
      </c>
      <c r="B357" s="2">
        <v>1</v>
      </c>
      <c r="C357" s="2"/>
      <c r="D357" s="2"/>
      <c r="E357" s="2"/>
      <c r="F357" s="2"/>
      <c r="G357" s="2"/>
      <c r="H357" s="2"/>
      <c r="I357" s="2"/>
      <c r="J357" s="2"/>
      <c r="K357" s="2"/>
      <c r="L357" s="2"/>
    </row>
    <row r="358" spans="1:12" customFormat="1" ht="16" x14ac:dyDescent="0.2">
      <c r="A358" s="2" t="s">
        <v>5</v>
      </c>
      <c r="B358" s="2" t="s">
        <v>1</v>
      </c>
      <c r="C358" s="2"/>
      <c r="D358" s="2"/>
      <c r="E358" s="2"/>
      <c r="F358" s="2"/>
      <c r="G358" s="2"/>
      <c r="H358" s="2"/>
      <c r="I358" s="2"/>
      <c r="J358" s="2"/>
    </row>
    <row r="359" spans="1:12" customFormat="1" ht="16" x14ac:dyDescent="0.2">
      <c r="A359" s="2" t="s">
        <v>6</v>
      </c>
      <c r="B359" s="2" t="s">
        <v>7</v>
      </c>
      <c r="C359" s="2"/>
      <c r="D359" s="2"/>
      <c r="E359" s="2"/>
      <c r="F359" s="2"/>
      <c r="G359" s="2"/>
      <c r="H359" s="2"/>
      <c r="I359" s="2"/>
      <c r="J359" s="2"/>
      <c r="K359" s="2"/>
      <c r="L359" s="2"/>
    </row>
    <row r="360" spans="1:12" customFormat="1" ht="16" x14ac:dyDescent="0.2">
      <c r="A360" s="2" t="s">
        <v>8</v>
      </c>
      <c r="B360" s="2" t="s">
        <v>17</v>
      </c>
      <c r="C360" s="2"/>
      <c r="D360" s="2"/>
      <c r="E360" s="2"/>
      <c r="F360" s="2"/>
      <c r="G360" s="2"/>
      <c r="H360" s="2"/>
      <c r="I360" s="2"/>
      <c r="J360" s="2"/>
      <c r="K360" s="2"/>
      <c r="L360" s="2"/>
    </row>
    <row r="361" spans="1:12" customFormat="1" ht="16" x14ac:dyDescent="0.2">
      <c r="A361" s="1" t="s">
        <v>10</v>
      </c>
      <c r="B361" s="2"/>
      <c r="C361" s="2"/>
      <c r="D361" s="2"/>
      <c r="E361" s="2"/>
      <c r="F361" s="2"/>
      <c r="G361" s="2"/>
      <c r="H361" s="2"/>
      <c r="I361" s="2"/>
      <c r="J361" s="2"/>
      <c r="K361" s="2"/>
      <c r="L361" s="2"/>
    </row>
    <row r="362" spans="1:12" x14ac:dyDescent="0.2">
      <c r="A362" s="17" t="s">
        <v>11</v>
      </c>
      <c r="B362" s="17" t="s">
        <v>12</v>
      </c>
      <c r="C362" s="17" t="s">
        <v>3</v>
      </c>
      <c r="D362" s="17" t="s">
        <v>13</v>
      </c>
      <c r="E362" s="17" t="s">
        <v>8</v>
      </c>
      <c r="F362" s="17" t="s">
        <v>6</v>
      </c>
      <c r="G362" s="17" t="s">
        <v>5</v>
      </c>
      <c r="H362" s="17" t="s">
        <v>151</v>
      </c>
    </row>
    <row r="363" spans="1:12" customFormat="1" ht="16" x14ac:dyDescent="0.2">
      <c r="A363" s="2" t="str">
        <f>B355</f>
        <v>biodiesel, from residual oily biomass, burned in heavy-duty vehicle</v>
      </c>
      <c r="B363" s="2">
        <v>1</v>
      </c>
      <c r="C363" s="2" t="str">
        <f>B356</f>
        <v>RER</v>
      </c>
      <c r="D363" s="2"/>
      <c r="E363" s="2" t="str">
        <f>B360</f>
        <v>megajoule</v>
      </c>
      <c r="F363" s="2" t="s">
        <v>19</v>
      </c>
      <c r="G363" s="2"/>
      <c r="H363" s="2"/>
      <c r="I363" s="2"/>
      <c r="J363" s="2"/>
      <c r="K363" s="2"/>
      <c r="L363" s="2"/>
    </row>
    <row r="364" spans="1:12" customFormat="1" ht="16" x14ac:dyDescent="0.2">
      <c r="A364" s="2" t="s">
        <v>175</v>
      </c>
      <c r="B364">
        <f>1/38</f>
        <v>2.6315789473684209E-2</v>
      </c>
      <c r="C364" t="s">
        <v>18</v>
      </c>
      <c r="E364" t="s">
        <v>9</v>
      </c>
      <c r="F364" t="s">
        <v>23</v>
      </c>
      <c r="G364" t="s">
        <v>176</v>
      </c>
      <c r="H364" t="s">
        <v>293</v>
      </c>
      <c r="J364" s="2"/>
    </row>
    <row r="365" spans="1:12" customFormat="1" ht="16" x14ac:dyDescent="0.2">
      <c r="A365" s="2" t="s">
        <v>145</v>
      </c>
      <c r="B365">
        <f>1000/1000000/8.57</f>
        <v>1.1668611435239206E-4</v>
      </c>
      <c r="C365" t="s">
        <v>18</v>
      </c>
      <c r="E365" t="s">
        <v>9</v>
      </c>
      <c r="F365" t="s">
        <v>23</v>
      </c>
      <c r="G365" t="s">
        <v>145</v>
      </c>
      <c r="J365" s="2"/>
    </row>
    <row r="366" spans="1:12" customFormat="1" ht="16" x14ac:dyDescent="0.2">
      <c r="A366" t="s">
        <v>45</v>
      </c>
      <c r="B366" s="3">
        <v>9.0891902402005496E-8</v>
      </c>
      <c r="D366" t="s">
        <v>14</v>
      </c>
      <c r="E366" t="s">
        <v>9</v>
      </c>
      <c r="F366" s="2" t="s">
        <v>15</v>
      </c>
      <c r="G366" s="3"/>
      <c r="I366" s="3"/>
      <c r="J366" s="2"/>
    </row>
    <row r="367" spans="1:12" customFormat="1" ht="16" x14ac:dyDescent="0.2">
      <c r="A367" t="s">
        <v>47</v>
      </c>
      <c r="B367" s="3">
        <v>3.5203209464194309E-8</v>
      </c>
      <c r="D367" t="s">
        <v>14</v>
      </c>
      <c r="E367" t="s">
        <v>9</v>
      </c>
      <c r="F367" s="2" t="s">
        <v>15</v>
      </c>
      <c r="G367" s="3"/>
      <c r="J367" s="2"/>
    </row>
    <row r="368" spans="1:12" customFormat="1" ht="16" x14ac:dyDescent="0.2">
      <c r="A368" t="s">
        <v>48</v>
      </c>
      <c r="B368" s="3">
        <v>2.2775546498939349E-7</v>
      </c>
      <c r="D368" t="s">
        <v>14</v>
      </c>
      <c r="E368" t="s">
        <v>9</v>
      </c>
      <c r="F368" s="2" t="s">
        <v>15</v>
      </c>
      <c r="G368" s="3"/>
      <c r="J368" s="2"/>
    </row>
    <row r="369" spans="1:10" customFormat="1" ht="16" x14ac:dyDescent="0.2">
      <c r="A369" t="s">
        <v>90</v>
      </c>
      <c r="B369" s="3">
        <v>2.3255813953488445E-12</v>
      </c>
      <c r="D369" t="s">
        <v>14</v>
      </c>
      <c r="E369" t="s">
        <v>9</v>
      </c>
      <c r="F369" s="2" t="s">
        <v>15</v>
      </c>
      <c r="G369" s="3"/>
      <c r="J369" s="2"/>
    </row>
    <row r="370" spans="1:10" customFormat="1" ht="16" x14ac:dyDescent="0.2">
      <c r="A370" t="s">
        <v>49</v>
      </c>
      <c r="B370" s="3">
        <v>2.7247681901736397E-8</v>
      </c>
      <c r="D370" t="s">
        <v>14</v>
      </c>
      <c r="E370" t="s">
        <v>9</v>
      </c>
      <c r="F370" s="2" t="s">
        <v>15</v>
      </c>
      <c r="G370" s="3"/>
      <c r="J370" s="2"/>
    </row>
    <row r="371" spans="1:10" customFormat="1" ht="16" x14ac:dyDescent="0.2">
      <c r="A371" t="s">
        <v>50</v>
      </c>
      <c r="B371" s="3">
        <v>1.3922173234392214E-9</v>
      </c>
      <c r="D371" t="s">
        <v>14</v>
      </c>
      <c r="E371" t="s">
        <v>9</v>
      </c>
      <c r="F371" s="2" t="s">
        <v>15</v>
      </c>
      <c r="G371" s="3"/>
      <c r="J371" s="2"/>
    </row>
    <row r="372" spans="1:10" customFormat="1" ht="16" x14ac:dyDescent="0.2">
      <c r="A372" t="s">
        <v>51</v>
      </c>
      <c r="B372" s="3">
        <v>2.9833228359550366E-9</v>
      </c>
      <c r="D372" t="s">
        <v>14</v>
      </c>
      <c r="E372" t="s">
        <v>9</v>
      </c>
      <c r="F372" s="2" t="s">
        <v>15</v>
      </c>
      <c r="G372" s="3"/>
      <c r="J372" s="2"/>
    </row>
    <row r="373" spans="1:10" customFormat="1" ht="16" x14ac:dyDescent="0.2">
      <c r="A373" t="s">
        <v>52</v>
      </c>
      <c r="B373" s="3">
        <v>2.0232558139597954E-10</v>
      </c>
      <c r="D373" t="s">
        <v>14</v>
      </c>
      <c r="E373" t="s">
        <v>9</v>
      </c>
      <c r="F373" s="2" t="s">
        <v>15</v>
      </c>
      <c r="G373" s="3"/>
      <c r="J373" s="2"/>
    </row>
    <row r="374" spans="1:10" customFormat="1" ht="16" x14ac:dyDescent="0.2">
      <c r="A374" t="s">
        <v>122</v>
      </c>
      <c r="B374">
        <f>B364*3.15</f>
        <v>8.2894736842105257E-2</v>
      </c>
      <c r="D374" t="s">
        <v>14</v>
      </c>
      <c r="E374" t="s">
        <v>9</v>
      </c>
      <c r="F374" s="2" t="s">
        <v>15</v>
      </c>
      <c r="G374" s="3"/>
      <c r="H374" s="3"/>
      <c r="J374" s="2"/>
    </row>
    <row r="375" spans="1:10" customFormat="1" ht="16" x14ac:dyDescent="0.2">
      <c r="A375" t="s">
        <v>123</v>
      </c>
      <c r="B375" s="3">
        <v>6.3521092350262397E-5</v>
      </c>
      <c r="D375" t="s">
        <v>14</v>
      </c>
      <c r="E375" t="s">
        <v>9</v>
      </c>
      <c r="F375" s="2" t="s">
        <v>15</v>
      </c>
      <c r="G375" s="3"/>
      <c r="J375" s="2"/>
    </row>
    <row r="376" spans="1:10" customFormat="1" ht="16" x14ac:dyDescent="0.2">
      <c r="A376" t="s">
        <v>55</v>
      </c>
      <c r="B376" s="3">
        <v>6.9767441860586501E-10</v>
      </c>
      <c r="D376" t="s">
        <v>14</v>
      </c>
      <c r="E376" t="s">
        <v>9</v>
      </c>
      <c r="F376" s="2" t="s">
        <v>15</v>
      </c>
      <c r="G376" s="3"/>
      <c r="J376" s="2"/>
    </row>
    <row r="377" spans="1:10" customFormat="1" ht="16" x14ac:dyDescent="0.2">
      <c r="A377" t="s">
        <v>56</v>
      </c>
      <c r="B377" s="3">
        <v>1.3953488372165768E-12</v>
      </c>
      <c r="D377" t="s">
        <v>14</v>
      </c>
      <c r="E377" t="s">
        <v>9</v>
      </c>
      <c r="F377" s="2" t="s">
        <v>15</v>
      </c>
      <c r="G377" s="3"/>
      <c r="J377" s="2"/>
    </row>
    <row r="378" spans="1:10" customFormat="1" ht="16" x14ac:dyDescent="0.2">
      <c r="A378" t="s">
        <v>57</v>
      </c>
      <c r="B378" s="3">
        <v>4.9302325581458507E-10</v>
      </c>
      <c r="D378" t="s">
        <v>14</v>
      </c>
      <c r="E378" t="s">
        <v>9</v>
      </c>
      <c r="F378" s="2" t="s">
        <v>15</v>
      </c>
      <c r="G378" s="3"/>
      <c r="J378" s="2"/>
    </row>
    <row r="379" spans="1:10" customFormat="1" ht="16" x14ac:dyDescent="0.2">
      <c r="A379" t="s">
        <v>58</v>
      </c>
      <c r="B379" s="3">
        <v>3.7969387682723317E-6</v>
      </c>
      <c r="D379" t="s">
        <v>14</v>
      </c>
      <c r="E379" t="s">
        <v>9</v>
      </c>
      <c r="F379" s="2" t="s">
        <v>15</v>
      </c>
      <c r="G379" s="3"/>
      <c r="J379" s="2"/>
    </row>
    <row r="380" spans="1:10" customFormat="1" ht="16" x14ac:dyDescent="0.2">
      <c r="A380" t="s">
        <v>59</v>
      </c>
      <c r="B380" s="3">
        <v>5.966645671897956E-10</v>
      </c>
      <c r="D380" t="s">
        <v>14</v>
      </c>
      <c r="E380" t="s">
        <v>9</v>
      </c>
      <c r="F380" s="2" t="s">
        <v>15</v>
      </c>
      <c r="G380" s="3"/>
      <c r="J380" s="2"/>
    </row>
    <row r="381" spans="1:10" customFormat="1" ht="16" x14ac:dyDescent="0.2">
      <c r="A381" t="s">
        <v>61</v>
      </c>
      <c r="B381" s="3">
        <v>1.6706607881343357E-7</v>
      </c>
      <c r="D381" t="s">
        <v>14</v>
      </c>
      <c r="E381" t="s">
        <v>9</v>
      </c>
      <c r="F381" s="2" t="s">
        <v>15</v>
      </c>
      <c r="G381" s="3"/>
      <c r="J381" s="2"/>
    </row>
    <row r="382" spans="1:10" customFormat="1" ht="16" x14ac:dyDescent="0.2">
      <c r="A382" t="s">
        <v>62</v>
      </c>
      <c r="B382" s="3">
        <v>5.9666456718979566E-9</v>
      </c>
      <c r="D382" t="s">
        <v>14</v>
      </c>
      <c r="E382" t="s">
        <v>9</v>
      </c>
      <c r="F382" s="2" t="s">
        <v>15</v>
      </c>
      <c r="G382" s="3"/>
      <c r="J382" s="2"/>
    </row>
    <row r="383" spans="1:10" customFormat="1" ht="16" x14ac:dyDescent="0.2">
      <c r="A383" t="s">
        <v>63</v>
      </c>
      <c r="B383" s="3">
        <v>1.2116279069793652E-9</v>
      </c>
      <c r="D383" t="s">
        <v>14</v>
      </c>
      <c r="E383" t="s">
        <v>9</v>
      </c>
      <c r="F383" s="2" t="s">
        <v>15</v>
      </c>
      <c r="G383" s="3"/>
      <c r="J383" s="2"/>
    </row>
    <row r="384" spans="1:10" customFormat="1" ht="16" x14ac:dyDescent="0.2">
      <c r="A384" t="s">
        <v>64</v>
      </c>
      <c r="B384" s="3">
        <v>1.2325581395334337E-10</v>
      </c>
      <c r="D384" t="s">
        <v>14</v>
      </c>
      <c r="E384" t="s">
        <v>9</v>
      </c>
      <c r="F384" s="2" t="s">
        <v>15</v>
      </c>
      <c r="G384" s="3"/>
      <c r="J384" s="2"/>
    </row>
    <row r="385" spans="1:10" customFormat="1" ht="16" x14ac:dyDescent="0.2">
      <c r="A385" t="s">
        <v>65</v>
      </c>
      <c r="B385" s="3">
        <v>4.890693292186907E-8</v>
      </c>
      <c r="D385" t="s">
        <v>14</v>
      </c>
      <c r="E385" t="s">
        <v>9</v>
      </c>
      <c r="F385" s="2" t="s">
        <v>15</v>
      </c>
      <c r="G385" s="3"/>
      <c r="J385" s="2"/>
    </row>
    <row r="386" spans="1:10" customFormat="1" ht="16" x14ac:dyDescent="0.2">
      <c r="A386" t="s">
        <v>67</v>
      </c>
      <c r="B386" s="3">
        <v>1.6155687597619975E-6</v>
      </c>
      <c r="D386" t="s">
        <v>14</v>
      </c>
      <c r="E386" t="s">
        <v>9</v>
      </c>
      <c r="F386" s="2" t="s">
        <v>15</v>
      </c>
      <c r="G386" s="3"/>
      <c r="J386" s="2"/>
    </row>
    <row r="387" spans="1:10" customFormat="1" ht="16" x14ac:dyDescent="0.2">
      <c r="A387" t="s">
        <v>68</v>
      </c>
      <c r="B387" s="3">
        <v>2.0465116279127991E-10</v>
      </c>
      <c r="D387" t="s">
        <v>14</v>
      </c>
      <c r="E387" t="s">
        <v>9</v>
      </c>
      <c r="F387" s="2" t="s">
        <v>15</v>
      </c>
      <c r="G387" s="3"/>
      <c r="J387" s="2"/>
    </row>
    <row r="388" spans="1:10" customFormat="1" ht="16" x14ac:dyDescent="0.2">
      <c r="A388" t="s">
        <v>69</v>
      </c>
      <c r="B388" s="3">
        <v>3.1855518160413698E-5</v>
      </c>
      <c r="D388" t="s">
        <v>14</v>
      </c>
      <c r="E388" t="s">
        <v>9</v>
      </c>
      <c r="F388" s="2" t="s">
        <v>15</v>
      </c>
      <c r="G388" s="3"/>
      <c r="J388" s="2"/>
    </row>
    <row r="389" spans="1:10" customFormat="1" ht="16" x14ac:dyDescent="0.2">
      <c r="A389" t="s">
        <v>70</v>
      </c>
      <c r="B389" s="3">
        <v>1.8186046511685154E-9</v>
      </c>
      <c r="D389" t="s">
        <v>14</v>
      </c>
      <c r="E389" t="s">
        <v>9</v>
      </c>
      <c r="F389" s="2" t="s">
        <v>15</v>
      </c>
      <c r="G389" s="3"/>
      <c r="J389" s="2"/>
    </row>
    <row r="390" spans="1:10" customFormat="1" ht="16" x14ac:dyDescent="0.2">
      <c r="A390" t="s">
        <v>71</v>
      </c>
      <c r="B390" s="3">
        <v>2.8746541895445575E-7</v>
      </c>
      <c r="D390" t="s">
        <v>14</v>
      </c>
      <c r="E390" t="s">
        <v>9</v>
      </c>
      <c r="F390" s="2" t="s">
        <v>15</v>
      </c>
      <c r="G390" s="3"/>
      <c r="J390" s="2"/>
    </row>
    <row r="391" spans="1:10" customFormat="1" ht="16" x14ac:dyDescent="0.2">
      <c r="A391" t="s">
        <v>72</v>
      </c>
      <c r="B391" s="3">
        <v>1.193329134380803E-9</v>
      </c>
      <c r="D391" t="s">
        <v>14</v>
      </c>
      <c r="E391" t="s">
        <v>9</v>
      </c>
      <c r="F391" s="2" t="s">
        <v>15</v>
      </c>
      <c r="G391" s="3"/>
      <c r="J391" s="2"/>
    </row>
    <row r="392" spans="1:10" customFormat="1" ht="16" x14ac:dyDescent="0.2">
      <c r="A392" t="s">
        <v>73</v>
      </c>
      <c r="B392" s="3">
        <v>1.9888818906326523E-9</v>
      </c>
      <c r="D392" t="s">
        <v>14</v>
      </c>
      <c r="E392" t="s">
        <v>9</v>
      </c>
      <c r="F392" s="2" t="s">
        <v>15</v>
      </c>
      <c r="G392" s="3"/>
      <c r="J392" s="2"/>
    </row>
    <row r="393" spans="1:10" customFormat="1" ht="16" x14ac:dyDescent="0.2">
      <c r="A393" t="s">
        <v>75</v>
      </c>
      <c r="B393" s="3">
        <v>2.3255813953488445E-12</v>
      </c>
      <c r="D393" t="s">
        <v>14</v>
      </c>
      <c r="E393" t="s">
        <v>9</v>
      </c>
      <c r="F393" s="2" t="s">
        <v>15</v>
      </c>
      <c r="G393" s="3"/>
      <c r="J393" s="2"/>
    </row>
    <row r="394" spans="1:10" customFormat="1" ht="16" x14ac:dyDescent="0.2">
      <c r="A394" t="s">
        <v>76</v>
      </c>
      <c r="B394" s="3">
        <v>1.1137738587550121E-8</v>
      </c>
      <c r="D394" t="s">
        <v>14</v>
      </c>
      <c r="E394" t="s">
        <v>9</v>
      </c>
      <c r="F394" s="2" t="s">
        <v>15</v>
      </c>
      <c r="G394" s="3"/>
      <c r="J394" s="2"/>
    </row>
    <row r="395" spans="1:10" customFormat="1" ht="16" x14ac:dyDescent="0.2">
      <c r="A395" t="s">
        <v>77</v>
      </c>
      <c r="B395" s="3">
        <v>3.7893614887488559E-7</v>
      </c>
      <c r="D395" t="s">
        <v>14</v>
      </c>
      <c r="E395" t="s">
        <v>9</v>
      </c>
      <c r="F395" s="2" t="s">
        <v>15</v>
      </c>
      <c r="G395" s="3"/>
      <c r="J395" s="2"/>
    </row>
    <row r="396" spans="1:10" customFormat="1" ht="16" x14ac:dyDescent="0.2">
      <c r="A396" t="s">
        <v>78</v>
      </c>
      <c r="B396" s="3">
        <v>1.9888818906326521E-10</v>
      </c>
      <c r="D396" t="s">
        <v>14</v>
      </c>
      <c r="E396" t="s">
        <v>9</v>
      </c>
      <c r="F396" s="2" t="s">
        <v>15</v>
      </c>
      <c r="G396" s="3"/>
      <c r="J396" s="2"/>
    </row>
    <row r="397" spans="1:10" customFormat="1" ht="16" x14ac:dyDescent="0.2">
      <c r="A397" t="s">
        <v>79</v>
      </c>
      <c r="B397" s="3">
        <v>4.04186046512172E-8</v>
      </c>
      <c r="D397" t="s">
        <v>14</v>
      </c>
      <c r="E397" t="s">
        <v>9</v>
      </c>
      <c r="F397" s="2" t="s">
        <v>15</v>
      </c>
      <c r="G397" s="3"/>
      <c r="J397" s="2"/>
    </row>
    <row r="398" spans="1:10" customFormat="1" ht="16" x14ac:dyDescent="0.2">
      <c r="A398" t="s">
        <v>80</v>
      </c>
      <c r="B398" s="3">
        <v>1.9491042528173333E-8</v>
      </c>
      <c r="D398" t="s">
        <v>14</v>
      </c>
      <c r="E398" t="s">
        <v>9</v>
      </c>
      <c r="F398" s="2" t="s">
        <v>15</v>
      </c>
      <c r="G398" s="3"/>
      <c r="J398" s="2"/>
    </row>
    <row r="399" spans="1:10" customFormat="1" ht="16" x14ac:dyDescent="0.2">
      <c r="A399" t="s">
        <v>81</v>
      </c>
      <c r="B399" s="3">
        <v>7.9555275625427259E-9</v>
      </c>
      <c r="D399" t="s">
        <v>14</v>
      </c>
      <c r="E399" t="s">
        <v>9</v>
      </c>
      <c r="F399" s="2" t="s">
        <v>15</v>
      </c>
      <c r="G399" s="3"/>
      <c r="J399" s="2"/>
    </row>
    <row r="400" spans="1:10" customFormat="1" ht="16" x14ac:dyDescent="0.2">
      <c r="J400" s="2"/>
    </row>
    <row r="401" spans="1:12" x14ac:dyDescent="0.2">
      <c r="A401" s="17" t="s">
        <v>2</v>
      </c>
      <c r="B401" s="17" t="s">
        <v>405</v>
      </c>
    </row>
    <row r="402" spans="1:12" customFormat="1" ht="16" x14ac:dyDescent="0.2">
      <c r="A402" s="2" t="s">
        <v>3</v>
      </c>
      <c r="B402" s="2" t="s">
        <v>18</v>
      </c>
      <c r="C402" s="2"/>
      <c r="D402" s="2"/>
      <c r="E402" s="2"/>
      <c r="F402" s="2"/>
      <c r="G402" s="2"/>
      <c r="H402" s="2"/>
      <c r="I402" s="2"/>
      <c r="J402" s="2"/>
      <c r="K402" s="2"/>
      <c r="L402" s="2"/>
    </row>
    <row r="403" spans="1:12" customFormat="1" ht="16" x14ac:dyDescent="0.2">
      <c r="A403" s="2" t="s">
        <v>4</v>
      </c>
      <c r="B403" s="2">
        <v>1</v>
      </c>
      <c r="C403" s="2"/>
      <c r="D403" s="2"/>
      <c r="E403" s="2"/>
      <c r="F403" s="2"/>
      <c r="G403" s="2"/>
      <c r="H403" s="2"/>
      <c r="I403" s="2"/>
      <c r="J403" s="2"/>
      <c r="K403" s="2"/>
      <c r="L403" s="2"/>
    </row>
    <row r="404" spans="1:12" customFormat="1" ht="16" x14ac:dyDescent="0.2">
      <c r="A404" s="2" t="s">
        <v>5</v>
      </c>
      <c r="B404" s="2" t="s">
        <v>1</v>
      </c>
      <c r="C404" s="2"/>
      <c r="D404" s="2"/>
      <c r="E404" s="2"/>
      <c r="F404" s="2"/>
      <c r="G404" s="2"/>
      <c r="H404" s="2"/>
      <c r="I404" s="2"/>
      <c r="J404" s="2"/>
    </row>
    <row r="405" spans="1:12" customFormat="1" ht="16" x14ac:dyDescent="0.2">
      <c r="A405" s="2" t="s">
        <v>6</v>
      </c>
      <c r="B405" s="2" t="s">
        <v>7</v>
      </c>
      <c r="C405" s="2"/>
      <c r="D405" s="2"/>
      <c r="E405" s="2"/>
      <c r="F405" s="2"/>
      <c r="G405" s="2"/>
      <c r="H405" s="2"/>
      <c r="I405" s="2"/>
      <c r="J405" s="2"/>
      <c r="K405" s="2"/>
      <c r="L405" s="2"/>
    </row>
    <row r="406" spans="1:12" customFormat="1" ht="16" x14ac:dyDescent="0.2">
      <c r="A406" s="2" t="s">
        <v>8</v>
      </c>
      <c r="B406" s="2" t="s">
        <v>17</v>
      </c>
      <c r="C406" s="2"/>
      <c r="D406" s="2"/>
      <c r="E406" s="2"/>
      <c r="F406" s="2"/>
      <c r="G406" s="2"/>
      <c r="H406" s="2"/>
      <c r="I406" s="2"/>
      <c r="J406" s="2"/>
      <c r="K406" s="2"/>
      <c r="L406" s="2"/>
    </row>
    <row r="407" spans="1:12" customFormat="1" ht="16" x14ac:dyDescent="0.2">
      <c r="A407" s="1" t="s">
        <v>10</v>
      </c>
      <c r="B407" s="2"/>
      <c r="C407" s="2"/>
      <c r="D407" s="2"/>
      <c r="E407" s="2"/>
      <c r="F407" s="2"/>
      <c r="G407" s="2"/>
      <c r="H407" s="2"/>
      <c r="I407" s="2"/>
      <c r="J407" s="2"/>
      <c r="K407" s="2"/>
      <c r="L407" s="2"/>
    </row>
    <row r="408" spans="1:12" x14ac:dyDescent="0.2">
      <c r="A408" s="17" t="s">
        <v>11</v>
      </c>
      <c r="B408" s="17" t="s">
        <v>12</v>
      </c>
      <c r="C408" s="17" t="s">
        <v>3</v>
      </c>
      <c r="D408" s="17" t="s">
        <v>13</v>
      </c>
      <c r="E408" s="17" t="s">
        <v>8</v>
      </c>
      <c r="F408" s="17" t="s">
        <v>6</v>
      </c>
      <c r="G408" s="17" t="s">
        <v>5</v>
      </c>
      <c r="H408" s="17" t="s">
        <v>151</v>
      </c>
    </row>
    <row r="409" spans="1:12" customFormat="1" ht="16" x14ac:dyDescent="0.2">
      <c r="A409" s="2" t="str">
        <f>B401</f>
        <v>biodiesel, from non-residual cellulosic biomass, burned in heavy-duty vehicle</v>
      </c>
      <c r="B409" s="2">
        <v>1</v>
      </c>
      <c r="C409" s="2" t="str">
        <f>B402</f>
        <v>RER</v>
      </c>
      <c r="D409" s="2"/>
      <c r="E409" s="2" t="str">
        <f>B406</f>
        <v>megajoule</v>
      </c>
      <c r="F409" s="2" t="s">
        <v>19</v>
      </c>
      <c r="G409" s="2"/>
      <c r="H409" s="2"/>
      <c r="I409" s="2"/>
      <c r="J409" s="2"/>
      <c r="K409" s="2"/>
      <c r="L409" s="2"/>
    </row>
    <row r="410" spans="1:12" customFormat="1" ht="16" x14ac:dyDescent="0.2">
      <c r="A410" s="2" t="s">
        <v>406</v>
      </c>
      <c r="B410">
        <f>1/38</f>
        <v>2.6315789473684209E-2</v>
      </c>
      <c r="C410" t="s">
        <v>18</v>
      </c>
      <c r="E410" t="s">
        <v>9</v>
      </c>
      <c r="F410" t="s">
        <v>23</v>
      </c>
      <c r="G410" t="s">
        <v>408</v>
      </c>
      <c r="H410" t="s">
        <v>293</v>
      </c>
      <c r="J410" s="2"/>
    </row>
    <row r="411" spans="1:12" customFormat="1" ht="16" x14ac:dyDescent="0.2">
      <c r="A411" s="2" t="s">
        <v>145</v>
      </c>
      <c r="B411">
        <f>1000/1000000/8.57</f>
        <v>1.1668611435239206E-4</v>
      </c>
      <c r="C411" t="s">
        <v>18</v>
      </c>
      <c r="E411" t="s">
        <v>9</v>
      </c>
      <c r="F411" t="s">
        <v>23</v>
      </c>
      <c r="G411" t="s">
        <v>145</v>
      </c>
      <c r="J411" s="2"/>
    </row>
    <row r="412" spans="1:12" customFormat="1" ht="16" x14ac:dyDescent="0.2">
      <c r="A412" t="s">
        <v>45</v>
      </c>
      <c r="B412" s="3">
        <v>9.0891902402005496E-8</v>
      </c>
      <c r="D412" t="s">
        <v>14</v>
      </c>
      <c r="E412" t="s">
        <v>9</v>
      </c>
      <c r="F412" s="2" t="s">
        <v>15</v>
      </c>
      <c r="G412" s="3"/>
      <c r="I412" s="3"/>
      <c r="J412" s="2"/>
    </row>
    <row r="413" spans="1:12" customFormat="1" ht="16" x14ac:dyDescent="0.2">
      <c r="A413" t="s">
        <v>47</v>
      </c>
      <c r="B413" s="3">
        <v>3.5203209464194309E-8</v>
      </c>
      <c r="D413" t="s">
        <v>14</v>
      </c>
      <c r="E413" t="s">
        <v>9</v>
      </c>
      <c r="F413" s="2" t="s">
        <v>15</v>
      </c>
      <c r="G413" s="3"/>
      <c r="J413" s="2"/>
    </row>
    <row r="414" spans="1:12" customFormat="1" ht="16" x14ac:dyDescent="0.2">
      <c r="A414" t="s">
        <v>48</v>
      </c>
      <c r="B414" s="3">
        <v>2.2775546498939349E-7</v>
      </c>
      <c r="D414" t="s">
        <v>14</v>
      </c>
      <c r="E414" t="s">
        <v>9</v>
      </c>
      <c r="F414" s="2" t="s">
        <v>15</v>
      </c>
      <c r="G414" s="3"/>
      <c r="J414" s="2"/>
    </row>
    <row r="415" spans="1:12" customFormat="1" ht="16" x14ac:dyDescent="0.2">
      <c r="A415" t="s">
        <v>90</v>
      </c>
      <c r="B415" s="3">
        <v>2.3255813953488445E-12</v>
      </c>
      <c r="D415" t="s">
        <v>14</v>
      </c>
      <c r="E415" t="s">
        <v>9</v>
      </c>
      <c r="F415" s="2" t="s">
        <v>15</v>
      </c>
      <c r="G415" s="3"/>
      <c r="J415" s="2"/>
    </row>
    <row r="416" spans="1:12" customFormat="1" ht="16" x14ac:dyDescent="0.2">
      <c r="A416" t="s">
        <v>49</v>
      </c>
      <c r="B416" s="3">
        <v>2.7247681901736397E-8</v>
      </c>
      <c r="D416" t="s">
        <v>14</v>
      </c>
      <c r="E416" t="s">
        <v>9</v>
      </c>
      <c r="F416" s="2" t="s">
        <v>15</v>
      </c>
      <c r="G416" s="3"/>
      <c r="J416" s="2"/>
    </row>
    <row r="417" spans="1:10" customFormat="1" ht="16" x14ac:dyDescent="0.2">
      <c r="A417" t="s">
        <v>50</v>
      </c>
      <c r="B417" s="3">
        <v>1.3922173234392214E-9</v>
      </c>
      <c r="D417" t="s">
        <v>14</v>
      </c>
      <c r="E417" t="s">
        <v>9</v>
      </c>
      <c r="F417" s="2" t="s">
        <v>15</v>
      </c>
      <c r="G417" s="3"/>
      <c r="J417" s="2"/>
    </row>
    <row r="418" spans="1:10" customFormat="1" ht="16" x14ac:dyDescent="0.2">
      <c r="A418" t="s">
        <v>51</v>
      </c>
      <c r="B418" s="3">
        <v>2.9833228359550366E-9</v>
      </c>
      <c r="D418" t="s">
        <v>14</v>
      </c>
      <c r="E418" t="s">
        <v>9</v>
      </c>
      <c r="F418" s="2" t="s">
        <v>15</v>
      </c>
      <c r="G418" s="3"/>
      <c r="J418" s="2"/>
    </row>
    <row r="419" spans="1:10" customFormat="1" ht="16" x14ac:dyDescent="0.2">
      <c r="A419" t="s">
        <v>52</v>
      </c>
      <c r="B419" s="3">
        <v>2.0232558139597954E-10</v>
      </c>
      <c r="D419" t="s">
        <v>14</v>
      </c>
      <c r="E419" t="s">
        <v>9</v>
      </c>
      <c r="F419" s="2" t="s">
        <v>15</v>
      </c>
      <c r="G419" s="3"/>
      <c r="J419" s="2"/>
    </row>
    <row r="420" spans="1:10" customFormat="1" ht="16" x14ac:dyDescent="0.2">
      <c r="A420" t="s">
        <v>122</v>
      </c>
      <c r="B420">
        <f>B410*3.15</f>
        <v>8.2894736842105257E-2</v>
      </c>
      <c r="D420" t="s">
        <v>14</v>
      </c>
      <c r="E420" t="s">
        <v>9</v>
      </c>
      <c r="F420" s="2" t="s">
        <v>15</v>
      </c>
      <c r="G420" s="3"/>
      <c r="H420" s="3"/>
      <c r="J420" s="2"/>
    </row>
    <row r="421" spans="1:10" customFormat="1" ht="16" x14ac:dyDescent="0.2">
      <c r="A421" t="s">
        <v>123</v>
      </c>
      <c r="B421" s="3">
        <v>6.3521092350262397E-5</v>
      </c>
      <c r="D421" t="s">
        <v>14</v>
      </c>
      <c r="E421" t="s">
        <v>9</v>
      </c>
      <c r="F421" s="2" t="s">
        <v>15</v>
      </c>
      <c r="G421" s="3"/>
      <c r="J421" s="2"/>
    </row>
    <row r="422" spans="1:10" customFormat="1" ht="16" x14ac:dyDescent="0.2">
      <c r="A422" t="s">
        <v>55</v>
      </c>
      <c r="B422" s="3">
        <v>6.9767441860586501E-10</v>
      </c>
      <c r="D422" t="s">
        <v>14</v>
      </c>
      <c r="E422" t="s">
        <v>9</v>
      </c>
      <c r="F422" s="2" t="s">
        <v>15</v>
      </c>
      <c r="G422" s="3"/>
      <c r="J422" s="2"/>
    </row>
    <row r="423" spans="1:10" customFormat="1" ht="16" x14ac:dyDescent="0.2">
      <c r="A423" t="s">
        <v>56</v>
      </c>
      <c r="B423" s="3">
        <v>1.3953488372165768E-12</v>
      </c>
      <c r="D423" t="s">
        <v>14</v>
      </c>
      <c r="E423" t="s">
        <v>9</v>
      </c>
      <c r="F423" s="2" t="s">
        <v>15</v>
      </c>
      <c r="G423" s="3"/>
      <c r="J423" s="2"/>
    </row>
    <row r="424" spans="1:10" customFormat="1" ht="16" x14ac:dyDescent="0.2">
      <c r="A424" t="s">
        <v>57</v>
      </c>
      <c r="B424" s="3">
        <v>4.9302325581458507E-10</v>
      </c>
      <c r="D424" t="s">
        <v>14</v>
      </c>
      <c r="E424" t="s">
        <v>9</v>
      </c>
      <c r="F424" s="2" t="s">
        <v>15</v>
      </c>
      <c r="G424" s="3"/>
      <c r="J424" s="2"/>
    </row>
    <row r="425" spans="1:10" customFormat="1" ht="16" x14ac:dyDescent="0.2">
      <c r="A425" t="s">
        <v>58</v>
      </c>
      <c r="B425" s="3">
        <v>3.7969387682723317E-6</v>
      </c>
      <c r="D425" t="s">
        <v>14</v>
      </c>
      <c r="E425" t="s">
        <v>9</v>
      </c>
      <c r="F425" s="2" t="s">
        <v>15</v>
      </c>
      <c r="G425" s="3"/>
      <c r="J425" s="2"/>
    </row>
    <row r="426" spans="1:10" customFormat="1" ht="16" x14ac:dyDescent="0.2">
      <c r="A426" t="s">
        <v>59</v>
      </c>
      <c r="B426" s="3">
        <v>5.966645671897956E-10</v>
      </c>
      <c r="D426" t="s">
        <v>14</v>
      </c>
      <c r="E426" t="s">
        <v>9</v>
      </c>
      <c r="F426" s="2" t="s">
        <v>15</v>
      </c>
      <c r="G426" s="3"/>
      <c r="J426" s="2"/>
    </row>
    <row r="427" spans="1:10" customFormat="1" ht="16" x14ac:dyDescent="0.2">
      <c r="A427" t="s">
        <v>61</v>
      </c>
      <c r="B427" s="3">
        <v>1.6706607881343357E-7</v>
      </c>
      <c r="D427" t="s">
        <v>14</v>
      </c>
      <c r="E427" t="s">
        <v>9</v>
      </c>
      <c r="F427" s="2" t="s">
        <v>15</v>
      </c>
      <c r="G427" s="3"/>
      <c r="J427" s="2"/>
    </row>
    <row r="428" spans="1:10" customFormat="1" ht="16" x14ac:dyDescent="0.2">
      <c r="A428" t="s">
        <v>62</v>
      </c>
      <c r="B428" s="3">
        <v>5.9666456718979566E-9</v>
      </c>
      <c r="D428" t="s">
        <v>14</v>
      </c>
      <c r="E428" t="s">
        <v>9</v>
      </c>
      <c r="F428" s="2" t="s">
        <v>15</v>
      </c>
      <c r="G428" s="3"/>
      <c r="J428" s="2"/>
    </row>
    <row r="429" spans="1:10" customFormat="1" ht="16" x14ac:dyDescent="0.2">
      <c r="A429" t="s">
        <v>63</v>
      </c>
      <c r="B429" s="3">
        <v>1.2116279069793652E-9</v>
      </c>
      <c r="D429" t="s">
        <v>14</v>
      </c>
      <c r="E429" t="s">
        <v>9</v>
      </c>
      <c r="F429" s="2" t="s">
        <v>15</v>
      </c>
      <c r="G429" s="3"/>
      <c r="J429" s="2"/>
    </row>
    <row r="430" spans="1:10" customFormat="1" ht="16" x14ac:dyDescent="0.2">
      <c r="A430" t="s">
        <v>64</v>
      </c>
      <c r="B430" s="3">
        <v>1.2325581395334337E-10</v>
      </c>
      <c r="D430" t="s">
        <v>14</v>
      </c>
      <c r="E430" t="s">
        <v>9</v>
      </c>
      <c r="F430" s="2" t="s">
        <v>15</v>
      </c>
      <c r="G430" s="3"/>
      <c r="J430" s="2"/>
    </row>
    <row r="431" spans="1:10" customFormat="1" ht="16" x14ac:dyDescent="0.2">
      <c r="A431" t="s">
        <v>65</v>
      </c>
      <c r="B431" s="3">
        <v>4.890693292186907E-8</v>
      </c>
      <c r="D431" t="s">
        <v>14</v>
      </c>
      <c r="E431" t="s">
        <v>9</v>
      </c>
      <c r="F431" s="2" t="s">
        <v>15</v>
      </c>
      <c r="G431" s="3"/>
      <c r="J431" s="2"/>
    </row>
    <row r="432" spans="1:10" customFormat="1" ht="16" x14ac:dyDescent="0.2">
      <c r="A432" t="s">
        <v>67</v>
      </c>
      <c r="B432" s="3">
        <v>1.6155687597619975E-6</v>
      </c>
      <c r="D432" t="s">
        <v>14</v>
      </c>
      <c r="E432" t="s">
        <v>9</v>
      </c>
      <c r="F432" s="2" t="s">
        <v>15</v>
      </c>
      <c r="G432" s="3"/>
      <c r="J432" s="2"/>
    </row>
    <row r="433" spans="1:12" customFormat="1" ht="16" x14ac:dyDescent="0.2">
      <c r="A433" t="s">
        <v>68</v>
      </c>
      <c r="B433" s="3">
        <v>2.0465116279127991E-10</v>
      </c>
      <c r="D433" t="s">
        <v>14</v>
      </c>
      <c r="E433" t="s">
        <v>9</v>
      </c>
      <c r="F433" s="2" t="s">
        <v>15</v>
      </c>
      <c r="G433" s="3"/>
      <c r="J433" s="2"/>
    </row>
    <row r="434" spans="1:12" customFormat="1" ht="16" x14ac:dyDescent="0.2">
      <c r="A434" t="s">
        <v>69</v>
      </c>
      <c r="B434" s="3">
        <v>3.1855518160413698E-5</v>
      </c>
      <c r="D434" t="s">
        <v>14</v>
      </c>
      <c r="E434" t="s">
        <v>9</v>
      </c>
      <c r="F434" s="2" t="s">
        <v>15</v>
      </c>
      <c r="G434" s="3"/>
      <c r="J434" s="2"/>
    </row>
    <row r="435" spans="1:12" customFormat="1" ht="16" x14ac:dyDescent="0.2">
      <c r="A435" t="s">
        <v>70</v>
      </c>
      <c r="B435" s="3">
        <v>1.8186046511685154E-9</v>
      </c>
      <c r="D435" t="s">
        <v>14</v>
      </c>
      <c r="E435" t="s">
        <v>9</v>
      </c>
      <c r="F435" s="2" t="s">
        <v>15</v>
      </c>
      <c r="G435" s="3"/>
      <c r="J435" s="2"/>
    </row>
    <row r="436" spans="1:12" customFormat="1" ht="16" x14ac:dyDescent="0.2">
      <c r="A436" t="s">
        <v>71</v>
      </c>
      <c r="B436" s="3">
        <v>2.8746541895445575E-7</v>
      </c>
      <c r="D436" t="s">
        <v>14</v>
      </c>
      <c r="E436" t="s">
        <v>9</v>
      </c>
      <c r="F436" s="2" t="s">
        <v>15</v>
      </c>
      <c r="G436" s="3"/>
      <c r="J436" s="2"/>
    </row>
    <row r="437" spans="1:12" customFormat="1" ht="16" x14ac:dyDescent="0.2">
      <c r="A437" t="s">
        <v>72</v>
      </c>
      <c r="B437" s="3">
        <v>1.193329134380803E-9</v>
      </c>
      <c r="D437" t="s">
        <v>14</v>
      </c>
      <c r="E437" t="s">
        <v>9</v>
      </c>
      <c r="F437" s="2" t="s">
        <v>15</v>
      </c>
      <c r="G437" s="3"/>
      <c r="J437" s="2"/>
    </row>
    <row r="438" spans="1:12" customFormat="1" ht="16" x14ac:dyDescent="0.2">
      <c r="A438" t="s">
        <v>73</v>
      </c>
      <c r="B438" s="3">
        <v>1.9888818906326523E-9</v>
      </c>
      <c r="D438" t="s">
        <v>14</v>
      </c>
      <c r="E438" t="s">
        <v>9</v>
      </c>
      <c r="F438" s="2" t="s">
        <v>15</v>
      </c>
      <c r="G438" s="3"/>
      <c r="J438" s="2"/>
    </row>
    <row r="439" spans="1:12" customFormat="1" ht="16" x14ac:dyDescent="0.2">
      <c r="A439" t="s">
        <v>75</v>
      </c>
      <c r="B439" s="3">
        <v>2.3255813953488445E-12</v>
      </c>
      <c r="D439" t="s">
        <v>14</v>
      </c>
      <c r="E439" t="s">
        <v>9</v>
      </c>
      <c r="F439" s="2" t="s">
        <v>15</v>
      </c>
      <c r="G439" s="3"/>
      <c r="J439" s="2"/>
    </row>
    <row r="440" spans="1:12" customFormat="1" ht="16" x14ac:dyDescent="0.2">
      <c r="A440" t="s">
        <v>76</v>
      </c>
      <c r="B440" s="3">
        <v>1.1137738587550121E-8</v>
      </c>
      <c r="D440" t="s">
        <v>14</v>
      </c>
      <c r="E440" t="s">
        <v>9</v>
      </c>
      <c r="F440" s="2" t="s">
        <v>15</v>
      </c>
      <c r="G440" s="3"/>
      <c r="J440" s="2"/>
    </row>
    <row r="441" spans="1:12" customFormat="1" ht="16" x14ac:dyDescent="0.2">
      <c r="A441" t="s">
        <v>77</v>
      </c>
      <c r="B441" s="3">
        <v>3.7893614887488559E-7</v>
      </c>
      <c r="D441" t="s">
        <v>14</v>
      </c>
      <c r="E441" t="s">
        <v>9</v>
      </c>
      <c r="F441" s="2" t="s">
        <v>15</v>
      </c>
      <c r="G441" s="3"/>
      <c r="J441" s="2"/>
    </row>
    <row r="442" spans="1:12" customFormat="1" ht="16" x14ac:dyDescent="0.2">
      <c r="A442" t="s">
        <v>78</v>
      </c>
      <c r="B442" s="3">
        <v>1.9888818906326521E-10</v>
      </c>
      <c r="D442" t="s">
        <v>14</v>
      </c>
      <c r="E442" t="s">
        <v>9</v>
      </c>
      <c r="F442" s="2" t="s">
        <v>15</v>
      </c>
      <c r="G442" s="3"/>
      <c r="J442" s="2"/>
    </row>
    <row r="443" spans="1:12" customFormat="1" ht="16" x14ac:dyDescent="0.2">
      <c r="A443" t="s">
        <v>79</v>
      </c>
      <c r="B443" s="3">
        <v>4.04186046512172E-8</v>
      </c>
      <c r="D443" t="s">
        <v>14</v>
      </c>
      <c r="E443" t="s">
        <v>9</v>
      </c>
      <c r="F443" s="2" t="s">
        <v>15</v>
      </c>
      <c r="G443" s="3"/>
      <c r="J443" s="2"/>
    </row>
    <row r="444" spans="1:12" customFormat="1" ht="16" x14ac:dyDescent="0.2">
      <c r="A444" t="s">
        <v>80</v>
      </c>
      <c r="B444" s="3">
        <v>1.9491042528173333E-8</v>
      </c>
      <c r="D444" t="s">
        <v>14</v>
      </c>
      <c r="E444" t="s">
        <v>9</v>
      </c>
      <c r="F444" s="2" t="s">
        <v>15</v>
      </c>
      <c r="G444" s="3"/>
      <c r="J444" s="2"/>
    </row>
    <row r="445" spans="1:12" customFormat="1" ht="16" x14ac:dyDescent="0.2">
      <c r="A445" t="s">
        <v>81</v>
      </c>
      <c r="B445" s="3">
        <v>7.9555275625427259E-9</v>
      </c>
      <c r="D445" t="s">
        <v>14</v>
      </c>
      <c r="E445" t="s">
        <v>9</v>
      </c>
      <c r="F445" s="2" t="s">
        <v>15</v>
      </c>
      <c r="G445" s="3"/>
      <c r="J445" s="2"/>
    </row>
    <row r="446" spans="1:12" customFormat="1" ht="16" x14ac:dyDescent="0.2">
      <c r="J446" s="2"/>
    </row>
    <row r="447" spans="1:12" x14ac:dyDescent="0.2">
      <c r="A447" s="17" t="s">
        <v>2</v>
      </c>
      <c r="B447" s="17" t="s">
        <v>415</v>
      </c>
    </row>
    <row r="448" spans="1:12" customFormat="1" ht="16" x14ac:dyDescent="0.2">
      <c r="A448" s="2" t="s">
        <v>3</v>
      </c>
      <c r="B448" s="2" t="s">
        <v>18</v>
      </c>
      <c r="C448" s="2"/>
      <c r="D448" s="2"/>
      <c r="E448" s="2"/>
      <c r="F448" s="2"/>
      <c r="G448" s="2"/>
      <c r="H448" s="2"/>
      <c r="I448" s="2"/>
      <c r="J448" s="2"/>
      <c r="K448" s="2"/>
      <c r="L448" s="2"/>
    </row>
    <row r="449" spans="1:12" customFormat="1" ht="16" x14ac:dyDescent="0.2">
      <c r="A449" s="2" t="s">
        <v>4</v>
      </c>
      <c r="B449" s="2">
        <v>1</v>
      </c>
      <c r="C449" s="2"/>
      <c r="D449" s="2"/>
      <c r="E449" s="2"/>
      <c r="F449" s="2"/>
      <c r="G449" s="2"/>
      <c r="H449" s="2"/>
      <c r="I449" s="2"/>
      <c r="J449" s="2"/>
      <c r="K449" s="2"/>
      <c r="L449" s="2"/>
    </row>
    <row r="450" spans="1:12" customFormat="1" ht="16" x14ac:dyDescent="0.2">
      <c r="A450" s="2" t="s">
        <v>5</v>
      </c>
      <c r="B450" s="2" t="s">
        <v>1</v>
      </c>
      <c r="C450" s="2"/>
      <c r="D450" s="2"/>
      <c r="E450" s="2"/>
      <c r="F450" s="2"/>
      <c r="G450" s="2"/>
      <c r="H450" s="2"/>
      <c r="I450" s="2"/>
      <c r="J450" s="2"/>
    </row>
    <row r="451" spans="1:12" customFormat="1" ht="16" x14ac:dyDescent="0.2">
      <c r="A451" s="2" t="s">
        <v>6</v>
      </c>
      <c r="B451" s="2" t="s">
        <v>7</v>
      </c>
      <c r="C451" s="2"/>
      <c r="D451" s="2"/>
      <c r="E451" s="2"/>
      <c r="F451" s="2"/>
      <c r="G451" s="2"/>
      <c r="H451" s="2"/>
      <c r="I451" s="2"/>
      <c r="J451" s="2"/>
      <c r="K451" s="2"/>
      <c r="L451" s="2"/>
    </row>
    <row r="452" spans="1:12" customFormat="1" ht="16" x14ac:dyDescent="0.2">
      <c r="A452" s="2" t="s">
        <v>8</v>
      </c>
      <c r="B452" s="2" t="s">
        <v>17</v>
      </c>
      <c r="C452" s="2"/>
      <c r="D452" s="2"/>
      <c r="E452" s="2"/>
      <c r="F452" s="2"/>
      <c r="G452" s="2"/>
      <c r="H452" s="2"/>
      <c r="I452" s="2"/>
      <c r="J452" s="2"/>
      <c r="K452" s="2"/>
      <c r="L452" s="2"/>
    </row>
    <row r="453" spans="1:12" customFormat="1" ht="16" x14ac:dyDescent="0.2">
      <c r="A453" s="1" t="s">
        <v>10</v>
      </c>
      <c r="B453" s="2"/>
      <c r="C453" s="2"/>
      <c r="D453" s="2"/>
      <c r="E453" s="2"/>
      <c r="F453" s="2"/>
      <c r="G453" s="2"/>
      <c r="H453" s="2"/>
      <c r="I453" s="2"/>
      <c r="J453" s="2"/>
      <c r="K453" s="2"/>
      <c r="L453" s="2"/>
    </row>
    <row r="454" spans="1:12" x14ac:dyDescent="0.2">
      <c r="A454" s="17" t="s">
        <v>11</v>
      </c>
      <c r="B454" s="17" t="s">
        <v>12</v>
      </c>
      <c r="C454" s="17" t="s">
        <v>3</v>
      </c>
      <c r="D454" s="17" t="s">
        <v>13</v>
      </c>
      <c r="E454" s="17" t="s">
        <v>8</v>
      </c>
      <c r="F454" s="17" t="s">
        <v>6</v>
      </c>
      <c r="G454" s="17" t="s">
        <v>5</v>
      </c>
      <c r="H454" s="17" t="s">
        <v>151</v>
      </c>
    </row>
    <row r="455" spans="1:12" customFormat="1" ht="16" x14ac:dyDescent="0.2">
      <c r="A455" s="2" t="str">
        <f>B447</f>
        <v>biodiesel, from residual cellulosic biomass, burned in heavy-duty vehicle</v>
      </c>
      <c r="B455" s="2">
        <v>1</v>
      </c>
      <c r="C455" s="2" t="str">
        <f>B448</f>
        <v>RER</v>
      </c>
      <c r="D455" s="2"/>
      <c r="E455" s="2" t="str">
        <f>B452</f>
        <v>megajoule</v>
      </c>
      <c r="F455" s="2" t="s">
        <v>19</v>
      </c>
      <c r="G455" s="2"/>
      <c r="H455" s="2"/>
      <c r="I455" s="2"/>
      <c r="J455" s="2"/>
      <c r="K455" s="2"/>
      <c r="L455" s="2"/>
    </row>
    <row r="456" spans="1:12" customFormat="1" ht="16" x14ac:dyDescent="0.2">
      <c r="A456" s="2" t="s">
        <v>416</v>
      </c>
      <c r="B456">
        <f>1/38</f>
        <v>2.6315789473684209E-2</v>
      </c>
      <c r="C456" t="s">
        <v>18</v>
      </c>
      <c r="E456" t="s">
        <v>9</v>
      </c>
      <c r="F456" t="s">
        <v>23</v>
      </c>
      <c r="G456" t="s">
        <v>408</v>
      </c>
      <c r="H456" t="s">
        <v>293</v>
      </c>
      <c r="J456" s="2"/>
    </row>
    <row r="457" spans="1:12" customFormat="1" ht="16" x14ac:dyDescent="0.2">
      <c r="A457" s="2" t="s">
        <v>145</v>
      </c>
      <c r="B457">
        <f>1000/1000000/8.57</f>
        <v>1.1668611435239206E-4</v>
      </c>
      <c r="C457" t="s">
        <v>18</v>
      </c>
      <c r="E457" t="s">
        <v>9</v>
      </c>
      <c r="F457" t="s">
        <v>23</v>
      </c>
      <c r="G457" t="s">
        <v>145</v>
      </c>
      <c r="J457" s="2"/>
    </row>
    <row r="458" spans="1:12" customFormat="1" ht="16" x14ac:dyDescent="0.2">
      <c r="A458" t="s">
        <v>45</v>
      </c>
      <c r="B458" s="3">
        <v>9.0891902402005496E-8</v>
      </c>
      <c r="D458" t="s">
        <v>14</v>
      </c>
      <c r="E458" t="s">
        <v>9</v>
      </c>
      <c r="F458" s="2" t="s">
        <v>15</v>
      </c>
      <c r="G458" s="3"/>
      <c r="I458" s="3"/>
      <c r="J458" s="2"/>
    </row>
    <row r="459" spans="1:12" customFormat="1" ht="16" x14ac:dyDescent="0.2">
      <c r="A459" t="s">
        <v>47</v>
      </c>
      <c r="B459" s="3">
        <v>3.5203209464194309E-8</v>
      </c>
      <c r="D459" t="s">
        <v>14</v>
      </c>
      <c r="E459" t="s">
        <v>9</v>
      </c>
      <c r="F459" s="2" t="s">
        <v>15</v>
      </c>
      <c r="G459" s="3"/>
      <c r="J459" s="2"/>
    </row>
    <row r="460" spans="1:12" customFormat="1" ht="16" x14ac:dyDescent="0.2">
      <c r="A460" t="s">
        <v>48</v>
      </c>
      <c r="B460" s="3">
        <v>2.2775546498939349E-7</v>
      </c>
      <c r="D460" t="s">
        <v>14</v>
      </c>
      <c r="E460" t="s">
        <v>9</v>
      </c>
      <c r="F460" s="2" t="s">
        <v>15</v>
      </c>
      <c r="G460" s="3"/>
      <c r="J460" s="2"/>
    </row>
    <row r="461" spans="1:12" customFormat="1" ht="16" x14ac:dyDescent="0.2">
      <c r="A461" t="s">
        <v>90</v>
      </c>
      <c r="B461" s="3">
        <v>2.3255813953488445E-12</v>
      </c>
      <c r="D461" t="s">
        <v>14</v>
      </c>
      <c r="E461" t="s">
        <v>9</v>
      </c>
      <c r="F461" s="2" t="s">
        <v>15</v>
      </c>
      <c r="G461" s="3"/>
      <c r="J461" s="2"/>
    </row>
    <row r="462" spans="1:12" customFormat="1" ht="16" x14ac:dyDescent="0.2">
      <c r="A462" t="s">
        <v>49</v>
      </c>
      <c r="B462" s="3">
        <v>2.7247681901736397E-8</v>
      </c>
      <c r="D462" t="s">
        <v>14</v>
      </c>
      <c r="E462" t="s">
        <v>9</v>
      </c>
      <c r="F462" s="2" t="s">
        <v>15</v>
      </c>
      <c r="G462" s="3"/>
      <c r="J462" s="2"/>
    </row>
    <row r="463" spans="1:12" customFormat="1" ht="16" x14ac:dyDescent="0.2">
      <c r="A463" t="s">
        <v>50</v>
      </c>
      <c r="B463" s="3">
        <v>1.3922173234392214E-9</v>
      </c>
      <c r="D463" t="s">
        <v>14</v>
      </c>
      <c r="E463" t="s">
        <v>9</v>
      </c>
      <c r="F463" s="2" t="s">
        <v>15</v>
      </c>
      <c r="G463" s="3"/>
      <c r="J463" s="2"/>
    </row>
    <row r="464" spans="1:12" customFormat="1" ht="16" x14ac:dyDescent="0.2">
      <c r="A464" t="s">
        <v>51</v>
      </c>
      <c r="B464" s="3">
        <v>2.9833228359550366E-9</v>
      </c>
      <c r="D464" t="s">
        <v>14</v>
      </c>
      <c r="E464" t="s">
        <v>9</v>
      </c>
      <c r="F464" s="2" t="s">
        <v>15</v>
      </c>
      <c r="G464" s="3"/>
      <c r="J464" s="2"/>
    </row>
    <row r="465" spans="1:10" customFormat="1" ht="16" x14ac:dyDescent="0.2">
      <c r="A465" t="s">
        <v>52</v>
      </c>
      <c r="B465" s="3">
        <v>2.0232558139597954E-10</v>
      </c>
      <c r="D465" t="s">
        <v>14</v>
      </c>
      <c r="E465" t="s">
        <v>9</v>
      </c>
      <c r="F465" s="2" t="s">
        <v>15</v>
      </c>
      <c r="G465" s="3"/>
      <c r="J465" s="2"/>
    </row>
    <row r="466" spans="1:10" customFormat="1" ht="16" x14ac:dyDescent="0.2">
      <c r="A466" t="s">
        <v>122</v>
      </c>
      <c r="B466">
        <f>B456*3.15</f>
        <v>8.2894736842105257E-2</v>
      </c>
      <c r="D466" t="s">
        <v>14</v>
      </c>
      <c r="E466" t="s">
        <v>9</v>
      </c>
      <c r="F466" s="2" t="s">
        <v>15</v>
      </c>
      <c r="G466" s="3"/>
      <c r="H466" s="3"/>
      <c r="J466" s="2"/>
    </row>
    <row r="467" spans="1:10" customFormat="1" ht="16" x14ac:dyDescent="0.2">
      <c r="A467" t="s">
        <v>123</v>
      </c>
      <c r="B467" s="3">
        <v>6.3521092350262397E-5</v>
      </c>
      <c r="D467" t="s">
        <v>14</v>
      </c>
      <c r="E467" t="s">
        <v>9</v>
      </c>
      <c r="F467" s="2" t="s">
        <v>15</v>
      </c>
      <c r="G467" s="3"/>
      <c r="J467" s="2"/>
    </row>
    <row r="468" spans="1:10" customFormat="1" ht="16" x14ac:dyDescent="0.2">
      <c r="A468" t="s">
        <v>55</v>
      </c>
      <c r="B468" s="3">
        <v>6.9767441860586501E-10</v>
      </c>
      <c r="D468" t="s">
        <v>14</v>
      </c>
      <c r="E468" t="s">
        <v>9</v>
      </c>
      <c r="F468" s="2" t="s">
        <v>15</v>
      </c>
      <c r="G468" s="3"/>
      <c r="J468" s="2"/>
    </row>
    <row r="469" spans="1:10" customFormat="1" ht="16" x14ac:dyDescent="0.2">
      <c r="A469" t="s">
        <v>56</v>
      </c>
      <c r="B469" s="3">
        <v>1.3953488372165768E-12</v>
      </c>
      <c r="D469" t="s">
        <v>14</v>
      </c>
      <c r="E469" t="s">
        <v>9</v>
      </c>
      <c r="F469" s="2" t="s">
        <v>15</v>
      </c>
      <c r="G469" s="3"/>
      <c r="J469" s="2"/>
    </row>
    <row r="470" spans="1:10" customFormat="1" ht="16" x14ac:dyDescent="0.2">
      <c r="A470" t="s">
        <v>57</v>
      </c>
      <c r="B470" s="3">
        <v>4.9302325581458507E-10</v>
      </c>
      <c r="D470" t="s">
        <v>14</v>
      </c>
      <c r="E470" t="s">
        <v>9</v>
      </c>
      <c r="F470" s="2" t="s">
        <v>15</v>
      </c>
      <c r="G470" s="3"/>
      <c r="J470" s="2"/>
    </row>
    <row r="471" spans="1:10" customFormat="1" ht="16" x14ac:dyDescent="0.2">
      <c r="A471" t="s">
        <v>58</v>
      </c>
      <c r="B471" s="3">
        <v>3.7969387682723317E-6</v>
      </c>
      <c r="D471" t="s">
        <v>14</v>
      </c>
      <c r="E471" t="s">
        <v>9</v>
      </c>
      <c r="F471" s="2" t="s">
        <v>15</v>
      </c>
      <c r="G471" s="3"/>
      <c r="J471" s="2"/>
    </row>
    <row r="472" spans="1:10" customFormat="1" ht="16" x14ac:dyDescent="0.2">
      <c r="A472" t="s">
        <v>59</v>
      </c>
      <c r="B472" s="3">
        <v>5.966645671897956E-10</v>
      </c>
      <c r="D472" t="s">
        <v>14</v>
      </c>
      <c r="E472" t="s">
        <v>9</v>
      </c>
      <c r="F472" s="2" t="s">
        <v>15</v>
      </c>
      <c r="G472" s="3"/>
      <c r="J472" s="2"/>
    </row>
    <row r="473" spans="1:10" customFormat="1" ht="16" x14ac:dyDescent="0.2">
      <c r="A473" t="s">
        <v>61</v>
      </c>
      <c r="B473" s="3">
        <v>1.6706607881343357E-7</v>
      </c>
      <c r="D473" t="s">
        <v>14</v>
      </c>
      <c r="E473" t="s">
        <v>9</v>
      </c>
      <c r="F473" s="2" t="s">
        <v>15</v>
      </c>
      <c r="G473" s="3"/>
      <c r="J473" s="2"/>
    </row>
    <row r="474" spans="1:10" customFormat="1" ht="16" x14ac:dyDescent="0.2">
      <c r="A474" t="s">
        <v>62</v>
      </c>
      <c r="B474" s="3">
        <v>5.9666456718979566E-9</v>
      </c>
      <c r="D474" t="s">
        <v>14</v>
      </c>
      <c r="E474" t="s">
        <v>9</v>
      </c>
      <c r="F474" s="2" t="s">
        <v>15</v>
      </c>
      <c r="G474" s="3"/>
      <c r="J474" s="2"/>
    </row>
    <row r="475" spans="1:10" customFormat="1" ht="16" x14ac:dyDescent="0.2">
      <c r="A475" t="s">
        <v>63</v>
      </c>
      <c r="B475" s="3">
        <v>1.2116279069793652E-9</v>
      </c>
      <c r="D475" t="s">
        <v>14</v>
      </c>
      <c r="E475" t="s">
        <v>9</v>
      </c>
      <c r="F475" s="2" t="s">
        <v>15</v>
      </c>
      <c r="G475" s="3"/>
      <c r="J475" s="2"/>
    </row>
    <row r="476" spans="1:10" customFormat="1" ht="16" x14ac:dyDescent="0.2">
      <c r="A476" t="s">
        <v>64</v>
      </c>
      <c r="B476" s="3">
        <v>1.2325581395334337E-10</v>
      </c>
      <c r="D476" t="s">
        <v>14</v>
      </c>
      <c r="E476" t="s">
        <v>9</v>
      </c>
      <c r="F476" s="2" t="s">
        <v>15</v>
      </c>
      <c r="G476" s="3"/>
      <c r="J476" s="2"/>
    </row>
    <row r="477" spans="1:10" customFormat="1" ht="16" x14ac:dyDescent="0.2">
      <c r="A477" t="s">
        <v>65</v>
      </c>
      <c r="B477" s="3">
        <v>4.890693292186907E-8</v>
      </c>
      <c r="D477" t="s">
        <v>14</v>
      </c>
      <c r="E477" t="s">
        <v>9</v>
      </c>
      <c r="F477" s="2" t="s">
        <v>15</v>
      </c>
      <c r="G477" s="3"/>
      <c r="J477" s="2"/>
    </row>
    <row r="478" spans="1:10" customFormat="1" ht="16" x14ac:dyDescent="0.2">
      <c r="A478" t="s">
        <v>67</v>
      </c>
      <c r="B478" s="3">
        <v>1.6155687597619975E-6</v>
      </c>
      <c r="D478" t="s">
        <v>14</v>
      </c>
      <c r="E478" t="s">
        <v>9</v>
      </c>
      <c r="F478" s="2" t="s">
        <v>15</v>
      </c>
      <c r="G478" s="3"/>
      <c r="J478" s="2"/>
    </row>
    <row r="479" spans="1:10" customFormat="1" ht="16" x14ac:dyDescent="0.2">
      <c r="A479" t="s">
        <v>68</v>
      </c>
      <c r="B479" s="3">
        <v>2.0465116279127991E-10</v>
      </c>
      <c r="D479" t="s">
        <v>14</v>
      </c>
      <c r="E479" t="s">
        <v>9</v>
      </c>
      <c r="F479" s="2" t="s">
        <v>15</v>
      </c>
      <c r="G479" s="3"/>
      <c r="J479" s="2"/>
    </row>
    <row r="480" spans="1:10" customFormat="1" ht="16" x14ac:dyDescent="0.2">
      <c r="A480" t="s">
        <v>69</v>
      </c>
      <c r="B480" s="3">
        <v>3.1855518160413698E-5</v>
      </c>
      <c r="D480" t="s">
        <v>14</v>
      </c>
      <c r="E480" t="s">
        <v>9</v>
      </c>
      <c r="F480" s="2" t="s">
        <v>15</v>
      </c>
      <c r="G480" s="3"/>
      <c r="J480" s="2"/>
    </row>
    <row r="481" spans="1:12" customFormat="1" ht="16" x14ac:dyDescent="0.2">
      <c r="A481" t="s">
        <v>70</v>
      </c>
      <c r="B481" s="3">
        <v>1.8186046511685154E-9</v>
      </c>
      <c r="D481" t="s">
        <v>14</v>
      </c>
      <c r="E481" t="s">
        <v>9</v>
      </c>
      <c r="F481" s="2" t="s">
        <v>15</v>
      </c>
      <c r="G481" s="3"/>
      <c r="J481" s="2"/>
    </row>
    <row r="482" spans="1:12" customFormat="1" ht="16" x14ac:dyDescent="0.2">
      <c r="A482" t="s">
        <v>71</v>
      </c>
      <c r="B482" s="3">
        <v>2.8746541895445575E-7</v>
      </c>
      <c r="D482" t="s">
        <v>14</v>
      </c>
      <c r="E482" t="s">
        <v>9</v>
      </c>
      <c r="F482" s="2" t="s">
        <v>15</v>
      </c>
      <c r="G482" s="3"/>
      <c r="J482" s="2"/>
    </row>
    <row r="483" spans="1:12" customFormat="1" ht="16" x14ac:dyDescent="0.2">
      <c r="A483" t="s">
        <v>72</v>
      </c>
      <c r="B483" s="3">
        <v>1.193329134380803E-9</v>
      </c>
      <c r="D483" t="s">
        <v>14</v>
      </c>
      <c r="E483" t="s">
        <v>9</v>
      </c>
      <c r="F483" s="2" t="s">
        <v>15</v>
      </c>
      <c r="G483" s="3"/>
      <c r="J483" s="2"/>
    </row>
    <row r="484" spans="1:12" customFormat="1" ht="16" x14ac:dyDescent="0.2">
      <c r="A484" t="s">
        <v>73</v>
      </c>
      <c r="B484" s="3">
        <v>1.9888818906326523E-9</v>
      </c>
      <c r="D484" t="s">
        <v>14</v>
      </c>
      <c r="E484" t="s">
        <v>9</v>
      </c>
      <c r="F484" s="2" t="s">
        <v>15</v>
      </c>
      <c r="G484" s="3"/>
      <c r="J484" s="2"/>
    </row>
    <row r="485" spans="1:12" customFormat="1" ht="16" x14ac:dyDescent="0.2">
      <c r="A485" t="s">
        <v>75</v>
      </c>
      <c r="B485" s="3">
        <v>2.3255813953488445E-12</v>
      </c>
      <c r="D485" t="s">
        <v>14</v>
      </c>
      <c r="E485" t="s">
        <v>9</v>
      </c>
      <c r="F485" s="2" t="s">
        <v>15</v>
      </c>
      <c r="G485" s="3"/>
      <c r="J485" s="2"/>
    </row>
    <row r="486" spans="1:12" customFormat="1" ht="16" x14ac:dyDescent="0.2">
      <c r="A486" t="s">
        <v>76</v>
      </c>
      <c r="B486" s="3">
        <v>1.1137738587550121E-8</v>
      </c>
      <c r="D486" t="s">
        <v>14</v>
      </c>
      <c r="E486" t="s">
        <v>9</v>
      </c>
      <c r="F486" s="2" t="s">
        <v>15</v>
      </c>
      <c r="G486" s="3"/>
      <c r="J486" s="2"/>
    </row>
    <row r="487" spans="1:12" customFormat="1" ht="16" x14ac:dyDescent="0.2">
      <c r="A487" t="s">
        <v>77</v>
      </c>
      <c r="B487" s="3">
        <v>3.7893614887488559E-7</v>
      </c>
      <c r="D487" t="s">
        <v>14</v>
      </c>
      <c r="E487" t="s">
        <v>9</v>
      </c>
      <c r="F487" s="2" t="s">
        <v>15</v>
      </c>
      <c r="G487" s="3"/>
      <c r="J487" s="2"/>
    </row>
    <row r="488" spans="1:12" customFormat="1" ht="16" x14ac:dyDescent="0.2">
      <c r="A488" t="s">
        <v>78</v>
      </c>
      <c r="B488" s="3">
        <v>1.9888818906326521E-10</v>
      </c>
      <c r="D488" t="s">
        <v>14</v>
      </c>
      <c r="E488" t="s">
        <v>9</v>
      </c>
      <c r="F488" s="2" t="s">
        <v>15</v>
      </c>
      <c r="G488" s="3"/>
      <c r="J488" s="2"/>
    </row>
    <row r="489" spans="1:12" customFormat="1" ht="16" x14ac:dyDescent="0.2">
      <c r="A489" t="s">
        <v>79</v>
      </c>
      <c r="B489" s="3">
        <v>4.04186046512172E-8</v>
      </c>
      <c r="D489" t="s">
        <v>14</v>
      </c>
      <c r="E489" t="s">
        <v>9</v>
      </c>
      <c r="F489" s="2" t="s">
        <v>15</v>
      </c>
      <c r="G489" s="3"/>
      <c r="J489" s="2"/>
    </row>
    <row r="490" spans="1:12" customFormat="1" ht="16" x14ac:dyDescent="0.2">
      <c r="A490" t="s">
        <v>80</v>
      </c>
      <c r="B490" s="3">
        <v>1.9491042528173333E-8</v>
      </c>
      <c r="D490" t="s">
        <v>14</v>
      </c>
      <c r="E490" t="s">
        <v>9</v>
      </c>
      <c r="F490" s="2" t="s">
        <v>15</v>
      </c>
      <c r="G490" s="3"/>
      <c r="J490" s="2"/>
    </row>
    <row r="491" spans="1:12" customFormat="1" ht="16" x14ac:dyDescent="0.2">
      <c r="A491" t="s">
        <v>81</v>
      </c>
      <c r="B491" s="3">
        <v>7.9555275625427259E-9</v>
      </c>
      <c r="D491" t="s">
        <v>14</v>
      </c>
      <c r="E491" t="s">
        <v>9</v>
      </c>
      <c r="F491" s="2" t="s">
        <v>15</v>
      </c>
      <c r="G491" s="3"/>
      <c r="J491" s="2"/>
    </row>
    <row r="492" spans="1:12" customFormat="1" ht="16" x14ac:dyDescent="0.2">
      <c r="J492" s="2"/>
    </row>
    <row r="493" spans="1:12" x14ac:dyDescent="0.2">
      <c r="A493" s="17" t="s">
        <v>2</v>
      </c>
      <c r="B493" s="17" t="s">
        <v>131</v>
      </c>
    </row>
    <row r="494" spans="1:12" customFormat="1" ht="16" x14ac:dyDescent="0.2">
      <c r="A494" s="2" t="s">
        <v>3</v>
      </c>
      <c r="B494" s="2" t="s">
        <v>18</v>
      </c>
      <c r="C494" s="2"/>
      <c r="D494" s="2"/>
      <c r="E494" s="2"/>
      <c r="F494" s="2"/>
      <c r="G494" s="2"/>
      <c r="H494" s="2"/>
      <c r="I494" s="2"/>
      <c r="J494" s="2"/>
      <c r="K494" s="2"/>
      <c r="L494" s="2"/>
    </row>
    <row r="495" spans="1:12" customFormat="1" ht="16" x14ac:dyDescent="0.2">
      <c r="A495" s="2" t="s">
        <v>4</v>
      </c>
      <c r="B495" s="2">
        <v>1</v>
      </c>
      <c r="C495" s="2"/>
      <c r="D495" s="2"/>
      <c r="E495" s="2"/>
      <c r="F495" s="2"/>
      <c r="G495" s="2"/>
      <c r="H495" s="2"/>
      <c r="I495" s="2"/>
      <c r="J495" s="2"/>
      <c r="K495" s="2"/>
      <c r="L495" s="2"/>
    </row>
    <row r="496" spans="1:12" customFormat="1" ht="16" x14ac:dyDescent="0.2">
      <c r="A496" s="2" t="s">
        <v>5</v>
      </c>
      <c r="B496" s="2" t="s">
        <v>1</v>
      </c>
      <c r="C496" s="2"/>
      <c r="D496" s="2"/>
      <c r="E496" s="2"/>
      <c r="F496" s="2"/>
      <c r="G496" s="2"/>
      <c r="H496" s="2"/>
      <c r="I496" s="2"/>
      <c r="J496" s="2"/>
    </row>
    <row r="497" spans="1:12" customFormat="1" ht="16" x14ac:dyDescent="0.2">
      <c r="A497" s="2" t="s">
        <v>6</v>
      </c>
      <c r="B497" s="2" t="s">
        <v>7</v>
      </c>
      <c r="C497" s="2"/>
      <c r="D497" s="2"/>
      <c r="E497" s="2"/>
      <c r="F497" s="2"/>
      <c r="G497" s="2"/>
      <c r="H497" s="2"/>
      <c r="I497" s="2"/>
      <c r="J497" s="2"/>
      <c r="K497" s="2"/>
      <c r="L497" s="2"/>
    </row>
    <row r="498" spans="1:12" customFormat="1" ht="16" x14ac:dyDescent="0.2">
      <c r="A498" s="2" t="s">
        <v>8</v>
      </c>
      <c r="B498" s="2" t="s">
        <v>17</v>
      </c>
      <c r="C498" s="2"/>
      <c r="D498" s="2"/>
      <c r="E498" s="2"/>
      <c r="F498" s="2"/>
      <c r="G498" s="2"/>
      <c r="H498" s="2"/>
      <c r="I498" s="2"/>
      <c r="J498" s="2"/>
      <c r="K498" s="2"/>
      <c r="L498" s="2"/>
    </row>
    <row r="499" spans="1:12" customFormat="1" ht="16" x14ac:dyDescent="0.2">
      <c r="A499" s="1" t="s">
        <v>10</v>
      </c>
      <c r="B499" s="2"/>
      <c r="C499" s="2"/>
      <c r="D499" s="2"/>
      <c r="E499" s="2"/>
      <c r="F499" s="2"/>
      <c r="G499" s="2"/>
      <c r="H499" s="2"/>
      <c r="I499" s="2"/>
      <c r="J499" s="2"/>
      <c r="K499" s="2"/>
      <c r="L499" s="2"/>
    </row>
    <row r="500" spans="1:12" x14ac:dyDescent="0.2">
      <c r="A500" s="17" t="s">
        <v>11</v>
      </c>
      <c r="B500" s="17" t="s">
        <v>12</v>
      </c>
      <c r="C500" s="17" t="s">
        <v>3</v>
      </c>
      <c r="D500" s="17" t="s">
        <v>13</v>
      </c>
      <c r="E500" s="17" t="s">
        <v>8</v>
      </c>
      <c r="F500" s="17" t="s">
        <v>6</v>
      </c>
      <c r="G500" s="17" t="s">
        <v>5</v>
      </c>
    </row>
    <row r="501" spans="1:12" customFormat="1" ht="16" x14ac:dyDescent="0.2">
      <c r="A501" s="2" t="str">
        <f>B493</f>
        <v>diesel from coal, burned in heavy-duty vehicle</v>
      </c>
      <c r="B501" s="2">
        <v>1</v>
      </c>
      <c r="C501" s="2" t="str">
        <f>B494</f>
        <v>RER</v>
      </c>
      <c r="D501" s="2"/>
      <c r="E501" s="2" t="str">
        <f>B498</f>
        <v>megajoule</v>
      </c>
      <c r="F501" s="2" t="s">
        <v>19</v>
      </c>
      <c r="G501" s="2"/>
      <c r="H501" s="2"/>
      <c r="I501" s="2"/>
      <c r="J501" s="2"/>
      <c r="K501" s="2"/>
      <c r="L501" s="2"/>
    </row>
    <row r="502" spans="1:12" customFormat="1" ht="16" x14ac:dyDescent="0.2">
      <c r="A502" s="2" t="s">
        <v>132</v>
      </c>
      <c r="B502">
        <f>1/43</f>
        <v>2.3255813953488372E-2</v>
      </c>
      <c r="C502" t="s">
        <v>18</v>
      </c>
      <c r="E502" t="s">
        <v>9</v>
      </c>
      <c r="F502" t="s">
        <v>23</v>
      </c>
      <c r="G502" t="s">
        <v>133</v>
      </c>
      <c r="J502" s="2"/>
    </row>
    <row r="503" spans="1:12" customFormat="1" ht="16" x14ac:dyDescent="0.2">
      <c r="A503" s="2" t="s">
        <v>145</v>
      </c>
      <c r="B503">
        <f>1000/1000000/8.57</f>
        <v>1.1668611435239206E-4</v>
      </c>
      <c r="C503" t="s">
        <v>18</v>
      </c>
      <c r="E503" t="s">
        <v>9</v>
      </c>
      <c r="F503" t="s">
        <v>23</v>
      </c>
      <c r="G503" t="s">
        <v>145</v>
      </c>
      <c r="J503" s="2"/>
    </row>
    <row r="504" spans="1:12" customFormat="1" ht="16" x14ac:dyDescent="0.2">
      <c r="A504" t="s">
        <v>45</v>
      </c>
      <c r="B504" s="3">
        <v>9.0891902402005496E-8</v>
      </c>
      <c r="D504" t="s">
        <v>14</v>
      </c>
      <c r="E504" t="s">
        <v>9</v>
      </c>
      <c r="F504" s="2" t="s">
        <v>15</v>
      </c>
      <c r="G504" s="3"/>
      <c r="I504" s="3"/>
      <c r="J504" s="2"/>
    </row>
    <row r="505" spans="1:12" customFormat="1" ht="16" x14ac:dyDescent="0.2">
      <c r="A505" t="s">
        <v>47</v>
      </c>
      <c r="B505" s="3">
        <v>3.5203209464194309E-8</v>
      </c>
      <c r="D505" t="s">
        <v>14</v>
      </c>
      <c r="E505" t="s">
        <v>9</v>
      </c>
      <c r="F505" s="2" t="s">
        <v>15</v>
      </c>
      <c r="G505" s="3"/>
      <c r="J505" s="2"/>
    </row>
    <row r="506" spans="1:12" customFormat="1" ht="16" x14ac:dyDescent="0.2">
      <c r="A506" t="s">
        <v>48</v>
      </c>
      <c r="B506" s="3">
        <v>2.2775546498939349E-7</v>
      </c>
      <c r="D506" t="s">
        <v>14</v>
      </c>
      <c r="E506" t="s">
        <v>9</v>
      </c>
      <c r="F506" s="2" t="s">
        <v>15</v>
      </c>
      <c r="G506" s="3"/>
      <c r="J506" s="2"/>
    </row>
    <row r="507" spans="1:12" customFormat="1" ht="16" x14ac:dyDescent="0.2">
      <c r="A507" t="s">
        <v>90</v>
      </c>
      <c r="B507" s="3">
        <v>2.3255813953488445E-12</v>
      </c>
      <c r="D507" t="s">
        <v>14</v>
      </c>
      <c r="E507" t="s">
        <v>9</v>
      </c>
      <c r="F507" s="2" t="s">
        <v>15</v>
      </c>
      <c r="G507" s="3"/>
      <c r="J507" s="2"/>
    </row>
    <row r="508" spans="1:12" customFormat="1" ht="16" x14ac:dyDescent="0.2">
      <c r="A508" t="s">
        <v>49</v>
      </c>
      <c r="B508" s="3">
        <v>2.7247681901736397E-8</v>
      </c>
      <c r="D508" t="s">
        <v>14</v>
      </c>
      <c r="E508" t="s">
        <v>9</v>
      </c>
      <c r="F508" s="2" t="s">
        <v>15</v>
      </c>
      <c r="G508" s="3"/>
      <c r="J508" s="2"/>
    </row>
    <row r="509" spans="1:12" customFormat="1" ht="16" x14ac:dyDescent="0.2">
      <c r="A509" t="s">
        <v>50</v>
      </c>
      <c r="B509" s="3">
        <v>1.3922173234392214E-9</v>
      </c>
      <c r="D509" t="s">
        <v>14</v>
      </c>
      <c r="E509" t="s">
        <v>9</v>
      </c>
      <c r="F509" s="2" t="s">
        <v>15</v>
      </c>
      <c r="G509" s="3"/>
      <c r="J509" s="2"/>
    </row>
    <row r="510" spans="1:12" customFormat="1" ht="16" x14ac:dyDescent="0.2">
      <c r="A510" t="s">
        <v>51</v>
      </c>
      <c r="B510" s="3">
        <v>2.9833228359550366E-9</v>
      </c>
      <c r="D510" t="s">
        <v>14</v>
      </c>
      <c r="E510" t="s">
        <v>9</v>
      </c>
      <c r="F510" s="2" t="s">
        <v>15</v>
      </c>
      <c r="G510" s="3"/>
      <c r="J510" s="2"/>
    </row>
    <row r="511" spans="1:12" customFormat="1" ht="16" x14ac:dyDescent="0.2">
      <c r="A511" t="s">
        <v>52</v>
      </c>
      <c r="B511" s="3">
        <v>2.0232558139597954E-10</v>
      </c>
      <c r="D511" t="s">
        <v>14</v>
      </c>
      <c r="E511" t="s">
        <v>9</v>
      </c>
      <c r="F511" s="2" t="s">
        <v>15</v>
      </c>
      <c r="G511" s="3"/>
      <c r="J511" s="2"/>
    </row>
    <row r="512" spans="1:12" customFormat="1" ht="16" x14ac:dyDescent="0.2">
      <c r="A512" t="s">
        <v>53</v>
      </c>
      <c r="B512">
        <f>B502*3.15</f>
        <v>7.3255813953488375E-2</v>
      </c>
      <c r="D512" t="s">
        <v>14</v>
      </c>
      <c r="E512" t="s">
        <v>9</v>
      </c>
      <c r="F512" s="2" t="s">
        <v>15</v>
      </c>
      <c r="G512" s="3"/>
      <c r="H512" s="3"/>
      <c r="J512" s="2"/>
    </row>
    <row r="513" spans="1:10" customFormat="1" ht="16" x14ac:dyDescent="0.2">
      <c r="A513" t="s">
        <v>54</v>
      </c>
      <c r="B513" s="3">
        <v>6.3521092350262397E-5</v>
      </c>
      <c r="D513" t="s">
        <v>14</v>
      </c>
      <c r="E513" t="s">
        <v>9</v>
      </c>
      <c r="F513" s="2" t="s">
        <v>15</v>
      </c>
      <c r="G513" s="3"/>
      <c r="J513" s="2"/>
    </row>
    <row r="514" spans="1:10" customFormat="1" ht="16" x14ac:dyDescent="0.2">
      <c r="A514" t="s">
        <v>55</v>
      </c>
      <c r="B514" s="3">
        <v>6.9767441860586501E-10</v>
      </c>
      <c r="D514" t="s">
        <v>14</v>
      </c>
      <c r="E514" t="s">
        <v>9</v>
      </c>
      <c r="F514" s="2" t="s">
        <v>15</v>
      </c>
      <c r="G514" s="3"/>
      <c r="J514" s="2"/>
    </row>
    <row r="515" spans="1:10" customFormat="1" ht="16" x14ac:dyDescent="0.2">
      <c r="A515" t="s">
        <v>56</v>
      </c>
      <c r="B515" s="3">
        <v>1.3953488372165768E-12</v>
      </c>
      <c r="D515" t="s">
        <v>14</v>
      </c>
      <c r="E515" t="s">
        <v>9</v>
      </c>
      <c r="F515" s="2" t="s">
        <v>15</v>
      </c>
      <c r="G515" s="3"/>
      <c r="J515" s="2"/>
    </row>
    <row r="516" spans="1:10" customFormat="1" ht="16" x14ac:dyDescent="0.2">
      <c r="A516" t="s">
        <v>57</v>
      </c>
      <c r="B516" s="3">
        <v>4.9302325581458507E-10</v>
      </c>
      <c r="D516" t="s">
        <v>14</v>
      </c>
      <c r="E516" t="s">
        <v>9</v>
      </c>
      <c r="F516" s="2" t="s">
        <v>15</v>
      </c>
      <c r="G516" s="3"/>
      <c r="J516" s="2"/>
    </row>
    <row r="517" spans="1:10" customFormat="1" ht="16" x14ac:dyDescent="0.2">
      <c r="A517" t="s">
        <v>58</v>
      </c>
      <c r="B517" s="3">
        <v>3.7969387682723317E-6</v>
      </c>
      <c r="D517" t="s">
        <v>14</v>
      </c>
      <c r="E517" t="s">
        <v>9</v>
      </c>
      <c r="F517" s="2" t="s">
        <v>15</v>
      </c>
      <c r="G517" s="3"/>
      <c r="J517" s="2"/>
    </row>
    <row r="518" spans="1:10" customFormat="1" ht="16" x14ac:dyDescent="0.2">
      <c r="A518" t="s">
        <v>59</v>
      </c>
      <c r="B518" s="3">
        <v>5.966645671897956E-10</v>
      </c>
      <c r="D518" t="s">
        <v>14</v>
      </c>
      <c r="E518" t="s">
        <v>9</v>
      </c>
      <c r="F518" s="2" t="s">
        <v>15</v>
      </c>
      <c r="G518" s="3"/>
      <c r="J518" s="2"/>
    </row>
    <row r="519" spans="1:10" customFormat="1" ht="16" x14ac:dyDescent="0.2">
      <c r="A519" t="s">
        <v>61</v>
      </c>
      <c r="B519" s="3">
        <v>1.6706607881343357E-7</v>
      </c>
      <c r="D519" t="s">
        <v>14</v>
      </c>
      <c r="E519" t="s">
        <v>9</v>
      </c>
      <c r="F519" s="2" t="s">
        <v>15</v>
      </c>
      <c r="G519" s="3"/>
      <c r="J519" s="2"/>
    </row>
    <row r="520" spans="1:10" customFormat="1" ht="16" x14ac:dyDescent="0.2">
      <c r="A520" t="s">
        <v>62</v>
      </c>
      <c r="B520" s="3">
        <v>5.9666456718979566E-9</v>
      </c>
      <c r="D520" t="s">
        <v>14</v>
      </c>
      <c r="E520" t="s">
        <v>9</v>
      </c>
      <c r="F520" s="2" t="s">
        <v>15</v>
      </c>
      <c r="G520" s="3"/>
      <c r="J520" s="2"/>
    </row>
    <row r="521" spans="1:10" customFormat="1" ht="16" x14ac:dyDescent="0.2">
      <c r="A521" t="s">
        <v>63</v>
      </c>
      <c r="B521" s="3">
        <v>1.2116279069793652E-9</v>
      </c>
      <c r="D521" t="s">
        <v>14</v>
      </c>
      <c r="E521" t="s">
        <v>9</v>
      </c>
      <c r="F521" s="2" t="s">
        <v>15</v>
      </c>
      <c r="G521" s="3"/>
      <c r="J521" s="2"/>
    </row>
    <row r="522" spans="1:10" customFormat="1" ht="16" x14ac:dyDescent="0.2">
      <c r="A522" t="s">
        <v>64</v>
      </c>
      <c r="B522" s="3">
        <v>1.2325581395334337E-10</v>
      </c>
      <c r="D522" t="s">
        <v>14</v>
      </c>
      <c r="E522" t="s">
        <v>9</v>
      </c>
      <c r="F522" s="2" t="s">
        <v>15</v>
      </c>
      <c r="G522" s="3"/>
      <c r="J522" s="2"/>
    </row>
    <row r="523" spans="1:10" customFormat="1" ht="16" x14ac:dyDescent="0.2">
      <c r="A523" t="s">
        <v>65</v>
      </c>
      <c r="B523" s="3">
        <v>4.890693292186907E-8</v>
      </c>
      <c r="D523" t="s">
        <v>14</v>
      </c>
      <c r="E523" t="s">
        <v>9</v>
      </c>
      <c r="F523" s="2" t="s">
        <v>15</v>
      </c>
      <c r="G523" s="3"/>
      <c r="J523" s="2"/>
    </row>
    <row r="524" spans="1:10" customFormat="1" ht="16" x14ac:dyDescent="0.2">
      <c r="A524" t="s">
        <v>67</v>
      </c>
      <c r="B524" s="3">
        <v>1.6155687597619975E-6</v>
      </c>
      <c r="D524" t="s">
        <v>14</v>
      </c>
      <c r="E524" t="s">
        <v>9</v>
      </c>
      <c r="F524" s="2" t="s">
        <v>15</v>
      </c>
      <c r="G524" s="3"/>
      <c r="J524" s="2"/>
    </row>
    <row r="525" spans="1:10" customFormat="1" ht="16" x14ac:dyDescent="0.2">
      <c r="A525" t="s">
        <v>68</v>
      </c>
      <c r="B525" s="3">
        <v>2.0465116279127991E-10</v>
      </c>
      <c r="D525" t="s">
        <v>14</v>
      </c>
      <c r="E525" t="s">
        <v>9</v>
      </c>
      <c r="F525" s="2" t="s">
        <v>15</v>
      </c>
      <c r="G525" s="3"/>
      <c r="J525" s="2"/>
    </row>
    <row r="526" spans="1:10" customFormat="1" ht="16" x14ac:dyDescent="0.2">
      <c r="A526" t="s">
        <v>69</v>
      </c>
      <c r="B526" s="3">
        <v>3.1855518160413698E-5</v>
      </c>
      <c r="D526" t="s">
        <v>14</v>
      </c>
      <c r="E526" t="s">
        <v>9</v>
      </c>
      <c r="F526" s="2" t="s">
        <v>15</v>
      </c>
      <c r="G526" s="3"/>
      <c r="J526" s="2"/>
    </row>
    <row r="527" spans="1:10" customFormat="1" ht="16" x14ac:dyDescent="0.2">
      <c r="A527" t="s">
        <v>70</v>
      </c>
      <c r="B527" s="3">
        <v>1.8186046511685154E-9</v>
      </c>
      <c r="D527" t="s">
        <v>14</v>
      </c>
      <c r="E527" t="s">
        <v>9</v>
      </c>
      <c r="F527" s="2" t="s">
        <v>15</v>
      </c>
      <c r="G527" s="3"/>
      <c r="J527" s="2"/>
    </row>
    <row r="528" spans="1:10" customFormat="1" ht="16" x14ac:dyDescent="0.2">
      <c r="A528" t="s">
        <v>71</v>
      </c>
      <c r="B528" s="3">
        <v>2.8746541895445575E-7</v>
      </c>
      <c r="D528" t="s">
        <v>14</v>
      </c>
      <c r="E528" t="s">
        <v>9</v>
      </c>
      <c r="F528" s="2" t="s">
        <v>15</v>
      </c>
      <c r="G528" s="3"/>
      <c r="J528" s="2"/>
    </row>
    <row r="529" spans="1:10" customFormat="1" ht="16" x14ac:dyDescent="0.2">
      <c r="A529" t="s">
        <v>72</v>
      </c>
      <c r="B529" s="3">
        <v>1.193329134380803E-9</v>
      </c>
      <c r="D529" t="s">
        <v>14</v>
      </c>
      <c r="E529" t="s">
        <v>9</v>
      </c>
      <c r="F529" s="2" t="s">
        <v>15</v>
      </c>
      <c r="G529" s="3"/>
      <c r="J529" s="2"/>
    </row>
    <row r="530" spans="1:10" customFormat="1" ht="16" x14ac:dyDescent="0.2">
      <c r="A530" t="s">
        <v>73</v>
      </c>
      <c r="B530" s="3">
        <v>1.9888818906326523E-9</v>
      </c>
      <c r="D530" t="s">
        <v>14</v>
      </c>
      <c r="E530" t="s">
        <v>9</v>
      </c>
      <c r="F530" s="2" t="s">
        <v>15</v>
      </c>
      <c r="G530" s="3"/>
      <c r="J530" s="2"/>
    </row>
    <row r="531" spans="1:10" customFormat="1" ht="16" x14ac:dyDescent="0.2">
      <c r="A531" t="s">
        <v>75</v>
      </c>
      <c r="B531" s="3">
        <v>2.3255813953488445E-12</v>
      </c>
      <c r="D531" t="s">
        <v>14</v>
      </c>
      <c r="E531" t="s">
        <v>9</v>
      </c>
      <c r="F531" s="2" t="s">
        <v>15</v>
      </c>
      <c r="G531" s="3"/>
      <c r="J531" s="2"/>
    </row>
    <row r="532" spans="1:10" customFormat="1" ht="16" x14ac:dyDescent="0.2">
      <c r="A532" t="s">
        <v>76</v>
      </c>
      <c r="B532" s="3">
        <v>1.1137738587550121E-8</v>
      </c>
      <c r="D532" t="s">
        <v>14</v>
      </c>
      <c r="E532" t="s">
        <v>9</v>
      </c>
      <c r="F532" s="2" t="s">
        <v>15</v>
      </c>
      <c r="G532" s="3"/>
      <c r="J532" s="2"/>
    </row>
    <row r="533" spans="1:10" customFormat="1" ht="16" x14ac:dyDescent="0.2">
      <c r="A533" t="s">
        <v>77</v>
      </c>
      <c r="B533" s="3">
        <v>3.7893614887488559E-7</v>
      </c>
      <c r="D533" t="s">
        <v>14</v>
      </c>
      <c r="E533" t="s">
        <v>9</v>
      </c>
      <c r="F533" s="2" t="s">
        <v>15</v>
      </c>
      <c r="G533" s="3"/>
      <c r="J533" s="2"/>
    </row>
    <row r="534" spans="1:10" customFormat="1" ht="16" x14ac:dyDescent="0.2">
      <c r="A534" t="s">
        <v>78</v>
      </c>
      <c r="B534" s="3">
        <v>1.9888818906326521E-10</v>
      </c>
      <c r="D534" t="s">
        <v>14</v>
      </c>
      <c r="E534" t="s">
        <v>9</v>
      </c>
      <c r="F534" s="2" t="s">
        <v>15</v>
      </c>
      <c r="G534" s="3"/>
      <c r="J534" s="2"/>
    </row>
    <row r="535" spans="1:10" customFormat="1" ht="16" x14ac:dyDescent="0.2">
      <c r="A535" t="s">
        <v>79</v>
      </c>
      <c r="B535" s="3">
        <v>4.04186046512172E-8</v>
      </c>
      <c r="D535" t="s">
        <v>14</v>
      </c>
      <c r="E535" t="s">
        <v>9</v>
      </c>
      <c r="F535" s="2" t="s">
        <v>15</v>
      </c>
      <c r="G535" s="3"/>
      <c r="J535" s="2"/>
    </row>
    <row r="536" spans="1:10" customFormat="1" ht="16" x14ac:dyDescent="0.2">
      <c r="A536" t="s">
        <v>80</v>
      </c>
      <c r="B536" s="3">
        <v>1.9491042528173333E-8</v>
      </c>
      <c r="D536" t="s">
        <v>14</v>
      </c>
      <c r="E536" t="s">
        <v>9</v>
      </c>
      <c r="F536" s="2" t="s">
        <v>15</v>
      </c>
      <c r="G536" s="3"/>
      <c r="J536" s="2"/>
    </row>
    <row r="537" spans="1:10" customFormat="1" ht="16" x14ac:dyDescent="0.2">
      <c r="A537" t="s">
        <v>81</v>
      </c>
      <c r="B537" s="3">
        <v>7.9555275625427259E-9</v>
      </c>
      <c r="D537" t="s">
        <v>14</v>
      </c>
      <c r="E537" t="s">
        <v>9</v>
      </c>
      <c r="F537" s="2" t="s">
        <v>15</v>
      </c>
      <c r="G537" s="3"/>
      <c r="J537" s="2"/>
    </row>
    <row r="538" spans="1:10" customFormat="1" ht="16" x14ac:dyDescent="0.2">
      <c r="J538" s="2"/>
    </row>
    <row r="539" spans="1:10" x14ac:dyDescent="0.2">
      <c r="A539" s="17" t="s">
        <v>2</v>
      </c>
      <c r="B539" s="17" t="s">
        <v>196</v>
      </c>
    </row>
    <row r="540" spans="1:10" customFormat="1" ht="16" x14ac:dyDescent="0.2">
      <c r="A540" t="s">
        <v>151</v>
      </c>
      <c r="B540" t="s">
        <v>374</v>
      </c>
      <c r="J540" s="2"/>
    </row>
    <row r="541" spans="1:10" customFormat="1" ht="16" x14ac:dyDescent="0.2">
      <c r="A541" t="s">
        <v>198</v>
      </c>
      <c r="B541" t="s">
        <v>199</v>
      </c>
      <c r="J541" s="2"/>
    </row>
    <row r="542" spans="1:10" customFormat="1" ht="16" x14ac:dyDescent="0.2">
      <c r="A542" t="s">
        <v>3</v>
      </c>
      <c r="B542" t="s">
        <v>18</v>
      </c>
      <c r="J542" s="2"/>
    </row>
    <row r="543" spans="1:10" customFormat="1" ht="16" x14ac:dyDescent="0.2">
      <c r="A543" t="s">
        <v>4</v>
      </c>
      <c r="B543">
        <v>1</v>
      </c>
      <c r="J543" s="2"/>
    </row>
    <row r="544" spans="1:10" customFormat="1" ht="16" x14ac:dyDescent="0.2">
      <c r="A544" t="s">
        <v>5</v>
      </c>
      <c r="B544" t="s">
        <v>1</v>
      </c>
      <c r="J544" s="2"/>
    </row>
    <row r="545" spans="1:12" customFormat="1" ht="16" x14ac:dyDescent="0.2">
      <c r="A545" t="s">
        <v>6</v>
      </c>
      <c r="B545" t="s">
        <v>7</v>
      </c>
      <c r="J545" s="2"/>
    </row>
    <row r="546" spans="1:12" customFormat="1" ht="16" x14ac:dyDescent="0.2">
      <c r="A546" t="s">
        <v>8</v>
      </c>
      <c r="B546" t="s">
        <v>17</v>
      </c>
      <c r="J546" s="2"/>
    </row>
    <row r="547" spans="1:12" customFormat="1" ht="16" x14ac:dyDescent="0.2">
      <c r="A547" t="s">
        <v>352</v>
      </c>
      <c r="B547" s="2">
        <f>INDEX(Parameters!$B$6:$AL$57,MATCH(Inventories!$B$539,Parameters!$A$6:$A$57,0),MATCH(Inventories!$A547,Parameters!$B$4:$AL$4,0))</f>
        <v>245</v>
      </c>
      <c r="C547" t="s">
        <v>312</v>
      </c>
      <c r="D547" s="2"/>
      <c r="E547" s="2"/>
      <c r="F547" s="2"/>
      <c r="G547" s="2"/>
      <c r="H547" s="2"/>
      <c r="I547" s="2"/>
      <c r="J547" s="2"/>
      <c r="K547" s="2"/>
      <c r="L547" s="2"/>
    </row>
    <row r="548" spans="1:12" customFormat="1" ht="16" x14ac:dyDescent="0.2">
      <c r="A548" t="s">
        <v>353</v>
      </c>
      <c r="B548" s="2">
        <f>INDEX(Parameters!$B$6:$AL$57,MATCH(Inventories!$B$539,Parameters!$A$6:$A$57,0),MATCH(Inventories!$A548,Parameters!$B$4:$AL$4,0))</f>
        <v>125</v>
      </c>
      <c r="C548" t="s">
        <v>312</v>
      </c>
      <c r="D548" s="2"/>
      <c r="E548" s="2"/>
      <c r="F548" s="2"/>
      <c r="G548" s="2"/>
      <c r="H548" s="2"/>
      <c r="I548" s="2"/>
      <c r="J548" s="2"/>
      <c r="K548" s="2"/>
      <c r="L548" s="2"/>
    </row>
    <row r="549" spans="1:12" customFormat="1" ht="16" x14ac:dyDescent="0.2">
      <c r="A549" t="s">
        <v>354</v>
      </c>
      <c r="B549" s="2">
        <f>INDEX(Parameters!$B$6:$AL$57,MATCH(Inventories!$B$539,Parameters!$A$6:$A$57,0),MATCH(Inventories!$A549,Parameters!$B$4:$AL$4,0))</f>
        <v>323</v>
      </c>
      <c r="C549" t="s">
        <v>312</v>
      </c>
      <c r="D549" s="2"/>
      <c r="E549" s="2"/>
      <c r="F549" s="2"/>
      <c r="G549" s="2"/>
      <c r="H549" s="2"/>
      <c r="I549" s="2"/>
      <c r="J549" s="2"/>
      <c r="K549" s="2"/>
      <c r="L549" s="2"/>
    </row>
    <row r="550" spans="1:12" customFormat="1" ht="16" x14ac:dyDescent="0.2">
      <c r="A550" t="s">
        <v>316</v>
      </c>
      <c r="B550" s="24">
        <f>INDEX(Parameters!$B$6:$AL$57,MATCH(Inventories!$B$539,Parameters!$A$6:$A$57,0),MATCH(Inventories!$A550,Parameters!$B$4:$AL$4,0))</f>
        <v>700000</v>
      </c>
      <c r="C550" t="s">
        <v>313</v>
      </c>
      <c r="D550" s="2"/>
      <c r="E550" s="2"/>
      <c r="F550" s="2"/>
      <c r="G550" s="2"/>
      <c r="H550" s="2"/>
      <c r="I550" s="2"/>
      <c r="J550" s="2"/>
      <c r="K550" s="2"/>
      <c r="L550" s="2"/>
    </row>
    <row r="551" spans="1:12" customFormat="1" ht="16" x14ac:dyDescent="0.2">
      <c r="A551" t="s">
        <v>317</v>
      </c>
      <c r="B551" s="24">
        <f>INDEX(Parameters!$B$6:$AL$57,MATCH(Inventories!$B$539,Parameters!$A$6:$A$57,0),MATCH(Inventories!$A551,Parameters!$B$4:$AL$4,0))</f>
        <v>500000</v>
      </c>
      <c r="C551" t="s">
        <v>313</v>
      </c>
      <c r="D551" s="2"/>
      <c r="E551" s="2"/>
      <c r="F551" s="2"/>
      <c r="G551" s="2"/>
      <c r="H551" s="2"/>
      <c r="I551" s="2"/>
      <c r="J551" s="2"/>
      <c r="K551" s="2"/>
      <c r="L551" s="2"/>
    </row>
    <row r="552" spans="1:12" customFormat="1" ht="16" x14ac:dyDescent="0.2">
      <c r="A552" t="s">
        <v>318</v>
      </c>
      <c r="B552" s="24">
        <f>INDEX(Parameters!$B$6:$AL$57,MATCH(Inventories!$B$539,Parameters!$A$6:$A$57,0),MATCH(Inventories!$A552,Parameters!$B$4:$AL$4,0))</f>
        <v>1000000</v>
      </c>
      <c r="C552" t="s">
        <v>313</v>
      </c>
      <c r="D552" s="2"/>
      <c r="E552" s="2"/>
      <c r="F552" s="2"/>
      <c r="G552" s="2"/>
      <c r="H552" s="2"/>
      <c r="I552" s="2"/>
      <c r="J552" s="2"/>
      <c r="K552" s="2"/>
      <c r="L552" s="2"/>
    </row>
    <row r="553" spans="1:12" customFormat="1" ht="16" x14ac:dyDescent="0.2">
      <c r="A553" t="s">
        <v>319</v>
      </c>
      <c r="B553" s="2">
        <f>INDEX(Parameters!$B$6:$AL$57,MATCH(Inventories!$B$539,Parameters!$A$6:$A$57,0),MATCH(Inventories!$A553,Parameters!$B$4:$AL$4,0))</f>
        <v>9500</v>
      </c>
      <c r="C553" t="s">
        <v>314</v>
      </c>
      <c r="D553" s="2"/>
      <c r="E553" s="2"/>
      <c r="F553" s="2"/>
      <c r="G553" s="2"/>
      <c r="H553" s="2"/>
      <c r="I553" s="2"/>
      <c r="J553" s="2"/>
      <c r="K553" s="2"/>
      <c r="L553" s="2"/>
    </row>
    <row r="554" spans="1:12" customFormat="1" ht="16" x14ac:dyDescent="0.2">
      <c r="A554" t="s">
        <v>320</v>
      </c>
      <c r="B554" s="2">
        <f>INDEX(Parameters!$B$6:$AL$57,MATCH(Inventories!$B$539,Parameters!$A$6:$A$57,0),MATCH(Inventories!$A554,Parameters!$B$4:$AL$4,0))</f>
        <v>6000</v>
      </c>
      <c r="C554" t="s">
        <v>314</v>
      </c>
      <c r="D554" s="2"/>
      <c r="E554" s="2"/>
      <c r="F554" s="2"/>
      <c r="G554" s="2"/>
      <c r="H554" s="2"/>
      <c r="I554" s="2"/>
      <c r="J554" s="2"/>
      <c r="K554" s="2"/>
      <c r="L554" s="2"/>
    </row>
    <row r="555" spans="1:12" customFormat="1" ht="16" x14ac:dyDescent="0.2">
      <c r="A555" t="s">
        <v>321</v>
      </c>
      <c r="B555" s="2">
        <f>INDEX(Parameters!$B$6:$AL$57,MATCH(Inventories!$B$539,Parameters!$A$6:$A$57,0),MATCH(Inventories!$A555,Parameters!$B$4:$AL$4,0))</f>
        <v>12200</v>
      </c>
      <c r="C555" t="s">
        <v>314</v>
      </c>
      <c r="D555" s="2"/>
      <c r="E555" s="2"/>
      <c r="F555" s="2"/>
      <c r="G555" s="2"/>
      <c r="H555" s="2"/>
      <c r="I555" s="2"/>
      <c r="J555" s="2"/>
      <c r="K555" s="2"/>
      <c r="L555" s="2"/>
    </row>
    <row r="556" spans="1:12" customFormat="1" ht="16" x14ac:dyDescent="0.2">
      <c r="A556" t="s">
        <v>337</v>
      </c>
      <c r="B556" s="2">
        <f>INDEX(Parameters!$B$6:$AL$57,MATCH(Inventories!$B$539,Parameters!$A$6:$A$57,0),MATCH(Inventories!$A556,Parameters!$B$4:$AL$4,0))</f>
        <v>0</v>
      </c>
      <c r="C556" t="s">
        <v>336</v>
      </c>
      <c r="D556" s="2"/>
      <c r="E556" s="2"/>
      <c r="F556" s="2"/>
      <c r="G556" s="2"/>
      <c r="H556" s="2"/>
      <c r="I556" s="2"/>
      <c r="J556" s="2"/>
      <c r="K556" s="2"/>
      <c r="L556" s="2"/>
    </row>
    <row r="557" spans="1:12" customFormat="1" ht="16" x14ac:dyDescent="0.2">
      <c r="A557" t="s">
        <v>338</v>
      </c>
      <c r="B557" s="2">
        <f>INDEX(Parameters!$B$6:$AL$57,MATCH(Inventories!$B$539,Parameters!$A$6:$A$57,0),MATCH(Inventories!$A557,Parameters!$B$4:$AL$4,0))</f>
        <v>0</v>
      </c>
      <c r="C557" t="s">
        <v>336</v>
      </c>
      <c r="D557" s="2"/>
      <c r="E557" s="2"/>
      <c r="F557" s="2"/>
      <c r="G557" s="2"/>
      <c r="H557" s="2"/>
      <c r="I557" s="2"/>
      <c r="J557" s="2"/>
      <c r="K557" s="2"/>
      <c r="L557" s="2"/>
    </row>
    <row r="558" spans="1:12" customFormat="1" ht="16" x14ac:dyDescent="0.2">
      <c r="A558" t="s">
        <v>339</v>
      </c>
      <c r="B558" s="2">
        <f>INDEX(Parameters!$B$6:$AL$57,MATCH(Inventories!$B$539,Parameters!$A$6:$A$57,0),MATCH(Inventories!$A558,Parameters!$B$4:$AL$4,0))</f>
        <v>0</v>
      </c>
      <c r="C558" t="s">
        <v>336</v>
      </c>
      <c r="D558" s="2"/>
      <c r="E558" s="2"/>
      <c r="F558" s="2"/>
      <c r="G558" s="2"/>
      <c r="H558" s="2"/>
      <c r="I558" s="2"/>
      <c r="J558" s="2"/>
      <c r="K558" s="2"/>
      <c r="L558" s="2"/>
    </row>
    <row r="559" spans="1:12" customFormat="1" ht="16" x14ac:dyDescent="0.2">
      <c r="A559" t="s">
        <v>340</v>
      </c>
      <c r="B559" s="2">
        <f>INDEX(Parameters!$B$6:$AL$57,MATCH(Inventories!$B$539,Parameters!$A$6:$A$57,0),MATCH(Inventories!$A559,Parameters!$B$4:$AL$4,0))</f>
        <v>733</v>
      </c>
      <c r="C559" t="s">
        <v>336</v>
      </c>
      <c r="D559" s="2"/>
      <c r="E559" s="2"/>
      <c r="F559" s="2"/>
      <c r="G559" s="2"/>
      <c r="H559" s="2"/>
      <c r="I559" s="2"/>
      <c r="J559" s="2"/>
      <c r="K559" s="2"/>
      <c r="L559" s="2"/>
    </row>
    <row r="560" spans="1:12" customFormat="1" ht="16" x14ac:dyDescent="0.2">
      <c r="A560" t="s">
        <v>341</v>
      </c>
      <c r="B560" s="2">
        <f>INDEX(Parameters!$B$6:$AL$57,MATCH(Inventories!$B$539,Parameters!$A$6:$A$57,0),MATCH(Inventories!$A560,Parameters!$B$4:$AL$4,0))</f>
        <v>400</v>
      </c>
      <c r="C560" t="s">
        <v>336</v>
      </c>
      <c r="D560" s="2"/>
      <c r="E560" s="2"/>
      <c r="F560" s="2"/>
      <c r="G560" s="2"/>
      <c r="H560" s="2"/>
      <c r="I560" s="2"/>
      <c r="J560" s="2"/>
      <c r="K560" s="2"/>
      <c r="L560" s="2"/>
    </row>
    <row r="561" spans="1:12" customFormat="1" ht="16" x14ac:dyDescent="0.2">
      <c r="A561" t="s">
        <v>342</v>
      </c>
      <c r="B561" s="2">
        <f>INDEX(Parameters!$B$6:$AL$57,MATCH(Inventories!$B$539,Parameters!$A$6:$A$57,0),MATCH(Inventories!$A561,Parameters!$B$4:$AL$4,0))</f>
        <v>955</v>
      </c>
      <c r="C561" t="s">
        <v>336</v>
      </c>
      <c r="D561" s="2"/>
      <c r="E561" s="2"/>
      <c r="F561" s="2"/>
      <c r="G561" s="2"/>
      <c r="H561" s="2"/>
      <c r="I561" s="2"/>
      <c r="J561" s="2"/>
      <c r="K561" s="2"/>
      <c r="L561" s="2"/>
    </row>
    <row r="562" spans="1:12" customFormat="1" ht="16" x14ac:dyDescent="0.2">
      <c r="A562" t="s">
        <v>333</v>
      </c>
      <c r="B562" s="2">
        <f>INDEX(Parameters!$B$6:$AL$57,MATCH(Inventories!$B$539,Parameters!$A$6:$A$57,0),MATCH(Inventories!$A562,Parameters!$B$4:$AL$4,0))</f>
        <v>48</v>
      </c>
      <c r="C562" t="s">
        <v>336</v>
      </c>
      <c r="D562" s="2"/>
      <c r="E562" s="2"/>
      <c r="F562" s="2"/>
      <c r="G562" s="2"/>
      <c r="H562" s="2"/>
      <c r="I562" s="2"/>
      <c r="J562" s="2"/>
      <c r="K562" s="2"/>
      <c r="L562" s="2"/>
    </row>
    <row r="563" spans="1:12" customFormat="1" ht="16" x14ac:dyDescent="0.2">
      <c r="A563" t="s">
        <v>334</v>
      </c>
      <c r="B563" s="2">
        <f>INDEX(Parameters!$B$6:$AL$57,MATCH(Inventories!$B$539,Parameters!$A$6:$A$57,0),MATCH(Inventories!$A563,Parameters!$B$4:$AL$4,0))</f>
        <v>38</v>
      </c>
      <c r="C563" t="s">
        <v>336</v>
      </c>
      <c r="D563" s="2"/>
      <c r="E563" s="2"/>
      <c r="F563" s="2"/>
      <c r="G563" s="2"/>
      <c r="H563" s="2"/>
      <c r="I563" s="2"/>
      <c r="J563" s="2"/>
      <c r="K563" s="2"/>
      <c r="L563" s="2"/>
    </row>
    <row r="564" spans="1:12" customFormat="1" ht="16" x14ac:dyDescent="0.2">
      <c r="A564" t="s">
        <v>335</v>
      </c>
      <c r="B564" s="2">
        <f>INDEX(Parameters!$B$6:$AL$57,MATCH(Inventories!$B$539,Parameters!$A$6:$A$57,0),MATCH(Inventories!$A564,Parameters!$B$4:$AL$4,0))</f>
        <v>53</v>
      </c>
      <c r="C564" t="s">
        <v>336</v>
      </c>
      <c r="D564" s="2"/>
      <c r="E564" s="2"/>
      <c r="F564" s="2"/>
      <c r="G564" s="2"/>
      <c r="H564" s="2"/>
      <c r="I564" s="2"/>
      <c r="J564" s="2"/>
      <c r="K564" s="2"/>
      <c r="L564" s="2"/>
    </row>
    <row r="565" spans="1:12" customFormat="1" ht="16" x14ac:dyDescent="0.2">
      <c r="A565" t="s">
        <v>322</v>
      </c>
      <c r="B565" s="2">
        <f>INDEX(Parameters!$B$6:$AL$57,MATCH(Inventories!$B$539,Parameters!$A$6:$A$57,0),MATCH(Inventories!$A565,Parameters!$B$4:$AL$4,0))</f>
        <v>0</v>
      </c>
      <c r="C565" t="s">
        <v>315</v>
      </c>
      <c r="D565" s="2"/>
      <c r="E565" s="2"/>
      <c r="F565" s="2"/>
      <c r="G565" s="2"/>
      <c r="H565" s="2"/>
      <c r="I565" s="2"/>
      <c r="J565" s="2"/>
      <c r="K565" s="2"/>
      <c r="L565" s="2"/>
    </row>
    <row r="566" spans="1:12" customFormat="1" ht="16" x14ac:dyDescent="0.2">
      <c r="A566" t="s">
        <v>323</v>
      </c>
      <c r="B566" s="2">
        <f>INDEX(Parameters!$B$6:$AL$57,MATCH(Inventories!$B$539,Parameters!$A$6:$A$57,0),MATCH(Inventories!$A566,Parameters!$B$4:$AL$4,0))</f>
        <v>0</v>
      </c>
      <c r="C566" t="s">
        <v>315</v>
      </c>
      <c r="D566" s="2"/>
      <c r="E566" s="2"/>
      <c r="F566" s="2"/>
      <c r="G566" s="2"/>
      <c r="H566" s="2"/>
      <c r="I566" s="2"/>
      <c r="J566" s="2"/>
      <c r="K566" s="2"/>
      <c r="L566" s="2"/>
    </row>
    <row r="567" spans="1:12" customFormat="1" ht="16" x14ac:dyDescent="0.2">
      <c r="A567" t="s">
        <v>324</v>
      </c>
      <c r="B567" s="2">
        <f>INDEX(Parameters!$B$6:$AL$57,MATCH(Inventories!$B$539,Parameters!$A$6:$A$57,0),MATCH(Inventories!$A567,Parameters!$B$4:$AL$4,0))</f>
        <v>0</v>
      </c>
      <c r="C567" t="s">
        <v>315</v>
      </c>
      <c r="D567" s="2"/>
      <c r="E567" s="2"/>
      <c r="F567" s="2"/>
      <c r="G567" s="2"/>
      <c r="H567" s="2"/>
      <c r="I567" s="2"/>
      <c r="J567" s="2"/>
      <c r="K567" s="2"/>
      <c r="L567" s="2"/>
    </row>
    <row r="568" spans="1:12" customFormat="1" ht="16" x14ac:dyDescent="0.2">
      <c r="A568" t="s">
        <v>330</v>
      </c>
      <c r="B568" s="2">
        <f>INDEX(Parameters!$B$6:$AL$57,MATCH(Inventories!$B$539,Parameters!$A$6:$A$57,0),MATCH(Inventories!$A568,Parameters!$B$4:$AL$4,0))</f>
        <v>0</v>
      </c>
      <c r="C568" t="s">
        <v>8</v>
      </c>
      <c r="D568" s="2"/>
      <c r="E568" s="2"/>
      <c r="F568" s="2"/>
      <c r="G568" s="2"/>
      <c r="H568" s="2"/>
      <c r="I568" s="2"/>
      <c r="J568" s="2"/>
      <c r="K568" s="2"/>
      <c r="L568" s="2"/>
    </row>
    <row r="569" spans="1:12" customFormat="1" ht="16" x14ac:dyDescent="0.2">
      <c r="A569" t="s">
        <v>331</v>
      </c>
      <c r="B569" s="2">
        <f>INDEX(Parameters!$B$6:$AL$57,MATCH(Inventories!$B$539,Parameters!$A$6:$A$57,0),MATCH(Inventories!$A569,Parameters!$B$4:$AL$4,0))</f>
        <v>0</v>
      </c>
      <c r="C569" t="s">
        <v>8</v>
      </c>
      <c r="D569" s="2"/>
      <c r="E569" s="2"/>
      <c r="F569" s="2"/>
      <c r="G569" s="2"/>
      <c r="H569" s="2"/>
      <c r="I569" s="2"/>
      <c r="J569" s="2"/>
      <c r="K569" s="2"/>
      <c r="L569" s="2"/>
    </row>
    <row r="570" spans="1:12" customFormat="1" ht="16" x14ac:dyDescent="0.2">
      <c r="A570" t="s">
        <v>332</v>
      </c>
      <c r="B570" s="2">
        <f>INDEX(Parameters!$B$6:$AL$57,MATCH(Inventories!$B$539,Parameters!$A$6:$A$57,0),MATCH(Inventories!$A570,Parameters!$B$4:$AL$4,0))</f>
        <v>0</v>
      </c>
      <c r="C570" t="s">
        <v>8</v>
      </c>
      <c r="D570" s="2"/>
      <c r="E570" s="2"/>
      <c r="F570" s="2"/>
      <c r="G570" s="2"/>
      <c r="H570" s="2"/>
      <c r="I570" s="2"/>
      <c r="J570" s="2"/>
      <c r="K570" s="2"/>
      <c r="L570" s="2"/>
    </row>
    <row r="571" spans="1:12" customFormat="1" ht="16" x14ac:dyDescent="0.2">
      <c r="A571" t="s">
        <v>346</v>
      </c>
      <c r="B571" s="2">
        <f>INDEX(Parameters!$B$6:$AL$57,MATCH(Inventories!$B$539,Parameters!$A$6:$A$57,0),MATCH(Inventories!$A571,Parameters!$B$4:$AL$4,0))</f>
        <v>0</v>
      </c>
      <c r="C571" t="s">
        <v>312</v>
      </c>
      <c r="D571" s="2"/>
      <c r="E571" s="2"/>
      <c r="F571" s="2"/>
      <c r="G571" s="2"/>
      <c r="H571" s="2"/>
      <c r="I571" s="2"/>
      <c r="J571" s="2"/>
      <c r="K571" s="2"/>
      <c r="L571" s="2"/>
    </row>
    <row r="572" spans="1:12" customFormat="1" ht="16" x14ac:dyDescent="0.2">
      <c r="A572" t="s">
        <v>347</v>
      </c>
      <c r="B572" s="2">
        <f>INDEX(Parameters!$B$6:$AL$57,MATCH(Inventories!$B$539,Parameters!$A$6:$A$57,0),MATCH(Inventories!$A572,Parameters!$B$4:$AL$4,0))</f>
        <v>0</v>
      </c>
      <c r="C572" t="s">
        <v>312</v>
      </c>
      <c r="D572" s="2"/>
      <c r="E572" s="12"/>
      <c r="F572" s="2"/>
      <c r="G572" s="2"/>
      <c r="H572" s="2"/>
      <c r="I572" s="2"/>
      <c r="J572" s="2"/>
      <c r="K572" s="2"/>
      <c r="L572" s="2"/>
    </row>
    <row r="573" spans="1:12" customFormat="1" ht="16" x14ac:dyDescent="0.2">
      <c r="A573" t="s">
        <v>348</v>
      </c>
      <c r="B573" s="2">
        <f>INDEX(Parameters!$B$6:$AL$57,MATCH(Inventories!$B$539,Parameters!$A$6:$A$57,0),MATCH(Inventories!$A573,Parameters!$B$4:$AL$4,0))</f>
        <v>0</v>
      </c>
      <c r="C573" t="s">
        <v>312</v>
      </c>
      <c r="D573" s="2"/>
      <c r="E573" s="2"/>
      <c r="F573" s="2"/>
      <c r="G573" s="2"/>
      <c r="H573" s="2"/>
      <c r="I573" s="2"/>
      <c r="J573" s="2"/>
      <c r="K573" s="2"/>
      <c r="L573" s="2"/>
    </row>
    <row r="574" spans="1:12" customFormat="1" ht="16" x14ac:dyDescent="0.2">
      <c r="A574" t="s">
        <v>349</v>
      </c>
      <c r="B574" s="2">
        <f>INDEX(Parameters!$B$6:$AL$57,MATCH(Inventories!$B$539,Parameters!$A$6:$A$57,0),MATCH(Inventories!$A574,Parameters!$B$4:$AL$4,0))</f>
        <v>0</v>
      </c>
      <c r="C574" t="s">
        <v>8</v>
      </c>
      <c r="D574" s="2"/>
      <c r="E574" s="2"/>
      <c r="F574" s="2"/>
      <c r="G574" s="2"/>
      <c r="H574" s="2"/>
      <c r="I574" s="2"/>
      <c r="J574" s="2"/>
      <c r="K574" s="2"/>
      <c r="L574" s="2"/>
    </row>
    <row r="575" spans="1:12" customFormat="1" ht="16" x14ac:dyDescent="0.2">
      <c r="A575" t="s">
        <v>350</v>
      </c>
      <c r="B575" s="2">
        <f>INDEX(Parameters!$B$6:$AL$57,MATCH(Inventories!$B$539,Parameters!$A$6:$A$57,0),MATCH(Inventories!$A575,Parameters!$B$4:$AL$4,0))</f>
        <v>0</v>
      </c>
      <c r="C575" t="s">
        <v>8</v>
      </c>
      <c r="D575" s="2"/>
      <c r="E575" s="2"/>
      <c r="F575" s="2"/>
      <c r="G575" s="2"/>
      <c r="H575" s="2"/>
      <c r="I575" s="2"/>
      <c r="J575" s="2"/>
      <c r="K575" s="2"/>
      <c r="L575" s="2"/>
    </row>
    <row r="576" spans="1:12" customFormat="1" ht="16" x14ac:dyDescent="0.2">
      <c r="A576" t="s">
        <v>351</v>
      </c>
      <c r="B576" s="2">
        <f>INDEX(Parameters!$B$6:$AL$57,MATCH(Inventories!$B$539,Parameters!$A$6:$A$57,0),MATCH(Inventories!$A576,Parameters!$B$4:$AL$4,0))</f>
        <v>0</v>
      </c>
      <c r="C576" t="s">
        <v>8</v>
      </c>
      <c r="D576" s="2"/>
      <c r="E576" s="2"/>
      <c r="F576" s="2"/>
      <c r="G576" s="2"/>
      <c r="H576" s="2"/>
      <c r="I576" s="2"/>
      <c r="J576" s="2"/>
      <c r="K576" s="2"/>
      <c r="L576" s="2"/>
    </row>
    <row r="577" spans="1:12" customFormat="1" ht="16" x14ac:dyDescent="0.2">
      <c r="A577" t="s">
        <v>365</v>
      </c>
      <c r="B577" s="2">
        <f>INDEX(Parameters!$B$6:$AL$57,MATCH(Inventories!$B$539,Parameters!$A$6:$A$57,0),MATCH(Inventories!$A577,Parameters!$B$4:$AL$4,0))</f>
        <v>0</v>
      </c>
      <c r="C577" t="s">
        <v>336</v>
      </c>
      <c r="D577" s="2"/>
      <c r="E577" s="2"/>
      <c r="F577" s="2"/>
      <c r="G577" s="2"/>
      <c r="H577" s="2"/>
      <c r="I577" s="2"/>
      <c r="J577" s="2"/>
      <c r="K577" s="2"/>
      <c r="L577" s="2"/>
    </row>
    <row r="578" spans="1:12" customFormat="1" ht="16" x14ac:dyDescent="0.2">
      <c r="A578" t="s">
        <v>366</v>
      </c>
      <c r="B578" s="2">
        <f>INDEX(Parameters!$B$6:$AL$57,MATCH(Inventories!$B$539,Parameters!$A$6:$A$57,0),MATCH(Inventories!$A578,Parameters!$B$4:$AL$4,0))</f>
        <v>0</v>
      </c>
      <c r="C578" t="s">
        <v>336</v>
      </c>
      <c r="D578" s="2"/>
      <c r="E578" s="2"/>
      <c r="F578" s="2"/>
      <c r="G578" s="2"/>
      <c r="H578" s="2"/>
      <c r="I578" s="2"/>
      <c r="J578" s="2"/>
      <c r="K578" s="2"/>
      <c r="L578" s="2"/>
    </row>
    <row r="579" spans="1:12" customFormat="1" ht="16" x14ac:dyDescent="0.2">
      <c r="A579" t="s">
        <v>367</v>
      </c>
      <c r="B579" s="2">
        <f>INDEX(Parameters!$B$6:$AL$57,MATCH(Inventories!$B$539,Parameters!$A$6:$A$57,0),MATCH(Inventories!$A579,Parameters!$B$4:$AL$4,0))</f>
        <v>0</v>
      </c>
      <c r="C579" t="s">
        <v>336</v>
      </c>
      <c r="D579" s="2"/>
      <c r="E579" s="2"/>
      <c r="F579" s="2"/>
      <c r="G579" s="2"/>
      <c r="H579" s="2"/>
      <c r="I579" s="2"/>
      <c r="J579" s="2"/>
      <c r="K579" s="2"/>
      <c r="L579" s="2"/>
    </row>
    <row r="580" spans="1:12" customFormat="1" ht="16" x14ac:dyDescent="0.2">
      <c r="A580" t="s">
        <v>368</v>
      </c>
      <c r="B580" s="2">
        <f>INDEX(Parameters!$B$6:$AL$57,MATCH(Inventories!$B$539,Parameters!$A$6:$A$57,0),MATCH(Inventories!$A580,Parameters!$B$4:$AL$4,0))</f>
        <v>0</v>
      </c>
      <c r="C580" t="s">
        <v>336</v>
      </c>
      <c r="D580" s="2"/>
      <c r="E580" s="2"/>
      <c r="F580" s="2"/>
      <c r="G580" s="2"/>
      <c r="H580" s="2"/>
      <c r="I580" s="2"/>
      <c r="J580" s="2"/>
      <c r="K580" s="2"/>
      <c r="L580" s="2"/>
    </row>
    <row r="581" spans="1:12" customFormat="1" ht="16" x14ac:dyDescent="0.2">
      <c r="A581" t="s">
        <v>369</v>
      </c>
      <c r="B581" s="2">
        <f>INDEX(Parameters!$B$6:$AL$57,MATCH(Inventories!$B$539,Parameters!$A$6:$A$57,0),MATCH(Inventories!$A581,Parameters!$B$4:$AL$4,0))</f>
        <v>0</v>
      </c>
      <c r="C581" t="s">
        <v>336</v>
      </c>
      <c r="D581" s="2"/>
      <c r="E581" s="2"/>
      <c r="F581" s="2"/>
      <c r="G581" s="2"/>
      <c r="H581" s="2"/>
      <c r="I581" s="2"/>
      <c r="J581" s="2"/>
      <c r="K581" s="2"/>
      <c r="L581" s="2"/>
    </row>
    <row r="582" spans="1:12" customFormat="1" ht="16" x14ac:dyDescent="0.2">
      <c r="A582" t="s">
        <v>344</v>
      </c>
      <c r="B582" s="32">
        <f>INDEX(Parameters!$B$6:$AL$57,MATCH(Inventories!$B$539,Parameters!$A$6:$A$57,0),MATCH(Inventories!$A582,Parameters!$B$4:$AL$4,0))</f>
        <v>1.4516100000000001E-3</v>
      </c>
      <c r="C582" t="s">
        <v>345</v>
      </c>
      <c r="D582" s="2"/>
      <c r="E582" s="2"/>
      <c r="F582" s="2"/>
      <c r="G582" s="2"/>
      <c r="H582" s="2"/>
      <c r="I582" s="2"/>
      <c r="J582" s="2"/>
      <c r="K582" s="2"/>
      <c r="L582" s="2"/>
    </row>
    <row r="583" spans="1:12" customFormat="1" ht="16" x14ac:dyDescent="0.2">
      <c r="A583" t="s">
        <v>343</v>
      </c>
      <c r="B583" s="2">
        <f>INDEX(Parameters!$B$6:$AL$57,MATCH(Inventories!$B$539,Parameters!$A$6:$A$57,0),MATCH(Inventories!$A583,Parameters!$B$4:$AL$4,0))</f>
        <v>2.1756100000000001E-4</v>
      </c>
      <c r="C583" t="s">
        <v>345</v>
      </c>
      <c r="D583" s="2"/>
      <c r="E583" s="2"/>
      <c r="F583" s="2"/>
      <c r="G583" s="2"/>
      <c r="H583" s="2"/>
      <c r="I583" s="2"/>
      <c r="J583" s="2"/>
      <c r="K583" s="2"/>
      <c r="L583" s="2"/>
    </row>
    <row r="584" spans="1:12" customFormat="1" ht="16" x14ac:dyDescent="0.2">
      <c r="A584" s="1" t="s">
        <v>10</v>
      </c>
      <c r="J584" s="2"/>
    </row>
    <row r="585" spans="1:12" x14ac:dyDescent="0.2">
      <c r="A585" s="17" t="s">
        <v>11</v>
      </c>
      <c r="B585" s="17" t="s">
        <v>12</v>
      </c>
      <c r="C585" s="17" t="s">
        <v>3</v>
      </c>
      <c r="D585" s="17" t="s">
        <v>13</v>
      </c>
      <c r="E585" s="17" t="s">
        <v>8</v>
      </c>
      <c r="F585" s="17" t="s">
        <v>6</v>
      </c>
      <c r="G585" s="17" t="s">
        <v>5</v>
      </c>
      <c r="H585" s="17" t="s">
        <v>151</v>
      </c>
      <c r="I585" s="17" t="s">
        <v>179</v>
      </c>
      <c r="J585" s="17" t="s">
        <v>180</v>
      </c>
      <c r="K585" s="17" t="s">
        <v>181</v>
      </c>
      <c r="L585" s="17" t="s">
        <v>182</v>
      </c>
    </row>
    <row r="586" spans="1:12" customFormat="1" ht="16" x14ac:dyDescent="0.2">
      <c r="A586" t="s">
        <v>196</v>
      </c>
      <c r="B586">
        <v>1</v>
      </c>
      <c r="C586" t="s">
        <v>18</v>
      </c>
      <c r="E586" t="s">
        <v>17</v>
      </c>
      <c r="F586" t="s">
        <v>19</v>
      </c>
      <c r="J586" s="2"/>
    </row>
    <row r="587" spans="1:12" customFormat="1" ht="16" x14ac:dyDescent="0.2">
      <c r="A587" t="s">
        <v>200</v>
      </c>
      <c r="B587" s="3">
        <f>(B562/B550)/(B553/1000)</f>
        <v>7.2180451127819541E-6</v>
      </c>
      <c r="C587" t="s">
        <v>18</v>
      </c>
      <c r="E587" t="s">
        <v>9</v>
      </c>
      <c r="F587" t="s">
        <v>23</v>
      </c>
      <c r="G587" t="s">
        <v>201</v>
      </c>
      <c r="I587">
        <v>5</v>
      </c>
      <c r="J587" s="12">
        <f>B587</f>
        <v>7.2180451127819541E-6</v>
      </c>
      <c r="K587" s="3">
        <f>(B563/B552)/(B555/1000)</f>
        <v>3.114754098360656E-6</v>
      </c>
      <c r="L587" s="3">
        <f>(B564/B551)/(B554/1000)</f>
        <v>1.7666666666666668E-5</v>
      </c>
    </row>
    <row r="588" spans="1:12" customFormat="1" ht="16" x14ac:dyDescent="0.2">
      <c r="A588" t="s">
        <v>145</v>
      </c>
      <c r="B588" s="3">
        <f>(B559/B550)/(B553/1000)</f>
        <v>1.1022556390977444E-4</v>
      </c>
      <c r="C588" t="s">
        <v>18</v>
      </c>
      <c r="E588" t="s">
        <v>9</v>
      </c>
      <c r="F588" t="s">
        <v>23</v>
      </c>
      <c r="G588" t="s">
        <v>145</v>
      </c>
      <c r="I588">
        <v>5</v>
      </c>
      <c r="J588" s="12">
        <f>B588</f>
        <v>1.1022556390977444E-4</v>
      </c>
      <c r="K588" s="3">
        <f>(B560/B552)/(B555/1000)</f>
        <v>3.2786885245901642E-5</v>
      </c>
      <c r="L588" s="3">
        <f>(B561/B551)/(B554/1000)</f>
        <v>3.1833333333333334E-4</v>
      </c>
    </row>
    <row r="589" spans="1:12" customFormat="1" ht="16" x14ac:dyDescent="0.2">
      <c r="A589" s="2" t="s">
        <v>119</v>
      </c>
      <c r="B589" s="9">
        <f>1/43</f>
        <v>2.3255813953488372E-2</v>
      </c>
      <c r="C589" t="s">
        <v>27</v>
      </c>
      <c r="E589" t="s">
        <v>9</v>
      </c>
      <c r="F589" t="s">
        <v>23</v>
      </c>
      <c r="G589" t="s">
        <v>44</v>
      </c>
      <c r="J589" s="2"/>
    </row>
    <row r="590" spans="1:12" customFormat="1" ht="16" x14ac:dyDescent="0.2">
      <c r="A590" t="s">
        <v>45</v>
      </c>
      <c r="B590" s="3">
        <v>7.1455665432553858E-7</v>
      </c>
      <c r="D590" t="s">
        <v>14</v>
      </c>
      <c r="E590" t="s">
        <v>9</v>
      </c>
      <c r="F590" s="2" t="s">
        <v>15</v>
      </c>
      <c r="G590" s="3"/>
      <c r="J590" s="2"/>
    </row>
    <row r="591" spans="1:12" customFormat="1" ht="16" x14ac:dyDescent="0.2">
      <c r="A591" t="s">
        <v>46</v>
      </c>
      <c r="B591" s="3">
        <v>3.2468920124586623E-7</v>
      </c>
      <c r="D591" t="s">
        <v>14</v>
      </c>
      <c r="E591" t="s">
        <v>9</v>
      </c>
      <c r="F591" s="2" t="s">
        <v>15</v>
      </c>
      <c r="G591" s="3"/>
      <c r="J591" s="2"/>
    </row>
    <row r="592" spans="1:12" customFormat="1" ht="16" x14ac:dyDescent="0.2">
      <c r="A592" t="s">
        <v>47</v>
      </c>
      <c r="B592" s="3">
        <v>3.9534349472964383E-7</v>
      </c>
      <c r="D592" t="s">
        <v>14</v>
      </c>
      <c r="E592" t="s">
        <v>9</v>
      </c>
      <c r="F592" s="2" t="s">
        <v>15</v>
      </c>
      <c r="G592" s="3"/>
      <c r="J592" s="2"/>
    </row>
    <row r="593" spans="1:10" customFormat="1" ht="16" x14ac:dyDescent="0.2">
      <c r="A593" t="s">
        <v>48</v>
      </c>
      <c r="B593" s="3">
        <v>3.7209280955662761E-7</v>
      </c>
      <c r="D593" t="s">
        <v>14</v>
      </c>
      <c r="E593" t="s">
        <v>9</v>
      </c>
      <c r="F593" s="2" t="s">
        <v>15</v>
      </c>
      <c r="G593" s="3"/>
      <c r="J593" s="2"/>
    </row>
    <row r="594" spans="1:10" customFormat="1" ht="16" x14ac:dyDescent="0.2">
      <c r="A594" t="s">
        <v>49</v>
      </c>
      <c r="B594" s="3">
        <v>9.4995966427857817E-8</v>
      </c>
      <c r="D594" t="s">
        <v>14</v>
      </c>
      <c r="E594" t="s">
        <v>9</v>
      </c>
      <c r="F594" s="2" t="s">
        <v>15</v>
      </c>
      <c r="G594" s="3"/>
      <c r="J594" s="2"/>
    </row>
    <row r="595" spans="1:10" customFormat="1" ht="16" x14ac:dyDescent="0.2">
      <c r="A595" t="s">
        <v>50</v>
      </c>
      <c r="B595" s="3">
        <v>2.186743705223342E-7</v>
      </c>
      <c r="D595" t="s">
        <v>14</v>
      </c>
      <c r="E595" t="s">
        <v>9</v>
      </c>
      <c r="F595" s="2" t="s">
        <v>15</v>
      </c>
      <c r="G595" s="3"/>
      <c r="J595" s="2"/>
    </row>
    <row r="596" spans="1:10" customFormat="1" ht="16" x14ac:dyDescent="0.2">
      <c r="A596" t="s">
        <v>51</v>
      </c>
      <c r="B596" s="3">
        <v>1.2147463123534157E-8</v>
      </c>
      <c r="D596" t="s">
        <v>14</v>
      </c>
      <c r="E596" t="s">
        <v>9</v>
      </c>
      <c r="F596" s="2" t="s">
        <v>15</v>
      </c>
      <c r="G596" s="3"/>
      <c r="J596" s="2"/>
    </row>
    <row r="597" spans="1:10" customFormat="1" ht="16" x14ac:dyDescent="0.2">
      <c r="A597" t="s">
        <v>52</v>
      </c>
      <c r="B597" s="3">
        <v>2.3255800597289225E-10</v>
      </c>
      <c r="D597" t="s">
        <v>14</v>
      </c>
      <c r="E597" t="s">
        <v>9</v>
      </c>
      <c r="F597" s="2" t="s">
        <v>15</v>
      </c>
      <c r="G597" s="3"/>
      <c r="J597" s="2"/>
    </row>
    <row r="598" spans="1:10" customFormat="1" ht="16" x14ac:dyDescent="0.2">
      <c r="A598" t="s">
        <v>53</v>
      </c>
      <c r="B598" s="9">
        <f>B589*3.15</f>
        <v>7.3255813953488375E-2</v>
      </c>
      <c r="D598" t="s">
        <v>14</v>
      </c>
      <c r="E598" t="s">
        <v>9</v>
      </c>
      <c r="F598" s="2" t="s">
        <v>15</v>
      </c>
      <c r="G598" s="3"/>
      <c r="J598" s="2"/>
    </row>
    <row r="599" spans="1:10" customFormat="1" ht="16" x14ac:dyDescent="0.2">
      <c r="A599" t="s">
        <v>54</v>
      </c>
      <c r="B599" s="3">
        <v>2.1069404153243686E-5</v>
      </c>
      <c r="D599" t="s">
        <v>14</v>
      </c>
      <c r="E599" t="s">
        <v>9</v>
      </c>
      <c r="F599" s="2" t="s">
        <v>15</v>
      </c>
      <c r="G599" s="3"/>
      <c r="J599" s="2"/>
    </row>
    <row r="600" spans="1:10" customFormat="1" ht="16" x14ac:dyDescent="0.2">
      <c r="A600" t="s">
        <v>55</v>
      </c>
      <c r="B600" s="3">
        <v>1.1627900298644613E-9</v>
      </c>
      <c r="D600" t="s">
        <v>14</v>
      </c>
      <c r="E600" t="s">
        <v>9</v>
      </c>
      <c r="F600" s="2" t="s">
        <v>15</v>
      </c>
      <c r="G600" s="3"/>
      <c r="J600" s="2"/>
    </row>
    <row r="601" spans="1:10" customFormat="1" ht="16" x14ac:dyDescent="0.2">
      <c r="A601" t="s">
        <v>56</v>
      </c>
      <c r="B601" s="3">
        <v>2.3255800597289222E-12</v>
      </c>
      <c r="D601" t="s">
        <v>14</v>
      </c>
      <c r="E601" t="s">
        <v>9</v>
      </c>
      <c r="F601" s="2" t="s">
        <v>15</v>
      </c>
      <c r="G601" s="3"/>
      <c r="J601" s="2"/>
    </row>
    <row r="602" spans="1:10" customFormat="1" ht="16" x14ac:dyDescent="0.2">
      <c r="A602" t="s">
        <v>57</v>
      </c>
      <c r="B602" s="3">
        <v>3.9534861015391682E-8</v>
      </c>
      <c r="D602" t="s">
        <v>14</v>
      </c>
      <c r="E602" t="s">
        <v>9</v>
      </c>
      <c r="F602" s="2" t="s">
        <v>15</v>
      </c>
      <c r="G602" s="3"/>
      <c r="J602" s="2"/>
    </row>
    <row r="603" spans="1:10" customFormat="1" ht="16" x14ac:dyDescent="0.2">
      <c r="A603" t="s">
        <v>150</v>
      </c>
      <c r="B603" s="3">
        <v>7.1789570411210658E-8</v>
      </c>
      <c r="D603" t="s">
        <v>14</v>
      </c>
      <c r="E603" t="s">
        <v>9</v>
      </c>
      <c r="F603" s="2" t="s">
        <v>15</v>
      </c>
      <c r="G603" s="3"/>
      <c r="J603" s="2"/>
    </row>
    <row r="604" spans="1:10" customFormat="1" ht="16" x14ac:dyDescent="0.2">
      <c r="A604" t="s">
        <v>58</v>
      </c>
      <c r="B604" s="3">
        <v>1.1627900298644611E-6</v>
      </c>
      <c r="D604" t="s">
        <v>14</v>
      </c>
      <c r="E604" t="s">
        <v>9</v>
      </c>
      <c r="F604" s="2" t="s">
        <v>15</v>
      </c>
      <c r="G604" s="3"/>
      <c r="J604" s="2"/>
    </row>
    <row r="605" spans="1:10" customFormat="1" ht="16" x14ac:dyDescent="0.2">
      <c r="A605" t="s">
        <v>59</v>
      </c>
      <c r="B605" s="3">
        <v>3.646242366932188E-8</v>
      </c>
      <c r="D605" t="s">
        <v>14</v>
      </c>
      <c r="E605" t="s">
        <v>9</v>
      </c>
      <c r="F605" s="2" t="s">
        <v>15</v>
      </c>
      <c r="G605" s="3"/>
      <c r="J605" s="2"/>
    </row>
    <row r="606" spans="1:10" customFormat="1" ht="16" x14ac:dyDescent="0.2">
      <c r="A606" t="s">
        <v>60</v>
      </c>
      <c r="B606" s="3">
        <v>1.2114072625668476E-6</v>
      </c>
      <c r="D606" t="s">
        <v>14</v>
      </c>
      <c r="E606" t="s">
        <v>9</v>
      </c>
      <c r="F606" s="2" t="s">
        <v>15</v>
      </c>
      <c r="G606" s="3"/>
      <c r="J606" s="2"/>
    </row>
    <row r="607" spans="1:10" customFormat="1" ht="16" x14ac:dyDescent="0.2">
      <c r="A607" t="s">
        <v>61</v>
      </c>
      <c r="B607" s="3">
        <v>1.3252688602888143E-6</v>
      </c>
      <c r="D607" t="s">
        <v>14</v>
      </c>
      <c r="E607" t="s">
        <v>9</v>
      </c>
      <c r="F607" s="2" t="s">
        <v>15</v>
      </c>
      <c r="G607" s="3"/>
      <c r="J607" s="2"/>
    </row>
    <row r="608" spans="1:10" customFormat="1" ht="16" x14ac:dyDescent="0.2">
      <c r="A608" t="s">
        <v>62</v>
      </c>
      <c r="B608" s="3">
        <v>2.2087814338146904E-8</v>
      </c>
      <c r="D608" t="s">
        <v>14</v>
      </c>
      <c r="E608" t="s">
        <v>9</v>
      </c>
      <c r="F608" s="2" t="s">
        <v>15</v>
      </c>
      <c r="G608" s="3"/>
      <c r="J608" s="2"/>
    </row>
    <row r="609" spans="1:10" customFormat="1" ht="16" x14ac:dyDescent="0.2">
      <c r="A609" t="s">
        <v>63</v>
      </c>
      <c r="B609" s="3">
        <v>1.9186035492763611E-15</v>
      </c>
      <c r="D609" t="s">
        <v>14</v>
      </c>
      <c r="E609" t="s">
        <v>9</v>
      </c>
      <c r="F609" s="2" t="s">
        <v>15</v>
      </c>
      <c r="G609" s="3"/>
      <c r="J609" s="2"/>
    </row>
    <row r="610" spans="1:10" customFormat="1" ht="16" x14ac:dyDescent="0.2">
      <c r="A610" t="s">
        <v>64</v>
      </c>
      <c r="B610" s="3">
        <v>4.6511601194578451E-13</v>
      </c>
      <c r="D610" t="s">
        <v>14</v>
      </c>
      <c r="E610" t="s">
        <v>9</v>
      </c>
      <c r="F610" s="2" t="s">
        <v>15</v>
      </c>
      <c r="G610" s="3"/>
      <c r="J610" s="2"/>
    </row>
    <row r="611" spans="1:10" customFormat="1" ht="16" x14ac:dyDescent="0.2">
      <c r="A611" t="s">
        <v>65</v>
      </c>
      <c r="B611" s="3">
        <v>6.6447090752701953E-7</v>
      </c>
      <c r="D611" t="s">
        <v>14</v>
      </c>
      <c r="E611" t="s">
        <v>9</v>
      </c>
      <c r="F611" s="2" t="s">
        <v>15</v>
      </c>
      <c r="G611" s="3"/>
      <c r="J611" s="2"/>
    </row>
    <row r="612" spans="1:10" customFormat="1" ht="16" x14ac:dyDescent="0.2">
      <c r="A612" t="s">
        <v>66</v>
      </c>
      <c r="B612" s="3">
        <v>1.3252688602888143E-7</v>
      </c>
      <c r="D612" t="s">
        <v>14</v>
      </c>
      <c r="E612" t="s">
        <v>9</v>
      </c>
      <c r="F612" s="2" t="s">
        <v>15</v>
      </c>
      <c r="G612" s="3"/>
      <c r="J612" s="2"/>
    </row>
    <row r="613" spans="1:10" customFormat="1" ht="16" x14ac:dyDescent="0.2">
      <c r="A613" t="s">
        <v>67</v>
      </c>
      <c r="B613" s="3">
        <v>5.8566933256401625E-6</v>
      </c>
      <c r="D613" t="s">
        <v>14</v>
      </c>
      <c r="E613" t="s">
        <v>9</v>
      </c>
      <c r="F613" s="2" t="s">
        <v>15</v>
      </c>
      <c r="G613" s="3"/>
      <c r="J613" s="2"/>
    </row>
    <row r="614" spans="1:10" customFormat="1" ht="16" x14ac:dyDescent="0.2">
      <c r="A614" t="s">
        <v>68</v>
      </c>
      <c r="B614" s="3">
        <v>1.6279060418102458E-9</v>
      </c>
      <c r="D614" t="s">
        <v>14</v>
      </c>
      <c r="E614" t="s">
        <v>9</v>
      </c>
      <c r="F614" s="2" t="s">
        <v>15</v>
      </c>
      <c r="G614" s="3"/>
      <c r="J614" s="2"/>
    </row>
    <row r="615" spans="1:10" customFormat="1" ht="16" x14ac:dyDescent="0.2">
      <c r="A615" t="s">
        <v>69</v>
      </c>
      <c r="B615" s="31">
        <f>B582/1000</f>
        <v>1.4516100000000001E-6</v>
      </c>
      <c r="D615" t="s">
        <v>14</v>
      </c>
      <c r="E615" t="s">
        <v>9</v>
      </c>
      <c r="F615" s="2" t="s">
        <v>15</v>
      </c>
      <c r="G615" s="3"/>
      <c r="J615" s="2"/>
    </row>
    <row r="616" spans="1:10" customFormat="1" ht="16" x14ac:dyDescent="0.2">
      <c r="A616" t="s">
        <v>70</v>
      </c>
      <c r="B616" s="3">
        <v>4.2883696301401334E-9</v>
      </c>
      <c r="D616" t="s">
        <v>14</v>
      </c>
      <c r="E616" t="s">
        <v>9</v>
      </c>
      <c r="F616" s="2" t="s">
        <v>15</v>
      </c>
      <c r="G616" s="3"/>
      <c r="J616" s="2"/>
    </row>
    <row r="617" spans="1:10" customFormat="1" ht="16" x14ac:dyDescent="0.2">
      <c r="A617" t="s">
        <v>71</v>
      </c>
      <c r="B617" s="3">
        <f>B583/1000</f>
        <v>2.1756100000000002E-7</v>
      </c>
      <c r="D617" t="s">
        <v>14</v>
      </c>
      <c r="E617" t="s">
        <v>9</v>
      </c>
      <c r="F617" s="2" t="s">
        <v>15</v>
      </c>
      <c r="G617" s="3"/>
      <c r="J617" s="2"/>
    </row>
    <row r="618" spans="1:10" customFormat="1" ht="16" x14ac:dyDescent="0.2">
      <c r="A618" t="s">
        <v>72</v>
      </c>
      <c r="B618" s="3">
        <v>4.417562867629381E-9</v>
      </c>
      <c r="D618" t="s">
        <v>14</v>
      </c>
      <c r="E618" t="s">
        <v>9</v>
      </c>
      <c r="F618" s="2" t="s">
        <v>15</v>
      </c>
      <c r="G618" s="3"/>
      <c r="J618" s="2"/>
    </row>
    <row r="619" spans="1:10" customFormat="1" ht="16" x14ac:dyDescent="0.2">
      <c r="A619" t="s">
        <v>73</v>
      </c>
      <c r="B619" s="3">
        <v>1.2147463123534157E-8</v>
      </c>
      <c r="D619" t="s">
        <v>14</v>
      </c>
      <c r="E619" t="s">
        <v>9</v>
      </c>
      <c r="F619" s="2" t="s">
        <v>15</v>
      </c>
      <c r="G619" s="3"/>
      <c r="J619" s="2"/>
    </row>
    <row r="620" spans="1:10" customFormat="1" ht="16" x14ac:dyDescent="0.2">
      <c r="A620" t="s">
        <v>74</v>
      </c>
      <c r="B620" s="3">
        <v>3.9768082958024133E-7</v>
      </c>
      <c r="D620" t="s">
        <v>14</v>
      </c>
      <c r="E620" t="s">
        <v>9</v>
      </c>
      <c r="F620" s="2" t="s">
        <v>15</v>
      </c>
      <c r="G620" s="3"/>
      <c r="J620" s="2"/>
    </row>
    <row r="621" spans="1:10" customFormat="1" ht="16" x14ac:dyDescent="0.2">
      <c r="A621" t="s">
        <v>75</v>
      </c>
      <c r="B621" s="3">
        <v>2.3255800597289225E-10</v>
      </c>
      <c r="D621" t="s">
        <v>14</v>
      </c>
      <c r="E621" t="s">
        <v>9</v>
      </c>
      <c r="F621" s="2" t="s">
        <v>15</v>
      </c>
      <c r="G621" s="3"/>
      <c r="J621" s="2"/>
    </row>
    <row r="622" spans="1:10" customFormat="1" ht="16" x14ac:dyDescent="0.2">
      <c r="A622" t="s">
        <v>76</v>
      </c>
      <c r="B622" s="3">
        <v>4.0869969387591558E-8</v>
      </c>
      <c r="D622" t="s">
        <v>14</v>
      </c>
      <c r="E622" t="s">
        <v>9</v>
      </c>
      <c r="F622" s="2" t="s">
        <v>15</v>
      </c>
      <c r="G622" s="3"/>
      <c r="J622" s="2"/>
    </row>
    <row r="623" spans="1:10" customFormat="1" ht="16" x14ac:dyDescent="0.2">
      <c r="A623" t="s">
        <v>77</v>
      </c>
      <c r="B623" s="3">
        <v>4.651160119457845E-7</v>
      </c>
      <c r="D623" t="s">
        <v>14</v>
      </c>
      <c r="E623" t="s">
        <v>9</v>
      </c>
      <c r="F623" s="2" t="s">
        <v>15</v>
      </c>
      <c r="G623" s="3"/>
      <c r="J623" s="2"/>
    </row>
    <row r="624" spans="1:10" customFormat="1" ht="16" x14ac:dyDescent="0.2">
      <c r="A624" t="s">
        <v>78</v>
      </c>
      <c r="B624" s="3">
        <v>7.619711612948033E-8</v>
      </c>
      <c r="D624" t="s">
        <v>14</v>
      </c>
      <c r="E624" t="s">
        <v>9</v>
      </c>
      <c r="F624" s="2" t="s">
        <v>15</v>
      </c>
      <c r="G624" s="3"/>
      <c r="J624" s="2"/>
    </row>
    <row r="625" spans="1:12" customFormat="1" ht="16" x14ac:dyDescent="0.2">
      <c r="A625" t="s">
        <v>79</v>
      </c>
      <c r="B625" s="3">
        <v>2.3255800597289226E-8</v>
      </c>
      <c r="D625" t="s">
        <v>14</v>
      </c>
      <c r="E625" t="s">
        <v>9</v>
      </c>
      <c r="F625" s="2" t="s">
        <v>15</v>
      </c>
      <c r="G625" s="3"/>
      <c r="J625" s="2"/>
    </row>
    <row r="626" spans="1:12" customFormat="1" ht="16" x14ac:dyDescent="0.2">
      <c r="A626" t="s">
        <v>80</v>
      </c>
      <c r="B626" s="3">
        <v>6.7382024692940973E-8</v>
      </c>
      <c r="D626" t="s">
        <v>14</v>
      </c>
      <c r="E626" t="s">
        <v>9</v>
      </c>
      <c r="F626" s="2" t="s">
        <v>15</v>
      </c>
      <c r="G626" s="3"/>
      <c r="J626" s="2"/>
    </row>
    <row r="627" spans="1:12" customFormat="1" ht="16" x14ac:dyDescent="0.2">
      <c r="A627" t="s">
        <v>81</v>
      </c>
      <c r="B627" s="3">
        <v>2.9821053643838246E-8</v>
      </c>
      <c r="D627" t="s">
        <v>14</v>
      </c>
      <c r="E627" t="s">
        <v>9</v>
      </c>
      <c r="F627" s="2" t="s">
        <v>15</v>
      </c>
      <c r="G627" s="3"/>
      <c r="J627" s="2"/>
    </row>
    <row r="628" spans="1:12" customFormat="1" ht="16" x14ac:dyDescent="0.2">
      <c r="B628" s="3"/>
      <c r="J628" s="2"/>
    </row>
    <row r="629" spans="1:12" x14ac:dyDescent="0.2">
      <c r="A629" s="17" t="s">
        <v>2</v>
      </c>
      <c r="B629" s="17" t="s">
        <v>412</v>
      </c>
    </row>
    <row r="630" spans="1:12" customFormat="1" ht="16" x14ac:dyDescent="0.2">
      <c r="A630" t="s">
        <v>151</v>
      </c>
      <c r="B630" t="s">
        <v>197</v>
      </c>
      <c r="J630" s="2"/>
    </row>
    <row r="631" spans="1:12" customFormat="1" ht="16" x14ac:dyDescent="0.2">
      <c r="A631" t="s">
        <v>198</v>
      </c>
      <c r="B631" t="s">
        <v>199</v>
      </c>
      <c r="J631" s="2"/>
    </row>
    <row r="632" spans="1:12" customFormat="1" ht="16" x14ac:dyDescent="0.2">
      <c r="A632" t="s">
        <v>3</v>
      </c>
      <c r="B632" t="s">
        <v>18</v>
      </c>
      <c r="J632" s="2"/>
    </row>
    <row r="633" spans="1:12" customFormat="1" ht="16" x14ac:dyDescent="0.2">
      <c r="A633" t="s">
        <v>4</v>
      </c>
      <c r="B633">
        <v>1</v>
      </c>
      <c r="J633" s="2"/>
    </row>
    <row r="634" spans="1:12" customFormat="1" ht="16" x14ac:dyDescent="0.2">
      <c r="A634" t="s">
        <v>5</v>
      </c>
      <c r="B634" t="s">
        <v>1</v>
      </c>
      <c r="J634" s="2"/>
    </row>
    <row r="635" spans="1:12" customFormat="1" ht="16" x14ac:dyDescent="0.2">
      <c r="A635" t="s">
        <v>6</v>
      </c>
      <c r="B635" t="s">
        <v>7</v>
      </c>
      <c r="J635" s="2"/>
    </row>
    <row r="636" spans="1:12" customFormat="1" ht="16" x14ac:dyDescent="0.2">
      <c r="A636" t="s">
        <v>8</v>
      </c>
      <c r="B636" t="s">
        <v>17</v>
      </c>
      <c r="J636" s="2"/>
    </row>
    <row r="637" spans="1:12" customFormat="1" ht="16" x14ac:dyDescent="0.2">
      <c r="A637" t="s">
        <v>352</v>
      </c>
      <c r="B637" s="2">
        <v>245</v>
      </c>
      <c r="C637" t="s">
        <v>312</v>
      </c>
      <c r="D637" s="2"/>
      <c r="E637" s="2"/>
      <c r="F637" s="2"/>
      <c r="G637" s="2"/>
      <c r="H637" s="2"/>
      <c r="I637" s="2"/>
      <c r="J637" s="2"/>
      <c r="K637" s="2"/>
      <c r="L637" s="2"/>
    </row>
    <row r="638" spans="1:12" customFormat="1" ht="16" x14ac:dyDescent="0.2">
      <c r="A638" t="s">
        <v>353</v>
      </c>
      <c r="B638" s="2">
        <v>125</v>
      </c>
      <c r="C638" t="s">
        <v>312</v>
      </c>
      <c r="D638" s="2"/>
      <c r="E638" s="2"/>
      <c r="F638" s="2"/>
      <c r="G638" s="2"/>
      <c r="H638" s="2"/>
      <c r="I638" s="2"/>
      <c r="J638" s="2"/>
      <c r="K638" s="2"/>
      <c r="L638" s="2"/>
    </row>
    <row r="639" spans="1:12" customFormat="1" ht="16" x14ac:dyDescent="0.2">
      <c r="A639" t="s">
        <v>354</v>
      </c>
      <c r="B639" s="2">
        <v>323</v>
      </c>
      <c r="C639" t="s">
        <v>312</v>
      </c>
      <c r="D639" s="2"/>
      <c r="E639" s="2"/>
      <c r="F639" s="2"/>
      <c r="G639" s="2"/>
      <c r="H639" s="2"/>
      <c r="I639" s="2"/>
      <c r="J639" s="2"/>
      <c r="K639" s="2"/>
      <c r="L639" s="2"/>
    </row>
    <row r="640" spans="1:12" customFormat="1" ht="16" x14ac:dyDescent="0.2">
      <c r="A640" t="s">
        <v>316</v>
      </c>
      <c r="B640" s="24">
        <v>700000</v>
      </c>
      <c r="C640" t="s">
        <v>313</v>
      </c>
      <c r="D640" s="2"/>
      <c r="E640" s="2"/>
      <c r="F640" s="2"/>
      <c r="G640" s="2"/>
      <c r="H640" s="2"/>
      <c r="I640" s="2"/>
      <c r="J640" s="2"/>
      <c r="K640" s="2"/>
      <c r="L640" s="2"/>
    </row>
    <row r="641" spans="1:12" customFormat="1" ht="16" x14ac:dyDescent="0.2">
      <c r="A641" t="s">
        <v>317</v>
      </c>
      <c r="B641" s="24">
        <v>500000</v>
      </c>
      <c r="C641" t="s">
        <v>313</v>
      </c>
      <c r="D641" s="2"/>
      <c r="E641" s="2"/>
      <c r="F641" s="2"/>
      <c r="G641" s="2"/>
      <c r="H641" s="2"/>
      <c r="I641" s="2"/>
      <c r="J641" s="2"/>
      <c r="K641" s="2"/>
      <c r="L641" s="2"/>
    </row>
    <row r="642" spans="1:12" customFormat="1" ht="16" x14ac:dyDescent="0.2">
      <c r="A642" t="s">
        <v>318</v>
      </c>
      <c r="B642" s="24">
        <v>1000000</v>
      </c>
      <c r="C642" t="s">
        <v>313</v>
      </c>
      <c r="D642" s="2"/>
      <c r="E642" s="2"/>
      <c r="F642" s="2"/>
      <c r="G642" s="2"/>
      <c r="H642" s="2"/>
      <c r="I642" s="2"/>
      <c r="J642" s="2"/>
      <c r="K642" s="2"/>
      <c r="L642" s="2"/>
    </row>
    <row r="643" spans="1:12" customFormat="1" ht="16" x14ac:dyDescent="0.2">
      <c r="A643" t="s">
        <v>319</v>
      </c>
      <c r="B643" s="2">
        <v>9500</v>
      </c>
      <c r="C643" t="s">
        <v>314</v>
      </c>
      <c r="D643" s="2"/>
      <c r="E643" s="2"/>
      <c r="F643" s="2"/>
      <c r="G643" s="2"/>
      <c r="H643" s="2"/>
      <c r="I643" s="2"/>
      <c r="J643" s="2"/>
      <c r="K643" s="2"/>
      <c r="L643" s="2"/>
    </row>
    <row r="644" spans="1:12" customFormat="1" ht="16" x14ac:dyDescent="0.2">
      <c r="A644" t="s">
        <v>320</v>
      </c>
      <c r="B644" s="2">
        <v>6000</v>
      </c>
      <c r="C644" t="s">
        <v>314</v>
      </c>
      <c r="D644" s="2"/>
      <c r="E644" s="2"/>
      <c r="F644" s="2"/>
      <c r="G644" s="2"/>
      <c r="H644" s="2"/>
      <c r="I644" s="2"/>
      <c r="J644" s="2"/>
      <c r="K644" s="2"/>
      <c r="L644" s="2"/>
    </row>
    <row r="645" spans="1:12" customFormat="1" ht="16" x14ac:dyDescent="0.2">
      <c r="A645" t="s">
        <v>321</v>
      </c>
      <c r="B645" s="2">
        <v>12200</v>
      </c>
      <c r="C645" t="s">
        <v>314</v>
      </c>
      <c r="D645" s="2"/>
      <c r="E645" s="2"/>
      <c r="F645" s="2"/>
      <c r="G645" s="2"/>
      <c r="H645" s="2"/>
      <c r="I645" s="2"/>
      <c r="J645" s="2"/>
      <c r="K645" s="2"/>
      <c r="L645" s="2"/>
    </row>
    <row r="646" spans="1:12" customFormat="1" ht="16" x14ac:dyDescent="0.2">
      <c r="A646" t="s">
        <v>337</v>
      </c>
      <c r="B646" s="2">
        <v>0</v>
      </c>
      <c r="C646" t="s">
        <v>336</v>
      </c>
      <c r="D646" s="2"/>
      <c r="E646" s="2"/>
      <c r="F646" s="2"/>
      <c r="G646" s="2"/>
      <c r="H646" s="2"/>
      <c r="I646" s="2"/>
      <c r="J646" s="2"/>
      <c r="K646" s="2"/>
      <c r="L646" s="2"/>
    </row>
    <row r="647" spans="1:12" customFormat="1" ht="16" x14ac:dyDescent="0.2">
      <c r="A647" t="s">
        <v>338</v>
      </c>
      <c r="B647" s="2">
        <v>0</v>
      </c>
      <c r="C647" t="s">
        <v>336</v>
      </c>
      <c r="D647" s="2"/>
      <c r="E647" s="2"/>
      <c r="F647" s="2"/>
      <c r="G647" s="2"/>
      <c r="H647" s="2"/>
      <c r="I647" s="2"/>
      <c r="J647" s="2"/>
      <c r="K647" s="2"/>
      <c r="L647" s="2"/>
    </row>
    <row r="648" spans="1:12" customFormat="1" ht="16" x14ac:dyDescent="0.2">
      <c r="A648" t="s">
        <v>339</v>
      </c>
      <c r="B648" s="2">
        <v>0</v>
      </c>
      <c r="C648" t="s">
        <v>336</v>
      </c>
      <c r="D648" s="2"/>
      <c r="E648" s="2"/>
      <c r="F648" s="2"/>
      <c r="G648" s="2"/>
      <c r="H648" s="2"/>
      <c r="I648" s="2"/>
      <c r="J648" s="2"/>
      <c r="K648" s="2"/>
      <c r="L648" s="2"/>
    </row>
    <row r="649" spans="1:12" customFormat="1" ht="16" x14ac:dyDescent="0.2">
      <c r="A649" t="s">
        <v>340</v>
      </c>
      <c r="B649" s="2">
        <v>733</v>
      </c>
      <c r="C649" t="s">
        <v>336</v>
      </c>
      <c r="D649" s="2"/>
      <c r="E649" s="2"/>
      <c r="F649" s="2"/>
      <c r="G649" s="2"/>
      <c r="H649" s="2"/>
      <c r="I649" s="2"/>
      <c r="J649" s="2"/>
      <c r="K649" s="2"/>
      <c r="L649" s="2"/>
    </row>
    <row r="650" spans="1:12" customFormat="1" ht="16" x14ac:dyDescent="0.2">
      <c r="A650" t="s">
        <v>341</v>
      </c>
      <c r="B650" s="2">
        <v>400</v>
      </c>
      <c r="C650" t="s">
        <v>336</v>
      </c>
      <c r="D650" s="2"/>
      <c r="E650" s="2"/>
      <c r="F650" s="2"/>
      <c r="G650" s="2"/>
      <c r="H650" s="2"/>
      <c r="I650" s="2"/>
      <c r="J650" s="2"/>
      <c r="K650" s="2"/>
      <c r="L650" s="2"/>
    </row>
    <row r="651" spans="1:12" customFormat="1" ht="16" x14ac:dyDescent="0.2">
      <c r="A651" t="s">
        <v>342</v>
      </c>
      <c r="B651" s="2">
        <v>955</v>
      </c>
      <c r="C651" t="s">
        <v>336</v>
      </c>
      <c r="D651" s="2"/>
      <c r="E651" s="2"/>
      <c r="F651" s="2"/>
      <c r="G651" s="2"/>
      <c r="H651" s="2"/>
      <c r="I651" s="2"/>
      <c r="J651" s="2"/>
      <c r="K651" s="2"/>
      <c r="L651" s="2"/>
    </row>
    <row r="652" spans="1:12" customFormat="1" ht="16" x14ac:dyDescent="0.2">
      <c r="A652" t="s">
        <v>333</v>
      </c>
      <c r="B652" s="2">
        <v>48</v>
      </c>
      <c r="C652" t="s">
        <v>336</v>
      </c>
      <c r="D652" s="2"/>
      <c r="E652" s="2"/>
      <c r="F652" s="2"/>
      <c r="G652" s="2"/>
      <c r="H652" s="2"/>
      <c r="I652" s="2"/>
      <c r="J652" s="2"/>
      <c r="K652" s="2"/>
      <c r="L652" s="2"/>
    </row>
    <row r="653" spans="1:12" customFormat="1" ht="16" x14ac:dyDescent="0.2">
      <c r="A653" t="s">
        <v>334</v>
      </c>
      <c r="B653" s="2">
        <v>38</v>
      </c>
      <c r="C653" t="s">
        <v>336</v>
      </c>
      <c r="D653" s="2"/>
      <c r="E653" s="2"/>
      <c r="F653" s="2"/>
      <c r="G653" s="2"/>
      <c r="H653" s="2"/>
      <c r="I653" s="2"/>
      <c r="J653" s="2"/>
      <c r="K653" s="2"/>
      <c r="L653" s="2"/>
    </row>
    <row r="654" spans="1:12" customFormat="1" ht="16" x14ac:dyDescent="0.2">
      <c r="A654" t="s">
        <v>335</v>
      </c>
      <c r="B654" s="2">
        <v>53</v>
      </c>
      <c r="C654" t="s">
        <v>336</v>
      </c>
      <c r="D654" s="2"/>
      <c r="E654" s="2"/>
      <c r="F654" s="2"/>
      <c r="G654" s="2"/>
      <c r="H654" s="2"/>
      <c r="I654" s="2"/>
      <c r="J654" s="2"/>
      <c r="K654" s="2"/>
      <c r="L654" s="2"/>
    </row>
    <row r="655" spans="1:12" customFormat="1" ht="16" x14ac:dyDescent="0.2">
      <c r="A655" t="s">
        <v>322</v>
      </c>
      <c r="B655" s="2">
        <v>0</v>
      </c>
      <c r="C655" t="s">
        <v>315</v>
      </c>
      <c r="D655" s="2"/>
      <c r="E655" s="2"/>
      <c r="F655" s="2"/>
      <c r="G655" s="2"/>
      <c r="H655" s="2"/>
      <c r="I655" s="2"/>
      <c r="J655" s="2"/>
      <c r="K655" s="2"/>
      <c r="L655" s="2"/>
    </row>
    <row r="656" spans="1:12" customFormat="1" ht="16" x14ac:dyDescent="0.2">
      <c r="A656" t="s">
        <v>323</v>
      </c>
      <c r="B656" s="2">
        <v>0</v>
      </c>
      <c r="C656" t="s">
        <v>315</v>
      </c>
      <c r="D656" s="2"/>
      <c r="E656" s="2"/>
      <c r="F656" s="2"/>
      <c r="G656" s="2"/>
      <c r="H656" s="2"/>
      <c r="I656" s="2"/>
      <c r="J656" s="2"/>
      <c r="K656" s="2"/>
      <c r="L656" s="2"/>
    </row>
    <row r="657" spans="1:12" customFormat="1" ht="16" x14ac:dyDescent="0.2">
      <c r="A657" t="s">
        <v>324</v>
      </c>
      <c r="B657" s="2">
        <v>0</v>
      </c>
      <c r="C657" t="s">
        <v>315</v>
      </c>
      <c r="D657" s="2"/>
      <c r="E657" s="2"/>
      <c r="F657" s="2"/>
      <c r="G657" s="2"/>
      <c r="H657" s="2"/>
      <c r="I657" s="2"/>
      <c r="J657" s="2"/>
      <c r="K657" s="2"/>
      <c r="L657" s="2"/>
    </row>
    <row r="658" spans="1:12" customFormat="1" ht="16" x14ac:dyDescent="0.2">
      <c r="A658" t="s">
        <v>330</v>
      </c>
      <c r="B658" s="2">
        <v>0</v>
      </c>
      <c r="C658" t="s">
        <v>8</v>
      </c>
      <c r="D658" s="2"/>
      <c r="E658" s="2"/>
      <c r="F658" s="2"/>
      <c r="G658" s="2"/>
      <c r="H658" s="2"/>
      <c r="I658" s="2"/>
      <c r="J658" s="2"/>
      <c r="K658" s="2"/>
      <c r="L658" s="2"/>
    </row>
    <row r="659" spans="1:12" customFormat="1" ht="16" x14ac:dyDescent="0.2">
      <c r="A659" t="s">
        <v>331</v>
      </c>
      <c r="B659" s="2">
        <v>0</v>
      </c>
      <c r="C659" t="s">
        <v>8</v>
      </c>
      <c r="D659" s="2"/>
      <c r="E659" s="2"/>
      <c r="F659" s="2"/>
      <c r="G659" s="2"/>
      <c r="H659" s="2"/>
      <c r="I659" s="2"/>
      <c r="J659" s="2"/>
      <c r="K659" s="2"/>
      <c r="L659" s="2"/>
    </row>
    <row r="660" spans="1:12" customFormat="1" ht="16" x14ac:dyDescent="0.2">
      <c r="A660" t="s">
        <v>332</v>
      </c>
      <c r="B660" s="2">
        <v>0</v>
      </c>
      <c r="C660" t="s">
        <v>8</v>
      </c>
      <c r="D660" s="2"/>
      <c r="E660" s="2"/>
      <c r="F660" s="2"/>
      <c r="G660" s="2"/>
      <c r="H660" s="2"/>
      <c r="I660" s="2"/>
      <c r="J660" s="2"/>
      <c r="K660" s="2"/>
      <c r="L660" s="2"/>
    </row>
    <row r="661" spans="1:12" customFormat="1" ht="16" x14ac:dyDescent="0.2">
      <c r="A661" t="s">
        <v>346</v>
      </c>
      <c r="B661" s="2">
        <v>0</v>
      </c>
      <c r="C661" t="s">
        <v>312</v>
      </c>
      <c r="D661" s="2"/>
      <c r="E661" s="2"/>
      <c r="F661" s="2"/>
      <c r="G661" s="2"/>
      <c r="H661" s="2"/>
      <c r="I661" s="2"/>
      <c r="J661" s="2"/>
      <c r="K661" s="2"/>
      <c r="L661" s="2"/>
    </row>
    <row r="662" spans="1:12" customFormat="1" ht="16" x14ac:dyDescent="0.2">
      <c r="A662" t="s">
        <v>347</v>
      </c>
      <c r="B662" s="2">
        <v>0</v>
      </c>
      <c r="C662" t="s">
        <v>312</v>
      </c>
      <c r="D662" s="2"/>
      <c r="E662" s="12"/>
      <c r="F662" s="2"/>
      <c r="G662" s="2"/>
      <c r="H662" s="2"/>
      <c r="I662" s="2"/>
      <c r="J662" s="2"/>
      <c r="K662" s="2"/>
      <c r="L662" s="2"/>
    </row>
    <row r="663" spans="1:12" customFormat="1" ht="16" x14ac:dyDescent="0.2">
      <c r="A663" t="s">
        <v>348</v>
      </c>
      <c r="B663" s="2">
        <v>0</v>
      </c>
      <c r="C663" t="s">
        <v>312</v>
      </c>
      <c r="D663" s="2"/>
      <c r="E663" s="2"/>
      <c r="F663" s="2"/>
      <c r="G663" s="2"/>
      <c r="H663" s="2"/>
      <c r="I663" s="2"/>
      <c r="J663" s="2"/>
      <c r="K663" s="2"/>
      <c r="L663" s="2"/>
    </row>
    <row r="664" spans="1:12" customFormat="1" ht="16" x14ac:dyDescent="0.2">
      <c r="A664" t="s">
        <v>349</v>
      </c>
      <c r="B664" s="2">
        <v>0</v>
      </c>
      <c r="C664" t="s">
        <v>8</v>
      </c>
      <c r="D664" s="2"/>
      <c r="E664" s="2"/>
      <c r="F664" s="2"/>
      <c r="G664" s="2"/>
      <c r="H664" s="2"/>
      <c r="I664" s="2"/>
      <c r="J664" s="2"/>
      <c r="K664" s="2"/>
      <c r="L664" s="2"/>
    </row>
    <row r="665" spans="1:12" customFormat="1" ht="16" x14ac:dyDescent="0.2">
      <c r="A665" t="s">
        <v>350</v>
      </c>
      <c r="B665" s="2">
        <v>0</v>
      </c>
      <c r="C665" t="s">
        <v>8</v>
      </c>
      <c r="D665" s="2"/>
      <c r="E665" s="2"/>
      <c r="F665" s="2"/>
      <c r="G665" s="2"/>
      <c r="H665" s="2"/>
      <c r="I665" s="2"/>
      <c r="J665" s="2"/>
      <c r="K665" s="2"/>
      <c r="L665" s="2"/>
    </row>
    <row r="666" spans="1:12" customFormat="1" ht="16" x14ac:dyDescent="0.2">
      <c r="A666" t="s">
        <v>351</v>
      </c>
      <c r="B666" s="2">
        <v>0</v>
      </c>
      <c r="C666" t="s">
        <v>8</v>
      </c>
      <c r="D666" s="2"/>
      <c r="E666" s="2"/>
      <c r="F666" s="2"/>
      <c r="G666" s="2"/>
      <c r="H666" s="2"/>
      <c r="I666" s="2"/>
      <c r="J666" s="2"/>
      <c r="K666" s="2"/>
      <c r="L666" s="2"/>
    </row>
    <row r="667" spans="1:12" customFormat="1" ht="16" x14ac:dyDescent="0.2">
      <c r="A667" t="s">
        <v>365</v>
      </c>
      <c r="B667" s="2">
        <v>0</v>
      </c>
      <c r="C667" t="s">
        <v>336</v>
      </c>
      <c r="D667" s="2"/>
      <c r="E667" s="2"/>
      <c r="F667" s="2"/>
      <c r="G667" s="2"/>
      <c r="H667" s="2"/>
      <c r="I667" s="2"/>
      <c r="J667" s="2"/>
      <c r="K667" s="2"/>
      <c r="L667" s="2"/>
    </row>
    <row r="668" spans="1:12" customFormat="1" ht="16" x14ac:dyDescent="0.2">
      <c r="A668" t="s">
        <v>366</v>
      </c>
      <c r="B668" s="2">
        <v>0</v>
      </c>
      <c r="C668" t="s">
        <v>336</v>
      </c>
      <c r="D668" s="2"/>
      <c r="E668" s="2"/>
      <c r="F668" s="2"/>
      <c r="G668" s="2"/>
      <c r="H668" s="2"/>
      <c r="I668" s="2"/>
      <c r="J668" s="2"/>
      <c r="K668" s="2"/>
      <c r="L668" s="2"/>
    </row>
    <row r="669" spans="1:12" customFormat="1" ht="16" x14ac:dyDescent="0.2">
      <c r="A669" t="s">
        <v>367</v>
      </c>
      <c r="B669" s="2">
        <v>0</v>
      </c>
      <c r="C669" t="s">
        <v>336</v>
      </c>
      <c r="D669" s="2"/>
      <c r="E669" s="2"/>
      <c r="F669" s="2"/>
      <c r="G669" s="2"/>
      <c r="H669" s="2"/>
      <c r="I669" s="2"/>
      <c r="J669" s="2"/>
      <c r="K669" s="2"/>
      <c r="L669" s="2"/>
    </row>
    <row r="670" spans="1:12" customFormat="1" ht="16" x14ac:dyDescent="0.2">
      <c r="A670" t="s">
        <v>368</v>
      </c>
      <c r="B670" s="2">
        <v>0</v>
      </c>
      <c r="C670" t="s">
        <v>336</v>
      </c>
      <c r="D670" s="2"/>
      <c r="E670" s="2"/>
      <c r="F670" s="2"/>
      <c r="G670" s="2"/>
      <c r="H670" s="2"/>
      <c r="I670" s="2"/>
      <c r="J670" s="2"/>
      <c r="K670" s="2"/>
      <c r="L670" s="2"/>
    </row>
    <row r="671" spans="1:12" customFormat="1" ht="16" x14ac:dyDescent="0.2">
      <c r="A671" t="s">
        <v>369</v>
      </c>
      <c r="B671" s="2">
        <v>0</v>
      </c>
      <c r="C671" t="s">
        <v>336</v>
      </c>
      <c r="D671" s="2"/>
      <c r="E671" s="2"/>
      <c r="F671" s="2"/>
      <c r="G671" s="2"/>
      <c r="H671" s="2"/>
      <c r="I671" s="2"/>
      <c r="J671" s="2"/>
      <c r="K671" s="2"/>
      <c r="L671" s="2"/>
    </row>
    <row r="672" spans="1:12" customFormat="1" ht="16" x14ac:dyDescent="0.2">
      <c r="A672" t="s">
        <v>344</v>
      </c>
      <c r="B672" s="32">
        <v>1.4516100000000001E-3</v>
      </c>
      <c r="C672" t="s">
        <v>345</v>
      </c>
      <c r="D672" s="2"/>
      <c r="E672" s="2"/>
      <c r="F672" s="2"/>
      <c r="G672" s="2"/>
      <c r="H672" s="2"/>
      <c r="I672" s="2"/>
      <c r="J672" s="2"/>
      <c r="K672" s="2"/>
      <c r="L672" s="2"/>
    </row>
    <row r="673" spans="1:12" customFormat="1" ht="16" x14ac:dyDescent="0.2">
      <c r="A673" t="s">
        <v>343</v>
      </c>
      <c r="B673" s="32">
        <v>2.1756100000000001E-4</v>
      </c>
      <c r="C673" t="s">
        <v>345</v>
      </c>
      <c r="D673" s="2"/>
      <c r="E673" s="2"/>
      <c r="F673" s="2"/>
      <c r="G673" s="2"/>
      <c r="H673" s="2"/>
      <c r="I673" s="2"/>
      <c r="J673" s="2"/>
      <c r="K673" s="2"/>
      <c r="L673" s="2"/>
    </row>
    <row r="674" spans="1:12" customFormat="1" ht="16" x14ac:dyDescent="0.2">
      <c r="A674" s="1" t="s">
        <v>10</v>
      </c>
      <c r="J674" s="2"/>
    </row>
    <row r="675" spans="1:12" x14ac:dyDescent="0.2">
      <c r="A675" s="17" t="s">
        <v>11</v>
      </c>
      <c r="B675" s="17" t="s">
        <v>12</v>
      </c>
      <c r="C675" s="17" t="s">
        <v>3</v>
      </c>
      <c r="D675" s="17" t="s">
        <v>13</v>
      </c>
      <c r="E675" s="17" t="s">
        <v>8</v>
      </c>
      <c r="F675" s="17" t="s">
        <v>6</v>
      </c>
      <c r="G675" s="17" t="s">
        <v>5</v>
      </c>
      <c r="H675" s="17" t="s">
        <v>151</v>
      </c>
      <c r="I675" s="17" t="s">
        <v>179</v>
      </c>
      <c r="J675" s="17" t="s">
        <v>180</v>
      </c>
      <c r="K675" s="17" t="s">
        <v>181</v>
      </c>
      <c r="L675" s="17" t="s">
        <v>182</v>
      </c>
    </row>
    <row r="676" spans="1:12" customFormat="1" ht="16" x14ac:dyDescent="0.2">
      <c r="A676" t="s">
        <v>256</v>
      </c>
      <c r="B676">
        <v>1</v>
      </c>
      <c r="C676" t="s">
        <v>18</v>
      </c>
      <c r="E676" t="s">
        <v>17</v>
      </c>
      <c r="F676" t="s">
        <v>19</v>
      </c>
      <c r="J676" s="2"/>
    </row>
    <row r="677" spans="1:12" customFormat="1" ht="16" x14ac:dyDescent="0.2">
      <c r="A677" t="s">
        <v>200</v>
      </c>
      <c r="B677" s="3">
        <f>(B652/B640)/(B643/1000)</f>
        <v>7.2180451127819541E-6</v>
      </c>
      <c r="C677" t="s">
        <v>18</v>
      </c>
      <c r="E677" t="s">
        <v>9</v>
      </c>
      <c r="F677" t="s">
        <v>23</v>
      </c>
      <c r="G677" t="s">
        <v>201</v>
      </c>
      <c r="I677">
        <v>5</v>
      </c>
      <c r="J677" s="12">
        <f>B677</f>
        <v>7.2180451127819541E-6</v>
      </c>
      <c r="K677" s="3">
        <f>(B653/B642)/(B645/1000)</f>
        <v>3.114754098360656E-6</v>
      </c>
      <c r="L677" s="3">
        <f>(B654/B641)/(B644/1000)</f>
        <v>1.7666666666666668E-5</v>
      </c>
    </row>
    <row r="678" spans="1:12" customFormat="1" ht="16" x14ac:dyDescent="0.2">
      <c r="A678" t="s">
        <v>145</v>
      </c>
      <c r="B678" s="3">
        <f>(B649/B640)/(B643/1000)</f>
        <v>1.1022556390977444E-4</v>
      </c>
      <c r="C678" t="s">
        <v>18</v>
      </c>
      <c r="E678" t="s">
        <v>9</v>
      </c>
      <c r="F678" t="s">
        <v>23</v>
      </c>
      <c r="G678" t="s">
        <v>145</v>
      </c>
      <c r="I678">
        <v>5</v>
      </c>
      <c r="J678" s="12">
        <f>B678</f>
        <v>1.1022556390977444E-4</v>
      </c>
      <c r="K678" s="3">
        <f>(B650/B642)/(B645/1000)</f>
        <v>3.2786885245901642E-5</v>
      </c>
      <c r="L678" s="3">
        <f>(B651/B641)/(B644/1000)</f>
        <v>3.1833333333333334E-4</v>
      </c>
    </row>
    <row r="679" spans="1:12" customFormat="1" ht="16" x14ac:dyDescent="0.2">
      <c r="A679" s="2" t="s">
        <v>175</v>
      </c>
      <c r="B679" s="8">
        <f>1/43</f>
        <v>2.3255813953488372E-2</v>
      </c>
      <c r="C679" t="s">
        <v>18</v>
      </c>
      <c r="E679" t="s">
        <v>9</v>
      </c>
      <c r="F679" t="s">
        <v>23</v>
      </c>
      <c r="G679" t="s">
        <v>176</v>
      </c>
      <c r="J679" s="2"/>
    </row>
    <row r="680" spans="1:12" customFormat="1" ht="16" x14ac:dyDescent="0.2">
      <c r="A680" t="s">
        <v>45</v>
      </c>
      <c r="B680" s="3">
        <v>7.1455665432553858E-7</v>
      </c>
      <c r="D680" t="s">
        <v>14</v>
      </c>
      <c r="E680" t="s">
        <v>9</v>
      </c>
      <c r="F680" s="2" t="s">
        <v>15</v>
      </c>
      <c r="G680" s="3"/>
      <c r="J680" s="2"/>
    </row>
    <row r="681" spans="1:12" customFormat="1" ht="16" x14ac:dyDescent="0.2">
      <c r="A681" t="s">
        <v>46</v>
      </c>
      <c r="B681" s="3">
        <v>3.2468920124586623E-7</v>
      </c>
      <c r="D681" t="s">
        <v>14</v>
      </c>
      <c r="E681" t="s">
        <v>9</v>
      </c>
      <c r="F681" s="2" t="s">
        <v>15</v>
      </c>
      <c r="G681" s="3"/>
      <c r="J681" s="2"/>
    </row>
    <row r="682" spans="1:12" customFormat="1" ht="16" x14ac:dyDescent="0.2">
      <c r="A682" t="s">
        <v>47</v>
      </c>
      <c r="B682" s="3">
        <v>3.9534349472964383E-7</v>
      </c>
      <c r="D682" t="s">
        <v>14</v>
      </c>
      <c r="E682" t="s">
        <v>9</v>
      </c>
      <c r="F682" s="2" t="s">
        <v>15</v>
      </c>
      <c r="G682" s="3"/>
      <c r="J682" s="2"/>
    </row>
    <row r="683" spans="1:12" customFormat="1" ht="16" x14ac:dyDescent="0.2">
      <c r="A683" t="s">
        <v>48</v>
      </c>
      <c r="B683" s="3">
        <v>3.7209280955662761E-7</v>
      </c>
      <c r="D683" t="s">
        <v>14</v>
      </c>
      <c r="E683" t="s">
        <v>9</v>
      </c>
      <c r="F683" s="2" t="s">
        <v>15</v>
      </c>
      <c r="G683" s="3"/>
      <c r="J683" s="2"/>
    </row>
    <row r="684" spans="1:12" customFormat="1" ht="16" x14ac:dyDescent="0.2">
      <c r="A684" t="s">
        <v>49</v>
      </c>
      <c r="B684" s="3">
        <v>9.4995966427857817E-8</v>
      </c>
      <c r="D684" t="s">
        <v>14</v>
      </c>
      <c r="E684" t="s">
        <v>9</v>
      </c>
      <c r="F684" s="2" t="s">
        <v>15</v>
      </c>
      <c r="G684" s="3"/>
      <c r="J684" s="2"/>
    </row>
    <row r="685" spans="1:12" customFormat="1" ht="16" x14ac:dyDescent="0.2">
      <c r="A685" t="s">
        <v>50</v>
      </c>
      <c r="B685" s="3">
        <v>2.186743705223342E-7</v>
      </c>
      <c r="D685" t="s">
        <v>14</v>
      </c>
      <c r="E685" t="s">
        <v>9</v>
      </c>
      <c r="F685" s="2" t="s">
        <v>15</v>
      </c>
      <c r="G685" s="3"/>
      <c r="J685" s="2"/>
    </row>
    <row r="686" spans="1:12" customFormat="1" ht="16" x14ac:dyDescent="0.2">
      <c r="A686" t="s">
        <v>51</v>
      </c>
      <c r="B686" s="3">
        <v>1.2147463123534157E-8</v>
      </c>
      <c r="D686" t="s">
        <v>14</v>
      </c>
      <c r="E686" t="s">
        <v>9</v>
      </c>
      <c r="F686" s="2" t="s">
        <v>15</v>
      </c>
      <c r="G686" s="3"/>
      <c r="J686" s="2"/>
    </row>
    <row r="687" spans="1:12" customFormat="1" ht="16" x14ac:dyDescent="0.2">
      <c r="A687" t="s">
        <v>52</v>
      </c>
      <c r="B687" s="3">
        <v>2.3255800597289225E-10</v>
      </c>
      <c r="D687" t="s">
        <v>14</v>
      </c>
      <c r="E687" t="s">
        <v>9</v>
      </c>
      <c r="F687" s="2" t="s">
        <v>15</v>
      </c>
      <c r="G687" s="3"/>
      <c r="J687" s="2"/>
    </row>
    <row r="688" spans="1:12" customFormat="1" ht="16" x14ac:dyDescent="0.2">
      <c r="A688" t="s">
        <v>122</v>
      </c>
      <c r="B688" s="8">
        <f>B679*3.15</f>
        <v>7.3255813953488375E-2</v>
      </c>
      <c r="D688" t="s">
        <v>14</v>
      </c>
      <c r="E688" t="s">
        <v>9</v>
      </c>
      <c r="F688" s="2" t="s">
        <v>15</v>
      </c>
      <c r="G688" s="3"/>
      <c r="J688" s="2"/>
    </row>
    <row r="689" spans="1:10" customFormat="1" ht="16" x14ac:dyDescent="0.2">
      <c r="A689" t="s">
        <v>123</v>
      </c>
      <c r="B689" s="3">
        <v>2.1069404153243686E-5</v>
      </c>
      <c r="D689" t="s">
        <v>14</v>
      </c>
      <c r="E689" t="s">
        <v>9</v>
      </c>
      <c r="F689" s="2" t="s">
        <v>15</v>
      </c>
      <c r="G689" s="3"/>
      <c r="J689" s="2"/>
    </row>
    <row r="690" spans="1:10" customFormat="1" ht="16" x14ac:dyDescent="0.2">
      <c r="A690" t="s">
        <v>55</v>
      </c>
      <c r="B690" s="3">
        <v>1.1627900298644613E-9</v>
      </c>
      <c r="D690" t="s">
        <v>14</v>
      </c>
      <c r="E690" t="s">
        <v>9</v>
      </c>
      <c r="F690" s="2" t="s">
        <v>15</v>
      </c>
      <c r="G690" s="3"/>
      <c r="J690" s="2"/>
    </row>
    <row r="691" spans="1:10" customFormat="1" ht="16" x14ac:dyDescent="0.2">
      <c r="A691" t="s">
        <v>56</v>
      </c>
      <c r="B691" s="3">
        <v>2.3255800597289222E-12</v>
      </c>
      <c r="D691" t="s">
        <v>14</v>
      </c>
      <c r="E691" t="s">
        <v>9</v>
      </c>
      <c r="F691" s="2" t="s">
        <v>15</v>
      </c>
      <c r="G691" s="3"/>
      <c r="J691" s="2"/>
    </row>
    <row r="692" spans="1:10" customFormat="1" ht="16" x14ac:dyDescent="0.2">
      <c r="A692" t="s">
        <v>57</v>
      </c>
      <c r="B692" s="3">
        <v>3.9534861015391682E-8</v>
      </c>
      <c r="D692" t="s">
        <v>14</v>
      </c>
      <c r="E692" t="s">
        <v>9</v>
      </c>
      <c r="F692" s="2" t="s">
        <v>15</v>
      </c>
      <c r="G692" s="3"/>
      <c r="J692" s="2"/>
    </row>
    <row r="693" spans="1:10" customFormat="1" ht="16" x14ac:dyDescent="0.2">
      <c r="A693" t="s">
        <v>150</v>
      </c>
      <c r="B693" s="3">
        <v>7.1789570411210658E-8</v>
      </c>
      <c r="D693" t="s">
        <v>14</v>
      </c>
      <c r="E693" t="s">
        <v>9</v>
      </c>
      <c r="F693" s="2" t="s">
        <v>15</v>
      </c>
      <c r="G693" s="3"/>
      <c r="J693" s="2"/>
    </row>
    <row r="694" spans="1:10" customFormat="1" ht="16" x14ac:dyDescent="0.2">
      <c r="A694" t="s">
        <v>58</v>
      </c>
      <c r="B694" s="3">
        <v>1.1627900298644611E-6</v>
      </c>
      <c r="D694" t="s">
        <v>14</v>
      </c>
      <c r="E694" t="s">
        <v>9</v>
      </c>
      <c r="F694" s="2" t="s">
        <v>15</v>
      </c>
      <c r="G694" s="3"/>
      <c r="J694" s="2"/>
    </row>
    <row r="695" spans="1:10" customFormat="1" ht="16" x14ac:dyDescent="0.2">
      <c r="A695" t="s">
        <v>59</v>
      </c>
      <c r="B695" s="3">
        <v>3.646242366932188E-8</v>
      </c>
      <c r="D695" t="s">
        <v>14</v>
      </c>
      <c r="E695" t="s">
        <v>9</v>
      </c>
      <c r="F695" s="2" t="s">
        <v>15</v>
      </c>
      <c r="G695" s="3"/>
      <c r="J695" s="2"/>
    </row>
    <row r="696" spans="1:10" customFormat="1" ht="16" x14ac:dyDescent="0.2">
      <c r="A696" t="s">
        <v>60</v>
      </c>
      <c r="B696" s="3">
        <v>1.2114072625668476E-6</v>
      </c>
      <c r="D696" t="s">
        <v>14</v>
      </c>
      <c r="E696" t="s">
        <v>9</v>
      </c>
      <c r="F696" s="2" t="s">
        <v>15</v>
      </c>
      <c r="G696" s="3"/>
      <c r="J696" s="2"/>
    </row>
    <row r="697" spans="1:10" customFormat="1" ht="16" x14ac:dyDescent="0.2">
      <c r="A697" t="s">
        <v>61</v>
      </c>
      <c r="B697" s="3">
        <v>1.3252688602888143E-6</v>
      </c>
      <c r="D697" t="s">
        <v>14</v>
      </c>
      <c r="E697" t="s">
        <v>9</v>
      </c>
      <c r="F697" s="2" t="s">
        <v>15</v>
      </c>
      <c r="G697" s="3"/>
      <c r="J697" s="2"/>
    </row>
    <row r="698" spans="1:10" customFormat="1" ht="16" x14ac:dyDescent="0.2">
      <c r="A698" t="s">
        <v>62</v>
      </c>
      <c r="B698" s="3">
        <v>2.2087814338146904E-8</v>
      </c>
      <c r="D698" t="s">
        <v>14</v>
      </c>
      <c r="E698" t="s">
        <v>9</v>
      </c>
      <c r="F698" s="2" t="s">
        <v>15</v>
      </c>
      <c r="G698" s="3"/>
      <c r="J698" s="2"/>
    </row>
    <row r="699" spans="1:10" customFormat="1" ht="16" x14ac:dyDescent="0.2">
      <c r="A699" t="s">
        <v>63</v>
      </c>
      <c r="B699" s="3">
        <v>1.9186035492763611E-15</v>
      </c>
      <c r="D699" t="s">
        <v>14</v>
      </c>
      <c r="E699" t="s">
        <v>9</v>
      </c>
      <c r="F699" s="2" t="s">
        <v>15</v>
      </c>
      <c r="G699" s="3"/>
      <c r="J699" s="2"/>
    </row>
    <row r="700" spans="1:10" customFormat="1" ht="16" x14ac:dyDescent="0.2">
      <c r="A700" t="s">
        <v>64</v>
      </c>
      <c r="B700" s="3">
        <v>4.6511601194578451E-13</v>
      </c>
      <c r="D700" t="s">
        <v>14</v>
      </c>
      <c r="E700" t="s">
        <v>9</v>
      </c>
      <c r="F700" s="2" t="s">
        <v>15</v>
      </c>
      <c r="G700" s="3"/>
      <c r="J700" s="2"/>
    </row>
    <row r="701" spans="1:10" customFormat="1" ht="16" x14ac:dyDescent="0.2">
      <c r="A701" t="s">
        <v>177</v>
      </c>
      <c r="B701" s="3">
        <v>6.6447090752701953E-7</v>
      </c>
      <c r="D701" t="s">
        <v>14</v>
      </c>
      <c r="E701" t="s">
        <v>9</v>
      </c>
      <c r="F701" s="2" t="s">
        <v>15</v>
      </c>
      <c r="G701" s="3"/>
      <c r="J701" s="2"/>
    </row>
    <row r="702" spans="1:10" customFormat="1" ht="16" x14ac:dyDescent="0.2">
      <c r="A702" t="s">
        <v>66</v>
      </c>
      <c r="B702" s="3">
        <v>1.3252688602888143E-7</v>
      </c>
      <c r="D702" t="s">
        <v>14</v>
      </c>
      <c r="E702" t="s">
        <v>9</v>
      </c>
      <c r="F702" s="2" t="s">
        <v>15</v>
      </c>
      <c r="G702" s="3"/>
      <c r="J702" s="2"/>
    </row>
    <row r="703" spans="1:10" customFormat="1" ht="16" x14ac:dyDescent="0.2">
      <c r="A703" t="s">
        <v>67</v>
      </c>
      <c r="B703" s="3">
        <v>5.8566933256401625E-6</v>
      </c>
      <c r="D703" t="s">
        <v>14</v>
      </c>
      <c r="E703" t="s">
        <v>9</v>
      </c>
      <c r="F703" s="2" t="s">
        <v>15</v>
      </c>
      <c r="G703" s="3"/>
      <c r="J703" s="2"/>
    </row>
    <row r="704" spans="1:10" customFormat="1" ht="16" x14ac:dyDescent="0.2">
      <c r="A704" t="s">
        <v>68</v>
      </c>
      <c r="B704" s="3">
        <v>1.6279060418102458E-9</v>
      </c>
      <c r="D704" t="s">
        <v>14</v>
      </c>
      <c r="E704" t="s">
        <v>9</v>
      </c>
      <c r="F704" s="2" t="s">
        <v>15</v>
      </c>
      <c r="G704" s="3"/>
      <c r="J704" s="2"/>
    </row>
    <row r="705" spans="1:10" customFormat="1" ht="16" x14ac:dyDescent="0.2">
      <c r="A705" t="s">
        <v>69</v>
      </c>
      <c r="B705" s="3">
        <f>B672/1000</f>
        <v>1.4516100000000001E-6</v>
      </c>
      <c r="D705" t="s">
        <v>14</v>
      </c>
      <c r="E705" t="s">
        <v>9</v>
      </c>
      <c r="F705" s="2" t="s">
        <v>15</v>
      </c>
      <c r="G705" s="3"/>
      <c r="J705" s="2"/>
    </row>
    <row r="706" spans="1:10" customFormat="1" ht="16" x14ac:dyDescent="0.2">
      <c r="A706" t="s">
        <v>70</v>
      </c>
      <c r="B706" s="3">
        <v>4.2883696301401334E-9</v>
      </c>
      <c r="D706" t="s">
        <v>14</v>
      </c>
      <c r="E706" t="s">
        <v>9</v>
      </c>
      <c r="F706" s="2" t="s">
        <v>15</v>
      </c>
      <c r="G706" s="3"/>
      <c r="J706" s="2"/>
    </row>
    <row r="707" spans="1:10" customFormat="1" ht="16" x14ac:dyDescent="0.2">
      <c r="A707" t="s">
        <v>71</v>
      </c>
      <c r="B707" s="3">
        <f>B673/1000</f>
        <v>2.1756100000000002E-7</v>
      </c>
      <c r="D707" t="s">
        <v>14</v>
      </c>
      <c r="E707" t="s">
        <v>9</v>
      </c>
      <c r="F707" s="2" t="s">
        <v>15</v>
      </c>
      <c r="G707" s="3"/>
      <c r="J707" s="2"/>
    </row>
    <row r="708" spans="1:10" customFormat="1" ht="16" x14ac:dyDescent="0.2">
      <c r="A708" t="s">
        <v>72</v>
      </c>
      <c r="B708" s="3">
        <v>4.417562867629381E-9</v>
      </c>
      <c r="D708" t="s">
        <v>14</v>
      </c>
      <c r="E708" t="s">
        <v>9</v>
      </c>
      <c r="F708" s="2" t="s">
        <v>15</v>
      </c>
      <c r="G708" s="3"/>
      <c r="J708" s="2"/>
    </row>
    <row r="709" spans="1:10" customFormat="1" ht="16" x14ac:dyDescent="0.2">
      <c r="A709" t="s">
        <v>73</v>
      </c>
      <c r="B709" s="3">
        <v>1.2147463123534157E-8</v>
      </c>
      <c r="D709" t="s">
        <v>14</v>
      </c>
      <c r="E709" t="s">
        <v>9</v>
      </c>
      <c r="F709" s="2" t="s">
        <v>15</v>
      </c>
      <c r="G709" s="3"/>
      <c r="J709" s="2"/>
    </row>
    <row r="710" spans="1:10" customFormat="1" ht="16" x14ac:dyDescent="0.2">
      <c r="A710" t="s">
        <v>74</v>
      </c>
      <c r="B710" s="3">
        <v>3.9768082958024133E-7</v>
      </c>
      <c r="D710" t="s">
        <v>14</v>
      </c>
      <c r="E710" t="s">
        <v>9</v>
      </c>
      <c r="F710" s="2" t="s">
        <v>15</v>
      </c>
      <c r="G710" s="3"/>
      <c r="J710" s="2"/>
    </row>
    <row r="711" spans="1:10" customFormat="1" ht="16" x14ac:dyDescent="0.2">
      <c r="A711" t="s">
        <v>75</v>
      </c>
      <c r="B711" s="3">
        <v>2.3255800597289225E-10</v>
      </c>
      <c r="D711" t="s">
        <v>14</v>
      </c>
      <c r="E711" t="s">
        <v>9</v>
      </c>
      <c r="F711" s="2" t="s">
        <v>15</v>
      </c>
      <c r="G711" s="3"/>
      <c r="J711" s="2"/>
    </row>
    <row r="712" spans="1:10" customFormat="1" ht="16" x14ac:dyDescent="0.2">
      <c r="A712" t="s">
        <v>76</v>
      </c>
      <c r="B712" s="3">
        <v>4.0869969387591558E-8</v>
      </c>
      <c r="D712" t="s">
        <v>14</v>
      </c>
      <c r="E712" t="s">
        <v>9</v>
      </c>
      <c r="F712" s="2" t="s">
        <v>15</v>
      </c>
      <c r="G712" s="3"/>
      <c r="J712" s="2"/>
    </row>
    <row r="713" spans="1:10" customFormat="1" ht="16" x14ac:dyDescent="0.2">
      <c r="A713" t="s">
        <v>77</v>
      </c>
      <c r="B713" s="3">
        <v>4.651160119457845E-7</v>
      </c>
      <c r="D713" t="s">
        <v>14</v>
      </c>
      <c r="E713" t="s">
        <v>9</v>
      </c>
      <c r="F713" s="2" t="s">
        <v>15</v>
      </c>
      <c r="G713" s="3"/>
      <c r="J713" s="2"/>
    </row>
    <row r="714" spans="1:10" customFormat="1" ht="16" x14ac:dyDescent="0.2">
      <c r="A714" t="s">
        <v>78</v>
      </c>
      <c r="B714" s="3">
        <v>7.619711612948033E-8</v>
      </c>
      <c r="D714" t="s">
        <v>14</v>
      </c>
      <c r="E714" t="s">
        <v>9</v>
      </c>
      <c r="F714" s="2" t="s">
        <v>15</v>
      </c>
      <c r="G714" s="3"/>
      <c r="J714" s="2"/>
    </row>
    <row r="715" spans="1:10" customFormat="1" ht="16" x14ac:dyDescent="0.2">
      <c r="A715" t="s">
        <v>79</v>
      </c>
      <c r="B715" s="3">
        <v>2.3255800597289226E-8</v>
      </c>
      <c r="D715" t="s">
        <v>14</v>
      </c>
      <c r="E715" t="s">
        <v>9</v>
      </c>
      <c r="F715" s="2" t="s">
        <v>15</v>
      </c>
      <c r="G715" s="3"/>
      <c r="J715" s="2"/>
    </row>
    <row r="716" spans="1:10" customFormat="1" ht="16" x14ac:dyDescent="0.2">
      <c r="A716" t="s">
        <v>80</v>
      </c>
      <c r="B716" s="3">
        <v>6.7382024692940973E-8</v>
      </c>
      <c r="D716" t="s">
        <v>14</v>
      </c>
      <c r="E716" t="s">
        <v>9</v>
      </c>
      <c r="F716" s="2" t="s">
        <v>15</v>
      </c>
      <c r="G716" s="3"/>
      <c r="J716" s="2"/>
    </row>
    <row r="717" spans="1:10" customFormat="1" ht="16" x14ac:dyDescent="0.2">
      <c r="A717" t="s">
        <v>81</v>
      </c>
      <c r="B717" s="3">
        <v>2.9821053643838246E-8</v>
      </c>
      <c r="D717" t="s">
        <v>14</v>
      </c>
      <c r="E717" t="s">
        <v>9</v>
      </c>
      <c r="F717" s="2" t="s">
        <v>15</v>
      </c>
      <c r="G717" s="3"/>
      <c r="J717" s="2"/>
    </row>
    <row r="718" spans="1:10" customFormat="1" ht="16" x14ac:dyDescent="0.2">
      <c r="B718" s="3"/>
      <c r="J718" s="2"/>
    </row>
    <row r="719" spans="1:10" x14ac:dyDescent="0.2">
      <c r="A719" s="17" t="s">
        <v>2</v>
      </c>
      <c r="B719" s="17" t="s">
        <v>407</v>
      </c>
    </row>
    <row r="720" spans="1:10" customFormat="1" ht="16" x14ac:dyDescent="0.2">
      <c r="A720" t="s">
        <v>151</v>
      </c>
      <c r="B720" t="s">
        <v>197</v>
      </c>
      <c r="J720" s="2"/>
    </row>
    <row r="721" spans="1:12" customFormat="1" ht="16" x14ac:dyDescent="0.2">
      <c r="A721" t="s">
        <v>198</v>
      </c>
      <c r="B721" t="s">
        <v>199</v>
      </c>
      <c r="J721" s="2"/>
    </row>
    <row r="722" spans="1:12" customFormat="1" ht="16" x14ac:dyDescent="0.2">
      <c r="A722" t="s">
        <v>3</v>
      </c>
      <c r="B722" t="s">
        <v>18</v>
      </c>
      <c r="J722" s="2"/>
    </row>
    <row r="723" spans="1:12" customFormat="1" ht="16" x14ac:dyDescent="0.2">
      <c r="A723" t="s">
        <v>4</v>
      </c>
      <c r="B723">
        <v>1</v>
      </c>
      <c r="J723" s="2"/>
    </row>
    <row r="724" spans="1:12" customFormat="1" ht="16" x14ac:dyDescent="0.2">
      <c r="A724" t="s">
        <v>5</v>
      </c>
      <c r="B724" t="s">
        <v>1</v>
      </c>
      <c r="J724" s="2"/>
    </row>
    <row r="725" spans="1:12" customFormat="1" ht="16" x14ac:dyDescent="0.2">
      <c r="A725" t="s">
        <v>6</v>
      </c>
      <c r="B725" t="s">
        <v>7</v>
      </c>
      <c r="J725" s="2"/>
    </row>
    <row r="726" spans="1:12" customFormat="1" ht="16" x14ac:dyDescent="0.2">
      <c r="A726" t="s">
        <v>8</v>
      </c>
      <c r="B726" t="s">
        <v>17</v>
      </c>
      <c r="J726" s="2"/>
    </row>
    <row r="727" spans="1:12" customFormat="1" ht="16" x14ac:dyDescent="0.2">
      <c r="A727" t="s">
        <v>352</v>
      </c>
      <c r="B727" s="2">
        <v>245</v>
      </c>
      <c r="C727" t="s">
        <v>312</v>
      </c>
      <c r="D727" s="2"/>
      <c r="E727" s="2"/>
      <c r="F727" s="2"/>
      <c r="G727" s="2"/>
      <c r="H727" s="2"/>
      <c r="I727" s="2"/>
      <c r="J727" s="2"/>
      <c r="K727" s="2"/>
      <c r="L727" s="2"/>
    </row>
    <row r="728" spans="1:12" customFormat="1" ht="16" x14ac:dyDescent="0.2">
      <c r="A728" t="s">
        <v>353</v>
      </c>
      <c r="B728" s="2">
        <v>125</v>
      </c>
      <c r="C728" t="s">
        <v>312</v>
      </c>
      <c r="D728" s="2"/>
      <c r="E728" s="2"/>
      <c r="F728" s="2"/>
      <c r="G728" s="2"/>
      <c r="H728" s="2"/>
      <c r="I728" s="2"/>
      <c r="J728" s="2"/>
      <c r="K728" s="2"/>
      <c r="L728" s="2"/>
    </row>
    <row r="729" spans="1:12" customFormat="1" ht="16" x14ac:dyDescent="0.2">
      <c r="A729" t="s">
        <v>354</v>
      </c>
      <c r="B729" s="2">
        <v>323</v>
      </c>
      <c r="C729" t="s">
        <v>312</v>
      </c>
      <c r="D729" s="2"/>
      <c r="E729" s="2"/>
      <c r="F729" s="2"/>
      <c r="G729" s="2"/>
      <c r="H729" s="2"/>
      <c r="I729" s="2"/>
      <c r="J729" s="2"/>
      <c r="K729" s="2"/>
      <c r="L729" s="2"/>
    </row>
    <row r="730" spans="1:12" customFormat="1" ht="16" x14ac:dyDescent="0.2">
      <c r="A730" t="s">
        <v>316</v>
      </c>
      <c r="B730" s="24">
        <v>700000</v>
      </c>
      <c r="C730" t="s">
        <v>313</v>
      </c>
      <c r="D730" s="2"/>
      <c r="E730" s="2"/>
      <c r="F730" s="2"/>
      <c r="G730" s="2"/>
      <c r="H730" s="2"/>
      <c r="I730" s="2"/>
      <c r="J730" s="2"/>
      <c r="K730" s="2"/>
      <c r="L730" s="2"/>
    </row>
    <row r="731" spans="1:12" customFormat="1" ht="16" x14ac:dyDescent="0.2">
      <c r="A731" t="s">
        <v>317</v>
      </c>
      <c r="B731" s="24">
        <v>500000</v>
      </c>
      <c r="C731" t="s">
        <v>313</v>
      </c>
      <c r="D731" s="2"/>
      <c r="E731" s="2"/>
      <c r="F731" s="2"/>
      <c r="G731" s="2"/>
      <c r="H731" s="2"/>
      <c r="I731" s="2"/>
      <c r="J731" s="2"/>
      <c r="K731" s="2"/>
      <c r="L731" s="2"/>
    </row>
    <row r="732" spans="1:12" customFormat="1" ht="16" x14ac:dyDescent="0.2">
      <c r="A732" t="s">
        <v>318</v>
      </c>
      <c r="B732" s="24">
        <v>1000000</v>
      </c>
      <c r="C732" t="s">
        <v>313</v>
      </c>
      <c r="D732" s="2"/>
      <c r="E732" s="2"/>
      <c r="F732" s="2"/>
      <c r="G732" s="2"/>
      <c r="H732" s="2"/>
      <c r="I732" s="2"/>
      <c r="J732" s="2"/>
      <c r="K732" s="2"/>
      <c r="L732" s="2"/>
    </row>
    <row r="733" spans="1:12" customFormat="1" ht="16" x14ac:dyDescent="0.2">
      <c r="A733" t="s">
        <v>319</v>
      </c>
      <c r="B733" s="2">
        <v>9500</v>
      </c>
      <c r="C733" t="s">
        <v>314</v>
      </c>
      <c r="D733" s="2"/>
      <c r="E733" s="2"/>
      <c r="F733" s="2"/>
      <c r="G733" s="2"/>
      <c r="H733" s="2"/>
      <c r="I733" s="2"/>
      <c r="J733" s="2"/>
      <c r="K733" s="2"/>
      <c r="L733" s="2"/>
    </row>
    <row r="734" spans="1:12" customFormat="1" ht="16" x14ac:dyDescent="0.2">
      <c r="A734" t="s">
        <v>320</v>
      </c>
      <c r="B734" s="2">
        <v>6000</v>
      </c>
      <c r="C734" t="s">
        <v>314</v>
      </c>
      <c r="D734" s="2"/>
      <c r="E734" s="2"/>
      <c r="F734" s="2"/>
      <c r="G734" s="2"/>
      <c r="H734" s="2"/>
      <c r="I734" s="2"/>
      <c r="J734" s="2"/>
      <c r="K734" s="2"/>
      <c r="L734" s="2"/>
    </row>
    <row r="735" spans="1:12" customFormat="1" ht="16" x14ac:dyDescent="0.2">
      <c r="A735" t="s">
        <v>321</v>
      </c>
      <c r="B735" s="2">
        <v>12200</v>
      </c>
      <c r="C735" t="s">
        <v>314</v>
      </c>
      <c r="D735" s="2"/>
      <c r="E735" s="2"/>
      <c r="F735" s="2"/>
      <c r="G735" s="2"/>
      <c r="H735" s="2"/>
      <c r="I735" s="2"/>
      <c r="J735" s="2"/>
      <c r="K735" s="2"/>
      <c r="L735" s="2"/>
    </row>
    <row r="736" spans="1:12" customFormat="1" ht="16" x14ac:dyDescent="0.2">
      <c r="A736" t="s">
        <v>337</v>
      </c>
      <c r="B736" s="2">
        <v>0</v>
      </c>
      <c r="C736" t="s">
        <v>336</v>
      </c>
      <c r="D736" s="2"/>
      <c r="E736" s="2"/>
      <c r="F736" s="2"/>
      <c r="G736" s="2"/>
      <c r="H736" s="2"/>
      <c r="I736" s="2"/>
      <c r="J736" s="2"/>
      <c r="K736" s="2"/>
      <c r="L736" s="2"/>
    </row>
    <row r="737" spans="1:12" customFormat="1" ht="16" x14ac:dyDescent="0.2">
      <c r="A737" t="s">
        <v>338</v>
      </c>
      <c r="B737" s="2">
        <v>0</v>
      </c>
      <c r="C737" t="s">
        <v>336</v>
      </c>
      <c r="D737" s="2"/>
      <c r="E737" s="2"/>
      <c r="F737" s="2"/>
      <c r="G737" s="2"/>
      <c r="H737" s="2"/>
      <c r="I737" s="2"/>
      <c r="J737" s="2"/>
      <c r="K737" s="2"/>
      <c r="L737" s="2"/>
    </row>
    <row r="738" spans="1:12" customFormat="1" ht="16" x14ac:dyDescent="0.2">
      <c r="A738" t="s">
        <v>339</v>
      </c>
      <c r="B738" s="2">
        <v>0</v>
      </c>
      <c r="C738" t="s">
        <v>336</v>
      </c>
      <c r="D738" s="2"/>
      <c r="E738" s="2"/>
      <c r="F738" s="2"/>
      <c r="G738" s="2"/>
      <c r="H738" s="2"/>
      <c r="I738" s="2"/>
      <c r="J738" s="2"/>
      <c r="K738" s="2"/>
      <c r="L738" s="2"/>
    </row>
    <row r="739" spans="1:12" customFormat="1" ht="16" x14ac:dyDescent="0.2">
      <c r="A739" t="s">
        <v>340</v>
      </c>
      <c r="B739" s="2">
        <v>733</v>
      </c>
      <c r="C739" t="s">
        <v>336</v>
      </c>
      <c r="D739" s="2"/>
      <c r="E739" s="2"/>
      <c r="F739" s="2"/>
      <c r="G739" s="2"/>
      <c r="H739" s="2"/>
      <c r="I739" s="2"/>
      <c r="J739" s="2"/>
      <c r="K739" s="2"/>
      <c r="L739" s="2"/>
    </row>
    <row r="740" spans="1:12" customFormat="1" ht="16" x14ac:dyDescent="0.2">
      <c r="A740" t="s">
        <v>341</v>
      </c>
      <c r="B740" s="2">
        <v>400</v>
      </c>
      <c r="C740" t="s">
        <v>336</v>
      </c>
      <c r="D740" s="2"/>
      <c r="E740" s="2"/>
      <c r="F740" s="2"/>
      <c r="G740" s="2"/>
      <c r="H740" s="2"/>
      <c r="I740" s="2"/>
      <c r="J740" s="2"/>
      <c r="K740" s="2"/>
      <c r="L740" s="2"/>
    </row>
    <row r="741" spans="1:12" customFormat="1" ht="16" x14ac:dyDescent="0.2">
      <c r="A741" t="s">
        <v>342</v>
      </c>
      <c r="B741" s="2">
        <v>955</v>
      </c>
      <c r="C741" t="s">
        <v>336</v>
      </c>
      <c r="D741" s="2"/>
      <c r="E741" s="2"/>
      <c r="F741" s="2"/>
      <c r="G741" s="2"/>
      <c r="H741" s="2"/>
      <c r="I741" s="2"/>
      <c r="J741" s="2"/>
      <c r="K741" s="2"/>
      <c r="L741" s="2"/>
    </row>
    <row r="742" spans="1:12" customFormat="1" ht="16" x14ac:dyDescent="0.2">
      <c r="A742" t="s">
        <v>333</v>
      </c>
      <c r="B742" s="2">
        <v>48</v>
      </c>
      <c r="C742" t="s">
        <v>336</v>
      </c>
      <c r="D742" s="2"/>
      <c r="E742" s="2"/>
      <c r="F742" s="2"/>
      <c r="G742" s="2"/>
      <c r="H742" s="2"/>
      <c r="I742" s="2"/>
      <c r="J742" s="2"/>
      <c r="K742" s="2"/>
      <c r="L742" s="2"/>
    </row>
    <row r="743" spans="1:12" customFormat="1" ht="16" x14ac:dyDescent="0.2">
      <c r="A743" t="s">
        <v>334</v>
      </c>
      <c r="B743" s="2">
        <v>38</v>
      </c>
      <c r="C743" t="s">
        <v>336</v>
      </c>
      <c r="D743" s="2"/>
      <c r="E743" s="2"/>
      <c r="F743" s="2"/>
      <c r="G743" s="2"/>
      <c r="H743" s="2"/>
      <c r="I743" s="2"/>
      <c r="J743" s="2"/>
      <c r="K743" s="2"/>
      <c r="L743" s="2"/>
    </row>
    <row r="744" spans="1:12" customFormat="1" ht="16" x14ac:dyDescent="0.2">
      <c r="A744" t="s">
        <v>335</v>
      </c>
      <c r="B744" s="2">
        <v>53</v>
      </c>
      <c r="C744" t="s">
        <v>336</v>
      </c>
      <c r="D744" s="2"/>
      <c r="E744" s="2"/>
      <c r="F744" s="2"/>
      <c r="G744" s="2"/>
      <c r="H744" s="2"/>
      <c r="I744" s="2"/>
      <c r="J744" s="2"/>
      <c r="K744" s="2"/>
      <c r="L744" s="2"/>
    </row>
    <row r="745" spans="1:12" customFormat="1" ht="16" x14ac:dyDescent="0.2">
      <c r="A745" t="s">
        <v>322</v>
      </c>
      <c r="B745" s="2">
        <v>0</v>
      </c>
      <c r="C745" t="s">
        <v>315</v>
      </c>
      <c r="D745" s="2"/>
      <c r="E745" s="2"/>
      <c r="F745" s="2"/>
      <c r="G745" s="2"/>
      <c r="H745" s="2"/>
      <c r="I745" s="2"/>
      <c r="J745" s="2"/>
      <c r="K745" s="2"/>
      <c r="L745" s="2"/>
    </row>
    <row r="746" spans="1:12" customFormat="1" ht="16" x14ac:dyDescent="0.2">
      <c r="A746" t="s">
        <v>323</v>
      </c>
      <c r="B746" s="2">
        <v>0</v>
      </c>
      <c r="C746" t="s">
        <v>315</v>
      </c>
      <c r="D746" s="2"/>
      <c r="E746" s="2"/>
      <c r="F746" s="2"/>
      <c r="G746" s="2"/>
      <c r="H746" s="2"/>
      <c r="I746" s="2"/>
      <c r="J746" s="2"/>
      <c r="K746" s="2"/>
      <c r="L746" s="2"/>
    </row>
    <row r="747" spans="1:12" customFormat="1" ht="16" x14ac:dyDescent="0.2">
      <c r="A747" t="s">
        <v>324</v>
      </c>
      <c r="B747" s="2">
        <v>0</v>
      </c>
      <c r="C747" t="s">
        <v>315</v>
      </c>
      <c r="D747" s="2"/>
      <c r="E747" s="2"/>
      <c r="F747" s="2"/>
      <c r="G747" s="2"/>
      <c r="H747" s="2"/>
      <c r="I747" s="2"/>
      <c r="J747" s="2"/>
      <c r="K747" s="2"/>
      <c r="L747" s="2"/>
    </row>
    <row r="748" spans="1:12" customFormat="1" ht="16" x14ac:dyDescent="0.2">
      <c r="A748" t="s">
        <v>330</v>
      </c>
      <c r="B748" s="2">
        <v>0</v>
      </c>
      <c r="C748" t="s">
        <v>8</v>
      </c>
      <c r="D748" s="2"/>
      <c r="E748" s="2"/>
      <c r="F748" s="2"/>
      <c r="G748" s="2"/>
      <c r="H748" s="2"/>
      <c r="I748" s="2"/>
      <c r="J748" s="2"/>
      <c r="K748" s="2"/>
      <c r="L748" s="2"/>
    </row>
    <row r="749" spans="1:12" customFormat="1" ht="16" x14ac:dyDescent="0.2">
      <c r="A749" t="s">
        <v>331</v>
      </c>
      <c r="B749" s="2">
        <v>0</v>
      </c>
      <c r="C749" t="s">
        <v>8</v>
      </c>
      <c r="D749" s="2"/>
      <c r="E749" s="2"/>
      <c r="F749" s="2"/>
      <c r="G749" s="2"/>
      <c r="H749" s="2"/>
      <c r="I749" s="2"/>
      <c r="J749" s="2"/>
      <c r="K749" s="2"/>
      <c r="L749" s="2"/>
    </row>
    <row r="750" spans="1:12" customFormat="1" ht="16" x14ac:dyDescent="0.2">
      <c r="A750" t="s">
        <v>332</v>
      </c>
      <c r="B750" s="2">
        <v>0</v>
      </c>
      <c r="C750" t="s">
        <v>8</v>
      </c>
      <c r="D750" s="2"/>
      <c r="E750" s="2"/>
      <c r="F750" s="2"/>
      <c r="G750" s="2"/>
      <c r="H750" s="2"/>
      <c r="I750" s="2"/>
      <c r="J750" s="2"/>
      <c r="K750" s="2"/>
      <c r="L750" s="2"/>
    </row>
    <row r="751" spans="1:12" customFormat="1" ht="16" x14ac:dyDescent="0.2">
      <c r="A751" t="s">
        <v>346</v>
      </c>
      <c r="B751" s="2">
        <v>0</v>
      </c>
      <c r="C751" t="s">
        <v>312</v>
      </c>
      <c r="D751" s="2"/>
      <c r="E751" s="2"/>
      <c r="F751" s="2"/>
      <c r="G751" s="2"/>
      <c r="H751" s="2"/>
      <c r="I751" s="2"/>
      <c r="J751" s="2"/>
      <c r="K751" s="2"/>
      <c r="L751" s="2"/>
    </row>
    <row r="752" spans="1:12" customFormat="1" ht="16" x14ac:dyDescent="0.2">
      <c r="A752" t="s">
        <v>347</v>
      </c>
      <c r="B752" s="2">
        <v>0</v>
      </c>
      <c r="C752" t="s">
        <v>312</v>
      </c>
      <c r="D752" s="2"/>
      <c r="E752" s="12"/>
      <c r="F752" s="2"/>
      <c r="G752" s="2"/>
      <c r="H752" s="2"/>
      <c r="I752" s="2"/>
      <c r="J752" s="2"/>
      <c r="K752" s="2"/>
      <c r="L752" s="2"/>
    </row>
    <row r="753" spans="1:12" customFormat="1" ht="16" x14ac:dyDescent="0.2">
      <c r="A753" t="s">
        <v>348</v>
      </c>
      <c r="B753" s="2">
        <v>0</v>
      </c>
      <c r="C753" t="s">
        <v>312</v>
      </c>
      <c r="D753" s="2"/>
      <c r="E753" s="2"/>
      <c r="F753" s="2"/>
      <c r="G753" s="2"/>
      <c r="H753" s="2"/>
      <c r="I753" s="2"/>
      <c r="J753" s="2"/>
      <c r="K753" s="2"/>
      <c r="L753" s="2"/>
    </row>
    <row r="754" spans="1:12" customFormat="1" ht="16" x14ac:dyDescent="0.2">
      <c r="A754" t="s">
        <v>349</v>
      </c>
      <c r="B754" s="2">
        <v>0</v>
      </c>
      <c r="C754" t="s">
        <v>8</v>
      </c>
      <c r="D754" s="2"/>
      <c r="E754" s="2"/>
      <c r="F754" s="2"/>
      <c r="G754" s="2"/>
      <c r="H754" s="2"/>
      <c r="I754" s="2"/>
      <c r="J754" s="2"/>
      <c r="K754" s="2"/>
      <c r="L754" s="2"/>
    </row>
    <row r="755" spans="1:12" customFormat="1" ht="16" x14ac:dyDescent="0.2">
      <c r="A755" t="s">
        <v>350</v>
      </c>
      <c r="B755" s="2">
        <v>0</v>
      </c>
      <c r="C755" t="s">
        <v>8</v>
      </c>
      <c r="D755" s="2"/>
      <c r="E755" s="2"/>
      <c r="F755" s="2"/>
      <c r="G755" s="2"/>
      <c r="H755" s="2"/>
      <c r="I755" s="2"/>
      <c r="J755" s="2"/>
      <c r="K755" s="2"/>
      <c r="L755" s="2"/>
    </row>
    <row r="756" spans="1:12" customFormat="1" ht="16" x14ac:dyDescent="0.2">
      <c r="A756" t="s">
        <v>351</v>
      </c>
      <c r="B756" s="2">
        <v>0</v>
      </c>
      <c r="C756" t="s">
        <v>8</v>
      </c>
      <c r="D756" s="2"/>
      <c r="E756" s="2"/>
      <c r="F756" s="2"/>
      <c r="G756" s="2"/>
      <c r="H756" s="2"/>
      <c r="I756" s="2"/>
      <c r="J756" s="2"/>
      <c r="K756" s="2"/>
      <c r="L756" s="2"/>
    </row>
    <row r="757" spans="1:12" customFormat="1" ht="16" x14ac:dyDescent="0.2">
      <c r="A757" t="s">
        <v>365</v>
      </c>
      <c r="B757" s="2">
        <v>0</v>
      </c>
      <c r="C757" t="s">
        <v>336</v>
      </c>
      <c r="D757" s="2"/>
      <c r="E757" s="2"/>
      <c r="F757" s="2"/>
      <c r="G757" s="2"/>
      <c r="H757" s="2"/>
      <c r="I757" s="2"/>
      <c r="J757" s="2"/>
      <c r="K757" s="2"/>
      <c r="L757" s="2"/>
    </row>
    <row r="758" spans="1:12" customFormat="1" ht="16" x14ac:dyDescent="0.2">
      <c r="A758" t="s">
        <v>366</v>
      </c>
      <c r="B758" s="2">
        <v>0</v>
      </c>
      <c r="C758" t="s">
        <v>336</v>
      </c>
      <c r="D758" s="2"/>
      <c r="E758" s="2"/>
      <c r="F758" s="2"/>
      <c r="G758" s="2"/>
      <c r="H758" s="2"/>
      <c r="I758" s="2"/>
      <c r="J758" s="2"/>
      <c r="K758" s="2"/>
      <c r="L758" s="2"/>
    </row>
    <row r="759" spans="1:12" customFormat="1" ht="16" x14ac:dyDescent="0.2">
      <c r="A759" t="s">
        <v>367</v>
      </c>
      <c r="B759" s="2">
        <v>0</v>
      </c>
      <c r="C759" t="s">
        <v>336</v>
      </c>
      <c r="D759" s="2"/>
      <c r="E759" s="2"/>
      <c r="F759" s="2"/>
      <c r="G759" s="2"/>
      <c r="H759" s="2"/>
      <c r="I759" s="2"/>
      <c r="J759" s="2"/>
      <c r="K759" s="2"/>
      <c r="L759" s="2"/>
    </row>
    <row r="760" spans="1:12" customFormat="1" ht="16" x14ac:dyDescent="0.2">
      <c r="A760" t="s">
        <v>368</v>
      </c>
      <c r="B760" s="2">
        <v>0</v>
      </c>
      <c r="C760" t="s">
        <v>336</v>
      </c>
      <c r="D760" s="2"/>
      <c r="E760" s="2"/>
      <c r="F760" s="2"/>
      <c r="G760" s="2"/>
      <c r="H760" s="2"/>
      <c r="I760" s="2"/>
      <c r="J760" s="2"/>
      <c r="K760" s="2"/>
      <c r="L760" s="2"/>
    </row>
    <row r="761" spans="1:12" customFormat="1" ht="16" x14ac:dyDescent="0.2">
      <c r="A761" t="s">
        <v>369</v>
      </c>
      <c r="B761" s="2">
        <v>0</v>
      </c>
      <c r="C761" t="s">
        <v>336</v>
      </c>
      <c r="D761" s="2"/>
      <c r="E761" s="2"/>
      <c r="F761" s="2"/>
      <c r="G761" s="2"/>
      <c r="H761" s="2"/>
      <c r="I761" s="2"/>
      <c r="J761" s="2"/>
      <c r="K761" s="2"/>
      <c r="L761" s="2"/>
    </row>
    <row r="762" spans="1:12" customFormat="1" ht="16" x14ac:dyDescent="0.2">
      <c r="A762" t="s">
        <v>344</v>
      </c>
      <c r="B762" s="32">
        <v>1.4516100000000001E-3</v>
      </c>
      <c r="C762" t="s">
        <v>345</v>
      </c>
      <c r="D762" s="2"/>
      <c r="E762" s="2"/>
      <c r="F762" s="2"/>
      <c r="G762" s="2"/>
      <c r="H762" s="2"/>
      <c r="I762" s="2"/>
      <c r="J762" s="2"/>
      <c r="K762" s="2"/>
      <c r="L762" s="2"/>
    </row>
    <row r="763" spans="1:12" customFormat="1" ht="16" x14ac:dyDescent="0.2">
      <c r="A763" t="s">
        <v>343</v>
      </c>
      <c r="B763" s="32">
        <v>2.1756100000000001E-4</v>
      </c>
      <c r="C763" t="s">
        <v>345</v>
      </c>
      <c r="D763" s="2"/>
      <c r="E763" s="2"/>
      <c r="F763" s="2"/>
      <c r="G763" s="2"/>
      <c r="H763" s="2"/>
      <c r="I763" s="2"/>
      <c r="J763" s="2"/>
      <c r="K763" s="2"/>
      <c r="L763" s="2"/>
    </row>
    <row r="764" spans="1:12" customFormat="1" ht="16" x14ac:dyDescent="0.2">
      <c r="A764" s="1" t="s">
        <v>10</v>
      </c>
      <c r="J764" s="2"/>
    </row>
    <row r="765" spans="1:12" x14ac:dyDescent="0.2">
      <c r="A765" s="17" t="s">
        <v>11</v>
      </c>
      <c r="B765" s="17" t="s">
        <v>12</v>
      </c>
      <c r="C765" s="17" t="s">
        <v>3</v>
      </c>
      <c r="D765" s="17" t="s">
        <v>13</v>
      </c>
      <c r="E765" s="17" t="s">
        <v>8</v>
      </c>
      <c r="F765" s="17" t="s">
        <v>6</v>
      </c>
      <c r="G765" s="17" t="s">
        <v>5</v>
      </c>
      <c r="H765" s="17" t="s">
        <v>151</v>
      </c>
      <c r="I765" s="17" t="s">
        <v>179</v>
      </c>
      <c r="J765" s="17" t="s">
        <v>180</v>
      </c>
      <c r="K765" s="17" t="s">
        <v>181</v>
      </c>
      <c r="L765" s="17" t="s">
        <v>182</v>
      </c>
    </row>
    <row r="766" spans="1:12" customFormat="1" ht="16" x14ac:dyDescent="0.2">
      <c r="A766" t="str">
        <f>B719</f>
        <v>biodiesel, from non-residual cellulosic biomass, burned in single deck coach or urban bus</v>
      </c>
      <c r="B766">
        <v>1</v>
      </c>
      <c r="C766" t="s">
        <v>18</v>
      </c>
      <c r="E766" t="s">
        <v>17</v>
      </c>
      <c r="F766" t="s">
        <v>19</v>
      </c>
      <c r="J766" s="2"/>
    </row>
    <row r="767" spans="1:12" customFormat="1" ht="16" x14ac:dyDescent="0.2">
      <c r="A767" t="s">
        <v>200</v>
      </c>
      <c r="B767" s="3">
        <f>(B742/B730)/(B733/1000)</f>
        <v>7.2180451127819541E-6</v>
      </c>
      <c r="C767" t="s">
        <v>18</v>
      </c>
      <c r="E767" t="s">
        <v>9</v>
      </c>
      <c r="F767" t="s">
        <v>23</v>
      </c>
      <c r="G767" t="s">
        <v>201</v>
      </c>
      <c r="I767">
        <v>5</v>
      </c>
      <c r="J767" s="12">
        <f>B767</f>
        <v>7.2180451127819541E-6</v>
      </c>
      <c r="K767" s="3">
        <f>(B743/B732)/(B735/1000)</f>
        <v>3.114754098360656E-6</v>
      </c>
      <c r="L767" s="3">
        <f>(B744/B731)/(B734/1000)</f>
        <v>1.7666666666666668E-5</v>
      </c>
    </row>
    <row r="768" spans="1:12" customFormat="1" ht="16" x14ac:dyDescent="0.2">
      <c r="A768" t="s">
        <v>145</v>
      </c>
      <c r="B768" s="3">
        <f>(B739/B730)/(B733/1000)</f>
        <v>1.1022556390977444E-4</v>
      </c>
      <c r="C768" t="s">
        <v>18</v>
      </c>
      <c r="E768" t="s">
        <v>9</v>
      </c>
      <c r="F768" t="s">
        <v>23</v>
      </c>
      <c r="G768" t="s">
        <v>145</v>
      </c>
      <c r="I768">
        <v>5</v>
      </c>
      <c r="J768" s="12">
        <f>B768</f>
        <v>1.1022556390977444E-4</v>
      </c>
      <c r="K768" s="3">
        <f>(B740/B732)/(B735/1000)</f>
        <v>3.2786885245901642E-5</v>
      </c>
      <c r="L768" s="3">
        <f>(B741/B731)/(B734/1000)</f>
        <v>3.1833333333333334E-4</v>
      </c>
    </row>
    <row r="769" spans="1:10" customFormat="1" ht="16" x14ac:dyDescent="0.2">
      <c r="A769" s="2" t="s">
        <v>406</v>
      </c>
      <c r="B769" s="8">
        <f>1/43</f>
        <v>2.3255813953488372E-2</v>
      </c>
      <c r="C769" t="s">
        <v>18</v>
      </c>
      <c r="E769" t="s">
        <v>9</v>
      </c>
      <c r="F769" t="s">
        <v>23</v>
      </c>
      <c r="G769" t="s">
        <v>408</v>
      </c>
      <c r="J769" s="2"/>
    </row>
    <row r="770" spans="1:10" customFormat="1" ht="16" x14ac:dyDescent="0.2">
      <c r="A770" t="s">
        <v>45</v>
      </c>
      <c r="B770" s="3">
        <v>7.1455665432553858E-7</v>
      </c>
      <c r="D770" t="s">
        <v>14</v>
      </c>
      <c r="E770" t="s">
        <v>9</v>
      </c>
      <c r="F770" s="2" t="s">
        <v>15</v>
      </c>
      <c r="G770" s="3"/>
      <c r="J770" s="2"/>
    </row>
    <row r="771" spans="1:10" customFormat="1" ht="16" x14ac:dyDescent="0.2">
      <c r="A771" t="s">
        <v>46</v>
      </c>
      <c r="B771" s="3">
        <v>3.2468920124586623E-7</v>
      </c>
      <c r="D771" t="s">
        <v>14</v>
      </c>
      <c r="E771" t="s">
        <v>9</v>
      </c>
      <c r="F771" s="2" t="s">
        <v>15</v>
      </c>
      <c r="G771" s="3"/>
      <c r="J771" s="2"/>
    </row>
    <row r="772" spans="1:10" customFormat="1" ht="16" x14ac:dyDescent="0.2">
      <c r="A772" t="s">
        <v>47</v>
      </c>
      <c r="B772" s="3">
        <v>3.9534349472964383E-7</v>
      </c>
      <c r="D772" t="s">
        <v>14</v>
      </c>
      <c r="E772" t="s">
        <v>9</v>
      </c>
      <c r="F772" s="2" t="s">
        <v>15</v>
      </c>
      <c r="G772" s="3"/>
      <c r="J772" s="2"/>
    </row>
    <row r="773" spans="1:10" customFormat="1" ht="16" x14ac:dyDescent="0.2">
      <c r="A773" t="s">
        <v>48</v>
      </c>
      <c r="B773" s="3">
        <v>3.7209280955662761E-7</v>
      </c>
      <c r="D773" t="s">
        <v>14</v>
      </c>
      <c r="E773" t="s">
        <v>9</v>
      </c>
      <c r="F773" s="2" t="s">
        <v>15</v>
      </c>
      <c r="G773" s="3"/>
      <c r="J773" s="2"/>
    </row>
    <row r="774" spans="1:10" customFormat="1" ht="16" x14ac:dyDescent="0.2">
      <c r="A774" t="s">
        <v>49</v>
      </c>
      <c r="B774" s="3">
        <v>9.4995966427857817E-8</v>
      </c>
      <c r="D774" t="s">
        <v>14</v>
      </c>
      <c r="E774" t="s">
        <v>9</v>
      </c>
      <c r="F774" s="2" t="s">
        <v>15</v>
      </c>
      <c r="G774" s="3"/>
      <c r="J774" s="2"/>
    </row>
    <row r="775" spans="1:10" customFormat="1" ht="16" x14ac:dyDescent="0.2">
      <c r="A775" t="s">
        <v>50</v>
      </c>
      <c r="B775" s="3">
        <v>2.186743705223342E-7</v>
      </c>
      <c r="D775" t="s">
        <v>14</v>
      </c>
      <c r="E775" t="s">
        <v>9</v>
      </c>
      <c r="F775" s="2" t="s">
        <v>15</v>
      </c>
      <c r="G775" s="3"/>
      <c r="J775" s="2"/>
    </row>
    <row r="776" spans="1:10" customFormat="1" ht="16" x14ac:dyDescent="0.2">
      <c r="A776" t="s">
        <v>51</v>
      </c>
      <c r="B776" s="3">
        <v>1.2147463123534157E-8</v>
      </c>
      <c r="D776" t="s">
        <v>14</v>
      </c>
      <c r="E776" t="s">
        <v>9</v>
      </c>
      <c r="F776" s="2" t="s">
        <v>15</v>
      </c>
      <c r="G776" s="3"/>
      <c r="J776" s="2"/>
    </row>
    <row r="777" spans="1:10" customFormat="1" ht="16" x14ac:dyDescent="0.2">
      <c r="A777" t="s">
        <v>52</v>
      </c>
      <c r="B777" s="3">
        <v>2.3255800597289225E-10</v>
      </c>
      <c r="D777" t="s">
        <v>14</v>
      </c>
      <c r="E777" t="s">
        <v>9</v>
      </c>
      <c r="F777" s="2" t="s">
        <v>15</v>
      </c>
      <c r="G777" s="3"/>
      <c r="J777" s="2"/>
    </row>
    <row r="778" spans="1:10" customFormat="1" ht="16" x14ac:dyDescent="0.2">
      <c r="A778" t="s">
        <v>122</v>
      </c>
      <c r="B778" s="8">
        <f>B769*3.15</f>
        <v>7.3255813953488375E-2</v>
      </c>
      <c r="D778" t="s">
        <v>14</v>
      </c>
      <c r="E778" t="s">
        <v>9</v>
      </c>
      <c r="F778" s="2" t="s">
        <v>15</v>
      </c>
      <c r="G778" s="3"/>
      <c r="J778" s="2"/>
    </row>
    <row r="779" spans="1:10" customFormat="1" ht="16" x14ac:dyDescent="0.2">
      <c r="A779" t="s">
        <v>123</v>
      </c>
      <c r="B779" s="3">
        <v>2.1069404153243686E-5</v>
      </c>
      <c r="D779" t="s">
        <v>14</v>
      </c>
      <c r="E779" t="s">
        <v>9</v>
      </c>
      <c r="F779" s="2" t="s">
        <v>15</v>
      </c>
      <c r="G779" s="3"/>
      <c r="J779" s="2"/>
    </row>
    <row r="780" spans="1:10" customFormat="1" ht="16" x14ac:dyDescent="0.2">
      <c r="A780" t="s">
        <v>55</v>
      </c>
      <c r="B780" s="3">
        <v>1.1627900298644613E-9</v>
      </c>
      <c r="D780" t="s">
        <v>14</v>
      </c>
      <c r="E780" t="s">
        <v>9</v>
      </c>
      <c r="F780" s="2" t="s">
        <v>15</v>
      </c>
      <c r="G780" s="3"/>
      <c r="J780" s="2"/>
    </row>
    <row r="781" spans="1:10" customFormat="1" ht="16" x14ac:dyDescent="0.2">
      <c r="A781" t="s">
        <v>56</v>
      </c>
      <c r="B781" s="3">
        <v>2.3255800597289222E-12</v>
      </c>
      <c r="D781" t="s">
        <v>14</v>
      </c>
      <c r="E781" t="s">
        <v>9</v>
      </c>
      <c r="F781" s="2" t="s">
        <v>15</v>
      </c>
      <c r="G781" s="3"/>
      <c r="J781" s="2"/>
    </row>
    <row r="782" spans="1:10" customFormat="1" ht="16" x14ac:dyDescent="0.2">
      <c r="A782" t="s">
        <v>57</v>
      </c>
      <c r="B782" s="3">
        <v>3.9534861015391682E-8</v>
      </c>
      <c r="D782" t="s">
        <v>14</v>
      </c>
      <c r="E782" t="s">
        <v>9</v>
      </c>
      <c r="F782" s="2" t="s">
        <v>15</v>
      </c>
      <c r="G782" s="3"/>
      <c r="J782" s="2"/>
    </row>
    <row r="783" spans="1:10" customFormat="1" ht="16" x14ac:dyDescent="0.2">
      <c r="A783" t="s">
        <v>150</v>
      </c>
      <c r="B783" s="3">
        <v>7.1789570411210658E-8</v>
      </c>
      <c r="D783" t="s">
        <v>14</v>
      </c>
      <c r="E783" t="s">
        <v>9</v>
      </c>
      <c r="F783" s="2" t="s">
        <v>15</v>
      </c>
      <c r="G783" s="3"/>
      <c r="J783" s="2"/>
    </row>
    <row r="784" spans="1:10" customFormat="1" ht="16" x14ac:dyDescent="0.2">
      <c r="A784" t="s">
        <v>58</v>
      </c>
      <c r="B784" s="3">
        <v>1.1627900298644611E-6</v>
      </c>
      <c r="D784" t="s">
        <v>14</v>
      </c>
      <c r="E784" t="s">
        <v>9</v>
      </c>
      <c r="F784" s="2" t="s">
        <v>15</v>
      </c>
      <c r="G784" s="3"/>
      <c r="J784" s="2"/>
    </row>
    <row r="785" spans="1:10" customFormat="1" ht="16" x14ac:dyDescent="0.2">
      <c r="A785" t="s">
        <v>59</v>
      </c>
      <c r="B785" s="3">
        <v>3.646242366932188E-8</v>
      </c>
      <c r="D785" t="s">
        <v>14</v>
      </c>
      <c r="E785" t="s">
        <v>9</v>
      </c>
      <c r="F785" s="2" t="s">
        <v>15</v>
      </c>
      <c r="G785" s="3"/>
      <c r="J785" s="2"/>
    </row>
    <row r="786" spans="1:10" customFormat="1" ht="16" x14ac:dyDescent="0.2">
      <c r="A786" t="s">
        <v>60</v>
      </c>
      <c r="B786" s="3">
        <v>1.2114072625668476E-6</v>
      </c>
      <c r="D786" t="s">
        <v>14</v>
      </c>
      <c r="E786" t="s">
        <v>9</v>
      </c>
      <c r="F786" s="2" t="s">
        <v>15</v>
      </c>
      <c r="G786" s="3"/>
      <c r="J786" s="2"/>
    </row>
    <row r="787" spans="1:10" customFormat="1" ht="16" x14ac:dyDescent="0.2">
      <c r="A787" t="s">
        <v>61</v>
      </c>
      <c r="B787" s="3">
        <v>1.3252688602888143E-6</v>
      </c>
      <c r="D787" t="s">
        <v>14</v>
      </c>
      <c r="E787" t="s">
        <v>9</v>
      </c>
      <c r="F787" s="2" t="s">
        <v>15</v>
      </c>
      <c r="G787" s="3"/>
      <c r="J787" s="2"/>
    </row>
    <row r="788" spans="1:10" customFormat="1" ht="16" x14ac:dyDescent="0.2">
      <c r="A788" t="s">
        <v>62</v>
      </c>
      <c r="B788" s="3">
        <v>2.2087814338146904E-8</v>
      </c>
      <c r="D788" t="s">
        <v>14</v>
      </c>
      <c r="E788" t="s">
        <v>9</v>
      </c>
      <c r="F788" s="2" t="s">
        <v>15</v>
      </c>
      <c r="G788" s="3"/>
      <c r="J788" s="2"/>
    </row>
    <row r="789" spans="1:10" customFormat="1" ht="16" x14ac:dyDescent="0.2">
      <c r="A789" t="s">
        <v>63</v>
      </c>
      <c r="B789" s="3">
        <v>1.9186035492763611E-15</v>
      </c>
      <c r="D789" t="s">
        <v>14</v>
      </c>
      <c r="E789" t="s">
        <v>9</v>
      </c>
      <c r="F789" s="2" t="s">
        <v>15</v>
      </c>
      <c r="G789" s="3"/>
      <c r="J789" s="2"/>
    </row>
    <row r="790" spans="1:10" customFormat="1" ht="16" x14ac:dyDescent="0.2">
      <c r="A790" t="s">
        <v>64</v>
      </c>
      <c r="B790" s="3">
        <v>4.6511601194578451E-13</v>
      </c>
      <c r="D790" t="s">
        <v>14</v>
      </c>
      <c r="E790" t="s">
        <v>9</v>
      </c>
      <c r="F790" s="2" t="s">
        <v>15</v>
      </c>
      <c r="G790" s="3"/>
      <c r="J790" s="2"/>
    </row>
    <row r="791" spans="1:10" customFormat="1" ht="16" x14ac:dyDescent="0.2">
      <c r="A791" t="s">
        <v>177</v>
      </c>
      <c r="B791" s="3">
        <v>6.6447090752701953E-7</v>
      </c>
      <c r="D791" t="s">
        <v>14</v>
      </c>
      <c r="E791" t="s">
        <v>9</v>
      </c>
      <c r="F791" s="2" t="s">
        <v>15</v>
      </c>
      <c r="G791" s="3"/>
      <c r="J791" s="2"/>
    </row>
    <row r="792" spans="1:10" customFormat="1" ht="16" x14ac:dyDescent="0.2">
      <c r="A792" t="s">
        <v>66</v>
      </c>
      <c r="B792" s="3">
        <v>1.3252688602888143E-7</v>
      </c>
      <c r="D792" t="s">
        <v>14</v>
      </c>
      <c r="E792" t="s">
        <v>9</v>
      </c>
      <c r="F792" s="2" t="s">
        <v>15</v>
      </c>
      <c r="G792" s="3"/>
      <c r="J792" s="2"/>
    </row>
    <row r="793" spans="1:10" customFormat="1" ht="16" x14ac:dyDescent="0.2">
      <c r="A793" t="s">
        <v>67</v>
      </c>
      <c r="B793" s="3">
        <v>5.8566933256401625E-6</v>
      </c>
      <c r="D793" t="s">
        <v>14</v>
      </c>
      <c r="E793" t="s">
        <v>9</v>
      </c>
      <c r="F793" s="2" t="s">
        <v>15</v>
      </c>
      <c r="G793" s="3"/>
      <c r="J793" s="2"/>
    </row>
    <row r="794" spans="1:10" customFormat="1" ht="16" x14ac:dyDescent="0.2">
      <c r="A794" t="s">
        <v>68</v>
      </c>
      <c r="B794" s="3">
        <v>1.6279060418102458E-9</v>
      </c>
      <c r="D794" t="s">
        <v>14</v>
      </c>
      <c r="E794" t="s">
        <v>9</v>
      </c>
      <c r="F794" s="2" t="s">
        <v>15</v>
      </c>
      <c r="G794" s="3"/>
      <c r="J794" s="2"/>
    </row>
    <row r="795" spans="1:10" customFormat="1" ht="16" x14ac:dyDescent="0.2">
      <c r="A795" t="s">
        <v>69</v>
      </c>
      <c r="B795" s="3">
        <f>B762/1000</f>
        <v>1.4516100000000001E-6</v>
      </c>
      <c r="D795" t="s">
        <v>14</v>
      </c>
      <c r="E795" t="s">
        <v>9</v>
      </c>
      <c r="F795" s="2" t="s">
        <v>15</v>
      </c>
      <c r="G795" s="3"/>
      <c r="J795" s="2"/>
    </row>
    <row r="796" spans="1:10" customFormat="1" ht="16" x14ac:dyDescent="0.2">
      <c r="A796" t="s">
        <v>70</v>
      </c>
      <c r="B796" s="3">
        <v>4.2883696301401334E-9</v>
      </c>
      <c r="D796" t="s">
        <v>14</v>
      </c>
      <c r="E796" t="s">
        <v>9</v>
      </c>
      <c r="F796" s="2" t="s">
        <v>15</v>
      </c>
      <c r="G796" s="3"/>
      <c r="J796" s="2"/>
    </row>
    <row r="797" spans="1:10" customFormat="1" ht="16" x14ac:dyDescent="0.2">
      <c r="A797" t="s">
        <v>71</v>
      </c>
      <c r="B797" s="3">
        <f>B763/1000</f>
        <v>2.1756100000000002E-7</v>
      </c>
      <c r="D797" t="s">
        <v>14</v>
      </c>
      <c r="E797" t="s">
        <v>9</v>
      </c>
      <c r="F797" s="2" t="s">
        <v>15</v>
      </c>
      <c r="G797" s="3"/>
      <c r="J797" s="2"/>
    </row>
    <row r="798" spans="1:10" customFormat="1" ht="16" x14ac:dyDescent="0.2">
      <c r="A798" t="s">
        <v>72</v>
      </c>
      <c r="B798" s="3">
        <v>4.417562867629381E-9</v>
      </c>
      <c r="D798" t="s">
        <v>14</v>
      </c>
      <c r="E798" t="s">
        <v>9</v>
      </c>
      <c r="F798" s="2" t="s">
        <v>15</v>
      </c>
      <c r="G798" s="3"/>
      <c r="J798" s="2"/>
    </row>
    <row r="799" spans="1:10" customFormat="1" ht="16" x14ac:dyDescent="0.2">
      <c r="A799" t="s">
        <v>73</v>
      </c>
      <c r="B799" s="3">
        <v>1.2147463123534157E-8</v>
      </c>
      <c r="D799" t="s">
        <v>14</v>
      </c>
      <c r="E799" t="s">
        <v>9</v>
      </c>
      <c r="F799" s="2" t="s">
        <v>15</v>
      </c>
      <c r="G799" s="3"/>
      <c r="J799" s="2"/>
    </row>
    <row r="800" spans="1:10" customFormat="1" ht="16" x14ac:dyDescent="0.2">
      <c r="A800" t="s">
        <v>74</v>
      </c>
      <c r="B800" s="3">
        <v>3.9768082958024133E-7</v>
      </c>
      <c r="D800" t="s">
        <v>14</v>
      </c>
      <c r="E800" t="s">
        <v>9</v>
      </c>
      <c r="F800" s="2" t="s">
        <v>15</v>
      </c>
      <c r="G800" s="3"/>
      <c r="J800" s="2"/>
    </row>
    <row r="801" spans="1:10" customFormat="1" ht="16" x14ac:dyDescent="0.2">
      <c r="A801" t="s">
        <v>75</v>
      </c>
      <c r="B801" s="3">
        <v>2.3255800597289225E-10</v>
      </c>
      <c r="D801" t="s">
        <v>14</v>
      </c>
      <c r="E801" t="s">
        <v>9</v>
      </c>
      <c r="F801" s="2" t="s">
        <v>15</v>
      </c>
      <c r="G801" s="3"/>
      <c r="J801" s="2"/>
    </row>
    <row r="802" spans="1:10" customFormat="1" ht="16" x14ac:dyDescent="0.2">
      <c r="A802" t="s">
        <v>76</v>
      </c>
      <c r="B802" s="3">
        <v>4.0869969387591558E-8</v>
      </c>
      <c r="D802" t="s">
        <v>14</v>
      </c>
      <c r="E802" t="s">
        <v>9</v>
      </c>
      <c r="F802" s="2" t="s">
        <v>15</v>
      </c>
      <c r="G802" s="3"/>
      <c r="J802" s="2"/>
    </row>
    <row r="803" spans="1:10" customFormat="1" ht="16" x14ac:dyDescent="0.2">
      <c r="A803" t="s">
        <v>77</v>
      </c>
      <c r="B803" s="3">
        <v>4.651160119457845E-7</v>
      </c>
      <c r="D803" t="s">
        <v>14</v>
      </c>
      <c r="E803" t="s">
        <v>9</v>
      </c>
      <c r="F803" s="2" t="s">
        <v>15</v>
      </c>
      <c r="G803" s="3"/>
      <c r="J803" s="2"/>
    </row>
    <row r="804" spans="1:10" customFormat="1" ht="16" x14ac:dyDescent="0.2">
      <c r="A804" t="s">
        <v>78</v>
      </c>
      <c r="B804" s="3">
        <v>7.619711612948033E-8</v>
      </c>
      <c r="D804" t="s">
        <v>14</v>
      </c>
      <c r="E804" t="s">
        <v>9</v>
      </c>
      <c r="F804" s="2" t="s">
        <v>15</v>
      </c>
      <c r="G804" s="3"/>
      <c r="J804" s="2"/>
    </row>
    <row r="805" spans="1:10" customFormat="1" ht="16" x14ac:dyDescent="0.2">
      <c r="A805" t="s">
        <v>79</v>
      </c>
      <c r="B805" s="3">
        <v>2.3255800597289226E-8</v>
      </c>
      <c r="D805" t="s">
        <v>14</v>
      </c>
      <c r="E805" t="s">
        <v>9</v>
      </c>
      <c r="F805" s="2" t="s">
        <v>15</v>
      </c>
      <c r="G805" s="3"/>
      <c r="J805" s="2"/>
    </row>
    <row r="806" spans="1:10" customFormat="1" ht="16" x14ac:dyDescent="0.2">
      <c r="A806" t="s">
        <v>80</v>
      </c>
      <c r="B806" s="3">
        <v>6.7382024692940973E-8</v>
      </c>
      <c r="D806" t="s">
        <v>14</v>
      </c>
      <c r="E806" t="s">
        <v>9</v>
      </c>
      <c r="F806" s="2" t="s">
        <v>15</v>
      </c>
      <c r="G806" s="3"/>
      <c r="J806" s="2"/>
    </row>
    <row r="807" spans="1:10" customFormat="1" ht="16" x14ac:dyDescent="0.2">
      <c r="A807" t="s">
        <v>81</v>
      </c>
      <c r="B807" s="3">
        <v>2.9821053643838246E-8</v>
      </c>
      <c r="D807" t="s">
        <v>14</v>
      </c>
      <c r="E807" t="s">
        <v>9</v>
      </c>
      <c r="F807" s="2" t="s">
        <v>15</v>
      </c>
      <c r="G807" s="3"/>
      <c r="J807" s="2"/>
    </row>
    <row r="808" spans="1:10" customFormat="1" ht="16" x14ac:dyDescent="0.2">
      <c r="B808" s="3"/>
      <c r="J808" s="2"/>
    </row>
    <row r="809" spans="1:10" x14ac:dyDescent="0.2">
      <c r="A809" s="17" t="s">
        <v>2</v>
      </c>
      <c r="B809" s="17" t="s">
        <v>417</v>
      </c>
    </row>
    <row r="810" spans="1:10" customFormat="1" ht="16" x14ac:dyDescent="0.2">
      <c r="A810" t="s">
        <v>151</v>
      </c>
      <c r="B810" t="s">
        <v>197</v>
      </c>
      <c r="J810" s="2"/>
    </row>
    <row r="811" spans="1:10" customFormat="1" ht="16" x14ac:dyDescent="0.2">
      <c r="A811" t="s">
        <v>198</v>
      </c>
      <c r="B811" t="s">
        <v>199</v>
      </c>
      <c r="J811" s="2"/>
    </row>
    <row r="812" spans="1:10" customFormat="1" ht="16" x14ac:dyDescent="0.2">
      <c r="A812" t="s">
        <v>3</v>
      </c>
      <c r="B812" t="s">
        <v>18</v>
      </c>
      <c r="J812" s="2"/>
    </row>
    <row r="813" spans="1:10" customFormat="1" ht="16" x14ac:dyDescent="0.2">
      <c r="A813" t="s">
        <v>4</v>
      </c>
      <c r="B813">
        <v>1</v>
      </c>
      <c r="J813" s="2"/>
    </row>
    <row r="814" spans="1:10" customFormat="1" ht="16" x14ac:dyDescent="0.2">
      <c r="A814" t="s">
        <v>5</v>
      </c>
      <c r="B814" t="s">
        <v>1</v>
      </c>
      <c r="J814" s="2"/>
    </row>
    <row r="815" spans="1:10" customFormat="1" ht="16" x14ac:dyDescent="0.2">
      <c r="A815" t="s">
        <v>6</v>
      </c>
      <c r="B815" t="s">
        <v>7</v>
      </c>
      <c r="J815" s="2"/>
    </row>
    <row r="816" spans="1:10" customFormat="1" ht="16" x14ac:dyDescent="0.2">
      <c r="A816" t="s">
        <v>8</v>
      </c>
      <c r="B816" t="s">
        <v>17</v>
      </c>
      <c r="J816" s="2"/>
    </row>
    <row r="817" spans="1:12" customFormat="1" ht="16" x14ac:dyDescent="0.2">
      <c r="A817" t="s">
        <v>352</v>
      </c>
      <c r="B817" s="2">
        <v>245</v>
      </c>
      <c r="C817" t="s">
        <v>312</v>
      </c>
      <c r="D817" s="2"/>
      <c r="E817" s="2"/>
      <c r="F817" s="2"/>
      <c r="G817" s="2"/>
      <c r="H817" s="2"/>
      <c r="I817" s="2"/>
      <c r="J817" s="2"/>
      <c r="K817" s="2"/>
      <c r="L817" s="2"/>
    </row>
    <row r="818" spans="1:12" customFormat="1" ht="16" x14ac:dyDescent="0.2">
      <c r="A818" t="s">
        <v>353</v>
      </c>
      <c r="B818" s="2">
        <v>125</v>
      </c>
      <c r="C818" t="s">
        <v>312</v>
      </c>
      <c r="D818" s="2"/>
      <c r="E818" s="2"/>
      <c r="F818" s="2"/>
      <c r="G818" s="2"/>
      <c r="H818" s="2"/>
      <c r="I818" s="2"/>
      <c r="J818" s="2"/>
      <c r="K818" s="2"/>
      <c r="L818" s="2"/>
    </row>
    <row r="819" spans="1:12" customFormat="1" ht="16" x14ac:dyDescent="0.2">
      <c r="A819" t="s">
        <v>354</v>
      </c>
      <c r="B819" s="2">
        <v>323</v>
      </c>
      <c r="C819" t="s">
        <v>312</v>
      </c>
      <c r="D819" s="2"/>
      <c r="E819" s="2"/>
      <c r="F819" s="2"/>
      <c r="G819" s="2"/>
      <c r="H819" s="2"/>
      <c r="I819" s="2"/>
      <c r="J819" s="2"/>
      <c r="K819" s="2"/>
      <c r="L819" s="2"/>
    </row>
    <row r="820" spans="1:12" customFormat="1" ht="16" x14ac:dyDescent="0.2">
      <c r="A820" t="s">
        <v>316</v>
      </c>
      <c r="B820" s="24">
        <v>700000</v>
      </c>
      <c r="C820" t="s">
        <v>313</v>
      </c>
      <c r="D820" s="2"/>
      <c r="E820" s="2"/>
      <c r="F820" s="2"/>
      <c r="G820" s="2"/>
      <c r="H820" s="2"/>
      <c r="I820" s="2"/>
      <c r="J820" s="2"/>
      <c r="K820" s="2"/>
      <c r="L820" s="2"/>
    </row>
    <row r="821" spans="1:12" customFormat="1" ht="16" x14ac:dyDescent="0.2">
      <c r="A821" t="s">
        <v>317</v>
      </c>
      <c r="B821" s="24">
        <v>500000</v>
      </c>
      <c r="C821" t="s">
        <v>313</v>
      </c>
      <c r="D821" s="2"/>
      <c r="E821" s="2"/>
      <c r="F821" s="2"/>
      <c r="G821" s="2"/>
      <c r="H821" s="2"/>
      <c r="I821" s="2"/>
      <c r="J821" s="2"/>
      <c r="K821" s="2"/>
      <c r="L821" s="2"/>
    </row>
    <row r="822" spans="1:12" customFormat="1" ht="16" x14ac:dyDescent="0.2">
      <c r="A822" t="s">
        <v>318</v>
      </c>
      <c r="B822" s="24">
        <v>1000000</v>
      </c>
      <c r="C822" t="s">
        <v>313</v>
      </c>
      <c r="D822" s="2"/>
      <c r="E822" s="2"/>
      <c r="F822" s="2"/>
      <c r="G822" s="2"/>
      <c r="H822" s="2"/>
      <c r="I822" s="2"/>
      <c r="J822" s="2"/>
      <c r="K822" s="2"/>
      <c r="L822" s="2"/>
    </row>
    <row r="823" spans="1:12" customFormat="1" ht="16" x14ac:dyDescent="0.2">
      <c r="A823" t="s">
        <v>319</v>
      </c>
      <c r="B823" s="2">
        <v>9500</v>
      </c>
      <c r="C823" t="s">
        <v>314</v>
      </c>
      <c r="D823" s="2"/>
      <c r="E823" s="2"/>
      <c r="F823" s="2"/>
      <c r="G823" s="2"/>
      <c r="H823" s="2"/>
      <c r="I823" s="2"/>
      <c r="J823" s="2"/>
      <c r="K823" s="2"/>
      <c r="L823" s="2"/>
    </row>
    <row r="824" spans="1:12" customFormat="1" ht="16" x14ac:dyDescent="0.2">
      <c r="A824" t="s">
        <v>320</v>
      </c>
      <c r="B824" s="2">
        <v>6000</v>
      </c>
      <c r="C824" t="s">
        <v>314</v>
      </c>
      <c r="D824" s="2"/>
      <c r="E824" s="2"/>
      <c r="F824" s="2"/>
      <c r="G824" s="2"/>
      <c r="H824" s="2"/>
      <c r="I824" s="2"/>
      <c r="J824" s="2"/>
      <c r="K824" s="2"/>
      <c r="L824" s="2"/>
    </row>
    <row r="825" spans="1:12" customFormat="1" ht="16" x14ac:dyDescent="0.2">
      <c r="A825" t="s">
        <v>321</v>
      </c>
      <c r="B825" s="2">
        <v>12200</v>
      </c>
      <c r="C825" t="s">
        <v>314</v>
      </c>
      <c r="D825" s="2"/>
      <c r="E825" s="2"/>
      <c r="F825" s="2"/>
      <c r="G825" s="2"/>
      <c r="H825" s="2"/>
      <c r="I825" s="2"/>
      <c r="J825" s="2"/>
      <c r="K825" s="2"/>
      <c r="L825" s="2"/>
    </row>
    <row r="826" spans="1:12" customFormat="1" ht="16" x14ac:dyDescent="0.2">
      <c r="A826" t="s">
        <v>337</v>
      </c>
      <c r="B826" s="2">
        <v>0</v>
      </c>
      <c r="C826" t="s">
        <v>336</v>
      </c>
      <c r="D826" s="2"/>
      <c r="E826" s="2"/>
      <c r="F826" s="2"/>
      <c r="G826" s="2"/>
      <c r="H826" s="2"/>
      <c r="I826" s="2"/>
      <c r="J826" s="2"/>
      <c r="K826" s="2"/>
      <c r="L826" s="2"/>
    </row>
    <row r="827" spans="1:12" customFormat="1" ht="16" x14ac:dyDescent="0.2">
      <c r="A827" t="s">
        <v>338</v>
      </c>
      <c r="B827" s="2">
        <v>0</v>
      </c>
      <c r="C827" t="s">
        <v>336</v>
      </c>
      <c r="D827" s="2"/>
      <c r="E827" s="2"/>
      <c r="F827" s="2"/>
      <c r="G827" s="2"/>
      <c r="H827" s="2"/>
      <c r="I827" s="2"/>
      <c r="J827" s="2"/>
      <c r="K827" s="2"/>
      <c r="L827" s="2"/>
    </row>
    <row r="828" spans="1:12" customFormat="1" ht="16" x14ac:dyDescent="0.2">
      <c r="A828" t="s">
        <v>339</v>
      </c>
      <c r="B828" s="2">
        <v>0</v>
      </c>
      <c r="C828" t="s">
        <v>336</v>
      </c>
      <c r="D828" s="2"/>
      <c r="E828" s="2"/>
      <c r="F828" s="2"/>
      <c r="G828" s="2"/>
      <c r="H828" s="2"/>
      <c r="I828" s="2"/>
      <c r="J828" s="2"/>
      <c r="K828" s="2"/>
      <c r="L828" s="2"/>
    </row>
    <row r="829" spans="1:12" customFormat="1" ht="16" x14ac:dyDescent="0.2">
      <c r="A829" t="s">
        <v>340</v>
      </c>
      <c r="B829" s="2">
        <v>733</v>
      </c>
      <c r="C829" t="s">
        <v>336</v>
      </c>
      <c r="D829" s="2"/>
      <c r="E829" s="2"/>
      <c r="F829" s="2"/>
      <c r="G829" s="2"/>
      <c r="H829" s="2"/>
      <c r="I829" s="2"/>
      <c r="J829" s="2"/>
      <c r="K829" s="2"/>
      <c r="L829" s="2"/>
    </row>
    <row r="830" spans="1:12" customFormat="1" ht="16" x14ac:dyDescent="0.2">
      <c r="A830" t="s">
        <v>341</v>
      </c>
      <c r="B830" s="2">
        <v>400</v>
      </c>
      <c r="C830" t="s">
        <v>336</v>
      </c>
      <c r="D830" s="2"/>
      <c r="E830" s="2"/>
      <c r="F830" s="2"/>
      <c r="G830" s="2"/>
      <c r="H830" s="2"/>
      <c r="I830" s="2"/>
      <c r="J830" s="2"/>
      <c r="K830" s="2"/>
      <c r="L830" s="2"/>
    </row>
    <row r="831" spans="1:12" customFormat="1" ht="16" x14ac:dyDescent="0.2">
      <c r="A831" t="s">
        <v>342</v>
      </c>
      <c r="B831" s="2">
        <v>955</v>
      </c>
      <c r="C831" t="s">
        <v>336</v>
      </c>
      <c r="D831" s="2"/>
      <c r="E831" s="2"/>
      <c r="F831" s="2"/>
      <c r="G831" s="2"/>
      <c r="H831" s="2"/>
      <c r="I831" s="2"/>
      <c r="J831" s="2"/>
      <c r="K831" s="2"/>
      <c r="L831" s="2"/>
    </row>
    <row r="832" spans="1:12" customFormat="1" ht="16" x14ac:dyDescent="0.2">
      <c r="A832" t="s">
        <v>333</v>
      </c>
      <c r="B832" s="2">
        <v>48</v>
      </c>
      <c r="C832" t="s">
        <v>336</v>
      </c>
      <c r="D832" s="2"/>
      <c r="E832" s="2"/>
      <c r="F832" s="2"/>
      <c r="G832" s="2"/>
      <c r="H832" s="2"/>
      <c r="I832" s="2"/>
      <c r="J832" s="2"/>
      <c r="K832" s="2"/>
      <c r="L832" s="2"/>
    </row>
    <row r="833" spans="1:12" customFormat="1" ht="16" x14ac:dyDescent="0.2">
      <c r="A833" t="s">
        <v>334</v>
      </c>
      <c r="B833" s="2">
        <v>38</v>
      </c>
      <c r="C833" t="s">
        <v>336</v>
      </c>
      <c r="D833" s="2"/>
      <c r="E833" s="2"/>
      <c r="F833" s="2"/>
      <c r="G833" s="2"/>
      <c r="H833" s="2"/>
      <c r="I833" s="2"/>
      <c r="J833" s="2"/>
      <c r="K833" s="2"/>
      <c r="L833" s="2"/>
    </row>
    <row r="834" spans="1:12" customFormat="1" ht="16" x14ac:dyDescent="0.2">
      <c r="A834" t="s">
        <v>335</v>
      </c>
      <c r="B834" s="2">
        <v>53</v>
      </c>
      <c r="C834" t="s">
        <v>336</v>
      </c>
      <c r="D834" s="2"/>
      <c r="E834" s="2"/>
      <c r="F834" s="2"/>
      <c r="G834" s="2"/>
      <c r="H834" s="2"/>
      <c r="I834" s="2"/>
      <c r="J834" s="2"/>
      <c r="K834" s="2"/>
      <c r="L834" s="2"/>
    </row>
    <row r="835" spans="1:12" customFormat="1" ht="16" x14ac:dyDescent="0.2">
      <c r="A835" t="s">
        <v>322</v>
      </c>
      <c r="B835" s="2">
        <v>0</v>
      </c>
      <c r="C835" t="s">
        <v>315</v>
      </c>
      <c r="D835" s="2"/>
      <c r="E835" s="2"/>
      <c r="F835" s="2"/>
      <c r="G835" s="2"/>
      <c r="H835" s="2"/>
      <c r="I835" s="2"/>
      <c r="J835" s="2"/>
      <c r="K835" s="2"/>
      <c r="L835" s="2"/>
    </row>
    <row r="836" spans="1:12" customFormat="1" ht="16" x14ac:dyDescent="0.2">
      <c r="A836" t="s">
        <v>323</v>
      </c>
      <c r="B836" s="2">
        <v>0</v>
      </c>
      <c r="C836" t="s">
        <v>315</v>
      </c>
      <c r="D836" s="2"/>
      <c r="E836" s="2"/>
      <c r="F836" s="2"/>
      <c r="G836" s="2"/>
      <c r="H836" s="2"/>
      <c r="I836" s="2"/>
      <c r="J836" s="2"/>
      <c r="K836" s="2"/>
      <c r="L836" s="2"/>
    </row>
    <row r="837" spans="1:12" customFormat="1" ht="16" x14ac:dyDescent="0.2">
      <c r="A837" t="s">
        <v>324</v>
      </c>
      <c r="B837" s="2">
        <v>0</v>
      </c>
      <c r="C837" t="s">
        <v>315</v>
      </c>
      <c r="D837" s="2"/>
      <c r="E837" s="2"/>
      <c r="F837" s="2"/>
      <c r="G837" s="2"/>
      <c r="H837" s="2"/>
      <c r="I837" s="2"/>
      <c r="J837" s="2"/>
      <c r="K837" s="2"/>
      <c r="L837" s="2"/>
    </row>
    <row r="838" spans="1:12" customFormat="1" ht="16" x14ac:dyDescent="0.2">
      <c r="A838" t="s">
        <v>330</v>
      </c>
      <c r="B838" s="2">
        <v>0</v>
      </c>
      <c r="C838" t="s">
        <v>8</v>
      </c>
      <c r="D838" s="2"/>
      <c r="E838" s="2"/>
      <c r="F838" s="2"/>
      <c r="G838" s="2"/>
      <c r="H838" s="2"/>
      <c r="I838" s="2"/>
      <c r="J838" s="2"/>
      <c r="K838" s="2"/>
      <c r="L838" s="2"/>
    </row>
    <row r="839" spans="1:12" customFormat="1" ht="16" x14ac:dyDescent="0.2">
      <c r="A839" t="s">
        <v>331</v>
      </c>
      <c r="B839" s="2">
        <v>0</v>
      </c>
      <c r="C839" t="s">
        <v>8</v>
      </c>
      <c r="D839" s="2"/>
      <c r="E839" s="2"/>
      <c r="F839" s="2"/>
      <c r="G839" s="2"/>
      <c r="H839" s="2"/>
      <c r="I839" s="2"/>
      <c r="J839" s="2"/>
      <c r="K839" s="2"/>
      <c r="L839" s="2"/>
    </row>
    <row r="840" spans="1:12" customFormat="1" ht="16" x14ac:dyDescent="0.2">
      <c r="A840" t="s">
        <v>332</v>
      </c>
      <c r="B840" s="2">
        <v>0</v>
      </c>
      <c r="C840" t="s">
        <v>8</v>
      </c>
      <c r="D840" s="2"/>
      <c r="E840" s="2"/>
      <c r="F840" s="2"/>
      <c r="G840" s="2"/>
      <c r="H840" s="2"/>
      <c r="I840" s="2"/>
      <c r="J840" s="2"/>
      <c r="K840" s="2"/>
      <c r="L840" s="2"/>
    </row>
    <row r="841" spans="1:12" customFormat="1" ht="16" x14ac:dyDescent="0.2">
      <c r="A841" t="s">
        <v>346</v>
      </c>
      <c r="B841" s="2">
        <v>0</v>
      </c>
      <c r="C841" t="s">
        <v>312</v>
      </c>
      <c r="D841" s="2"/>
      <c r="E841" s="2"/>
      <c r="F841" s="2"/>
      <c r="G841" s="2"/>
      <c r="H841" s="2"/>
      <c r="I841" s="2"/>
      <c r="J841" s="2"/>
      <c r="K841" s="2"/>
      <c r="L841" s="2"/>
    </row>
    <row r="842" spans="1:12" customFormat="1" ht="16" x14ac:dyDescent="0.2">
      <c r="A842" t="s">
        <v>347</v>
      </c>
      <c r="B842" s="2">
        <v>0</v>
      </c>
      <c r="C842" t="s">
        <v>312</v>
      </c>
      <c r="D842" s="2"/>
      <c r="E842" s="12"/>
      <c r="F842" s="2"/>
      <c r="G842" s="2"/>
      <c r="H842" s="2"/>
      <c r="I842" s="2"/>
      <c r="J842" s="2"/>
      <c r="K842" s="2"/>
      <c r="L842" s="2"/>
    </row>
    <row r="843" spans="1:12" customFormat="1" ht="16" x14ac:dyDescent="0.2">
      <c r="A843" t="s">
        <v>348</v>
      </c>
      <c r="B843" s="2">
        <v>0</v>
      </c>
      <c r="C843" t="s">
        <v>312</v>
      </c>
      <c r="D843" s="2"/>
      <c r="E843" s="2"/>
      <c r="F843" s="2"/>
      <c r="G843" s="2"/>
      <c r="H843" s="2"/>
      <c r="I843" s="2"/>
      <c r="J843" s="2"/>
      <c r="K843" s="2"/>
      <c r="L843" s="2"/>
    </row>
    <row r="844" spans="1:12" customFormat="1" ht="16" x14ac:dyDescent="0.2">
      <c r="A844" t="s">
        <v>349</v>
      </c>
      <c r="B844" s="2">
        <v>0</v>
      </c>
      <c r="C844" t="s">
        <v>8</v>
      </c>
      <c r="D844" s="2"/>
      <c r="E844" s="2"/>
      <c r="F844" s="2"/>
      <c r="G844" s="2"/>
      <c r="H844" s="2"/>
      <c r="I844" s="2"/>
      <c r="J844" s="2"/>
      <c r="K844" s="2"/>
      <c r="L844" s="2"/>
    </row>
    <row r="845" spans="1:12" customFormat="1" ht="16" x14ac:dyDescent="0.2">
      <c r="A845" t="s">
        <v>350</v>
      </c>
      <c r="B845" s="2">
        <v>0</v>
      </c>
      <c r="C845" t="s">
        <v>8</v>
      </c>
      <c r="D845" s="2"/>
      <c r="E845" s="2"/>
      <c r="F845" s="2"/>
      <c r="G845" s="2"/>
      <c r="H845" s="2"/>
      <c r="I845" s="2"/>
      <c r="J845" s="2"/>
      <c r="K845" s="2"/>
      <c r="L845" s="2"/>
    </row>
    <row r="846" spans="1:12" customFormat="1" ht="16" x14ac:dyDescent="0.2">
      <c r="A846" t="s">
        <v>351</v>
      </c>
      <c r="B846" s="2">
        <v>0</v>
      </c>
      <c r="C846" t="s">
        <v>8</v>
      </c>
      <c r="D846" s="2"/>
      <c r="E846" s="2"/>
      <c r="F846" s="2"/>
      <c r="G846" s="2"/>
      <c r="H846" s="2"/>
      <c r="I846" s="2"/>
      <c r="J846" s="2"/>
      <c r="K846" s="2"/>
      <c r="L846" s="2"/>
    </row>
    <row r="847" spans="1:12" customFormat="1" ht="16" x14ac:dyDescent="0.2">
      <c r="A847" t="s">
        <v>365</v>
      </c>
      <c r="B847" s="2">
        <v>0</v>
      </c>
      <c r="C847" t="s">
        <v>336</v>
      </c>
      <c r="D847" s="2"/>
      <c r="E847" s="2"/>
      <c r="F847" s="2"/>
      <c r="G847" s="2"/>
      <c r="H847" s="2"/>
      <c r="I847" s="2"/>
      <c r="J847" s="2"/>
      <c r="K847" s="2"/>
      <c r="L847" s="2"/>
    </row>
    <row r="848" spans="1:12" customFormat="1" ht="16" x14ac:dyDescent="0.2">
      <c r="A848" t="s">
        <v>366</v>
      </c>
      <c r="B848" s="2">
        <v>0</v>
      </c>
      <c r="C848" t="s">
        <v>336</v>
      </c>
      <c r="D848" s="2"/>
      <c r="E848" s="2"/>
      <c r="F848" s="2"/>
      <c r="G848" s="2"/>
      <c r="H848" s="2"/>
      <c r="I848" s="2"/>
      <c r="J848" s="2"/>
      <c r="K848" s="2"/>
      <c r="L848" s="2"/>
    </row>
    <row r="849" spans="1:12" customFormat="1" ht="16" x14ac:dyDescent="0.2">
      <c r="A849" t="s">
        <v>367</v>
      </c>
      <c r="B849" s="2">
        <v>0</v>
      </c>
      <c r="C849" t="s">
        <v>336</v>
      </c>
      <c r="D849" s="2"/>
      <c r="E849" s="2"/>
      <c r="F849" s="2"/>
      <c r="G849" s="2"/>
      <c r="H849" s="2"/>
      <c r="I849" s="2"/>
      <c r="J849" s="2"/>
      <c r="K849" s="2"/>
      <c r="L849" s="2"/>
    </row>
    <row r="850" spans="1:12" customFormat="1" ht="16" x14ac:dyDescent="0.2">
      <c r="A850" t="s">
        <v>368</v>
      </c>
      <c r="B850" s="2">
        <v>0</v>
      </c>
      <c r="C850" t="s">
        <v>336</v>
      </c>
      <c r="D850" s="2"/>
      <c r="E850" s="2"/>
      <c r="F850" s="2"/>
      <c r="G850" s="2"/>
      <c r="H850" s="2"/>
      <c r="I850" s="2"/>
      <c r="J850" s="2"/>
      <c r="K850" s="2"/>
      <c r="L850" s="2"/>
    </row>
    <row r="851" spans="1:12" customFormat="1" ht="16" x14ac:dyDescent="0.2">
      <c r="A851" t="s">
        <v>369</v>
      </c>
      <c r="B851" s="2">
        <v>0</v>
      </c>
      <c r="C851" t="s">
        <v>336</v>
      </c>
      <c r="D851" s="2"/>
      <c r="E851" s="2"/>
      <c r="F851" s="2"/>
      <c r="G851" s="2"/>
      <c r="H851" s="2"/>
      <c r="I851" s="2"/>
      <c r="J851" s="2"/>
      <c r="K851" s="2"/>
      <c r="L851" s="2"/>
    </row>
    <row r="852" spans="1:12" customFormat="1" ht="16" x14ac:dyDescent="0.2">
      <c r="A852" t="s">
        <v>344</v>
      </c>
      <c r="B852" s="32">
        <v>1.4516100000000001E-3</v>
      </c>
      <c r="C852" t="s">
        <v>345</v>
      </c>
      <c r="D852" s="2"/>
      <c r="E852" s="2"/>
      <c r="F852" s="2"/>
      <c r="G852" s="2"/>
      <c r="H852" s="2"/>
      <c r="I852" s="2"/>
      <c r="J852" s="2"/>
      <c r="K852" s="2"/>
      <c r="L852" s="2"/>
    </row>
    <row r="853" spans="1:12" customFormat="1" ht="16" x14ac:dyDescent="0.2">
      <c r="A853" t="s">
        <v>343</v>
      </c>
      <c r="B853" s="32">
        <v>2.1756100000000001E-4</v>
      </c>
      <c r="C853" t="s">
        <v>345</v>
      </c>
      <c r="D853" s="2"/>
      <c r="E853" s="2"/>
      <c r="F853" s="2"/>
      <c r="G853" s="2"/>
      <c r="H853" s="2"/>
      <c r="I853" s="2"/>
      <c r="J853" s="2"/>
      <c r="K853" s="2"/>
      <c r="L853" s="2"/>
    </row>
    <row r="854" spans="1:12" customFormat="1" ht="16" x14ac:dyDescent="0.2">
      <c r="A854" s="1" t="s">
        <v>10</v>
      </c>
      <c r="J854" s="2"/>
    </row>
    <row r="855" spans="1:12" x14ac:dyDescent="0.2">
      <c r="A855" s="17" t="s">
        <v>11</v>
      </c>
      <c r="B855" s="17" t="s">
        <v>12</v>
      </c>
      <c r="C855" s="17" t="s">
        <v>3</v>
      </c>
      <c r="D855" s="17" t="s">
        <v>13</v>
      </c>
      <c r="E855" s="17" t="s">
        <v>8</v>
      </c>
      <c r="F855" s="17" t="s">
        <v>6</v>
      </c>
      <c r="G855" s="17" t="s">
        <v>5</v>
      </c>
      <c r="H855" s="17" t="s">
        <v>151</v>
      </c>
      <c r="I855" s="17" t="s">
        <v>179</v>
      </c>
      <c r="J855" s="17" t="s">
        <v>180</v>
      </c>
      <c r="K855" s="17" t="s">
        <v>181</v>
      </c>
      <c r="L855" s="17" t="s">
        <v>182</v>
      </c>
    </row>
    <row r="856" spans="1:12" customFormat="1" ht="16" x14ac:dyDescent="0.2">
      <c r="A856" t="str">
        <f>B809</f>
        <v>biodiesel, from residual cellulosic biomass, burned in single deck coach or urban bus</v>
      </c>
      <c r="B856">
        <v>1</v>
      </c>
      <c r="C856" t="s">
        <v>18</v>
      </c>
      <c r="E856" t="s">
        <v>17</v>
      </c>
      <c r="F856" t="s">
        <v>19</v>
      </c>
      <c r="J856" s="2"/>
    </row>
    <row r="857" spans="1:12" customFormat="1" ht="16" x14ac:dyDescent="0.2">
      <c r="A857" t="s">
        <v>200</v>
      </c>
      <c r="B857" s="3">
        <f>(B832/B820)/(B823/1000)</f>
        <v>7.2180451127819541E-6</v>
      </c>
      <c r="C857" t="s">
        <v>18</v>
      </c>
      <c r="E857" t="s">
        <v>9</v>
      </c>
      <c r="F857" t="s">
        <v>23</v>
      </c>
      <c r="G857" t="s">
        <v>201</v>
      </c>
      <c r="I857">
        <v>5</v>
      </c>
      <c r="J857" s="12">
        <f>B857</f>
        <v>7.2180451127819541E-6</v>
      </c>
      <c r="K857" s="3">
        <f>(B833/B822)/(B825/1000)</f>
        <v>3.114754098360656E-6</v>
      </c>
      <c r="L857" s="3">
        <f>(B834/B821)/(B824/1000)</f>
        <v>1.7666666666666668E-5</v>
      </c>
    </row>
    <row r="858" spans="1:12" customFormat="1" ht="16" x14ac:dyDescent="0.2">
      <c r="A858" t="s">
        <v>145</v>
      </c>
      <c r="B858" s="3">
        <f>(B829/B820)/(B823/1000)</f>
        <v>1.1022556390977444E-4</v>
      </c>
      <c r="C858" t="s">
        <v>18</v>
      </c>
      <c r="E858" t="s">
        <v>9</v>
      </c>
      <c r="F858" t="s">
        <v>23</v>
      </c>
      <c r="G858" t="s">
        <v>145</v>
      </c>
      <c r="I858">
        <v>5</v>
      </c>
      <c r="J858" s="12">
        <f>B858</f>
        <v>1.1022556390977444E-4</v>
      </c>
      <c r="K858" s="3">
        <f>(B830/B822)/(B825/1000)</f>
        <v>3.2786885245901642E-5</v>
      </c>
      <c r="L858" s="3">
        <f>(B831/B821)/(B824/1000)</f>
        <v>3.1833333333333334E-4</v>
      </c>
    </row>
    <row r="859" spans="1:12" customFormat="1" ht="16" x14ac:dyDescent="0.2">
      <c r="A859" s="2" t="s">
        <v>416</v>
      </c>
      <c r="B859" s="8">
        <f>1/43</f>
        <v>2.3255813953488372E-2</v>
      </c>
      <c r="C859" t="s">
        <v>18</v>
      </c>
      <c r="E859" t="s">
        <v>9</v>
      </c>
      <c r="F859" t="s">
        <v>23</v>
      </c>
      <c r="G859" t="s">
        <v>408</v>
      </c>
      <c r="J859" s="2"/>
    </row>
    <row r="860" spans="1:12" customFormat="1" ht="16" x14ac:dyDescent="0.2">
      <c r="A860" t="s">
        <v>45</v>
      </c>
      <c r="B860" s="3">
        <v>7.1455665432553858E-7</v>
      </c>
      <c r="D860" t="s">
        <v>14</v>
      </c>
      <c r="E860" t="s">
        <v>9</v>
      </c>
      <c r="F860" s="2" t="s">
        <v>15</v>
      </c>
      <c r="G860" s="3"/>
      <c r="J860" s="2"/>
    </row>
    <row r="861" spans="1:12" customFormat="1" ht="16" x14ac:dyDescent="0.2">
      <c r="A861" t="s">
        <v>46</v>
      </c>
      <c r="B861" s="3">
        <v>3.2468920124586623E-7</v>
      </c>
      <c r="D861" t="s">
        <v>14</v>
      </c>
      <c r="E861" t="s">
        <v>9</v>
      </c>
      <c r="F861" s="2" t="s">
        <v>15</v>
      </c>
      <c r="G861" s="3"/>
      <c r="J861" s="2"/>
    </row>
    <row r="862" spans="1:12" customFormat="1" ht="16" x14ac:dyDescent="0.2">
      <c r="A862" t="s">
        <v>47</v>
      </c>
      <c r="B862" s="3">
        <v>3.9534349472964383E-7</v>
      </c>
      <c r="D862" t="s">
        <v>14</v>
      </c>
      <c r="E862" t="s">
        <v>9</v>
      </c>
      <c r="F862" s="2" t="s">
        <v>15</v>
      </c>
      <c r="G862" s="3"/>
      <c r="J862" s="2"/>
    </row>
    <row r="863" spans="1:12" customFormat="1" ht="16" x14ac:dyDescent="0.2">
      <c r="A863" t="s">
        <v>48</v>
      </c>
      <c r="B863" s="3">
        <v>3.7209280955662761E-7</v>
      </c>
      <c r="D863" t="s">
        <v>14</v>
      </c>
      <c r="E863" t="s">
        <v>9</v>
      </c>
      <c r="F863" s="2" t="s">
        <v>15</v>
      </c>
      <c r="G863" s="3"/>
      <c r="J863" s="2"/>
    </row>
    <row r="864" spans="1:12" customFormat="1" ht="16" x14ac:dyDescent="0.2">
      <c r="A864" t="s">
        <v>49</v>
      </c>
      <c r="B864" s="3">
        <v>9.4995966427857817E-8</v>
      </c>
      <c r="D864" t="s">
        <v>14</v>
      </c>
      <c r="E864" t="s">
        <v>9</v>
      </c>
      <c r="F864" s="2" t="s">
        <v>15</v>
      </c>
      <c r="G864" s="3"/>
      <c r="J864" s="2"/>
    </row>
    <row r="865" spans="1:10" customFormat="1" ht="16" x14ac:dyDescent="0.2">
      <c r="A865" t="s">
        <v>50</v>
      </c>
      <c r="B865" s="3">
        <v>2.186743705223342E-7</v>
      </c>
      <c r="D865" t="s">
        <v>14</v>
      </c>
      <c r="E865" t="s">
        <v>9</v>
      </c>
      <c r="F865" s="2" t="s">
        <v>15</v>
      </c>
      <c r="G865" s="3"/>
      <c r="J865" s="2"/>
    </row>
    <row r="866" spans="1:10" customFormat="1" ht="16" x14ac:dyDescent="0.2">
      <c r="A866" t="s">
        <v>51</v>
      </c>
      <c r="B866" s="3">
        <v>1.2147463123534157E-8</v>
      </c>
      <c r="D866" t="s">
        <v>14</v>
      </c>
      <c r="E866" t="s">
        <v>9</v>
      </c>
      <c r="F866" s="2" t="s">
        <v>15</v>
      </c>
      <c r="G866" s="3"/>
      <c r="J866" s="2"/>
    </row>
    <row r="867" spans="1:10" customFormat="1" ht="16" x14ac:dyDescent="0.2">
      <c r="A867" t="s">
        <v>52</v>
      </c>
      <c r="B867" s="3">
        <v>2.3255800597289225E-10</v>
      </c>
      <c r="D867" t="s">
        <v>14</v>
      </c>
      <c r="E867" t="s">
        <v>9</v>
      </c>
      <c r="F867" s="2" t="s">
        <v>15</v>
      </c>
      <c r="G867" s="3"/>
      <c r="J867" s="2"/>
    </row>
    <row r="868" spans="1:10" customFormat="1" ht="16" x14ac:dyDescent="0.2">
      <c r="A868" t="s">
        <v>122</v>
      </c>
      <c r="B868" s="8">
        <f>B859*3.15</f>
        <v>7.3255813953488375E-2</v>
      </c>
      <c r="D868" t="s">
        <v>14</v>
      </c>
      <c r="E868" t="s">
        <v>9</v>
      </c>
      <c r="F868" s="2" t="s">
        <v>15</v>
      </c>
      <c r="G868" s="3"/>
      <c r="J868" s="2"/>
    </row>
    <row r="869" spans="1:10" customFormat="1" ht="16" x14ac:dyDescent="0.2">
      <c r="A869" t="s">
        <v>123</v>
      </c>
      <c r="B869" s="3">
        <v>2.1069404153243686E-5</v>
      </c>
      <c r="D869" t="s">
        <v>14</v>
      </c>
      <c r="E869" t="s">
        <v>9</v>
      </c>
      <c r="F869" s="2" t="s">
        <v>15</v>
      </c>
      <c r="G869" s="3"/>
      <c r="J869" s="2"/>
    </row>
    <row r="870" spans="1:10" customFormat="1" ht="16" x14ac:dyDescent="0.2">
      <c r="A870" t="s">
        <v>55</v>
      </c>
      <c r="B870" s="3">
        <v>1.1627900298644613E-9</v>
      </c>
      <c r="D870" t="s">
        <v>14</v>
      </c>
      <c r="E870" t="s">
        <v>9</v>
      </c>
      <c r="F870" s="2" t="s">
        <v>15</v>
      </c>
      <c r="G870" s="3"/>
      <c r="J870" s="2"/>
    </row>
    <row r="871" spans="1:10" customFormat="1" ht="16" x14ac:dyDescent="0.2">
      <c r="A871" t="s">
        <v>56</v>
      </c>
      <c r="B871" s="3">
        <v>2.3255800597289222E-12</v>
      </c>
      <c r="D871" t="s">
        <v>14</v>
      </c>
      <c r="E871" t="s">
        <v>9</v>
      </c>
      <c r="F871" s="2" t="s">
        <v>15</v>
      </c>
      <c r="G871" s="3"/>
      <c r="J871" s="2"/>
    </row>
    <row r="872" spans="1:10" customFormat="1" ht="16" x14ac:dyDescent="0.2">
      <c r="A872" t="s">
        <v>57</v>
      </c>
      <c r="B872" s="3">
        <v>3.9534861015391682E-8</v>
      </c>
      <c r="D872" t="s">
        <v>14</v>
      </c>
      <c r="E872" t="s">
        <v>9</v>
      </c>
      <c r="F872" s="2" t="s">
        <v>15</v>
      </c>
      <c r="G872" s="3"/>
      <c r="J872" s="2"/>
    </row>
    <row r="873" spans="1:10" customFormat="1" ht="16" x14ac:dyDescent="0.2">
      <c r="A873" t="s">
        <v>150</v>
      </c>
      <c r="B873" s="3">
        <v>7.1789570411210658E-8</v>
      </c>
      <c r="D873" t="s">
        <v>14</v>
      </c>
      <c r="E873" t="s">
        <v>9</v>
      </c>
      <c r="F873" s="2" t="s">
        <v>15</v>
      </c>
      <c r="G873" s="3"/>
      <c r="J873" s="2"/>
    </row>
    <row r="874" spans="1:10" customFormat="1" ht="16" x14ac:dyDescent="0.2">
      <c r="A874" t="s">
        <v>58</v>
      </c>
      <c r="B874" s="3">
        <v>1.1627900298644611E-6</v>
      </c>
      <c r="D874" t="s">
        <v>14</v>
      </c>
      <c r="E874" t="s">
        <v>9</v>
      </c>
      <c r="F874" s="2" t="s">
        <v>15</v>
      </c>
      <c r="G874" s="3"/>
      <c r="J874" s="2"/>
    </row>
    <row r="875" spans="1:10" customFormat="1" ht="16" x14ac:dyDescent="0.2">
      <c r="A875" t="s">
        <v>59</v>
      </c>
      <c r="B875" s="3">
        <v>3.646242366932188E-8</v>
      </c>
      <c r="D875" t="s">
        <v>14</v>
      </c>
      <c r="E875" t="s">
        <v>9</v>
      </c>
      <c r="F875" s="2" t="s">
        <v>15</v>
      </c>
      <c r="G875" s="3"/>
      <c r="J875" s="2"/>
    </row>
    <row r="876" spans="1:10" customFormat="1" ht="16" x14ac:dyDescent="0.2">
      <c r="A876" t="s">
        <v>60</v>
      </c>
      <c r="B876" s="3">
        <v>1.2114072625668476E-6</v>
      </c>
      <c r="D876" t="s">
        <v>14</v>
      </c>
      <c r="E876" t="s">
        <v>9</v>
      </c>
      <c r="F876" s="2" t="s">
        <v>15</v>
      </c>
      <c r="G876" s="3"/>
      <c r="J876" s="2"/>
    </row>
    <row r="877" spans="1:10" customFormat="1" ht="16" x14ac:dyDescent="0.2">
      <c r="A877" t="s">
        <v>61</v>
      </c>
      <c r="B877" s="3">
        <v>1.3252688602888143E-6</v>
      </c>
      <c r="D877" t="s">
        <v>14</v>
      </c>
      <c r="E877" t="s">
        <v>9</v>
      </c>
      <c r="F877" s="2" t="s">
        <v>15</v>
      </c>
      <c r="G877" s="3"/>
      <c r="J877" s="2"/>
    </row>
    <row r="878" spans="1:10" customFormat="1" ht="16" x14ac:dyDescent="0.2">
      <c r="A878" t="s">
        <v>62</v>
      </c>
      <c r="B878" s="3">
        <v>2.2087814338146904E-8</v>
      </c>
      <c r="D878" t="s">
        <v>14</v>
      </c>
      <c r="E878" t="s">
        <v>9</v>
      </c>
      <c r="F878" s="2" t="s">
        <v>15</v>
      </c>
      <c r="G878" s="3"/>
      <c r="J878" s="2"/>
    </row>
    <row r="879" spans="1:10" customFormat="1" ht="16" x14ac:dyDescent="0.2">
      <c r="A879" t="s">
        <v>63</v>
      </c>
      <c r="B879" s="3">
        <v>1.9186035492763611E-15</v>
      </c>
      <c r="D879" t="s">
        <v>14</v>
      </c>
      <c r="E879" t="s">
        <v>9</v>
      </c>
      <c r="F879" s="2" t="s">
        <v>15</v>
      </c>
      <c r="G879" s="3"/>
      <c r="J879" s="2"/>
    </row>
    <row r="880" spans="1:10" customFormat="1" ht="16" x14ac:dyDescent="0.2">
      <c r="A880" t="s">
        <v>64</v>
      </c>
      <c r="B880" s="3">
        <v>4.6511601194578451E-13</v>
      </c>
      <c r="D880" t="s">
        <v>14</v>
      </c>
      <c r="E880" t="s">
        <v>9</v>
      </c>
      <c r="F880" s="2" t="s">
        <v>15</v>
      </c>
      <c r="G880" s="3"/>
      <c r="J880" s="2"/>
    </row>
    <row r="881" spans="1:10" customFormat="1" ht="16" x14ac:dyDescent="0.2">
      <c r="A881" t="s">
        <v>177</v>
      </c>
      <c r="B881" s="3">
        <v>6.6447090752701953E-7</v>
      </c>
      <c r="D881" t="s">
        <v>14</v>
      </c>
      <c r="E881" t="s">
        <v>9</v>
      </c>
      <c r="F881" s="2" t="s">
        <v>15</v>
      </c>
      <c r="G881" s="3"/>
      <c r="J881" s="2"/>
    </row>
    <row r="882" spans="1:10" customFormat="1" ht="16" x14ac:dyDescent="0.2">
      <c r="A882" t="s">
        <v>66</v>
      </c>
      <c r="B882" s="3">
        <v>1.3252688602888143E-7</v>
      </c>
      <c r="D882" t="s">
        <v>14</v>
      </c>
      <c r="E882" t="s">
        <v>9</v>
      </c>
      <c r="F882" s="2" t="s">
        <v>15</v>
      </c>
      <c r="G882" s="3"/>
      <c r="J882" s="2"/>
    </row>
    <row r="883" spans="1:10" customFormat="1" ht="16" x14ac:dyDescent="0.2">
      <c r="A883" t="s">
        <v>67</v>
      </c>
      <c r="B883" s="3">
        <v>5.8566933256401625E-6</v>
      </c>
      <c r="D883" t="s">
        <v>14</v>
      </c>
      <c r="E883" t="s">
        <v>9</v>
      </c>
      <c r="F883" s="2" t="s">
        <v>15</v>
      </c>
      <c r="G883" s="3"/>
      <c r="J883" s="2"/>
    </row>
    <row r="884" spans="1:10" customFormat="1" ht="16" x14ac:dyDescent="0.2">
      <c r="A884" t="s">
        <v>68</v>
      </c>
      <c r="B884" s="3">
        <v>1.6279060418102458E-9</v>
      </c>
      <c r="D884" t="s">
        <v>14</v>
      </c>
      <c r="E884" t="s">
        <v>9</v>
      </c>
      <c r="F884" s="2" t="s">
        <v>15</v>
      </c>
      <c r="G884" s="3"/>
      <c r="J884" s="2"/>
    </row>
    <row r="885" spans="1:10" customFormat="1" ht="16" x14ac:dyDescent="0.2">
      <c r="A885" t="s">
        <v>69</v>
      </c>
      <c r="B885" s="3">
        <f>B852/1000</f>
        <v>1.4516100000000001E-6</v>
      </c>
      <c r="D885" t="s">
        <v>14</v>
      </c>
      <c r="E885" t="s">
        <v>9</v>
      </c>
      <c r="F885" s="2" t="s">
        <v>15</v>
      </c>
      <c r="G885" s="3"/>
      <c r="J885" s="2"/>
    </row>
    <row r="886" spans="1:10" customFormat="1" ht="16" x14ac:dyDescent="0.2">
      <c r="A886" t="s">
        <v>70</v>
      </c>
      <c r="B886" s="3">
        <v>4.2883696301401334E-9</v>
      </c>
      <c r="D886" t="s">
        <v>14</v>
      </c>
      <c r="E886" t="s">
        <v>9</v>
      </c>
      <c r="F886" s="2" t="s">
        <v>15</v>
      </c>
      <c r="G886" s="3"/>
      <c r="J886" s="2"/>
    </row>
    <row r="887" spans="1:10" customFormat="1" ht="16" x14ac:dyDescent="0.2">
      <c r="A887" t="s">
        <v>71</v>
      </c>
      <c r="B887" s="3">
        <f>B853/1000</f>
        <v>2.1756100000000002E-7</v>
      </c>
      <c r="D887" t="s">
        <v>14</v>
      </c>
      <c r="E887" t="s">
        <v>9</v>
      </c>
      <c r="F887" s="2" t="s">
        <v>15</v>
      </c>
      <c r="G887" s="3"/>
      <c r="J887" s="2"/>
    </row>
    <row r="888" spans="1:10" customFormat="1" ht="16" x14ac:dyDescent="0.2">
      <c r="A888" t="s">
        <v>72</v>
      </c>
      <c r="B888" s="3">
        <v>4.417562867629381E-9</v>
      </c>
      <c r="D888" t="s">
        <v>14</v>
      </c>
      <c r="E888" t="s">
        <v>9</v>
      </c>
      <c r="F888" s="2" t="s">
        <v>15</v>
      </c>
      <c r="G888" s="3"/>
      <c r="J888" s="2"/>
    </row>
    <row r="889" spans="1:10" customFormat="1" ht="16" x14ac:dyDescent="0.2">
      <c r="A889" t="s">
        <v>73</v>
      </c>
      <c r="B889" s="3">
        <v>1.2147463123534157E-8</v>
      </c>
      <c r="D889" t="s">
        <v>14</v>
      </c>
      <c r="E889" t="s">
        <v>9</v>
      </c>
      <c r="F889" s="2" t="s">
        <v>15</v>
      </c>
      <c r="G889" s="3"/>
      <c r="J889" s="2"/>
    </row>
    <row r="890" spans="1:10" customFormat="1" ht="16" x14ac:dyDescent="0.2">
      <c r="A890" t="s">
        <v>74</v>
      </c>
      <c r="B890" s="3">
        <v>3.9768082958024133E-7</v>
      </c>
      <c r="D890" t="s">
        <v>14</v>
      </c>
      <c r="E890" t="s">
        <v>9</v>
      </c>
      <c r="F890" s="2" t="s">
        <v>15</v>
      </c>
      <c r="G890" s="3"/>
      <c r="J890" s="2"/>
    </row>
    <row r="891" spans="1:10" customFormat="1" ht="16" x14ac:dyDescent="0.2">
      <c r="A891" t="s">
        <v>75</v>
      </c>
      <c r="B891" s="3">
        <v>2.3255800597289225E-10</v>
      </c>
      <c r="D891" t="s">
        <v>14</v>
      </c>
      <c r="E891" t="s">
        <v>9</v>
      </c>
      <c r="F891" s="2" t="s">
        <v>15</v>
      </c>
      <c r="G891" s="3"/>
      <c r="J891" s="2"/>
    </row>
    <row r="892" spans="1:10" customFormat="1" ht="16" x14ac:dyDescent="0.2">
      <c r="A892" t="s">
        <v>76</v>
      </c>
      <c r="B892" s="3">
        <v>4.0869969387591558E-8</v>
      </c>
      <c r="D892" t="s">
        <v>14</v>
      </c>
      <c r="E892" t="s">
        <v>9</v>
      </c>
      <c r="F892" s="2" t="s">
        <v>15</v>
      </c>
      <c r="G892" s="3"/>
      <c r="J892" s="2"/>
    </row>
    <row r="893" spans="1:10" customFormat="1" ht="16" x14ac:dyDescent="0.2">
      <c r="A893" t="s">
        <v>77</v>
      </c>
      <c r="B893" s="3">
        <v>4.651160119457845E-7</v>
      </c>
      <c r="D893" t="s">
        <v>14</v>
      </c>
      <c r="E893" t="s">
        <v>9</v>
      </c>
      <c r="F893" s="2" t="s">
        <v>15</v>
      </c>
      <c r="G893" s="3"/>
      <c r="J893" s="2"/>
    </row>
    <row r="894" spans="1:10" customFormat="1" ht="16" x14ac:dyDescent="0.2">
      <c r="A894" t="s">
        <v>78</v>
      </c>
      <c r="B894" s="3">
        <v>7.619711612948033E-8</v>
      </c>
      <c r="D894" t="s">
        <v>14</v>
      </c>
      <c r="E894" t="s">
        <v>9</v>
      </c>
      <c r="F894" s="2" t="s">
        <v>15</v>
      </c>
      <c r="G894" s="3"/>
      <c r="J894" s="2"/>
    </row>
    <row r="895" spans="1:10" customFormat="1" ht="16" x14ac:dyDescent="0.2">
      <c r="A895" t="s">
        <v>79</v>
      </c>
      <c r="B895" s="3">
        <v>2.3255800597289226E-8</v>
      </c>
      <c r="D895" t="s">
        <v>14</v>
      </c>
      <c r="E895" t="s">
        <v>9</v>
      </c>
      <c r="F895" s="2" t="s">
        <v>15</v>
      </c>
      <c r="G895" s="3"/>
      <c r="J895" s="2"/>
    </row>
    <row r="896" spans="1:10" customFormat="1" ht="16" x14ac:dyDescent="0.2">
      <c r="A896" t="s">
        <v>80</v>
      </c>
      <c r="B896" s="3">
        <v>6.7382024692940973E-8</v>
      </c>
      <c r="D896" t="s">
        <v>14</v>
      </c>
      <c r="E896" t="s">
        <v>9</v>
      </c>
      <c r="F896" s="2" t="s">
        <v>15</v>
      </c>
      <c r="G896" s="3"/>
      <c r="J896" s="2"/>
    </row>
    <row r="897" spans="1:12" customFormat="1" ht="16" x14ac:dyDescent="0.2">
      <c r="A897" t="s">
        <v>81</v>
      </c>
      <c r="B897" s="3">
        <v>2.9821053643838246E-8</v>
      </c>
      <c r="D897" t="s">
        <v>14</v>
      </c>
      <c r="E897" t="s">
        <v>9</v>
      </c>
      <c r="F897" s="2" t="s">
        <v>15</v>
      </c>
      <c r="G897" s="3"/>
      <c r="J897" s="2"/>
    </row>
    <row r="898" spans="1:12" customFormat="1" ht="16" x14ac:dyDescent="0.2">
      <c r="B898" s="3"/>
      <c r="J898" s="2"/>
    </row>
    <row r="899" spans="1:12" x14ac:dyDescent="0.2">
      <c r="A899" s="17" t="s">
        <v>2</v>
      </c>
      <c r="B899" s="17" t="s">
        <v>277</v>
      </c>
    </row>
    <row r="900" spans="1:12" customFormat="1" ht="16" x14ac:dyDescent="0.2">
      <c r="A900" t="s">
        <v>151</v>
      </c>
      <c r="B900" t="s">
        <v>197</v>
      </c>
      <c r="J900" s="2"/>
    </row>
    <row r="901" spans="1:12" customFormat="1" ht="16" x14ac:dyDescent="0.2">
      <c r="A901" t="s">
        <v>198</v>
      </c>
      <c r="B901" t="s">
        <v>199</v>
      </c>
      <c r="J901" s="2"/>
    </row>
    <row r="902" spans="1:12" customFormat="1" ht="16" x14ac:dyDescent="0.2">
      <c r="A902" t="s">
        <v>3</v>
      </c>
      <c r="B902" t="s">
        <v>18</v>
      </c>
      <c r="J902" s="2"/>
    </row>
    <row r="903" spans="1:12" customFormat="1" ht="16" x14ac:dyDescent="0.2">
      <c r="A903" t="s">
        <v>4</v>
      </c>
      <c r="B903">
        <v>1</v>
      </c>
      <c r="J903" s="2"/>
    </row>
    <row r="904" spans="1:12" customFormat="1" ht="16" x14ac:dyDescent="0.2">
      <c r="A904" t="s">
        <v>5</v>
      </c>
      <c r="B904" t="s">
        <v>1</v>
      </c>
      <c r="J904" s="2"/>
    </row>
    <row r="905" spans="1:12" customFormat="1" ht="16" x14ac:dyDescent="0.2">
      <c r="A905" t="s">
        <v>6</v>
      </c>
      <c r="B905" t="s">
        <v>7</v>
      </c>
      <c r="J905" s="2"/>
    </row>
    <row r="906" spans="1:12" customFormat="1" ht="16" x14ac:dyDescent="0.2">
      <c r="A906" t="s">
        <v>8</v>
      </c>
      <c r="B906" t="s">
        <v>17</v>
      </c>
      <c r="J906" s="2"/>
    </row>
    <row r="907" spans="1:12" customFormat="1" ht="16" x14ac:dyDescent="0.2">
      <c r="A907" t="s">
        <v>352</v>
      </c>
      <c r="B907" s="2">
        <f>INDEX(Parameters!$B$6:$AL$57,MATCH(Inventories!$B$899,Parameters!$A$6:$A$57,0),MATCH(Inventories!$A907,Parameters!$B$4:$AL$4,0))</f>
        <v>245</v>
      </c>
      <c r="C907" t="s">
        <v>312</v>
      </c>
      <c r="D907" s="2"/>
      <c r="E907" s="2"/>
      <c r="F907" s="2"/>
      <c r="G907" s="2"/>
      <c r="H907" s="2"/>
      <c r="I907" s="2"/>
      <c r="J907" s="2"/>
      <c r="K907" s="2"/>
      <c r="L907" s="2"/>
    </row>
    <row r="908" spans="1:12" customFormat="1" ht="16" x14ac:dyDescent="0.2">
      <c r="A908" t="s">
        <v>353</v>
      </c>
      <c r="B908" s="2">
        <f>INDEX(Parameters!$B$6:$AL$57,MATCH(Inventories!$B$899,Parameters!$A$6:$A$57,0),MATCH(Inventories!$A908,Parameters!$B$4:$AL$4,0))</f>
        <v>125</v>
      </c>
      <c r="C908" t="s">
        <v>312</v>
      </c>
      <c r="D908" s="2"/>
      <c r="E908" s="2"/>
      <c r="F908" s="2"/>
      <c r="G908" s="2"/>
      <c r="H908" s="2"/>
      <c r="I908" s="2"/>
      <c r="J908" s="2"/>
      <c r="K908" s="2"/>
      <c r="L908" s="2"/>
    </row>
    <row r="909" spans="1:12" customFormat="1" ht="16" x14ac:dyDescent="0.2">
      <c r="A909" t="s">
        <v>354</v>
      </c>
      <c r="B909" s="2">
        <f>INDEX(Parameters!$B$6:$AL$57,MATCH(Inventories!$B$899,Parameters!$A$6:$A$57,0),MATCH(Inventories!$A909,Parameters!$B$4:$AL$4,0))</f>
        <v>323</v>
      </c>
      <c r="C909" t="s">
        <v>312</v>
      </c>
      <c r="D909" s="2"/>
      <c r="E909" s="2"/>
      <c r="F909" s="2"/>
      <c r="G909" s="2"/>
      <c r="H909" s="2"/>
      <c r="I909" s="2"/>
      <c r="J909" s="2"/>
      <c r="K909" s="2"/>
      <c r="L909" s="2"/>
    </row>
    <row r="910" spans="1:12" customFormat="1" ht="16" x14ac:dyDescent="0.2">
      <c r="A910" t="s">
        <v>316</v>
      </c>
      <c r="B910" s="24">
        <f>INDEX(Parameters!$B$6:$AL$57,MATCH(Inventories!$B$899,Parameters!$A$6:$A$57,0),MATCH(Inventories!$A910,Parameters!$B$4:$AL$4,0))</f>
        <v>700000</v>
      </c>
      <c r="C910" t="s">
        <v>313</v>
      </c>
      <c r="D910" s="2"/>
      <c r="E910" s="2"/>
      <c r="F910" s="2"/>
      <c r="G910" s="2"/>
      <c r="H910" s="2"/>
      <c r="I910" s="2"/>
      <c r="J910" s="2"/>
      <c r="K910" s="2"/>
      <c r="L910" s="2"/>
    </row>
    <row r="911" spans="1:12" customFormat="1" ht="16" x14ac:dyDescent="0.2">
      <c r="A911" t="s">
        <v>317</v>
      </c>
      <c r="B911" s="24">
        <f>INDEX(Parameters!$B$6:$AL$57,MATCH(Inventories!$B$899,Parameters!$A$6:$A$57,0),MATCH(Inventories!$A911,Parameters!$B$4:$AL$4,0))</f>
        <v>500000</v>
      </c>
      <c r="C911" t="s">
        <v>313</v>
      </c>
      <c r="D911" s="2"/>
      <c r="E911" s="2"/>
      <c r="F911" s="2"/>
      <c r="G911" s="2"/>
      <c r="H911" s="2"/>
      <c r="I911" s="2"/>
      <c r="J911" s="2"/>
      <c r="K911" s="2"/>
      <c r="L911" s="2"/>
    </row>
    <row r="912" spans="1:12" customFormat="1" ht="16" x14ac:dyDescent="0.2">
      <c r="A912" t="s">
        <v>318</v>
      </c>
      <c r="B912" s="24">
        <f>INDEX(Parameters!$B$6:$AL$57,MATCH(Inventories!$B$899,Parameters!$A$6:$A$57,0),MATCH(Inventories!$A912,Parameters!$B$4:$AL$4,0))</f>
        <v>1000000</v>
      </c>
      <c r="C912" t="s">
        <v>313</v>
      </c>
      <c r="D912" s="2"/>
      <c r="E912" s="2"/>
      <c r="F912" s="2"/>
      <c r="G912" s="2"/>
      <c r="H912" s="2"/>
      <c r="I912" s="2"/>
      <c r="J912" s="2"/>
      <c r="K912" s="2"/>
      <c r="L912" s="2"/>
    </row>
    <row r="913" spans="1:12" customFormat="1" ht="16" x14ac:dyDescent="0.2">
      <c r="A913" t="s">
        <v>319</v>
      </c>
      <c r="B913" s="2">
        <f>INDEX(Parameters!$B$6:$AL$57,MATCH(Inventories!$B$899,Parameters!$A$6:$A$57,0),MATCH(Inventories!$A913,Parameters!$B$4:$AL$4,0))</f>
        <v>9500</v>
      </c>
      <c r="C913" t="s">
        <v>314</v>
      </c>
      <c r="D913" s="2"/>
      <c r="E913" s="2"/>
      <c r="F913" s="2"/>
      <c r="G913" s="2"/>
      <c r="H913" s="2"/>
      <c r="I913" s="2"/>
      <c r="J913" s="2"/>
      <c r="K913" s="2"/>
      <c r="L913" s="2"/>
    </row>
    <row r="914" spans="1:12" customFormat="1" ht="16" x14ac:dyDescent="0.2">
      <c r="A914" t="s">
        <v>320</v>
      </c>
      <c r="B914" s="2">
        <f>INDEX(Parameters!$B$6:$AL$57,MATCH(Inventories!$B$899,Parameters!$A$6:$A$57,0),MATCH(Inventories!$A914,Parameters!$B$4:$AL$4,0))</f>
        <v>6000</v>
      </c>
      <c r="C914" t="s">
        <v>314</v>
      </c>
      <c r="D914" s="2"/>
      <c r="E914" s="2"/>
      <c r="F914" s="2"/>
      <c r="G914" s="2"/>
      <c r="H914" s="2"/>
      <c r="I914" s="2"/>
      <c r="J914" s="2"/>
      <c r="K914" s="2"/>
      <c r="L914" s="2"/>
    </row>
    <row r="915" spans="1:12" customFormat="1" ht="16" x14ac:dyDescent="0.2">
      <c r="A915" t="s">
        <v>321</v>
      </c>
      <c r="B915" s="2">
        <f>INDEX(Parameters!$B$6:$AL$57,MATCH(Inventories!$B$899,Parameters!$A$6:$A$57,0),MATCH(Inventories!$A915,Parameters!$B$4:$AL$4,0))</f>
        <v>12200</v>
      </c>
      <c r="C915" t="s">
        <v>314</v>
      </c>
      <c r="D915" s="2"/>
      <c r="E915" s="2"/>
      <c r="F915" s="2"/>
      <c r="G915" s="2"/>
      <c r="H915" s="2"/>
      <c r="I915" s="2"/>
      <c r="J915" s="2"/>
      <c r="K915" s="2"/>
      <c r="L915" s="2"/>
    </row>
    <row r="916" spans="1:12" customFormat="1" ht="16" x14ac:dyDescent="0.2">
      <c r="A916" t="s">
        <v>337</v>
      </c>
      <c r="B916" s="2">
        <f>INDEX(Parameters!$B$6:$AL$57,MATCH(Inventories!$B$899,Parameters!$A$6:$A$57,0),MATCH(Inventories!$A916,Parameters!$B$4:$AL$4,0))</f>
        <v>0</v>
      </c>
      <c r="C916" t="s">
        <v>336</v>
      </c>
      <c r="D916" s="2"/>
      <c r="E916" s="2"/>
      <c r="F916" s="2"/>
      <c r="G916" s="2"/>
      <c r="H916" s="2"/>
      <c r="I916" s="2"/>
      <c r="J916" s="2"/>
      <c r="K916" s="2"/>
      <c r="L916" s="2"/>
    </row>
    <row r="917" spans="1:12" customFormat="1" ht="16" x14ac:dyDescent="0.2">
      <c r="A917" t="s">
        <v>338</v>
      </c>
      <c r="B917" s="2">
        <f>INDEX(Parameters!$B$6:$AL$57,MATCH(Inventories!$B$899,Parameters!$A$6:$A$57,0),MATCH(Inventories!$A917,Parameters!$B$4:$AL$4,0))</f>
        <v>0</v>
      </c>
      <c r="C917" t="s">
        <v>336</v>
      </c>
      <c r="D917" s="2"/>
      <c r="E917" s="2"/>
      <c r="F917" s="2"/>
      <c r="G917" s="2"/>
      <c r="H917" s="2"/>
      <c r="I917" s="2"/>
      <c r="J917" s="2"/>
      <c r="K917" s="2"/>
      <c r="L917" s="2"/>
    </row>
    <row r="918" spans="1:12" customFormat="1" ht="16" x14ac:dyDescent="0.2">
      <c r="A918" t="s">
        <v>339</v>
      </c>
      <c r="B918" s="2">
        <f>INDEX(Parameters!$B$6:$AL$57,MATCH(Inventories!$B$899,Parameters!$A$6:$A$57,0),MATCH(Inventories!$A918,Parameters!$B$4:$AL$4,0))</f>
        <v>0</v>
      </c>
      <c r="C918" t="s">
        <v>336</v>
      </c>
      <c r="D918" s="2"/>
      <c r="E918" s="2"/>
      <c r="F918" s="2"/>
      <c r="G918" s="2"/>
      <c r="H918" s="2"/>
      <c r="I918" s="2"/>
      <c r="J918" s="2"/>
      <c r="K918" s="2"/>
      <c r="L918" s="2"/>
    </row>
    <row r="919" spans="1:12" customFormat="1" ht="16" x14ac:dyDescent="0.2">
      <c r="A919" t="s">
        <v>340</v>
      </c>
      <c r="B919" s="2">
        <f>INDEX(Parameters!$B$6:$AL$57,MATCH(Inventories!$B$899,Parameters!$A$6:$A$57,0),MATCH(Inventories!$A919,Parameters!$B$4:$AL$4,0))</f>
        <v>733</v>
      </c>
      <c r="C919" t="s">
        <v>336</v>
      </c>
      <c r="D919" s="2"/>
      <c r="E919" s="2"/>
      <c r="F919" s="2"/>
      <c r="G919" s="2"/>
      <c r="H919" s="2"/>
      <c r="I919" s="2"/>
      <c r="J919" s="2"/>
      <c r="K919" s="2"/>
      <c r="L919" s="2"/>
    </row>
    <row r="920" spans="1:12" customFormat="1" ht="16" x14ac:dyDescent="0.2">
      <c r="A920" t="s">
        <v>341</v>
      </c>
      <c r="B920" s="2">
        <f>INDEX(Parameters!$B$6:$AL$57,MATCH(Inventories!$B$899,Parameters!$A$6:$A$57,0),MATCH(Inventories!$A920,Parameters!$B$4:$AL$4,0))</f>
        <v>400</v>
      </c>
      <c r="C920" t="s">
        <v>336</v>
      </c>
      <c r="D920" s="2"/>
      <c r="E920" s="2"/>
      <c r="F920" s="2"/>
      <c r="G920" s="2"/>
      <c r="H920" s="2"/>
      <c r="I920" s="2"/>
      <c r="J920" s="2"/>
      <c r="K920" s="2"/>
      <c r="L920" s="2"/>
    </row>
    <row r="921" spans="1:12" customFormat="1" ht="16" x14ac:dyDescent="0.2">
      <c r="A921" t="s">
        <v>342</v>
      </c>
      <c r="B921" s="2">
        <f>INDEX(Parameters!$B$6:$AL$57,MATCH(Inventories!$B$899,Parameters!$A$6:$A$57,0),MATCH(Inventories!$A921,Parameters!$B$4:$AL$4,0))</f>
        <v>955</v>
      </c>
      <c r="C921" t="s">
        <v>336</v>
      </c>
      <c r="D921" s="2"/>
      <c r="E921" s="2"/>
      <c r="F921" s="2"/>
      <c r="G921" s="2"/>
      <c r="H921" s="2"/>
      <c r="I921" s="2"/>
      <c r="J921" s="2"/>
      <c r="K921" s="2"/>
      <c r="L921" s="2"/>
    </row>
    <row r="922" spans="1:12" customFormat="1" ht="16" x14ac:dyDescent="0.2">
      <c r="A922" t="s">
        <v>333</v>
      </c>
      <c r="B922" s="2">
        <f>INDEX(Parameters!$B$6:$AL$57,MATCH(Inventories!$B$899,Parameters!$A$6:$A$57,0),MATCH(Inventories!$A922,Parameters!$B$4:$AL$4,0))</f>
        <v>48</v>
      </c>
      <c r="C922" t="s">
        <v>336</v>
      </c>
      <c r="D922" s="2"/>
      <c r="E922" s="2"/>
      <c r="F922" s="2"/>
      <c r="G922" s="2"/>
      <c r="H922" s="2"/>
      <c r="I922" s="2"/>
      <c r="J922" s="2"/>
      <c r="K922" s="2"/>
      <c r="L922" s="2"/>
    </row>
    <row r="923" spans="1:12" customFormat="1" ht="16" x14ac:dyDescent="0.2">
      <c r="A923" t="s">
        <v>334</v>
      </c>
      <c r="B923" s="2">
        <f>INDEX(Parameters!$B$6:$AL$57,MATCH(Inventories!$B$899,Parameters!$A$6:$A$57,0),MATCH(Inventories!$A923,Parameters!$B$4:$AL$4,0))</f>
        <v>38</v>
      </c>
      <c r="C923" t="s">
        <v>336</v>
      </c>
      <c r="D923" s="2"/>
      <c r="E923" s="2"/>
      <c r="F923" s="2"/>
      <c r="G923" s="2"/>
      <c r="H923" s="2"/>
      <c r="I923" s="2"/>
      <c r="J923" s="2"/>
      <c r="K923" s="2"/>
      <c r="L923" s="2"/>
    </row>
    <row r="924" spans="1:12" customFormat="1" ht="16" x14ac:dyDescent="0.2">
      <c r="A924" t="s">
        <v>335</v>
      </c>
      <c r="B924" s="2">
        <f>INDEX(Parameters!$B$6:$AL$57,MATCH(Inventories!$B$899,Parameters!$A$6:$A$57,0),MATCH(Inventories!$A924,Parameters!$B$4:$AL$4,0))</f>
        <v>53</v>
      </c>
      <c r="C924" t="s">
        <v>336</v>
      </c>
      <c r="D924" s="2"/>
      <c r="E924" s="2"/>
      <c r="F924" s="2"/>
      <c r="G924" s="2"/>
      <c r="H924" s="2"/>
      <c r="I924" s="2"/>
      <c r="J924" s="2"/>
      <c r="K924" s="2"/>
      <c r="L924" s="2"/>
    </row>
    <row r="925" spans="1:12" customFormat="1" ht="16" x14ac:dyDescent="0.2">
      <c r="A925" t="s">
        <v>322</v>
      </c>
      <c r="B925" s="2">
        <f>INDEX(Parameters!$B$6:$AL$57,MATCH(Inventories!$B$899,Parameters!$A$6:$A$57,0),MATCH(Inventories!$A925,Parameters!$B$4:$AL$4,0))</f>
        <v>0</v>
      </c>
      <c r="C925" t="s">
        <v>315</v>
      </c>
      <c r="D925" s="2"/>
      <c r="E925" s="2"/>
      <c r="F925" s="2"/>
      <c r="G925" s="2"/>
      <c r="H925" s="2"/>
      <c r="I925" s="2"/>
      <c r="J925" s="2"/>
      <c r="K925" s="2"/>
      <c r="L925" s="2"/>
    </row>
    <row r="926" spans="1:12" customFormat="1" ht="16" x14ac:dyDescent="0.2">
      <c r="A926" t="s">
        <v>323</v>
      </c>
      <c r="B926" s="2">
        <f>INDEX(Parameters!$B$6:$AL$57,MATCH(Inventories!$B$899,Parameters!$A$6:$A$57,0),MATCH(Inventories!$A926,Parameters!$B$4:$AL$4,0))</f>
        <v>0</v>
      </c>
      <c r="C926" t="s">
        <v>315</v>
      </c>
      <c r="D926" s="2"/>
      <c r="E926" s="2"/>
      <c r="F926" s="2"/>
      <c r="G926" s="2"/>
      <c r="H926" s="2"/>
      <c r="I926" s="2"/>
      <c r="J926" s="2"/>
      <c r="K926" s="2"/>
      <c r="L926" s="2"/>
    </row>
    <row r="927" spans="1:12" customFormat="1" ht="16" x14ac:dyDescent="0.2">
      <c r="A927" t="s">
        <v>324</v>
      </c>
      <c r="B927" s="2">
        <f>INDEX(Parameters!$B$6:$AL$57,MATCH(Inventories!$B$899,Parameters!$A$6:$A$57,0),MATCH(Inventories!$A927,Parameters!$B$4:$AL$4,0))</f>
        <v>0</v>
      </c>
      <c r="C927" t="s">
        <v>315</v>
      </c>
      <c r="D927" s="2"/>
      <c r="E927" s="2"/>
      <c r="F927" s="2"/>
      <c r="G927" s="2"/>
      <c r="H927" s="2"/>
      <c r="I927" s="2"/>
      <c r="J927" s="2"/>
      <c r="K927" s="2"/>
      <c r="L927" s="2"/>
    </row>
    <row r="928" spans="1:12" customFormat="1" ht="16" x14ac:dyDescent="0.2">
      <c r="A928" t="s">
        <v>330</v>
      </c>
      <c r="B928" s="2">
        <f>INDEX(Parameters!$B$6:$AL$57,MATCH(Inventories!$B$899,Parameters!$A$6:$A$57,0),MATCH(Inventories!$A928,Parameters!$B$4:$AL$4,0))</f>
        <v>0</v>
      </c>
      <c r="C928" t="s">
        <v>8</v>
      </c>
      <c r="D928" s="2"/>
      <c r="E928" s="2"/>
      <c r="F928" s="2"/>
      <c r="G928" s="2"/>
      <c r="H928" s="2"/>
      <c r="I928" s="2"/>
      <c r="J928" s="2"/>
      <c r="K928" s="2"/>
      <c r="L928" s="2"/>
    </row>
    <row r="929" spans="1:12" customFormat="1" ht="16" x14ac:dyDescent="0.2">
      <c r="A929" t="s">
        <v>331</v>
      </c>
      <c r="B929" s="2">
        <f>INDEX(Parameters!$B$6:$AL$57,MATCH(Inventories!$B$899,Parameters!$A$6:$A$57,0),MATCH(Inventories!$A929,Parameters!$B$4:$AL$4,0))</f>
        <v>0</v>
      </c>
      <c r="C929" t="s">
        <v>8</v>
      </c>
      <c r="D929" s="2"/>
      <c r="E929" s="2"/>
      <c r="F929" s="2"/>
      <c r="G929" s="2"/>
      <c r="H929" s="2"/>
      <c r="I929" s="2"/>
      <c r="J929" s="2"/>
      <c r="K929" s="2"/>
      <c r="L929" s="2"/>
    </row>
    <row r="930" spans="1:12" customFormat="1" ht="16" x14ac:dyDescent="0.2">
      <c r="A930" t="s">
        <v>332</v>
      </c>
      <c r="B930" s="2">
        <f>INDEX(Parameters!$B$6:$AL$57,MATCH(Inventories!$B$899,Parameters!$A$6:$A$57,0),MATCH(Inventories!$A930,Parameters!$B$4:$AL$4,0))</f>
        <v>0</v>
      </c>
      <c r="C930" t="s">
        <v>8</v>
      </c>
      <c r="D930" s="2"/>
      <c r="E930" s="2"/>
      <c r="F930" s="2"/>
      <c r="G930" s="2"/>
      <c r="H930" s="2"/>
      <c r="I930" s="2"/>
      <c r="J930" s="2"/>
      <c r="K930" s="2"/>
      <c r="L930" s="2"/>
    </row>
    <row r="931" spans="1:12" customFormat="1" ht="16" x14ac:dyDescent="0.2">
      <c r="A931" t="s">
        <v>346</v>
      </c>
      <c r="B931" s="2">
        <f>INDEX(Parameters!$B$6:$AL$57,MATCH(Inventories!$B$899,Parameters!$A$6:$A$57,0),MATCH(Inventories!$A931,Parameters!$B$4:$AL$4,0))</f>
        <v>0</v>
      </c>
      <c r="C931" t="s">
        <v>312</v>
      </c>
      <c r="D931" s="2"/>
      <c r="E931" s="2"/>
      <c r="F931" s="2"/>
      <c r="G931" s="2"/>
      <c r="H931" s="2"/>
      <c r="I931" s="2"/>
      <c r="J931" s="2"/>
      <c r="K931" s="2"/>
      <c r="L931" s="2"/>
    </row>
    <row r="932" spans="1:12" customFormat="1" ht="16" x14ac:dyDescent="0.2">
      <c r="A932" t="s">
        <v>347</v>
      </c>
      <c r="B932" s="2">
        <f>INDEX(Parameters!$B$6:$AL$57,MATCH(Inventories!$B$899,Parameters!$A$6:$A$57,0),MATCH(Inventories!$A932,Parameters!$B$4:$AL$4,0))</f>
        <v>0</v>
      </c>
      <c r="C932" t="s">
        <v>312</v>
      </c>
      <c r="D932" s="2"/>
      <c r="E932" s="12"/>
      <c r="F932" s="2"/>
      <c r="G932" s="2"/>
      <c r="H932" s="2"/>
      <c r="I932" s="2"/>
      <c r="J932" s="2"/>
      <c r="K932" s="2"/>
      <c r="L932" s="2"/>
    </row>
    <row r="933" spans="1:12" customFormat="1" ht="16" x14ac:dyDescent="0.2">
      <c r="A933" t="s">
        <v>348</v>
      </c>
      <c r="B933" s="2">
        <f>INDEX(Parameters!$B$6:$AL$57,MATCH(Inventories!$B$899,Parameters!$A$6:$A$57,0),MATCH(Inventories!$A933,Parameters!$B$4:$AL$4,0))</f>
        <v>0</v>
      </c>
      <c r="C933" t="s">
        <v>312</v>
      </c>
      <c r="D933" s="2"/>
      <c r="E933" s="2"/>
      <c r="F933" s="2"/>
      <c r="G933" s="2"/>
      <c r="H933" s="2"/>
      <c r="I933" s="2"/>
      <c r="J933" s="2"/>
      <c r="K933" s="2"/>
      <c r="L933" s="2"/>
    </row>
    <row r="934" spans="1:12" customFormat="1" ht="16" x14ac:dyDescent="0.2">
      <c r="A934" t="s">
        <v>349</v>
      </c>
      <c r="B934" s="2">
        <f>INDEX(Parameters!$B$6:$AL$57,MATCH(Inventories!$B$899,Parameters!$A$6:$A$57,0),MATCH(Inventories!$A934,Parameters!$B$4:$AL$4,0))</f>
        <v>0</v>
      </c>
      <c r="C934" t="s">
        <v>8</v>
      </c>
      <c r="D934" s="2"/>
      <c r="E934" s="2"/>
      <c r="F934" s="2"/>
      <c r="G934" s="2"/>
      <c r="H934" s="2"/>
      <c r="I934" s="2"/>
      <c r="J934" s="2"/>
      <c r="K934" s="2"/>
      <c r="L934" s="2"/>
    </row>
    <row r="935" spans="1:12" customFormat="1" ht="16" x14ac:dyDescent="0.2">
      <c r="A935" t="s">
        <v>350</v>
      </c>
      <c r="B935" s="2">
        <f>INDEX(Parameters!$B$6:$AL$57,MATCH(Inventories!$B$899,Parameters!$A$6:$A$57,0),MATCH(Inventories!$A935,Parameters!$B$4:$AL$4,0))</f>
        <v>0</v>
      </c>
      <c r="C935" t="s">
        <v>8</v>
      </c>
      <c r="D935" s="2"/>
      <c r="E935" s="2"/>
      <c r="F935" s="2"/>
      <c r="G935" s="2"/>
      <c r="H935" s="2"/>
      <c r="I935" s="2"/>
      <c r="J935" s="2"/>
      <c r="K935" s="2"/>
      <c r="L935" s="2"/>
    </row>
    <row r="936" spans="1:12" customFormat="1" ht="16" x14ac:dyDescent="0.2">
      <c r="A936" t="s">
        <v>351</v>
      </c>
      <c r="B936" s="2">
        <f>INDEX(Parameters!$B$6:$AL$57,MATCH(Inventories!$B$899,Parameters!$A$6:$A$57,0),MATCH(Inventories!$A936,Parameters!$B$4:$AL$4,0))</f>
        <v>0</v>
      </c>
      <c r="C936" t="s">
        <v>8</v>
      </c>
      <c r="D936" s="2"/>
      <c r="E936" s="2"/>
      <c r="F936" s="2"/>
      <c r="G936" s="2"/>
      <c r="H936" s="2"/>
      <c r="I936" s="2"/>
      <c r="J936" s="2"/>
      <c r="K936" s="2"/>
      <c r="L936" s="2"/>
    </row>
    <row r="937" spans="1:12" customFormat="1" ht="16" x14ac:dyDescent="0.2">
      <c r="A937" t="s">
        <v>365</v>
      </c>
      <c r="B937" s="2">
        <f>INDEX(Parameters!$B$6:$AL$57,MATCH(Inventories!$B$899,Parameters!$A$6:$A$57,0),MATCH(Inventories!$A937,Parameters!$B$4:$AL$4,0))</f>
        <v>0</v>
      </c>
      <c r="C937" t="s">
        <v>336</v>
      </c>
      <c r="D937" s="2"/>
      <c r="E937" s="2"/>
      <c r="F937" s="2"/>
      <c r="G937" s="2"/>
      <c r="H937" s="2"/>
      <c r="I937" s="2"/>
      <c r="J937" s="2"/>
      <c r="K937" s="2"/>
      <c r="L937" s="2"/>
    </row>
    <row r="938" spans="1:12" customFormat="1" ht="16" x14ac:dyDescent="0.2">
      <c r="A938" t="s">
        <v>366</v>
      </c>
      <c r="B938" s="2">
        <f>INDEX(Parameters!$B$6:$AL$57,MATCH(Inventories!$B$899,Parameters!$A$6:$A$57,0),MATCH(Inventories!$A938,Parameters!$B$4:$AL$4,0))</f>
        <v>0</v>
      </c>
      <c r="C938" t="s">
        <v>336</v>
      </c>
      <c r="D938" s="2"/>
      <c r="E938" s="2"/>
      <c r="F938" s="2"/>
      <c r="G938" s="2"/>
      <c r="H938" s="2"/>
      <c r="I938" s="2"/>
      <c r="J938" s="2"/>
      <c r="K938" s="2"/>
      <c r="L938" s="2"/>
    </row>
    <row r="939" spans="1:12" customFormat="1" ht="16" x14ac:dyDescent="0.2">
      <c r="A939" t="s">
        <v>367</v>
      </c>
      <c r="B939" s="2">
        <f>INDEX(Parameters!$B$6:$AL$57,MATCH(Inventories!$B$899,Parameters!$A$6:$A$57,0),MATCH(Inventories!$A939,Parameters!$B$4:$AL$4,0))</f>
        <v>0</v>
      </c>
      <c r="C939" t="s">
        <v>336</v>
      </c>
      <c r="D939" s="2"/>
      <c r="E939" s="2"/>
      <c r="F939" s="2"/>
      <c r="G939" s="2"/>
      <c r="H939" s="2"/>
      <c r="I939" s="2"/>
      <c r="J939" s="2"/>
      <c r="K939" s="2"/>
      <c r="L939" s="2"/>
    </row>
    <row r="940" spans="1:12" customFormat="1" ht="16" x14ac:dyDescent="0.2">
      <c r="A940" t="s">
        <v>368</v>
      </c>
      <c r="B940" s="2">
        <f>INDEX(Parameters!$B$6:$AL$57,MATCH(Inventories!$B$899,Parameters!$A$6:$A$57,0),MATCH(Inventories!$A940,Parameters!$B$4:$AL$4,0))</f>
        <v>0</v>
      </c>
      <c r="C940" t="s">
        <v>336</v>
      </c>
      <c r="D940" s="2"/>
      <c r="E940" s="2"/>
      <c r="F940" s="2"/>
      <c r="G940" s="2"/>
      <c r="H940" s="2"/>
      <c r="I940" s="2"/>
      <c r="J940" s="2"/>
      <c r="K940" s="2"/>
      <c r="L940" s="2"/>
    </row>
    <row r="941" spans="1:12" customFormat="1" ht="16" x14ac:dyDescent="0.2">
      <c r="A941" t="s">
        <v>369</v>
      </c>
      <c r="B941" s="2">
        <f>INDEX(Parameters!$B$6:$AL$57,MATCH(Inventories!$B$899,Parameters!$A$6:$A$57,0),MATCH(Inventories!$A941,Parameters!$B$4:$AL$4,0))</f>
        <v>0</v>
      </c>
      <c r="C941" t="s">
        <v>336</v>
      </c>
      <c r="D941" s="2"/>
      <c r="E941" s="2"/>
      <c r="F941" s="2"/>
      <c r="G941" s="2"/>
      <c r="H941" s="2"/>
      <c r="I941" s="2"/>
      <c r="J941" s="2"/>
      <c r="K941" s="2"/>
      <c r="L941" s="2"/>
    </row>
    <row r="942" spans="1:12" customFormat="1" ht="16" x14ac:dyDescent="0.2">
      <c r="A942" t="s">
        <v>344</v>
      </c>
      <c r="B942" s="32">
        <f>INDEX(Parameters!$B$6:$AL$57,MATCH(Inventories!$B$899,Parameters!$A$6:$A$57,0),MATCH(Inventories!$A942,Parameters!$B$4:$AL$4,0))</f>
        <v>1.4516100000000001E-3</v>
      </c>
      <c r="C942" t="s">
        <v>345</v>
      </c>
      <c r="D942" s="2"/>
      <c r="E942" s="2"/>
      <c r="F942" s="2"/>
      <c r="G942" s="2"/>
      <c r="H942" s="2"/>
      <c r="I942" s="2"/>
      <c r="J942" s="2"/>
      <c r="K942" s="2"/>
      <c r="L942" s="2"/>
    </row>
    <row r="943" spans="1:12" customFormat="1" ht="16" x14ac:dyDescent="0.2">
      <c r="A943" t="s">
        <v>343</v>
      </c>
      <c r="B943" s="32">
        <f>INDEX(Parameters!$B$6:$AL$57,MATCH(Inventories!$B$899,Parameters!$A$6:$A$57,0),MATCH(Inventories!$A943,Parameters!$B$4:$AL$4,0))</f>
        <v>2.1756100000000001E-4</v>
      </c>
      <c r="C943" t="s">
        <v>345</v>
      </c>
      <c r="D943" s="2"/>
      <c r="E943" s="2"/>
      <c r="F943" s="2"/>
      <c r="G943" s="2"/>
      <c r="H943" s="2"/>
      <c r="I943" s="2"/>
      <c r="J943" s="2"/>
      <c r="K943" s="2"/>
      <c r="L943" s="2"/>
    </row>
    <row r="944" spans="1:12" customFormat="1" ht="16" x14ac:dyDescent="0.2">
      <c r="A944" s="1" t="s">
        <v>10</v>
      </c>
      <c r="J944" s="2"/>
    </row>
    <row r="945" spans="1:12" x14ac:dyDescent="0.2">
      <c r="A945" s="17" t="s">
        <v>11</v>
      </c>
      <c r="B945" s="17" t="s">
        <v>12</v>
      </c>
      <c r="C945" s="17" t="s">
        <v>3</v>
      </c>
      <c r="D945" s="17" t="s">
        <v>13</v>
      </c>
      <c r="E945" s="17" t="s">
        <v>8</v>
      </c>
      <c r="F945" s="17" t="s">
        <v>6</v>
      </c>
      <c r="G945" s="17" t="s">
        <v>5</v>
      </c>
      <c r="H945" s="17" t="s">
        <v>151</v>
      </c>
      <c r="I945" s="17" t="s">
        <v>179</v>
      </c>
      <c r="J945" s="17" t="s">
        <v>180</v>
      </c>
      <c r="K945" s="17" t="s">
        <v>181</v>
      </c>
      <c r="L945" s="17" t="s">
        <v>182</v>
      </c>
    </row>
    <row r="946" spans="1:12" customFormat="1" ht="16" x14ac:dyDescent="0.2">
      <c r="A946" t="s">
        <v>277</v>
      </c>
      <c r="B946">
        <v>1</v>
      </c>
      <c r="C946" t="s">
        <v>18</v>
      </c>
      <c r="E946" t="s">
        <v>17</v>
      </c>
      <c r="F946" t="s">
        <v>19</v>
      </c>
      <c r="J946" s="2"/>
    </row>
    <row r="947" spans="1:12" customFormat="1" ht="16" x14ac:dyDescent="0.2">
      <c r="A947" t="s">
        <v>200</v>
      </c>
      <c r="B947" s="3">
        <f>(B922/B910)/(B913/1000)</f>
        <v>7.2180451127819541E-6</v>
      </c>
      <c r="C947" t="s">
        <v>18</v>
      </c>
      <c r="E947" t="s">
        <v>9</v>
      </c>
      <c r="F947" t="s">
        <v>23</v>
      </c>
      <c r="G947" t="s">
        <v>201</v>
      </c>
      <c r="I947">
        <v>5</v>
      </c>
      <c r="J947" s="12">
        <f>B947</f>
        <v>7.2180451127819541E-6</v>
      </c>
      <c r="K947" s="3">
        <f>(B923/B912)/(B915/1000)</f>
        <v>3.114754098360656E-6</v>
      </c>
      <c r="L947" s="3">
        <f>(B924/B911)/(B914/1000)</f>
        <v>1.7666666666666668E-5</v>
      </c>
    </row>
    <row r="948" spans="1:12" customFormat="1" ht="16" x14ac:dyDescent="0.2">
      <c r="A948" t="s">
        <v>145</v>
      </c>
      <c r="B948" s="3">
        <f>(B919/B910)/(B913/1000)</f>
        <v>1.1022556390977444E-4</v>
      </c>
      <c r="C948" t="s">
        <v>18</v>
      </c>
      <c r="E948" t="s">
        <v>9</v>
      </c>
      <c r="F948" t="s">
        <v>23</v>
      </c>
      <c r="G948" t="s">
        <v>145</v>
      </c>
      <c r="I948">
        <v>5</v>
      </c>
      <c r="J948" s="12">
        <f>B948</f>
        <v>1.1022556390977444E-4</v>
      </c>
      <c r="K948" s="3">
        <f>(B920/B912)/(B915/1000)</f>
        <v>3.2786885245901642E-5</v>
      </c>
      <c r="L948" s="3">
        <f>(B921/B911)/(B914/1000)</f>
        <v>3.1833333333333334E-4</v>
      </c>
    </row>
    <row r="949" spans="1:12" customFormat="1" ht="16" x14ac:dyDescent="0.2">
      <c r="A949" s="2" t="s">
        <v>273</v>
      </c>
      <c r="B949" s="25">
        <f>1/43</f>
        <v>2.3255813953488372E-2</v>
      </c>
      <c r="C949" t="s">
        <v>18</v>
      </c>
      <c r="E949" t="s">
        <v>9</v>
      </c>
      <c r="F949" t="s">
        <v>23</v>
      </c>
      <c r="G949" t="s">
        <v>274</v>
      </c>
      <c r="J949" s="2"/>
    </row>
    <row r="950" spans="1:12" customFormat="1" ht="16" x14ac:dyDescent="0.2">
      <c r="A950" t="s">
        <v>45</v>
      </c>
      <c r="B950" s="3">
        <v>7.1455665432553858E-7</v>
      </c>
      <c r="D950" t="s">
        <v>14</v>
      </c>
      <c r="E950" t="s">
        <v>9</v>
      </c>
      <c r="F950" s="2" t="s">
        <v>15</v>
      </c>
      <c r="G950" s="3"/>
      <c r="J950" s="2"/>
    </row>
    <row r="951" spans="1:12" customFormat="1" ht="16" x14ac:dyDescent="0.2">
      <c r="A951" t="s">
        <v>46</v>
      </c>
      <c r="B951" s="3">
        <v>3.2468920124586623E-7</v>
      </c>
      <c r="D951" t="s">
        <v>14</v>
      </c>
      <c r="E951" t="s">
        <v>9</v>
      </c>
      <c r="F951" s="2" t="s">
        <v>15</v>
      </c>
      <c r="G951" s="3"/>
      <c r="J951" s="2"/>
    </row>
    <row r="952" spans="1:12" customFormat="1" ht="16" x14ac:dyDescent="0.2">
      <c r="A952" t="s">
        <v>47</v>
      </c>
      <c r="B952" s="3">
        <v>3.9534349472964383E-7</v>
      </c>
      <c r="D952" t="s">
        <v>14</v>
      </c>
      <c r="E952" t="s">
        <v>9</v>
      </c>
      <c r="F952" s="2" t="s">
        <v>15</v>
      </c>
      <c r="G952" s="3"/>
      <c r="J952" s="2"/>
    </row>
    <row r="953" spans="1:12" customFormat="1" ht="16" x14ac:dyDescent="0.2">
      <c r="A953" t="s">
        <v>48</v>
      </c>
      <c r="B953" s="3">
        <v>3.7209280955662761E-7</v>
      </c>
      <c r="D953" t="s">
        <v>14</v>
      </c>
      <c r="E953" t="s">
        <v>9</v>
      </c>
      <c r="F953" s="2" t="s">
        <v>15</v>
      </c>
      <c r="G953" s="3"/>
      <c r="J953" s="2"/>
    </row>
    <row r="954" spans="1:12" customFormat="1" ht="16" x14ac:dyDescent="0.2">
      <c r="A954" t="s">
        <v>49</v>
      </c>
      <c r="B954" s="3">
        <v>9.4995966427857817E-8</v>
      </c>
      <c r="D954" t="s">
        <v>14</v>
      </c>
      <c r="E954" t="s">
        <v>9</v>
      </c>
      <c r="F954" s="2" t="s">
        <v>15</v>
      </c>
      <c r="G954" s="3"/>
      <c r="J954" s="2"/>
    </row>
    <row r="955" spans="1:12" customFormat="1" ht="16" x14ac:dyDescent="0.2">
      <c r="A955" t="s">
        <v>50</v>
      </c>
      <c r="B955" s="3">
        <v>2.186743705223342E-7</v>
      </c>
      <c r="D955" t="s">
        <v>14</v>
      </c>
      <c r="E955" t="s">
        <v>9</v>
      </c>
      <c r="F955" s="2" t="s">
        <v>15</v>
      </c>
      <c r="G955" s="3"/>
      <c r="J955" s="2"/>
    </row>
    <row r="956" spans="1:12" customFormat="1" ht="16" x14ac:dyDescent="0.2">
      <c r="A956" t="s">
        <v>51</v>
      </c>
      <c r="B956" s="3">
        <v>1.2147463123534157E-8</v>
      </c>
      <c r="D956" t="s">
        <v>14</v>
      </c>
      <c r="E956" t="s">
        <v>9</v>
      </c>
      <c r="F956" s="2" t="s">
        <v>15</v>
      </c>
      <c r="G956" s="3"/>
      <c r="J956" s="2"/>
    </row>
    <row r="957" spans="1:12" customFormat="1" ht="16" x14ac:dyDescent="0.2">
      <c r="A957" t="s">
        <v>52</v>
      </c>
      <c r="B957" s="3">
        <v>2.3255800597289225E-10</v>
      </c>
      <c r="D957" t="s">
        <v>14</v>
      </c>
      <c r="E957" t="s">
        <v>9</v>
      </c>
      <c r="F957" s="2" t="s">
        <v>15</v>
      </c>
      <c r="G957" s="3"/>
      <c r="J957" s="2"/>
    </row>
    <row r="958" spans="1:12" customFormat="1" ht="16" x14ac:dyDescent="0.2">
      <c r="A958" t="s">
        <v>122</v>
      </c>
      <c r="B958" s="25">
        <f>B949*3.15</f>
        <v>7.3255813953488375E-2</v>
      </c>
      <c r="D958" t="s">
        <v>14</v>
      </c>
      <c r="E958" t="s">
        <v>9</v>
      </c>
      <c r="F958" s="2" t="s">
        <v>15</v>
      </c>
      <c r="G958" s="3"/>
      <c r="J958" s="2"/>
    </row>
    <row r="959" spans="1:12" customFormat="1" ht="16" x14ac:dyDescent="0.2">
      <c r="A959" t="s">
        <v>123</v>
      </c>
      <c r="B959" s="3">
        <v>2.1069404153243686E-5</v>
      </c>
      <c r="D959" t="s">
        <v>14</v>
      </c>
      <c r="E959" t="s">
        <v>9</v>
      </c>
      <c r="F959" s="2" t="s">
        <v>15</v>
      </c>
      <c r="G959" s="3"/>
      <c r="J959" s="2"/>
    </row>
    <row r="960" spans="1:12" customFormat="1" ht="16" x14ac:dyDescent="0.2">
      <c r="A960" t="s">
        <v>55</v>
      </c>
      <c r="B960" s="3">
        <v>1.1627900298644613E-9</v>
      </c>
      <c r="D960" t="s">
        <v>14</v>
      </c>
      <c r="E960" t="s">
        <v>9</v>
      </c>
      <c r="F960" s="2" t="s">
        <v>15</v>
      </c>
      <c r="G960" s="3"/>
      <c r="J960" s="2"/>
    </row>
    <row r="961" spans="1:10" customFormat="1" ht="16" x14ac:dyDescent="0.2">
      <c r="A961" t="s">
        <v>56</v>
      </c>
      <c r="B961" s="3">
        <v>2.3255800597289222E-12</v>
      </c>
      <c r="D961" t="s">
        <v>14</v>
      </c>
      <c r="E961" t="s">
        <v>9</v>
      </c>
      <c r="F961" s="2" t="s">
        <v>15</v>
      </c>
      <c r="G961" s="3"/>
      <c r="J961" s="2"/>
    </row>
    <row r="962" spans="1:10" customFormat="1" ht="16" x14ac:dyDescent="0.2">
      <c r="A962" t="s">
        <v>57</v>
      </c>
      <c r="B962" s="3">
        <v>3.9534861015391682E-8</v>
      </c>
      <c r="D962" t="s">
        <v>14</v>
      </c>
      <c r="E962" t="s">
        <v>9</v>
      </c>
      <c r="F962" s="2" t="s">
        <v>15</v>
      </c>
      <c r="G962" s="3"/>
      <c r="J962" s="2"/>
    </row>
    <row r="963" spans="1:10" customFormat="1" ht="16" x14ac:dyDescent="0.2">
      <c r="A963" t="s">
        <v>150</v>
      </c>
      <c r="B963" s="3">
        <v>7.1789570411210658E-8</v>
      </c>
      <c r="D963" t="s">
        <v>14</v>
      </c>
      <c r="E963" t="s">
        <v>9</v>
      </c>
      <c r="F963" s="2" t="s">
        <v>15</v>
      </c>
      <c r="G963" s="3"/>
      <c r="J963" s="2"/>
    </row>
    <row r="964" spans="1:10" customFormat="1" ht="16" x14ac:dyDescent="0.2">
      <c r="A964" t="s">
        <v>58</v>
      </c>
      <c r="B964" s="3">
        <v>1.1627900298644611E-6</v>
      </c>
      <c r="D964" t="s">
        <v>14</v>
      </c>
      <c r="E964" t="s">
        <v>9</v>
      </c>
      <c r="F964" s="2" t="s">
        <v>15</v>
      </c>
      <c r="G964" s="3"/>
      <c r="J964" s="2"/>
    </row>
    <row r="965" spans="1:10" customFormat="1" ht="16" x14ac:dyDescent="0.2">
      <c r="A965" t="s">
        <v>59</v>
      </c>
      <c r="B965" s="3">
        <v>3.646242366932188E-8</v>
      </c>
      <c r="D965" t="s">
        <v>14</v>
      </c>
      <c r="E965" t="s">
        <v>9</v>
      </c>
      <c r="F965" s="2" t="s">
        <v>15</v>
      </c>
      <c r="G965" s="3"/>
      <c r="J965" s="2"/>
    </row>
    <row r="966" spans="1:10" customFormat="1" ht="16" x14ac:dyDescent="0.2">
      <c r="A966" t="s">
        <v>60</v>
      </c>
      <c r="B966" s="3">
        <v>1.2114072625668476E-6</v>
      </c>
      <c r="D966" t="s">
        <v>14</v>
      </c>
      <c r="E966" t="s">
        <v>9</v>
      </c>
      <c r="F966" s="2" t="s">
        <v>15</v>
      </c>
      <c r="G966" s="3"/>
      <c r="J966" s="2"/>
    </row>
    <row r="967" spans="1:10" customFormat="1" ht="16" x14ac:dyDescent="0.2">
      <c r="A967" t="s">
        <v>61</v>
      </c>
      <c r="B967" s="3">
        <v>1.3252688602888143E-6</v>
      </c>
      <c r="D967" t="s">
        <v>14</v>
      </c>
      <c r="E967" t="s">
        <v>9</v>
      </c>
      <c r="F967" s="2" t="s">
        <v>15</v>
      </c>
      <c r="G967" s="3"/>
      <c r="J967" s="2"/>
    </row>
    <row r="968" spans="1:10" customFormat="1" ht="16" x14ac:dyDescent="0.2">
      <c r="A968" t="s">
        <v>62</v>
      </c>
      <c r="B968" s="3">
        <v>2.2087814338146904E-8</v>
      </c>
      <c r="D968" t="s">
        <v>14</v>
      </c>
      <c r="E968" t="s">
        <v>9</v>
      </c>
      <c r="F968" s="2" t="s">
        <v>15</v>
      </c>
      <c r="G968" s="3"/>
      <c r="J968" s="2"/>
    </row>
    <row r="969" spans="1:10" customFormat="1" ht="16" x14ac:dyDescent="0.2">
      <c r="A969" t="s">
        <v>63</v>
      </c>
      <c r="B969" s="3">
        <v>1.9186035492763611E-15</v>
      </c>
      <c r="D969" t="s">
        <v>14</v>
      </c>
      <c r="E969" t="s">
        <v>9</v>
      </c>
      <c r="F969" s="2" t="s">
        <v>15</v>
      </c>
      <c r="G969" s="3"/>
      <c r="J969" s="2"/>
    </row>
    <row r="970" spans="1:10" customFormat="1" ht="16" x14ac:dyDescent="0.2">
      <c r="A970" t="s">
        <v>64</v>
      </c>
      <c r="B970" s="3">
        <v>4.6511601194578451E-13</v>
      </c>
      <c r="D970" t="s">
        <v>14</v>
      </c>
      <c r="E970" t="s">
        <v>9</v>
      </c>
      <c r="F970" s="2" t="s">
        <v>15</v>
      </c>
      <c r="G970" s="3"/>
      <c r="J970" s="2"/>
    </row>
    <row r="971" spans="1:10" customFormat="1" ht="16" x14ac:dyDescent="0.2">
      <c r="A971" t="s">
        <v>177</v>
      </c>
      <c r="B971" s="3">
        <v>6.6447090752701953E-7</v>
      </c>
      <c r="D971" t="s">
        <v>14</v>
      </c>
      <c r="E971" t="s">
        <v>9</v>
      </c>
      <c r="F971" s="2" t="s">
        <v>15</v>
      </c>
      <c r="G971" s="3"/>
      <c r="J971" s="2"/>
    </row>
    <row r="972" spans="1:10" customFormat="1" ht="16" x14ac:dyDescent="0.2">
      <c r="A972" t="s">
        <v>66</v>
      </c>
      <c r="B972" s="3">
        <v>1.3252688602888143E-7</v>
      </c>
      <c r="D972" t="s">
        <v>14</v>
      </c>
      <c r="E972" t="s">
        <v>9</v>
      </c>
      <c r="F972" s="2" t="s">
        <v>15</v>
      </c>
      <c r="G972" s="3"/>
      <c r="J972" s="2"/>
    </row>
    <row r="973" spans="1:10" customFormat="1" ht="16" x14ac:dyDescent="0.2">
      <c r="A973" t="s">
        <v>67</v>
      </c>
      <c r="B973" s="3">
        <v>5.8566933256401625E-6</v>
      </c>
      <c r="D973" t="s">
        <v>14</v>
      </c>
      <c r="E973" t="s">
        <v>9</v>
      </c>
      <c r="F973" s="2" t="s">
        <v>15</v>
      </c>
      <c r="G973" s="3"/>
      <c r="J973" s="2"/>
    </row>
    <row r="974" spans="1:10" customFormat="1" ht="16" x14ac:dyDescent="0.2">
      <c r="A974" t="s">
        <v>68</v>
      </c>
      <c r="B974" s="3">
        <v>1.6279060418102458E-9</v>
      </c>
      <c r="D974" t="s">
        <v>14</v>
      </c>
      <c r="E974" t="s">
        <v>9</v>
      </c>
      <c r="F974" s="2" t="s">
        <v>15</v>
      </c>
      <c r="G974" s="3"/>
      <c r="J974" s="2"/>
    </row>
    <row r="975" spans="1:10" customFormat="1" ht="16" x14ac:dyDescent="0.2">
      <c r="A975" t="s">
        <v>69</v>
      </c>
      <c r="B975" s="3">
        <f>B942/1000</f>
        <v>1.4516100000000001E-6</v>
      </c>
      <c r="D975" t="s">
        <v>14</v>
      </c>
      <c r="E975" t="s">
        <v>9</v>
      </c>
      <c r="F975" s="2" t="s">
        <v>15</v>
      </c>
      <c r="G975" s="3"/>
      <c r="J975" s="2"/>
    </row>
    <row r="976" spans="1:10" customFormat="1" ht="16" x14ac:dyDescent="0.2">
      <c r="A976" t="s">
        <v>70</v>
      </c>
      <c r="B976" s="3">
        <v>4.2883696301401334E-9</v>
      </c>
      <c r="D976" t="s">
        <v>14</v>
      </c>
      <c r="E976" t="s">
        <v>9</v>
      </c>
      <c r="F976" s="2" t="s">
        <v>15</v>
      </c>
      <c r="G976" s="3"/>
      <c r="J976" s="2"/>
    </row>
    <row r="977" spans="1:10" customFormat="1" ht="16" x14ac:dyDescent="0.2">
      <c r="A977" t="s">
        <v>71</v>
      </c>
      <c r="B977" s="3">
        <f>B943/1000</f>
        <v>2.1756100000000002E-7</v>
      </c>
      <c r="D977" t="s">
        <v>14</v>
      </c>
      <c r="E977" t="s">
        <v>9</v>
      </c>
      <c r="F977" s="2" t="s">
        <v>15</v>
      </c>
      <c r="G977" s="3"/>
      <c r="J977" s="2"/>
    </row>
    <row r="978" spans="1:10" customFormat="1" ht="16" x14ac:dyDescent="0.2">
      <c r="A978" t="s">
        <v>72</v>
      </c>
      <c r="B978" s="3">
        <v>4.417562867629381E-9</v>
      </c>
      <c r="D978" t="s">
        <v>14</v>
      </c>
      <c r="E978" t="s">
        <v>9</v>
      </c>
      <c r="F978" s="2" t="s">
        <v>15</v>
      </c>
      <c r="G978" s="3"/>
      <c r="J978" s="2"/>
    </row>
    <row r="979" spans="1:10" customFormat="1" ht="16" x14ac:dyDescent="0.2">
      <c r="A979" t="s">
        <v>73</v>
      </c>
      <c r="B979" s="3">
        <v>1.2147463123534157E-8</v>
      </c>
      <c r="D979" t="s">
        <v>14</v>
      </c>
      <c r="E979" t="s">
        <v>9</v>
      </c>
      <c r="F979" s="2" t="s">
        <v>15</v>
      </c>
      <c r="G979" s="3"/>
      <c r="J979" s="2"/>
    </row>
    <row r="980" spans="1:10" customFormat="1" ht="16" x14ac:dyDescent="0.2">
      <c r="A980" t="s">
        <v>74</v>
      </c>
      <c r="B980" s="3">
        <v>3.9768082958024133E-7</v>
      </c>
      <c r="D980" t="s">
        <v>14</v>
      </c>
      <c r="E980" t="s">
        <v>9</v>
      </c>
      <c r="F980" s="2" t="s">
        <v>15</v>
      </c>
      <c r="G980" s="3"/>
      <c r="J980" s="2"/>
    </row>
    <row r="981" spans="1:10" customFormat="1" ht="16" x14ac:dyDescent="0.2">
      <c r="A981" t="s">
        <v>75</v>
      </c>
      <c r="B981" s="3">
        <v>2.3255800597289225E-10</v>
      </c>
      <c r="D981" t="s">
        <v>14</v>
      </c>
      <c r="E981" t="s">
        <v>9</v>
      </c>
      <c r="F981" s="2" t="s">
        <v>15</v>
      </c>
      <c r="G981" s="3"/>
      <c r="J981" s="2"/>
    </row>
    <row r="982" spans="1:10" customFormat="1" ht="16" x14ac:dyDescent="0.2">
      <c r="A982" t="s">
        <v>76</v>
      </c>
      <c r="B982" s="3">
        <v>4.0869969387591558E-8</v>
      </c>
      <c r="D982" t="s">
        <v>14</v>
      </c>
      <c r="E982" t="s">
        <v>9</v>
      </c>
      <c r="F982" s="2" t="s">
        <v>15</v>
      </c>
      <c r="G982" s="3"/>
      <c r="J982" s="2"/>
    </row>
    <row r="983" spans="1:10" customFormat="1" ht="16" x14ac:dyDescent="0.2">
      <c r="A983" t="s">
        <v>77</v>
      </c>
      <c r="B983" s="3">
        <v>4.651160119457845E-7</v>
      </c>
      <c r="D983" t="s">
        <v>14</v>
      </c>
      <c r="E983" t="s">
        <v>9</v>
      </c>
      <c r="F983" s="2" t="s">
        <v>15</v>
      </c>
      <c r="G983" s="3"/>
      <c r="J983" s="2"/>
    </row>
    <row r="984" spans="1:10" customFormat="1" ht="16" x14ac:dyDescent="0.2">
      <c r="A984" t="s">
        <v>78</v>
      </c>
      <c r="B984" s="3">
        <v>7.619711612948033E-8</v>
      </c>
      <c r="D984" t="s">
        <v>14</v>
      </c>
      <c r="E984" t="s">
        <v>9</v>
      </c>
      <c r="F984" s="2" t="s">
        <v>15</v>
      </c>
      <c r="G984" s="3"/>
      <c r="J984" s="2"/>
    </row>
    <row r="985" spans="1:10" customFormat="1" ht="16" x14ac:dyDescent="0.2">
      <c r="A985" t="s">
        <v>79</v>
      </c>
      <c r="B985" s="3">
        <v>2.3255800597289226E-8</v>
      </c>
      <c r="D985" t="s">
        <v>14</v>
      </c>
      <c r="E985" t="s">
        <v>9</v>
      </c>
      <c r="F985" s="2" t="s">
        <v>15</v>
      </c>
      <c r="G985" s="3"/>
      <c r="J985" s="2"/>
    </row>
    <row r="986" spans="1:10" customFormat="1" ht="16" x14ac:dyDescent="0.2">
      <c r="A986" t="s">
        <v>80</v>
      </c>
      <c r="B986" s="3">
        <v>6.7382024692940973E-8</v>
      </c>
      <c r="D986" t="s">
        <v>14</v>
      </c>
      <c r="E986" t="s">
        <v>9</v>
      </c>
      <c r="F986" s="2" t="s">
        <v>15</v>
      </c>
      <c r="G986" s="3"/>
      <c r="J986" s="2"/>
    </row>
    <row r="987" spans="1:10" customFormat="1" ht="16" x14ac:dyDescent="0.2">
      <c r="A987" t="s">
        <v>81</v>
      </c>
      <c r="B987" s="3">
        <v>2.9821053643838246E-8</v>
      </c>
      <c r="D987" t="s">
        <v>14</v>
      </c>
      <c r="E987" t="s">
        <v>9</v>
      </c>
      <c r="F987" s="2" t="s">
        <v>15</v>
      </c>
      <c r="G987" s="3"/>
      <c r="J987" s="2"/>
    </row>
    <row r="988" spans="1:10" customFormat="1" ht="16" x14ac:dyDescent="0.2">
      <c r="B988" s="3"/>
    </row>
    <row r="989" spans="1:10" x14ac:dyDescent="0.2">
      <c r="A989" s="17" t="s">
        <v>2</v>
      </c>
      <c r="B989" s="17" t="s">
        <v>202</v>
      </c>
    </row>
    <row r="990" spans="1:10" customFormat="1" ht="16" x14ac:dyDescent="0.2">
      <c r="A990" t="s">
        <v>151</v>
      </c>
      <c r="B990" t="s">
        <v>375</v>
      </c>
    </row>
    <row r="991" spans="1:10" customFormat="1" ht="16" x14ac:dyDescent="0.2">
      <c r="A991" t="s">
        <v>198</v>
      </c>
      <c r="B991" t="s">
        <v>199</v>
      </c>
    </row>
    <row r="992" spans="1:10" customFormat="1" ht="16" x14ac:dyDescent="0.2">
      <c r="A992" t="s">
        <v>3</v>
      </c>
      <c r="B992" t="s">
        <v>18</v>
      </c>
    </row>
    <row r="993" spans="1:12" customFormat="1" ht="16" x14ac:dyDescent="0.2">
      <c r="A993" t="s">
        <v>4</v>
      </c>
      <c r="B993">
        <v>1</v>
      </c>
    </row>
    <row r="994" spans="1:12" customFormat="1" ht="16" x14ac:dyDescent="0.2">
      <c r="A994" t="s">
        <v>5</v>
      </c>
      <c r="B994" t="s">
        <v>1</v>
      </c>
    </row>
    <row r="995" spans="1:12" customFormat="1" ht="16" x14ac:dyDescent="0.2">
      <c r="A995" t="s">
        <v>204</v>
      </c>
      <c r="B995" t="s">
        <v>205</v>
      </c>
    </row>
    <row r="996" spans="1:12" customFormat="1" ht="16" x14ac:dyDescent="0.2">
      <c r="A996" t="s">
        <v>6</v>
      </c>
      <c r="B996" t="s">
        <v>7</v>
      </c>
    </row>
    <row r="997" spans="1:12" customFormat="1" ht="16" x14ac:dyDescent="0.2">
      <c r="A997" t="s">
        <v>8</v>
      </c>
      <c r="B997" t="s">
        <v>17</v>
      </c>
    </row>
    <row r="998" spans="1:12" customFormat="1" ht="16" x14ac:dyDescent="0.2">
      <c r="A998" t="s">
        <v>352</v>
      </c>
      <c r="B998" s="2">
        <f>INDEX(Parameters!$B$6:$AL$57,MATCH(Inventories!$B$989,Parameters!$A$6:$A$57,0),MATCH(Inventories!$A998,Parameters!$B$4:$AL$4,0))</f>
        <v>242</v>
      </c>
      <c r="C998" t="s">
        <v>312</v>
      </c>
      <c r="D998" s="2"/>
      <c r="E998" s="2"/>
      <c r="F998" s="2"/>
      <c r="G998" s="2"/>
      <c r="H998" s="2"/>
      <c r="I998" s="2"/>
      <c r="J998" s="2"/>
      <c r="K998" s="2"/>
      <c r="L998" s="2"/>
    </row>
    <row r="999" spans="1:12" customFormat="1" ht="16" x14ac:dyDescent="0.2">
      <c r="A999" t="s">
        <v>353</v>
      </c>
      <c r="B999" s="2">
        <f>INDEX(Parameters!$B$6:$AL$57,MATCH(Inventories!$B$989,Parameters!$A$6:$A$57,0),MATCH(Inventories!$A999,Parameters!$B$4:$AL$4,0))</f>
        <v>128</v>
      </c>
      <c r="C999" t="s">
        <v>312</v>
      </c>
      <c r="D999" s="2"/>
      <c r="E999" s="2"/>
      <c r="F999" s="2"/>
      <c r="G999" s="2"/>
      <c r="H999" s="2"/>
      <c r="I999" s="2"/>
      <c r="J999" s="2"/>
      <c r="K999" s="2"/>
      <c r="L999" s="2"/>
    </row>
    <row r="1000" spans="1:12" customFormat="1" ht="16" x14ac:dyDescent="0.2">
      <c r="A1000" t="s">
        <v>354</v>
      </c>
      <c r="B1000" s="2">
        <f>INDEX(Parameters!$B$6:$AL$57,MATCH(Inventories!$B$989,Parameters!$A$6:$A$57,0),MATCH(Inventories!$A1000,Parameters!$B$4:$AL$4,0))</f>
        <v>328</v>
      </c>
      <c r="C1000" t="s">
        <v>312</v>
      </c>
      <c r="D1000" s="2"/>
      <c r="E1000" s="2"/>
      <c r="F1000" s="2"/>
      <c r="G1000" s="2"/>
      <c r="H1000" s="2"/>
      <c r="I1000" s="2"/>
      <c r="J1000" s="2"/>
      <c r="K1000" s="2"/>
      <c r="L1000" s="2"/>
    </row>
    <row r="1001" spans="1:12" customFormat="1" ht="16" x14ac:dyDescent="0.2">
      <c r="A1001" t="s">
        <v>316</v>
      </c>
      <c r="B1001" s="24">
        <f>INDEX(Parameters!$B$6:$AL$57,MATCH(Inventories!$B$989,Parameters!$A$6:$A$57,0),MATCH(Inventories!$A1001,Parameters!$B$4:$AL$4,0))</f>
        <v>700000</v>
      </c>
      <c r="C1001" t="s">
        <v>313</v>
      </c>
      <c r="D1001" s="2"/>
      <c r="E1001" s="2"/>
      <c r="F1001" s="2"/>
      <c r="G1001" s="2"/>
      <c r="H1001" s="2"/>
      <c r="I1001" s="2"/>
      <c r="J1001" s="2"/>
      <c r="K1001" s="2"/>
      <c r="L1001" s="2"/>
    </row>
    <row r="1002" spans="1:12" customFormat="1" ht="16" x14ac:dyDescent="0.2">
      <c r="A1002" t="s">
        <v>317</v>
      </c>
      <c r="B1002" s="24">
        <f>INDEX(Parameters!$B$6:$AL$57,MATCH(Inventories!$B$989,Parameters!$A$6:$A$57,0),MATCH(Inventories!$A1002,Parameters!$B$4:$AL$4,0))</f>
        <v>500000</v>
      </c>
      <c r="C1002" t="s">
        <v>313</v>
      </c>
      <c r="D1002" s="2"/>
      <c r="E1002" s="2"/>
      <c r="F1002" s="2"/>
      <c r="G1002" s="2"/>
      <c r="H1002" s="2"/>
      <c r="I1002" s="2"/>
      <c r="J1002" s="2"/>
      <c r="K1002" s="2"/>
      <c r="L1002" s="2"/>
    </row>
    <row r="1003" spans="1:12" customFormat="1" ht="16" x14ac:dyDescent="0.2">
      <c r="A1003" t="s">
        <v>318</v>
      </c>
      <c r="B1003" s="24">
        <f>INDEX(Parameters!$B$6:$AL$57,MATCH(Inventories!$B$989,Parameters!$A$6:$A$57,0),MATCH(Inventories!$A1003,Parameters!$B$4:$AL$4,0))</f>
        <v>1000000</v>
      </c>
      <c r="C1003" t="s">
        <v>313</v>
      </c>
      <c r="D1003" s="2"/>
      <c r="E1003" s="2"/>
      <c r="F1003" s="2"/>
      <c r="G1003" s="2"/>
      <c r="H1003" s="2"/>
      <c r="I1003" s="2"/>
      <c r="J1003" s="2"/>
      <c r="K1003" s="2"/>
      <c r="L1003" s="2"/>
    </row>
    <row r="1004" spans="1:12" customFormat="1" ht="16" x14ac:dyDescent="0.2">
      <c r="A1004" t="s">
        <v>319</v>
      </c>
      <c r="B1004" s="2">
        <f>INDEX(Parameters!$B$6:$AL$57,MATCH(Inventories!$B$989,Parameters!$A$6:$A$57,0),MATCH(Inventories!$A1004,Parameters!$B$4:$AL$4,0))</f>
        <v>8650</v>
      </c>
      <c r="C1004" t="s">
        <v>314</v>
      </c>
      <c r="D1004" s="2"/>
      <c r="E1004" s="2"/>
      <c r="F1004" s="2"/>
      <c r="G1004" s="2"/>
      <c r="H1004" s="2"/>
      <c r="I1004" s="2"/>
      <c r="J1004" s="2"/>
      <c r="K1004" s="2"/>
      <c r="L1004" s="2"/>
    </row>
    <row r="1005" spans="1:12" customFormat="1" ht="16" x14ac:dyDescent="0.2">
      <c r="A1005" t="s">
        <v>320</v>
      </c>
      <c r="B1005" s="2">
        <f>INDEX(Parameters!$B$6:$AL$57,MATCH(Inventories!$B$989,Parameters!$A$6:$A$57,0),MATCH(Inventories!$A1005,Parameters!$B$4:$AL$4,0))</f>
        <v>5600</v>
      </c>
      <c r="C1005" t="s">
        <v>314</v>
      </c>
      <c r="D1005" s="2"/>
      <c r="E1005" s="2"/>
      <c r="F1005" s="2"/>
      <c r="G1005" s="2"/>
      <c r="H1005" s="2"/>
      <c r="I1005" s="2"/>
      <c r="J1005" s="2"/>
      <c r="K1005" s="2"/>
      <c r="L1005" s="2"/>
    </row>
    <row r="1006" spans="1:12" customFormat="1" ht="16" x14ac:dyDescent="0.2">
      <c r="A1006" t="s">
        <v>321</v>
      </c>
      <c r="B1006" s="2">
        <f>INDEX(Parameters!$B$6:$AL$57,MATCH(Inventories!$B$989,Parameters!$A$6:$A$57,0),MATCH(Inventories!$A1006,Parameters!$B$4:$AL$4,0))</f>
        <v>11410</v>
      </c>
      <c r="C1006" t="s">
        <v>314</v>
      </c>
      <c r="D1006" s="2"/>
      <c r="E1006" s="2"/>
      <c r="F1006" s="2"/>
      <c r="G1006" s="2"/>
      <c r="H1006" s="2"/>
      <c r="I1006" s="2"/>
      <c r="J1006" s="2"/>
      <c r="K1006" s="2"/>
      <c r="L1006" s="2"/>
    </row>
    <row r="1007" spans="1:12" customFormat="1" ht="16" x14ac:dyDescent="0.2">
      <c r="A1007" t="s">
        <v>337</v>
      </c>
      <c r="B1007" s="2">
        <f>INDEX(Parameters!$B$6:$AL$57,MATCH(Inventories!$B$989,Parameters!$A$6:$A$57,0),MATCH(Inventories!$A1007,Parameters!$B$4:$AL$4,0))</f>
        <v>0</v>
      </c>
      <c r="C1007" t="s">
        <v>336</v>
      </c>
      <c r="D1007" s="2"/>
      <c r="E1007" s="2"/>
      <c r="F1007" s="2"/>
      <c r="G1007" s="2"/>
      <c r="H1007" s="2"/>
      <c r="I1007" s="2"/>
      <c r="J1007" s="2"/>
      <c r="K1007" s="2"/>
      <c r="L1007" s="2"/>
    </row>
    <row r="1008" spans="1:12" customFormat="1" ht="16" x14ac:dyDescent="0.2">
      <c r="A1008" t="s">
        <v>338</v>
      </c>
      <c r="B1008" s="2">
        <f>INDEX(Parameters!$B$6:$AL$57,MATCH(Inventories!$B$989,Parameters!$A$6:$A$57,0),MATCH(Inventories!$A1008,Parameters!$B$4:$AL$4,0))</f>
        <v>0</v>
      </c>
      <c r="C1008" t="s">
        <v>336</v>
      </c>
      <c r="D1008" s="2"/>
      <c r="E1008" s="2"/>
      <c r="F1008" s="2"/>
      <c r="G1008" s="2"/>
      <c r="H1008" s="2"/>
      <c r="I1008" s="2"/>
      <c r="J1008" s="2"/>
      <c r="K1008" s="2"/>
      <c r="L1008" s="2"/>
    </row>
    <row r="1009" spans="1:12" customFormat="1" ht="16" x14ac:dyDescent="0.2">
      <c r="A1009" t="s">
        <v>339</v>
      </c>
      <c r="B1009" s="2">
        <f>INDEX(Parameters!$B$6:$AL$57,MATCH(Inventories!$B$989,Parameters!$A$6:$A$57,0),MATCH(Inventories!$A1009,Parameters!$B$4:$AL$4,0))</f>
        <v>0</v>
      </c>
      <c r="C1009" t="s">
        <v>336</v>
      </c>
      <c r="D1009" s="2"/>
      <c r="E1009" s="2"/>
      <c r="F1009" s="2"/>
      <c r="G1009" s="2"/>
      <c r="H1009" s="2"/>
      <c r="I1009" s="2"/>
      <c r="J1009" s="2"/>
      <c r="K1009" s="2"/>
      <c r="L1009" s="2"/>
    </row>
    <row r="1010" spans="1:12" customFormat="1" ht="16" x14ac:dyDescent="0.2">
      <c r="A1010" t="s">
        <v>340</v>
      </c>
      <c r="B1010" s="2">
        <f>INDEX(Parameters!$B$6:$AL$57,MATCH(Inventories!$B$989,Parameters!$A$6:$A$57,0),MATCH(Inventories!$A1010,Parameters!$B$4:$AL$4,0))</f>
        <v>872</v>
      </c>
      <c r="C1010" t="s">
        <v>336</v>
      </c>
      <c r="D1010" s="2"/>
      <c r="E1010" s="2"/>
      <c r="F1010" s="2"/>
      <c r="G1010" s="2"/>
      <c r="H1010" s="2"/>
      <c r="I1010" s="2"/>
      <c r="J1010" s="2"/>
      <c r="K1010" s="2"/>
      <c r="L1010" s="2"/>
    </row>
    <row r="1011" spans="1:12" customFormat="1" ht="16" x14ac:dyDescent="0.2">
      <c r="A1011" t="s">
        <v>341</v>
      </c>
      <c r="B1011" s="2">
        <f>INDEX(Parameters!$B$6:$AL$57,MATCH(Inventories!$B$989,Parameters!$A$6:$A$57,0),MATCH(Inventories!$A1011,Parameters!$B$4:$AL$4,0))</f>
        <v>540</v>
      </c>
      <c r="C1011" t="s">
        <v>336</v>
      </c>
      <c r="D1011" s="2"/>
      <c r="E1011" s="2"/>
      <c r="F1011" s="2"/>
      <c r="G1011" s="2"/>
      <c r="H1011" s="2"/>
      <c r="I1011" s="2"/>
      <c r="J1011" s="2"/>
      <c r="K1011" s="2"/>
      <c r="L1011" s="2"/>
    </row>
    <row r="1012" spans="1:12" customFormat="1" ht="16" x14ac:dyDescent="0.2">
      <c r="A1012" t="s">
        <v>342</v>
      </c>
      <c r="B1012" s="2">
        <f>INDEX(Parameters!$B$6:$AL$57,MATCH(Inventories!$B$989,Parameters!$A$6:$A$57,0),MATCH(Inventories!$A1012,Parameters!$B$4:$AL$4,0))</f>
        <v>1120</v>
      </c>
      <c r="C1012" t="s">
        <v>336</v>
      </c>
      <c r="D1012" s="2"/>
      <c r="E1012" s="2"/>
      <c r="F1012" s="2"/>
      <c r="G1012" s="2"/>
      <c r="H1012" s="2"/>
      <c r="I1012" s="2"/>
      <c r="J1012" s="2"/>
      <c r="K1012" s="2"/>
      <c r="L1012" s="2"/>
    </row>
    <row r="1013" spans="1:12" customFormat="1" ht="16" x14ac:dyDescent="0.2">
      <c r="A1013" t="s">
        <v>333</v>
      </c>
      <c r="B1013" s="2">
        <f>INDEX(Parameters!$B$6:$AL$57,MATCH(Inventories!$B$989,Parameters!$A$6:$A$57,0),MATCH(Inventories!$A1013,Parameters!$B$4:$AL$4,0))</f>
        <v>142</v>
      </c>
      <c r="C1013" t="s">
        <v>336</v>
      </c>
      <c r="D1013" s="2"/>
      <c r="E1013" s="2"/>
      <c r="F1013" s="2"/>
      <c r="G1013" s="2"/>
      <c r="H1013" s="2"/>
      <c r="I1013" s="2"/>
      <c r="J1013" s="2"/>
      <c r="K1013" s="2"/>
      <c r="L1013" s="2"/>
    </row>
    <row r="1014" spans="1:12" customFormat="1" ht="16" x14ac:dyDescent="0.2">
      <c r="A1014" t="s">
        <v>334</v>
      </c>
      <c r="B1014" s="2">
        <f>INDEX(Parameters!$B$6:$AL$57,MATCH(Inventories!$B$989,Parameters!$A$6:$A$57,0),MATCH(Inventories!$A1014,Parameters!$B$4:$AL$4,0))</f>
        <v>77</v>
      </c>
      <c r="C1014" t="s">
        <v>336</v>
      </c>
      <c r="D1014" s="2"/>
      <c r="E1014" s="2"/>
      <c r="F1014" s="2"/>
      <c r="G1014" s="2"/>
      <c r="H1014" s="2"/>
      <c r="I1014" s="2"/>
      <c r="J1014" s="2"/>
      <c r="K1014" s="2"/>
      <c r="L1014" s="2"/>
    </row>
    <row r="1015" spans="1:12" customFormat="1" ht="16" x14ac:dyDescent="0.2">
      <c r="A1015" t="s">
        <v>335</v>
      </c>
      <c r="B1015" s="2">
        <f>INDEX(Parameters!$B$6:$AL$57,MATCH(Inventories!$B$989,Parameters!$A$6:$A$57,0),MATCH(Inventories!$A1015,Parameters!$B$4:$AL$4,0))</f>
        <v>154</v>
      </c>
      <c r="C1015" t="s">
        <v>336</v>
      </c>
      <c r="D1015" s="2"/>
      <c r="E1015" s="2"/>
      <c r="F1015" s="2"/>
      <c r="G1015" s="2"/>
      <c r="H1015" s="2"/>
      <c r="I1015" s="2"/>
      <c r="J1015" s="2"/>
      <c r="K1015" s="2"/>
      <c r="L1015" s="2"/>
    </row>
    <row r="1016" spans="1:12" customFormat="1" ht="16" x14ac:dyDescent="0.2">
      <c r="A1016" t="s">
        <v>322</v>
      </c>
      <c r="B1016" s="2">
        <f>INDEX(Parameters!$B$6:$AL$57,MATCH(Inventories!$B$989,Parameters!$A$6:$A$57,0),MATCH(Inventories!$A1016,Parameters!$B$4:$AL$4,0))</f>
        <v>0</v>
      </c>
      <c r="C1016" t="s">
        <v>315</v>
      </c>
      <c r="D1016" s="2"/>
      <c r="E1016" s="2"/>
      <c r="F1016" s="2"/>
      <c r="G1016" s="2"/>
      <c r="H1016" s="2"/>
      <c r="I1016" s="2"/>
      <c r="J1016" s="2"/>
      <c r="K1016" s="2"/>
      <c r="L1016" s="2"/>
    </row>
    <row r="1017" spans="1:12" customFormat="1" ht="16" x14ac:dyDescent="0.2">
      <c r="A1017" t="s">
        <v>323</v>
      </c>
      <c r="B1017" s="2">
        <f>INDEX(Parameters!$B$6:$AL$57,MATCH(Inventories!$B$989,Parameters!$A$6:$A$57,0),MATCH(Inventories!$A1017,Parameters!$B$4:$AL$4,0))</f>
        <v>0</v>
      </c>
      <c r="C1017" t="s">
        <v>315</v>
      </c>
      <c r="D1017" s="2"/>
      <c r="E1017" s="2"/>
      <c r="F1017" s="2"/>
      <c r="G1017" s="2"/>
      <c r="H1017" s="2"/>
      <c r="I1017" s="2"/>
      <c r="J1017" s="2"/>
      <c r="K1017" s="2"/>
      <c r="L1017" s="2"/>
    </row>
    <row r="1018" spans="1:12" customFormat="1" ht="16" x14ac:dyDescent="0.2">
      <c r="A1018" t="s">
        <v>324</v>
      </c>
      <c r="B1018" s="2">
        <f>INDEX(Parameters!$B$6:$AL$57,MATCH(Inventories!$B$989,Parameters!$A$6:$A$57,0),MATCH(Inventories!$A1018,Parameters!$B$4:$AL$4,0))</f>
        <v>0</v>
      </c>
      <c r="C1018" t="s">
        <v>315</v>
      </c>
      <c r="D1018" s="2"/>
      <c r="E1018" s="2"/>
      <c r="F1018" s="2"/>
      <c r="G1018" s="2"/>
      <c r="H1018" s="2"/>
      <c r="I1018" s="2"/>
      <c r="J1018" s="2"/>
      <c r="K1018" s="2"/>
      <c r="L1018" s="2"/>
    </row>
    <row r="1019" spans="1:12" customFormat="1" ht="16" x14ac:dyDescent="0.2">
      <c r="A1019" t="s">
        <v>330</v>
      </c>
      <c r="B1019" s="2">
        <f>INDEX(Parameters!$B$6:$AL$57,MATCH(Inventories!$B$989,Parameters!$A$6:$A$57,0),MATCH(Inventories!$A1019,Parameters!$B$4:$AL$4,0))</f>
        <v>0</v>
      </c>
      <c r="C1019" t="s">
        <v>8</v>
      </c>
      <c r="D1019" s="2"/>
      <c r="E1019" s="2"/>
      <c r="F1019" s="2"/>
      <c r="G1019" s="2"/>
      <c r="H1019" s="2"/>
      <c r="I1019" s="2"/>
      <c r="J1019" s="2"/>
      <c r="K1019" s="2"/>
      <c r="L1019" s="2"/>
    </row>
    <row r="1020" spans="1:12" customFormat="1" ht="16" x14ac:dyDescent="0.2">
      <c r="A1020" t="s">
        <v>331</v>
      </c>
      <c r="B1020" s="2">
        <f>INDEX(Parameters!$B$6:$AL$57,MATCH(Inventories!$B$989,Parameters!$A$6:$A$57,0),MATCH(Inventories!$A1020,Parameters!$B$4:$AL$4,0))</f>
        <v>0</v>
      </c>
      <c r="C1020" t="s">
        <v>8</v>
      </c>
      <c r="D1020" s="2"/>
      <c r="E1020" s="2"/>
      <c r="F1020" s="2"/>
      <c r="G1020" s="2"/>
      <c r="H1020" s="2"/>
      <c r="I1020" s="2"/>
      <c r="J1020" s="2"/>
      <c r="K1020" s="2"/>
      <c r="L1020" s="2"/>
    </row>
    <row r="1021" spans="1:12" customFormat="1" ht="16" x14ac:dyDescent="0.2">
      <c r="A1021" t="s">
        <v>332</v>
      </c>
      <c r="B1021" s="2">
        <f>INDEX(Parameters!$B$6:$AL$57,MATCH(Inventories!$B$989,Parameters!$A$6:$A$57,0),MATCH(Inventories!$A1021,Parameters!$B$4:$AL$4,0))</f>
        <v>0</v>
      </c>
      <c r="C1021" t="s">
        <v>8</v>
      </c>
      <c r="D1021" s="2"/>
      <c r="E1021" s="2"/>
      <c r="F1021" s="2"/>
      <c r="G1021" s="2"/>
      <c r="H1021" s="2"/>
      <c r="I1021" s="2"/>
      <c r="J1021" s="2"/>
      <c r="K1021" s="2"/>
      <c r="L1021" s="2"/>
    </row>
    <row r="1022" spans="1:12" customFormat="1" ht="16" x14ac:dyDescent="0.2">
      <c r="A1022" t="s">
        <v>346</v>
      </c>
      <c r="B1022" s="2">
        <f>INDEX(Parameters!$B$6:$AL$57,MATCH(Inventories!$B$989,Parameters!$A$6:$A$57,0),MATCH(Inventories!$A1022,Parameters!$B$4:$AL$4,0))</f>
        <v>0</v>
      </c>
      <c r="C1022" t="s">
        <v>312</v>
      </c>
      <c r="D1022" s="2"/>
      <c r="E1022" s="2"/>
      <c r="F1022" s="2"/>
      <c r="G1022" s="2"/>
      <c r="H1022" s="2"/>
      <c r="I1022" s="2"/>
      <c r="J1022" s="2"/>
      <c r="K1022" s="2"/>
      <c r="L1022" s="2"/>
    </row>
    <row r="1023" spans="1:12" customFormat="1" ht="16" x14ac:dyDescent="0.2">
      <c r="A1023" t="s">
        <v>347</v>
      </c>
      <c r="B1023" s="2">
        <f>INDEX(Parameters!$B$6:$AL$57,MATCH(Inventories!$B$989,Parameters!$A$6:$A$57,0),MATCH(Inventories!$A1023,Parameters!$B$4:$AL$4,0))</f>
        <v>0</v>
      </c>
      <c r="C1023" t="s">
        <v>312</v>
      </c>
      <c r="D1023" s="2"/>
      <c r="E1023" s="12"/>
      <c r="F1023" s="2"/>
      <c r="G1023" s="2"/>
      <c r="H1023" s="2"/>
      <c r="I1023" s="2"/>
      <c r="J1023" s="2"/>
      <c r="K1023" s="2"/>
      <c r="L1023" s="2"/>
    </row>
    <row r="1024" spans="1:12" customFormat="1" ht="16" x14ac:dyDescent="0.2">
      <c r="A1024" t="s">
        <v>348</v>
      </c>
      <c r="B1024" s="2">
        <f>INDEX(Parameters!$B$6:$AL$57,MATCH(Inventories!$B$989,Parameters!$A$6:$A$57,0),MATCH(Inventories!$A1024,Parameters!$B$4:$AL$4,0))</f>
        <v>0</v>
      </c>
      <c r="C1024" t="s">
        <v>312</v>
      </c>
      <c r="D1024" s="2"/>
      <c r="E1024" s="2"/>
      <c r="F1024" s="2"/>
      <c r="G1024" s="2"/>
      <c r="H1024" s="2"/>
      <c r="I1024" s="2"/>
      <c r="J1024" s="2"/>
      <c r="K1024" s="2"/>
      <c r="L1024" s="2"/>
    </row>
    <row r="1025" spans="1:12" customFormat="1" ht="16" x14ac:dyDescent="0.2">
      <c r="A1025" t="s">
        <v>349</v>
      </c>
      <c r="B1025" s="2">
        <f>INDEX(Parameters!$B$6:$AL$57,MATCH(Inventories!$B$989,Parameters!$A$6:$A$57,0),MATCH(Inventories!$A1025,Parameters!$B$4:$AL$4,0))</f>
        <v>0</v>
      </c>
      <c r="C1025" t="s">
        <v>8</v>
      </c>
      <c r="D1025" s="2"/>
      <c r="E1025" s="2"/>
      <c r="F1025" s="2"/>
      <c r="G1025" s="2"/>
      <c r="H1025" s="2"/>
      <c r="I1025" s="2"/>
      <c r="J1025" s="2"/>
      <c r="K1025" s="2"/>
      <c r="L1025" s="2"/>
    </row>
    <row r="1026" spans="1:12" customFormat="1" ht="16" x14ac:dyDescent="0.2">
      <c r="A1026" t="s">
        <v>350</v>
      </c>
      <c r="B1026" s="2">
        <f>INDEX(Parameters!$B$6:$AL$57,MATCH(Inventories!$B$989,Parameters!$A$6:$A$57,0),MATCH(Inventories!$A1026,Parameters!$B$4:$AL$4,0))</f>
        <v>0</v>
      </c>
      <c r="C1026" t="s">
        <v>8</v>
      </c>
      <c r="D1026" s="2"/>
      <c r="E1026" s="2"/>
      <c r="F1026" s="2"/>
      <c r="G1026" s="2"/>
      <c r="H1026" s="2"/>
      <c r="I1026" s="2"/>
      <c r="J1026" s="2"/>
      <c r="K1026" s="2"/>
      <c r="L1026" s="2"/>
    </row>
    <row r="1027" spans="1:12" customFormat="1" ht="16" x14ac:dyDescent="0.2">
      <c r="A1027" t="s">
        <v>351</v>
      </c>
      <c r="B1027" s="2">
        <f>INDEX(Parameters!$B$6:$AL$57,MATCH(Inventories!$B$989,Parameters!$A$6:$A$57,0),MATCH(Inventories!$A1027,Parameters!$B$4:$AL$4,0))</f>
        <v>0</v>
      </c>
      <c r="C1027" t="s">
        <v>8</v>
      </c>
      <c r="D1027" s="2"/>
      <c r="E1027" s="2"/>
      <c r="F1027" s="2"/>
      <c r="G1027" s="2"/>
      <c r="H1027" s="2"/>
      <c r="I1027" s="2"/>
      <c r="J1027" s="2"/>
      <c r="K1027" s="2"/>
      <c r="L1027" s="2"/>
    </row>
    <row r="1028" spans="1:12" customFormat="1" ht="16" x14ac:dyDescent="0.2">
      <c r="A1028" t="s">
        <v>365</v>
      </c>
      <c r="B1028" s="2">
        <f>INDEX(Parameters!$B$6:$AL$57,MATCH(Inventories!$B$989,Parameters!$A$6:$A$57,0),MATCH(Inventories!$A1028,Parameters!$B$4:$AL$4,0))</f>
        <v>0</v>
      </c>
      <c r="C1028" t="s">
        <v>336</v>
      </c>
      <c r="D1028" s="2"/>
      <c r="E1028" s="2"/>
      <c r="F1028" s="2"/>
      <c r="G1028" s="2"/>
      <c r="H1028" s="2"/>
      <c r="I1028" s="2"/>
      <c r="J1028" s="2"/>
      <c r="K1028" s="2"/>
      <c r="L1028" s="2"/>
    </row>
    <row r="1029" spans="1:12" customFormat="1" ht="16" x14ac:dyDescent="0.2">
      <c r="A1029" t="s">
        <v>366</v>
      </c>
      <c r="B1029" s="2">
        <f>INDEX(Parameters!$B$6:$AL$57,MATCH(Inventories!$B$989,Parameters!$A$6:$A$57,0),MATCH(Inventories!$A1029,Parameters!$B$4:$AL$4,0))</f>
        <v>0</v>
      </c>
      <c r="C1029" t="s">
        <v>336</v>
      </c>
      <c r="D1029" s="2"/>
      <c r="E1029" s="2"/>
      <c r="F1029" s="2"/>
      <c r="G1029" s="2"/>
      <c r="H1029" s="2"/>
      <c r="I1029" s="2"/>
      <c r="J1029" s="2"/>
      <c r="K1029" s="2"/>
      <c r="L1029" s="2"/>
    </row>
    <row r="1030" spans="1:12" customFormat="1" ht="16" x14ac:dyDescent="0.2">
      <c r="A1030" t="s">
        <v>367</v>
      </c>
      <c r="B1030" s="2">
        <f>INDEX(Parameters!$B$6:$AL$57,MATCH(Inventories!$B$989,Parameters!$A$6:$A$57,0),MATCH(Inventories!$A1030,Parameters!$B$4:$AL$4,0))</f>
        <v>0</v>
      </c>
      <c r="C1030" t="s">
        <v>336</v>
      </c>
      <c r="D1030" s="2"/>
      <c r="E1030" s="2"/>
      <c r="F1030" s="2"/>
      <c r="G1030" s="2"/>
      <c r="H1030" s="2"/>
      <c r="I1030" s="2"/>
      <c r="J1030" s="2"/>
      <c r="K1030" s="2"/>
      <c r="L1030" s="2"/>
    </row>
    <row r="1031" spans="1:12" customFormat="1" ht="16" x14ac:dyDescent="0.2">
      <c r="A1031" t="s">
        <v>368</v>
      </c>
      <c r="B1031" s="2">
        <f>INDEX(Parameters!$B$6:$AL$57,MATCH(Inventories!$B$989,Parameters!$A$6:$A$57,0),MATCH(Inventories!$A1031,Parameters!$B$4:$AL$4,0))</f>
        <v>0</v>
      </c>
      <c r="C1031" t="s">
        <v>336</v>
      </c>
      <c r="D1031" s="2"/>
      <c r="E1031" s="2"/>
      <c r="F1031" s="2"/>
      <c r="G1031" s="2"/>
      <c r="H1031" s="2"/>
      <c r="I1031" s="2"/>
      <c r="J1031" s="2"/>
      <c r="K1031" s="2"/>
      <c r="L1031" s="2"/>
    </row>
    <row r="1032" spans="1:12" customFormat="1" ht="16" x14ac:dyDescent="0.2">
      <c r="A1032" t="s">
        <v>369</v>
      </c>
      <c r="B1032" s="2">
        <f>INDEX(Parameters!$B$6:$AL$57,MATCH(Inventories!$B$989,Parameters!$A$6:$A$57,0),MATCH(Inventories!$A1032,Parameters!$B$4:$AL$4,0))</f>
        <v>0</v>
      </c>
      <c r="C1032" t="s">
        <v>336</v>
      </c>
      <c r="D1032" s="2"/>
      <c r="E1032" s="2"/>
      <c r="F1032" s="2"/>
      <c r="G1032" s="2"/>
      <c r="H1032" s="2"/>
      <c r="I1032" s="2"/>
      <c r="J1032" s="2"/>
      <c r="K1032" s="2"/>
      <c r="L1032" s="2"/>
    </row>
    <row r="1033" spans="1:12" customFormat="1" ht="16" x14ac:dyDescent="0.2">
      <c r="A1033" t="s">
        <v>344</v>
      </c>
      <c r="B1033" s="32">
        <f>INDEX(Parameters!$B$6:$AL$57,MATCH(Inventories!$B$989,Parameters!$A$6:$A$57,0),MATCH(Inventories!$A1033,Parameters!$B$4:$AL$4,0))</f>
        <v>3.0144677000000002E-2</v>
      </c>
      <c r="C1033" t="s">
        <v>345</v>
      </c>
      <c r="D1033" s="2"/>
      <c r="E1033" s="2"/>
      <c r="F1033" s="2"/>
      <c r="G1033" s="2"/>
      <c r="H1033" s="2"/>
      <c r="I1033" s="2"/>
      <c r="J1033" s="2"/>
      <c r="K1033" s="2"/>
      <c r="L1033" s="2"/>
    </row>
    <row r="1034" spans="1:12" customFormat="1" ht="16" x14ac:dyDescent="0.2">
      <c r="A1034" t="s">
        <v>343</v>
      </c>
      <c r="B1034" s="32">
        <f>INDEX(Parameters!$B$6:$AL$57,MATCH(Inventories!$B$989,Parameters!$A$6:$A$57,0),MATCH(Inventories!$A1034,Parameters!$B$4:$AL$4,0))</f>
        <v>5.5636150000000001E-3</v>
      </c>
      <c r="C1034" t="s">
        <v>345</v>
      </c>
      <c r="D1034" s="2"/>
      <c r="E1034" s="2"/>
      <c r="F1034" s="2"/>
      <c r="G1034" s="2"/>
      <c r="H1034" s="2"/>
      <c r="I1034" s="2"/>
      <c r="J1034" s="2"/>
      <c r="K1034" s="2"/>
      <c r="L1034" s="2"/>
    </row>
    <row r="1035" spans="1:12" customFormat="1" ht="16" x14ac:dyDescent="0.2">
      <c r="A1035" s="1" t="s">
        <v>10</v>
      </c>
    </row>
    <row r="1036" spans="1:12" x14ac:dyDescent="0.2">
      <c r="A1036" s="17" t="s">
        <v>11</v>
      </c>
      <c r="B1036" s="17" t="s">
        <v>12</v>
      </c>
      <c r="C1036" s="17" t="s">
        <v>3</v>
      </c>
      <c r="D1036" s="17" t="s">
        <v>13</v>
      </c>
      <c r="E1036" s="17" t="s">
        <v>8</v>
      </c>
      <c r="F1036" s="17" t="s">
        <v>6</v>
      </c>
      <c r="G1036" s="17" t="s">
        <v>5</v>
      </c>
      <c r="H1036" s="17" t="s">
        <v>151</v>
      </c>
      <c r="I1036" s="17" t="s">
        <v>179</v>
      </c>
      <c r="J1036" s="17" t="s">
        <v>180</v>
      </c>
      <c r="K1036" s="17" t="s">
        <v>181</v>
      </c>
      <c r="L1036" s="17" t="s">
        <v>182</v>
      </c>
    </row>
    <row r="1037" spans="1:12" customFormat="1" ht="16" x14ac:dyDescent="0.2">
      <c r="A1037" t="s">
        <v>202</v>
      </c>
      <c r="B1037">
        <v>1</v>
      </c>
      <c r="C1037" t="s">
        <v>18</v>
      </c>
      <c r="E1037" t="s">
        <v>17</v>
      </c>
      <c r="F1037" t="s">
        <v>19</v>
      </c>
      <c r="G1037" t="s">
        <v>1</v>
      </c>
    </row>
    <row r="1038" spans="1:12" customFormat="1" ht="16" x14ac:dyDescent="0.2">
      <c r="A1038" t="s">
        <v>92</v>
      </c>
      <c r="B1038" s="25">
        <f>1/36</f>
        <v>2.7777777777777776E-2</v>
      </c>
      <c r="C1038" t="s">
        <v>27</v>
      </c>
      <c r="E1038" t="s">
        <v>94</v>
      </c>
      <c r="F1038" t="s">
        <v>23</v>
      </c>
      <c r="G1038" t="s">
        <v>93</v>
      </c>
    </row>
    <row r="1039" spans="1:12" customFormat="1" ht="16" x14ac:dyDescent="0.2">
      <c r="A1039" t="s">
        <v>206</v>
      </c>
      <c r="B1039" s="3">
        <f>(B1013/B1001)/(B1004/1000)</f>
        <v>2.3451692815854667E-5</v>
      </c>
      <c r="C1039" t="s">
        <v>18</v>
      </c>
      <c r="E1039" t="s">
        <v>9</v>
      </c>
      <c r="F1039" t="s">
        <v>23</v>
      </c>
      <c r="G1039" t="s">
        <v>207</v>
      </c>
      <c r="I1039">
        <v>5</v>
      </c>
      <c r="J1039">
        <f>B1039</f>
        <v>2.3451692815854667E-5</v>
      </c>
      <c r="K1039" s="3">
        <f>(B1014/B1003)/(B1006/1000)</f>
        <v>6.7484662576687119E-6</v>
      </c>
      <c r="L1039" s="3">
        <f>(B1015/B1002)/(B1005/1000)</f>
        <v>5.5000000000000002E-5</v>
      </c>
    </row>
    <row r="1040" spans="1:12" customFormat="1" ht="16" x14ac:dyDescent="0.2">
      <c r="A1040" t="s">
        <v>145</v>
      </c>
      <c r="B1040" s="3">
        <f>(B1010/B1001)/(B1004/1000)</f>
        <v>1.440132122213047E-4</v>
      </c>
      <c r="C1040" t="s">
        <v>18</v>
      </c>
      <c r="E1040" t="s">
        <v>9</v>
      </c>
      <c r="F1040" t="s">
        <v>23</v>
      </c>
      <c r="G1040" t="s">
        <v>145</v>
      </c>
      <c r="I1040">
        <v>5</v>
      </c>
      <c r="J1040">
        <f>B1040</f>
        <v>1.440132122213047E-4</v>
      </c>
      <c r="K1040" s="3">
        <f>(B1011/B1003)/(B1006/1000)</f>
        <v>4.7326906222611743E-5</v>
      </c>
      <c r="L1040" s="3">
        <f>(B1012/B1002)/(B1005/1000)</f>
        <v>3.9999999999999996E-4</v>
      </c>
    </row>
    <row r="1041" spans="1:9" customFormat="1" ht="16" x14ac:dyDescent="0.2">
      <c r="A1041" t="s">
        <v>48</v>
      </c>
      <c r="B1041" s="3">
        <v>4.4166666666666577E-6</v>
      </c>
      <c r="D1041" t="s">
        <v>14</v>
      </c>
      <c r="E1041" t="s">
        <v>9</v>
      </c>
      <c r="F1041" s="2" t="s">
        <v>15</v>
      </c>
      <c r="I1041" s="10"/>
    </row>
    <row r="1042" spans="1:9" customFormat="1" ht="16" x14ac:dyDescent="0.2">
      <c r="A1042" t="s">
        <v>50</v>
      </c>
      <c r="B1042" s="3">
        <v>7.5082705379565517E-7</v>
      </c>
      <c r="D1042" t="s">
        <v>14</v>
      </c>
      <c r="E1042" t="s">
        <v>9</v>
      </c>
      <c r="F1042" s="2" t="s">
        <v>15</v>
      </c>
      <c r="I1042" s="10"/>
    </row>
    <row r="1043" spans="1:9" customFormat="1" ht="16" x14ac:dyDescent="0.2">
      <c r="A1043" t="s">
        <v>53</v>
      </c>
      <c r="B1043" s="25">
        <f>1.96*B1038</f>
        <v>5.4444444444444441E-2</v>
      </c>
      <c r="D1043" t="s">
        <v>14</v>
      </c>
      <c r="E1043" t="s">
        <v>9</v>
      </c>
      <c r="F1043" s="2" t="s">
        <v>15</v>
      </c>
      <c r="H1043" t="s">
        <v>295</v>
      </c>
      <c r="I1043" s="10"/>
    </row>
    <row r="1044" spans="1:9" customFormat="1" ht="16" x14ac:dyDescent="0.2">
      <c r="A1044" t="s">
        <v>54</v>
      </c>
      <c r="B1044" s="25">
        <v>2.6360440412565261E-4</v>
      </c>
      <c r="D1044" t="s">
        <v>14</v>
      </c>
      <c r="E1044" t="s">
        <v>9</v>
      </c>
      <c r="F1044" s="2" t="s">
        <v>15</v>
      </c>
      <c r="I1044" s="10"/>
    </row>
    <row r="1045" spans="1:9" customFormat="1" ht="16" x14ac:dyDescent="0.2">
      <c r="A1045" t="s">
        <v>58</v>
      </c>
      <c r="B1045" s="3">
        <v>9.6666666666666532E-7</v>
      </c>
      <c r="D1045" t="s">
        <v>14</v>
      </c>
      <c r="E1045" t="s">
        <v>9</v>
      </c>
      <c r="F1045" s="2" t="s">
        <v>15</v>
      </c>
      <c r="I1045" s="10"/>
    </row>
    <row r="1046" spans="1:9" customFormat="1" ht="16" x14ac:dyDescent="0.2">
      <c r="A1046" t="s">
        <v>64</v>
      </c>
      <c r="B1046" s="3">
        <v>2.7750000000000002E-10</v>
      </c>
      <c r="D1046" t="s">
        <v>14</v>
      </c>
      <c r="E1046" t="s">
        <v>9</v>
      </c>
      <c r="F1046" s="2" t="s">
        <v>15</v>
      </c>
      <c r="I1046" s="10"/>
    </row>
    <row r="1047" spans="1:9" customFormat="1" ht="16" x14ac:dyDescent="0.2">
      <c r="A1047" t="s">
        <v>65</v>
      </c>
      <c r="B1047" s="3">
        <v>1.606690212560312E-5</v>
      </c>
      <c r="D1047" t="s">
        <v>14</v>
      </c>
      <c r="E1047" t="s">
        <v>9</v>
      </c>
      <c r="F1047" s="2" t="s">
        <v>15</v>
      </c>
      <c r="I1047" s="10"/>
    </row>
    <row r="1048" spans="1:9" customFormat="1" ht="16" x14ac:dyDescent="0.2">
      <c r="A1048" t="s">
        <v>67</v>
      </c>
      <c r="B1048" s="3">
        <v>6.8382126269474045E-6</v>
      </c>
      <c r="D1048" t="s">
        <v>14</v>
      </c>
      <c r="E1048" t="s">
        <v>9</v>
      </c>
      <c r="F1048" s="2" t="s">
        <v>15</v>
      </c>
      <c r="I1048" s="10"/>
    </row>
    <row r="1049" spans="1:9" customFormat="1" ht="16" x14ac:dyDescent="0.2">
      <c r="A1049" t="s">
        <v>69</v>
      </c>
      <c r="B1049" s="3">
        <f>B1033/1000</f>
        <v>3.0144677E-5</v>
      </c>
      <c r="D1049" t="s">
        <v>14</v>
      </c>
      <c r="E1049" t="s">
        <v>9</v>
      </c>
      <c r="F1049" s="2" t="s">
        <v>15</v>
      </c>
      <c r="I1049" s="10"/>
    </row>
    <row r="1050" spans="1:9" customFormat="1" ht="16" x14ac:dyDescent="0.2">
      <c r="A1050" t="s">
        <v>71</v>
      </c>
      <c r="B1050" s="3">
        <f>B1034/1000</f>
        <v>5.5636149999999998E-6</v>
      </c>
      <c r="D1050" t="s">
        <v>14</v>
      </c>
      <c r="E1050" t="s">
        <v>9</v>
      </c>
      <c r="F1050" s="2" t="s">
        <v>15</v>
      </c>
      <c r="I1050" s="10"/>
    </row>
    <row r="1051" spans="1:9" customFormat="1" ht="16" x14ac:dyDescent="0.2">
      <c r="A1051" t="s">
        <v>77</v>
      </c>
      <c r="B1051" s="3">
        <v>5.6430000000000142E-7</v>
      </c>
      <c r="D1051" t="s">
        <v>14</v>
      </c>
      <c r="E1051" t="s">
        <v>9</v>
      </c>
      <c r="F1051" s="2" t="s">
        <v>15</v>
      </c>
      <c r="I1051" s="10"/>
    </row>
    <row r="1052" spans="1:9" customFormat="1" ht="16" x14ac:dyDescent="0.2">
      <c r="A1052" t="s">
        <v>78</v>
      </c>
      <c r="B1052" s="3">
        <v>2.2336471011856279E-6</v>
      </c>
      <c r="D1052" t="s">
        <v>14</v>
      </c>
      <c r="E1052" t="s">
        <v>9</v>
      </c>
      <c r="F1052" s="2" t="s">
        <v>15</v>
      </c>
      <c r="I1052" s="10"/>
    </row>
    <row r="1053" spans="1:9" customFormat="1" ht="16" x14ac:dyDescent="0.2">
      <c r="B1053" s="3"/>
    </row>
    <row r="1054" spans="1:9" x14ac:dyDescent="0.2">
      <c r="A1054" s="17" t="s">
        <v>2</v>
      </c>
      <c r="B1054" s="17" t="s">
        <v>269</v>
      </c>
    </row>
    <row r="1055" spans="1:9" customFormat="1" ht="16" x14ac:dyDescent="0.2">
      <c r="A1055" t="s">
        <v>151</v>
      </c>
      <c r="B1055" t="s">
        <v>203</v>
      </c>
    </row>
    <row r="1056" spans="1:9" customFormat="1" ht="16" x14ac:dyDescent="0.2">
      <c r="A1056" t="s">
        <v>198</v>
      </c>
      <c r="B1056" t="s">
        <v>199</v>
      </c>
    </row>
    <row r="1057" spans="1:12" customFormat="1" ht="16" x14ac:dyDescent="0.2">
      <c r="A1057" t="s">
        <v>3</v>
      </c>
      <c r="B1057" t="s">
        <v>18</v>
      </c>
    </row>
    <row r="1058" spans="1:12" customFormat="1" ht="16" x14ac:dyDescent="0.2">
      <c r="A1058" t="s">
        <v>4</v>
      </c>
      <c r="B1058">
        <v>1</v>
      </c>
    </row>
    <row r="1059" spans="1:12" customFormat="1" ht="16" x14ac:dyDescent="0.2">
      <c r="A1059" t="s">
        <v>5</v>
      </c>
      <c r="B1059" t="s">
        <v>1</v>
      </c>
    </row>
    <row r="1060" spans="1:12" customFormat="1" ht="16" x14ac:dyDescent="0.2">
      <c r="A1060" t="s">
        <v>204</v>
      </c>
      <c r="B1060" t="s">
        <v>205</v>
      </c>
    </row>
    <row r="1061" spans="1:12" customFormat="1" ht="16" x14ac:dyDescent="0.2">
      <c r="A1061" t="s">
        <v>6</v>
      </c>
      <c r="B1061" t="s">
        <v>7</v>
      </c>
    </row>
    <row r="1062" spans="1:12" customFormat="1" ht="16" x14ac:dyDescent="0.2">
      <c r="A1062" t="s">
        <v>8</v>
      </c>
      <c r="B1062" t="s">
        <v>17</v>
      </c>
    </row>
    <row r="1063" spans="1:12" customFormat="1" ht="16" x14ac:dyDescent="0.2">
      <c r="A1063" t="s">
        <v>352</v>
      </c>
      <c r="B1063" s="2">
        <f>INDEX(Parameters!$B$6:$AL$57,MATCH(Inventories!$B$1054,Parameters!$A$6:$A$57,0),MATCH(Inventories!$A1063,Parameters!$B$4:$AL$4,0))</f>
        <v>242</v>
      </c>
      <c r="C1063" t="s">
        <v>312</v>
      </c>
      <c r="D1063" s="2"/>
      <c r="E1063" s="2"/>
      <c r="F1063" s="2"/>
      <c r="G1063" s="2"/>
      <c r="H1063" s="2"/>
      <c r="I1063" s="2"/>
      <c r="J1063" s="2"/>
      <c r="K1063" s="2"/>
      <c r="L1063" s="2"/>
    </row>
    <row r="1064" spans="1:12" customFormat="1" ht="16" x14ac:dyDescent="0.2">
      <c r="A1064" t="s">
        <v>353</v>
      </c>
      <c r="B1064" s="2">
        <f>INDEX(Parameters!$B$6:$AL$57,MATCH(Inventories!$B$1054,Parameters!$A$6:$A$57,0),MATCH(Inventories!$A1064,Parameters!$B$4:$AL$4,0))</f>
        <v>128</v>
      </c>
      <c r="C1064" t="s">
        <v>312</v>
      </c>
      <c r="D1064" s="2"/>
      <c r="E1064" s="2"/>
      <c r="F1064" s="2"/>
      <c r="G1064" s="2"/>
      <c r="H1064" s="2"/>
      <c r="I1064" s="2"/>
      <c r="J1064" s="2"/>
      <c r="K1064" s="2"/>
      <c r="L1064" s="2"/>
    </row>
    <row r="1065" spans="1:12" customFormat="1" ht="16" x14ac:dyDescent="0.2">
      <c r="A1065" t="s">
        <v>354</v>
      </c>
      <c r="B1065" s="2">
        <f>INDEX(Parameters!$B$6:$AL$57,MATCH(Inventories!$B$1054,Parameters!$A$6:$A$57,0),MATCH(Inventories!$A1065,Parameters!$B$4:$AL$4,0))</f>
        <v>328</v>
      </c>
      <c r="C1065" t="s">
        <v>312</v>
      </c>
      <c r="D1065" s="2"/>
      <c r="E1065" s="2"/>
      <c r="F1065" s="2"/>
      <c r="G1065" s="2"/>
      <c r="H1065" s="2"/>
      <c r="I1065" s="2"/>
      <c r="J1065" s="2"/>
      <c r="K1065" s="2"/>
      <c r="L1065" s="2"/>
    </row>
    <row r="1066" spans="1:12" customFormat="1" ht="16" x14ac:dyDescent="0.2">
      <c r="A1066" t="s">
        <v>316</v>
      </c>
      <c r="B1066" s="24">
        <f>INDEX(Parameters!$B$6:$AL$57,MATCH(Inventories!$B$1054,Parameters!$A$6:$A$57,0),MATCH(Inventories!$A1066,Parameters!$B$4:$AL$4,0))</f>
        <v>700000</v>
      </c>
      <c r="C1066" t="s">
        <v>313</v>
      </c>
      <c r="D1066" s="2"/>
      <c r="E1066" s="2"/>
      <c r="F1066" s="2"/>
      <c r="G1066" s="2"/>
      <c r="H1066" s="2"/>
      <c r="I1066" s="2"/>
      <c r="J1066" s="2"/>
      <c r="K1066" s="2"/>
      <c r="L1066" s="2"/>
    </row>
    <row r="1067" spans="1:12" customFormat="1" ht="16" x14ac:dyDescent="0.2">
      <c r="A1067" t="s">
        <v>317</v>
      </c>
      <c r="B1067" s="24">
        <f>INDEX(Parameters!$B$6:$AL$57,MATCH(Inventories!$B$1054,Parameters!$A$6:$A$57,0),MATCH(Inventories!$A1067,Parameters!$B$4:$AL$4,0))</f>
        <v>500000</v>
      </c>
      <c r="C1067" t="s">
        <v>313</v>
      </c>
      <c r="D1067" s="2"/>
      <c r="E1067" s="2"/>
      <c r="F1067" s="2"/>
      <c r="G1067" s="2"/>
      <c r="H1067" s="2"/>
      <c r="I1067" s="2"/>
      <c r="J1067" s="2"/>
      <c r="K1067" s="2"/>
      <c r="L1067" s="2"/>
    </row>
    <row r="1068" spans="1:12" customFormat="1" ht="16" x14ac:dyDescent="0.2">
      <c r="A1068" t="s">
        <v>318</v>
      </c>
      <c r="B1068" s="24">
        <f>INDEX(Parameters!$B$6:$AL$57,MATCH(Inventories!$B$1054,Parameters!$A$6:$A$57,0),MATCH(Inventories!$A1068,Parameters!$B$4:$AL$4,0))</f>
        <v>1000000</v>
      </c>
      <c r="C1068" t="s">
        <v>313</v>
      </c>
      <c r="D1068" s="2"/>
      <c r="E1068" s="2"/>
      <c r="F1068" s="2"/>
      <c r="G1068" s="2"/>
      <c r="H1068" s="2"/>
      <c r="I1068" s="2"/>
      <c r="J1068" s="2"/>
      <c r="K1068" s="2"/>
      <c r="L1068" s="2"/>
    </row>
    <row r="1069" spans="1:12" customFormat="1" ht="16" x14ac:dyDescent="0.2">
      <c r="A1069" t="s">
        <v>319</v>
      </c>
      <c r="B1069" s="2">
        <f>INDEX(Parameters!$B$6:$AL$57,MATCH(Inventories!$B$1054,Parameters!$A$6:$A$57,0),MATCH(Inventories!$A1069,Parameters!$B$4:$AL$4,0))</f>
        <v>8650</v>
      </c>
      <c r="C1069" t="s">
        <v>314</v>
      </c>
      <c r="D1069" s="2"/>
      <c r="E1069" s="2"/>
      <c r="F1069" s="2"/>
      <c r="G1069" s="2"/>
      <c r="H1069" s="2"/>
      <c r="I1069" s="2"/>
      <c r="J1069" s="2"/>
      <c r="K1069" s="2"/>
      <c r="L1069" s="2"/>
    </row>
    <row r="1070" spans="1:12" customFormat="1" ht="16" x14ac:dyDescent="0.2">
      <c r="A1070" t="s">
        <v>320</v>
      </c>
      <c r="B1070" s="2">
        <f>INDEX(Parameters!$B$6:$AL$57,MATCH(Inventories!$B$1054,Parameters!$A$6:$A$57,0),MATCH(Inventories!$A1070,Parameters!$B$4:$AL$4,0))</f>
        <v>5600</v>
      </c>
      <c r="C1070" t="s">
        <v>314</v>
      </c>
      <c r="D1070" s="2"/>
      <c r="E1070" s="2"/>
      <c r="F1070" s="2"/>
      <c r="G1070" s="2"/>
      <c r="H1070" s="2"/>
      <c r="I1070" s="2"/>
      <c r="J1070" s="2"/>
      <c r="K1070" s="2"/>
      <c r="L1070" s="2"/>
    </row>
    <row r="1071" spans="1:12" customFormat="1" ht="16" x14ac:dyDescent="0.2">
      <c r="A1071" t="s">
        <v>321</v>
      </c>
      <c r="B1071" s="2">
        <f>INDEX(Parameters!$B$6:$AL$57,MATCH(Inventories!$B$1054,Parameters!$A$6:$A$57,0),MATCH(Inventories!$A1071,Parameters!$B$4:$AL$4,0))</f>
        <v>11410</v>
      </c>
      <c r="C1071" t="s">
        <v>314</v>
      </c>
      <c r="D1071" s="2"/>
      <c r="E1071" s="2"/>
      <c r="F1071" s="2"/>
      <c r="G1071" s="2"/>
      <c r="H1071" s="2"/>
      <c r="I1071" s="2"/>
      <c r="J1071" s="2"/>
      <c r="K1071" s="2"/>
      <c r="L1071" s="2"/>
    </row>
    <row r="1072" spans="1:12" customFormat="1" ht="16" x14ac:dyDescent="0.2">
      <c r="A1072" t="s">
        <v>337</v>
      </c>
      <c r="B1072" s="2">
        <f>INDEX(Parameters!$B$6:$AL$57,MATCH(Inventories!$B$1054,Parameters!$A$6:$A$57,0),MATCH(Inventories!$A1072,Parameters!$B$4:$AL$4,0))</f>
        <v>0</v>
      </c>
      <c r="C1072" t="s">
        <v>336</v>
      </c>
      <c r="D1072" s="2"/>
      <c r="E1072" s="2"/>
      <c r="F1072" s="2"/>
      <c r="G1072" s="2"/>
      <c r="H1072" s="2"/>
      <c r="I1072" s="2"/>
      <c r="J1072" s="2"/>
      <c r="K1072" s="2"/>
      <c r="L1072" s="2"/>
    </row>
    <row r="1073" spans="1:12" customFormat="1" ht="16" x14ac:dyDescent="0.2">
      <c r="A1073" t="s">
        <v>338</v>
      </c>
      <c r="B1073" s="2">
        <f>INDEX(Parameters!$B$6:$AL$57,MATCH(Inventories!$B$1054,Parameters!$A$6:$A$57,0),MATCH(Inventories!$A1073,Parameters!$B$4:$AL$4,0))</f>
        <v>0</v>
      </c>
      <c r="C1073" t="s">
        <v>336</v>
      </c>
      <c r="D1073" s="2"/>
      <c r="E1073" s="2"/>
      <c r="F1073" s="2"/>
      <c r="G1073" s="2"/>
      <c r="H1073" s="2"/>
      <c r="I1073" s="2"/>
      <c r="J1073" s="2"/>
      <c r="K1073" s="2"/>
      <c r="L1073" s="2"/>
    </row>
    <row r="1074" spans="1:12" customFormat="1" ht="16" x14ac:dyDescent="0.2">
      <c r="A1074" t="s">
        <v>339</v>
      </c>
      <c r="B1074" s="2">
        <f>INDEX(Parameters!$B$6:$AL$57,MATCH(Inventories!$B$1054,Parameters!$A$6:$A$57,0),MATCH(Inventories!$A1074,Parameters!$B$4:$AL$4,0))</f>
        <v>0</v>
      </c>
      <c r="C1074" t="s">
        <v>336</v>
      </c>
      <c r="D1074" s="2"/>
      <c r="E1074" s="2"/>
      <c r="F1074" s="2"/>
      <c r="G1074" s="2"/>
      <c r="H1074" s="2"/>
      <c r="I1074" s="2"/>
      <c r="J1074" s="2"/>
      <c r="K1074" s="2"/>
      <c r="L1074" s="2"/>
    </row>
    <row r="1075" spans="1:12" customFormat="1" ht="16" x14ac:dyDescent="0.2">
      <c r="A1075" t="s">
        <v>340</v>
      </c>
      <c r="B1075" s="2">
        <f>INDEX(Parameters!$B$6:$AL$57,MATCH(Inventories!$B$1054,Parameters!$A$6:$A$57,0),MATCH(Inventories!$A1075,Parameters!$B$4:$AL$4,0))</f>
        <v>872</v>
      </c>
      <c r="C1075" t="s">
        <v>336</v>
      </c>
      <c r="D1075" s="2"/>
      <c r="E1075" s="2"/>
      <c r="F1075" s="2"/>
      <c r="G1075" s="2"/>
      <c r="H1075" s="2"/>
      <c r="I1075" s="2"/>
      <c r="J1075" s="2"/>
      <c r="K1075" s="2"/>
      <c r="L1075" s="2"/>
    </row>
    <row r="1076" spans="1:12" customFormat="1" ht="16" x14ac:dyDescent="0.2">
      <c r="A1076" t="s">
        <v>341</v>
      </c>
      <c r="B1076" s="2">
        <f>INDEX(Parameters!$B$6:$AL$57,MATCH(Inventories!$B$1054,Parameters!$A$6:$A$57,0),MATCH(Inventories!$A1076,Parameters!$B$4:$AL$4,0))</f>
        <v>540</v>
      </c>
      <c r="C1076" t="s">
        <v>336</v>
      </c>
      <c r="D1076" s="2"/>
      <c r="E1076" s="2"/>
      <c r="F1076" s="2"/>
      <c r="G1076" s="2"/>
      <c r="H1076" s="2"/>
      <c r="I1076" s="2"/>
      <c r="J1076" s="2"/>
      <c r="K1076" s="2"/>
      <c r="L1076" s="2"/>
    </row>
    <row r="1077" spans="1:12" customFormat="1" ht="16" x14ac:dyDescent="0.2">
      <c r="A1077" t="s">
        <v>342</v>
      </c>
      <c r="B1077" s="2">
        <f>INDEX(Parameters!$B$6:$AL$57,MATCH(Inventories!$B$1054,Parameters!$A$6:$A$57,0),MATCH(Inventories!$A1077,Parameters!$B$4:$AL$4,0))</f>
        <v>1120</v>
      </c>
      <c r="C1077" t="s">
        <v>336</v>
      </c>
      <c r="D1077" s="2"/>
      <c r="E1077" s="2"/>
      <c r="F1077" s="2"/>
      <c r="G1077" s="2"/>
      <c r="H1077" s="2"/>
      <c r="I1077" s="2"/>
      <c r="J1077" s="2"/>
      <c r="K1077" s="2"/>
      <c r="L1077" s="2"/>
    </row>
    <row r="1078" spans="1:12" customFormat="1" ht="16" x14ac:dyDescent="0.2">
      <c r="A1078" t="s">
        <v>333</v>
      </c>
      <c r="B1078" s="2">
        <f>INDEX(Parameters!$B$6:$AL$57,MATCH(Inventories!$B$1054,Parameters!$A$6:$A$57,0),MATCH(Inventories!$A1078,Parameters!$B$4:$AL$4,0))</f>
        <v>142</v>
      </c>
      <c r="C1078" t="s">
        <v>336</v>
      </c>
      <c r="D1078" s="2"/>
      <c r="E1078" s="2"/>
      <c r="F1078" s="2"/>
      <c r="G1078" s="2"/>
      <c r="H1078" s="2"/>
      <c r="I1078" s="2"/>
      <c r="J1078" s="2"/>
      <c r="K1078" s="2"/>
      <c r="L1078" s="2"/>
    </row>
    <row r="1079" spans="1:12" customFormat="1" ht="16" x14ac:dyDescent="0.2">
      <c r="A1079" t="s">
        <v>334</v>
      </c>
      <c r="B1079" s="2">
        <f>INDEX(Parameters!$B$6:$AL$57,MATCH(Inventories!$B$1054,Parameters!$A$6:$A$57,0),MATCH(Inventories!$A1079,Parameters!$B$4:$AL$4,0))</f>
        <v>77</v>
      </c>
      <c r="C1079" t="s">
        <v>336</v>
      </c>
      <c r="D1079" s="2"/>
      <c r="E1079" s="2"/>
      <c r="F1079" s="2"/>
      <c r="G1079" s="2"/>
      <c r="H1079" s="2"/>
      <c r="I1079" s="2"/>
      <c r="J1079" s="2"/>
      <c r="K1079" s="2"/>
      <c r="L1079" s="2"/>
    </row>
    <row r="1080" spans="1:12" customFormat="1" ht="16" x14ac:dyDescent="0.2">
      <c r="A1080" t="s">
        <v>335</v>
      </c>
      <c r="B1080" s="2">
        <f>INDEX(Parameters!$B$6:$AL$57,MATCH(Inventories!$B$1054,Parameters!$A$6:$A$57,0),MATCH(Inventories!$A1080,Parameters!$B$4:$AL$4,0))</f>
        <v>154</v>
      </c>
      <c r="C1080" t="s">
        <v>336</v>
      </c>
      <c r="D1080" s="2"/>
      <c r="E1080" s="2"/>
      <c r="F1080" s="2"/>
      <c r="G1080" s="2"/>
      <c r="H1080" s="2"/>
      <c r="I1080" s="2"/>
      <c r="J1080" s="2"/>
      <c r="K1080" s="2"/>
      <c r="L1080" s="2"/>
    </row>
    <row r="1081" spans="1:12" customFormat="1" ht="16" x14ac:dyDescent="0.2">
      <c r="A1081" t="s">
        <v>322</v>
      </c>
      <c r="B1081" s="2">
        <f>INDEX(Parameters!$B$6:$AL$57,MATCH(Inventories!$B$1054,Parameters!$A$6:$A$57,0),MATCH(Inventories!$A1081,Parameters!$B$4:$AL$4,0))</f>
        <v>0</v>
      </c>
      <c r="C1081" t="s">
        <v>315</v>
      </c>
      <c r="D1081" s="2"/>
      <c r="E1081" s="2"/>
      <c r="F1081" s="2"/>
      <c r="G1081" s="2"/>
      <c r="H1081" s="2"/>
      <c r="I1081" s="2"/>
      <c r="J1081" s="2"/>
      <c r="K1081" s="2"/>
      <c r="L1081" s="2"/>
    </row>
    <row r="1082" spans="1:12" customFormat="1" ht="16" x14ac:dyDescent="0.2">
      <c r="A1082" t="s">
        <v>323</v>
      </c>
      <c r="B1082" s="2">
        <f>INDEX(Parameters!$B$6:$AL$57,MATCH(Inventories!$B$1054,Parameters!$A$6:$A$57,0),MATCH(Inventories!$A1082,Parameters!$B$4:$AL$4,0))</f>
        <v>0</v>
      </c>
      <c r="C1082" t="s">
        <v>315</v>
      </c>
      <c r="D1082" s="2"/>
      <c r="E1082" s="2"/>
      <c r="F1082" s="2"/>
      <c r="G1082" s="2"/>
      <c r="H1082" s="2"/>
      <c r="I1082" s="2"/>
      <c r="J1082" s="2"/>
      <c r="K1082" s="2"/>
      <c r="L1082" s="2"/>
    </row>
    <row r="1083" spans="1:12" customFormat="1" ht="16" x14ac:dyDescent="0.2">
      <c r="A1083" t="s">
        <v>324</v>
      </c>
      <c r="B1083" s="2">
        <f>INDEX(Parameters!$B$6:$AL$57,MATCH(Inventories!$B$1054,Parameters!$A$6:$A$57,0),MATCH(Inventories!$A1083,Parameters!$B$4:$AL$4,0))</f>
        <v>0</v>
      </c>
      <c r="C1083" t="s">
        <v>315</v>
      </c>
      <c r="D1083" s="2"/>
      <c r="E1083" s="2"/>
      <c r="F1083" s="2"/>
      <c r="G1083" s="2"/>
      <c r="H1083" s="2"/>
      <c r="I1083" s="2"/>
      <c r="J1083" s="2"/>
      <c r="K1083" s="2"/>
      <c r="L1083" s="2"/>
    </row>
    <row r="1084" spans="1:12" customFormat="1" ht="16" x14ac:dyDescent="0.2">
      <c r="A1084" t="s">
        <v>330</v>
      </c>
      <c r="B1084" s="2">
        <f>INDEX(Parameters!$B$6:$AL$57,MATCH(Inventories!$B$1054,Parameters!$A$6:$A$57,0),MATCH(Inventories!$A1084,Parameters!$B$4:$AL$4,0))</f>
        <v>0</v>
      </c>
      <c r="C1084" t="s">
        <v>8</v>
      </c>
      <c r="D1084" s="2"/>
      <c r="E1084" s="2"/>
      <c r="F1084" s="2"/>
      <c r="G1084" s="2"/>
      <c r="H1084" s="2"/>
      <c r="I1084" s="2"/>
      <c r="J1084" s="2"/>
      <c r="K1084" s="2"/>
      <c r="L1084" s="2"/>
    </row>
    <row r="1085" spans="1:12" customFormat="1" ht="16" x14ac:dyDescent="0.2">
      <c r="A1085" t="s">
        <v>331</v>
      </c>
      <c r="B1085" s="2">
        <f>INDEX(Parameters!$B$6:$AL$57,MATCH(Inventories!$B$1054,Parameters!$A$6:$A$57,0),MATCH(Inventories!$A1085,Parameters!$B$4:$AL$4,0))</f>
        <v>0</v>
      </c>
      <c r="C1085" t="s">
        <v>8</v>
      </c>
      <c r="D1085" s="2"/>
      <c r="E1085" s="2"/>
      <c r="F1085" s="2"/>
      <c r="G1085" s="2"/>
      <c r="H1085" s="2"/>
      <c r="I1085" s="2"/>
      <c r="J1085" s="2"/>
      <c r="K1085" s="2"/>
      <c r="L1085" s="2"/>
    </row>
    <row r="1086" spans="1:12" customFormat="1" ht="16" x14ac:dyDescent="0.2">
      <c r="A1086" t="s">
        <v>332</v>
      </c>
      <c r="B1086" s="2">
        <f>INDEX(Parameters!$B$6:$AL$57,MATCH(Inventories!$B$1054,Parameters!$A$6:$A$57,0),MATCH(Inventories!$A1086,Parameters!$B$4:$AL$4,0))</f>
        <v>0</v>
      </c>
      <c r="C1086" t="s">
        <v>8</v>
      </c>
      <c r="D1086" s="2"/>
      <c r="E1086" s="2"/>
      <c r="F1086" s="2"/>
      <c r="G1086" s="2"/>
      <c r="H1086" s="2"/>
      <c r="I1086" s="2"/>
      <c r="J1086" s="2"/>
      <c r="K1086" s="2"/>
      <c r="L1086" s="2"/>
    </row>
    <row r="1087" spans="1:12" customFormat="1" ht="16" x14ac:dyDescent="0.2">
      <c r="A1087" t="s">
        <v>346</v>
      </c>
      <c r="B1087" s="2">
        <f>INDEX(Parameters!$B$6:$AL$57,MATCH(Inventories!$B$1054,Parameters!$A$6:$A$57,0),MATCH(Inventories!$A1087,Parameters!$B$4:$AL$4,0))</f>
        <v>0</v>
      </c>
      <c r="C1087" t="s">
        <v>312</v>
      </c>
      <c r="D1087" s="2"/>
      <c r="E1087" s="2"/>
      <c r="F1087" s="2"/>
      <c r="G1087" s="2"/>
      <c r="H1087" s="2"/>
      <c r="I1087" s="2"/>
      <c r="J1087" s="2"/>
      <c r="K1087" s="2"/>
      <c r="L1087" s="2"/>
    </row>
    <row r="1088" spans="1:12" customFormat="1" ht="16" x14ac:dyDescent="0.2">
      <c r="A1088" t="s">
        <v>347</v>
      </c>
      <c r="B1088" s="2">
        <f>INDEX(Parameters!$B$6:$AL$57,MATCH(Inventories!$B$1054,Parameters!$A$6:$A$57,0),MATCH(Inventories!$A1088,Parameters!$B$4:$AL$4,0))</f>
        <v>0</v>
      </c>
      <c r="C1088" t="s">
        <v>312</v>
      </c>
      <c r="D1088" s="2"/>
      <c r="E1088" s="12"/>
      <c r="F1088" s="2"/>
      <c r="G1088" s="2"/>
      <c r="H1088" s="2"/>
      <c r="I1088" s="2"/>
      <c r="J1088" s="2"/>
      <c r="K1088" s="2"/>
      <c r="L1088" s="2"/>
    </row>
    <row r="1089" spans="1:12" customFormat="1" ht="16" x14ac:dyDescent="0.2">
      <c r="A1089" t="s">
        <v>348</v>
      </c>
      <c r="B1089" s="2">
        <f>INDEX(Parameters!$B$6:$AL$57,MATCH(Inventories!$B$1054,Parameters!$A$6:$A$57,0),MATCH(Inventories!$A1089,Parameters!$B$4:$AL$4,0))</f>
        <v>0</v>
      </c>
      <c r="C1089" t="s">
        <v>312</v>
      </c>
      <c r="D1089" s="2"/>
      <c r="E1089" s="2"/>
      <c r="F1089" s="2"/>
      <c r="G1089" s="2"/>
      <c r="H1089" s="2"/>
      <c r="I1089" s="2"/>
      <c r="J1089" s="2"/>
      <c r="K1089" s="2"/>
      <c r="L1089" s="2"/>
    </row>
    <row r="1090" spans="1:12" customFormat="1" ht="16" x14ac:dyDescent="0.2">
      <c r="A1090" t="s">
        <v>349</v>
      </c>
      <c r="B1090" s="2">
        <f>INDEX(Parameters!$B$6:$AL$57,MATCH(Inventories!$B$1054,Parameters!$A$6:$A$57,0),MATCH(Inventories!$A1090,Parameters!$B$4:$AL$4,0))</f>
        <v>0</v>
      </c>
      <c r="C1090" t="s">
        <v>8</v>
      </c>
      <c r="D1090" s="2"/>
      <c r="E1090" s="2"/>
      <c r="F1090" s="2"/>
      <c r="G1090" s="2"/>
      <c r="H1090" s="2"/>
      <c r="I1090" s="2"/>
      <c r="J1090" s="2"/>
      <c r="K1090" s="2"/>
      <c r="L1090" s="2"/>
    </row>
    <row r="1091" spans="1:12" customFormat="1" ht="16" x14ac:dyDescent="0.2">
      <c r="A1091" t="s">
        <v>350</v>
      </c>
      <c r="B1091" s="2">
        <f>INDEX(Parameters!$B$6:$AL$57,MATCH(Inventories!$B$1054,Parameters!$A$6:$A$57,0),MATCH(Inventories!$A1091,Parameters!$B$4:$AL$4,0))</f>
        <v>0</v>
      </c>
      <c r="C1091" t="s">
        <v>8</v>
      </c>
      <c r="D1091" s="2"/>
      <c r="E1091" s="2"/>
      <c r="F1091" s="2"/>
      <c r="G1091" s="2"/>
      <c r="H1091" s="2"/>
      <c r="I1091" s="2"/>
      <c r="J1091" s="2"/>
      <c r="K1091" s="2"/>
      <c r="L1091" s="2"/>
    </row>
    <row r="1092" spans="1:12" customFormat="1" ht="16" x14ac:dyDescent="0.2">
      <c r="A1092" t="s">
        <v>351</v>
      </c>
      <c r="B1092" s="2">
        <f>INDEX(Parameters!$B$6:$AL$57,MATCH(Inventories!$B$1054,Parameters!$A$6:$A$57,0),MATCH(Inventories!$A1092,Parameters!$B$4:$AL$4,0))</f>
        <v>0</v>
      </c>
      <c r="C1092" t="s">
        <v>8</v>
      </c>
      <c r="D1092" s="2"/>
      <c r="E1092" s="2"/>
      <c r="F1092" s="2"/>
      <c r="G1092" s="2"/>
      <c r="H1092" s="2"/>
      <c r="I1092" s="2"/>
      <c r="J1092" s="2"/>
      <c r="K1092" s="2"/>
      <c r="L1092" s="2"/>
    </row>
    <row r="1093" spans="1:12" customFormat="1" ht="16" x14ac:dyDescent="0.2">
      <c r="A1093" t="s">
        <v>365</v>
      </c>
      <c r="B1093" s="2">
        <f>INDEX(Parameters!$B$6:$AL$57,MATCH(Inventories!$B$1054,Parameters!$A$6:$A$57,0),MATCH(Inventories!$A1093,Parameters!$B$4:$AL$4,0))</f>
        <v>0</v>
      </c>
      <c r="C1093" t="s">
        <v>336</v>
      </c>
      <c r="D1093" s="2"/>
      <c r="E1093" s="2"/>
      <c r="F1093" s="2"/>
      <c r="G1093" s="2"/>
      <c r="H1093" s="2"/>
      <c r="I1093" s="2"/>
      <c r="J1093" s="2"/>
      <c r="K1093" s="2"/>
      <c r="L1093" s="2"/>
    </row>
    <row r="1094" spans="1:12" customFormat="1" ht="16" x14ac:dyDescent="0.2">
      <c r="A1094" t="s">
        <v>366</v>
      </c>
      <c r="B1094" s="2">
        <f>INDEX(Parameters!$B$6:$AL$57,MATCH(Inventories!$B$1054,Parameters!$A$6:$A$57,0),MATCH(Inventories!$A1094,Parameters!$B$4:$AL$4,0))</f>
        <v>0</v>
      </c>
      <c r="C1094" t="s">
        <v>336</v>
      </c>
      <c r="D1094" s="2"/>
      <c r="E1094" s="2"/>
      <c r="F1094" s="2"/>
      <c r="G1094" s="2"/>
      <c r="H1094" s="2"/>
      <c r="I1094" s="2"/>
      <c r="J1094" s="2"/>
      <c r="K1094" s="2"/>
      <c r="L1094" s="2"/>
    </row>
    <row r="1095" spans="1:12" customFormat="1" ht="16" x14ac:dyDescent="0.2">
      <c r="A1095" t="s">
        <v>367</v>
      </c>
      <c r="B1095" s="2">
        <f>INDEX(Parameters!$B$6:$AL$57,MATCH(Inventories!$B$1054,Parameters!$A$6:$A$57,0),MATCH(Inventories!$A1095,Parameters!$B$4:$AL$4,0))</f>
        <v>0</v>
      </c>
      <c r="C1095" t="s">
        <v>336</v>
      </c>
      <c r="D1095" s="2"/>
      <c r="E1095" s="2"/>
      <c r="F1095" s="2"/>
      <c r="G1095" s="2"/>
      <c r="H1095" s="2"/>
      <c r="I1095" s="2"/>
      <c r="J1095" s="2"/>
      <c r="K1095" s="2"/>
      <c r="L1095" s="2"/>
    </row>
    <row r="1096" spans="1:12" customFormat="1" ht="16" x14ac:dyDescent="0.2">
      <c r="A1096" t="s">
        <v>368</v>
      </c>
      <c r="B1096" s="2">
        <f>INDEX(Parameters!$B$6:$AL$57,MATCH(Inventories!$B$1054,Parameters!$A$6:$A$57,0),MATCH(Inventories!$A1096,Parameters!$B$4:$AL$4,0))</f>
        <v>0</v>
      </c>
      <c r="C1096" t="s">
        <v>336</v>
      </c>
      <c r="D1096" s="2"/>
      <c r="E1096" s="2"/>
      <c r="F1096" s="2"/>
      <c r="G1096" s="2"/>
      <c r="H1096" s="2"/>
      <c r="I1096" s="2"/>
      <c r="J1096" s="2"/>
      <c r="K1096" s="2"/>
      <c r="L1096" s="2"/>
    </row>
    <row r="1097" spans="1:12" customFormat="1" ht="16" x14ac:dyDescent="0.2">
      <c r="A1097" t="s">
        <v>369</v>
      </c>
      <c r="B1097" s="2">
        <f>INDEX(Parameters!$B$6:$AL$57,MATCH(Inventories!$B$1054,Parameters!$A$6:$A$57,0),MATCH(Inventories!$A1097,Parameters!$B$4:$AL$4,0))</f>
        <v>0</v>
      </c>
      <c r="C1097" t="s">
        <v>336</v>
      </c>
      <c r="D1097" s="2"/>
      <c r="E1097" s="2"/>
      <c r="F1097" s="2"/>
      <c r="G1097" s="2"/>
      <c r="H1097" s="2"/>
      <c r="I1097" s="2"/>
      <c r="J1097" s="2"/>
      <c r="K1097" s="2"/>
      <c r="L1097" s="2"/>
    </row>
    <row r="1098" spans="1:12" customFormat="1" ht="16" x14ac:dyDescent="0.2">
      <c r="A1098" t="s">
        <v>344</v>
      </c>
      <c r="B1098" s="32">
        <f>INDEX(Parameters!$B$6:$AL$57,MATCH(Inventories!$B$1054,Parameters!$A$6:$A$57,0),MATCH(Inventories!$A1098,Parameters!$B$4:$AL$4,0))</f>
        <v>3.0144677000000002E-2</v>
      </c>
      <c r="C1098" t="s">
        <v>345</v>
      </c>
      <c r="D1098" s="2"/>
      <c r="E1098" s="2"/>
      <c r="F1098" s="2"/>
      <c r="G1098" s="2"/>
      <c r="H1098" s="2"/>
      <c r="I1098" s="2"/>
      <c r="J1098" s="2"/>
      <c r="K1098" s="2"/>
      <c r="L1098" s="2"/>
    </row>
    <row r="1099" spans="1:12" customFormat="1" ht="16" x14ac:dyDescent="0.2">
      <c r="A1099" t="s">
        <v>343</v>
      </c>
      <c r="B1099" s="32">
        <f>INDEX(Parameters!$B$6:$AL$57,MATCH(Inventories!$B$1054,Parameters!$A$6:$A$57,0),MATCH(Inventories!$A1099,Parameters!$B$4:$AL$4,0))</f>
        <v>5.5636150000000001E-3</v>
      </c>
      <c r="C1099" t="s">
        <v>345</v>
      </c>
      <c r="D1099" s="2"/>
      <c r="E1099" s="2"/>
      <c r="F1099" s="2"/>
      <c r="G1099" s="2"/>
      <c r="H1099" s="2"/>
      <c r="I1099" s="2"/>
      <c r="J1099" s="2"/>
      <c r="K1099" s="2"/>
      <c r="L1099" s="2"/>
    </row>
    <row r="1100" spans="1:12" customFormat="1" ht="16" x14ac:dyDescent="0.2">
      <c r="A1100" s="1" t="s">
        <v>10</v>
      </c>
    </row>
    <row r="1101" spans="1:12" x14ac:dyDescent="0.2">
      <c r="A1101" s="17" t="s">
        <v>11</v>
      </c>
      <c r="B1101" s="17" t="s">
        <v>12</v>
      </c>
      <c r="C1101" s="17" t="s">
        <v>3</v>
      </c>
      <c r="D1101" s="17" t="s">
        <v>13</v>
      </c>
      <c r="E1101" s="17" t="s">
        <v>8</v>
      </c>
      <c r="F1101" s="17" t="s">
        <v>6</v>
      </c>
      <c r="G1101" s="17" t="s">
        <v>5</v>
      </c>
      <c r="H1101" s="17" t="s">
        <v>151</v>
      </c>
      <c r="I1101" s="17" t="s">
        <v>179</v>
      </c>
      <c r="J1101" s="17" t="s">
        <v>180</v>
      </c>
      <c r="K1101" s="17" t="s">
        <v>181</v>
      </c>
      <c r="L1101" s="17" t="s">
        <v>182</v>
      </c>
    </row>
    <row r="1102" spans="1:12" customFormat="1" ht="16" x14ac:dyDescent="0.2">
      <c r="A1102" t="s">
        <v>269</v>
      </c>
      <c r="B1102">
        <v>1</v>
      </c>
      <c r="C1102" t="s">
        <v>18</v>
      </c>
      <c r="E1102" t="s">
        <v>17</v>
      </c>
      <c r="F1102" t="s">
        <v>19</v>
      </c>
      <c r="G1102" t="s">
        <v>1</v>
      </c>
    </row>
    <row r="1103" spans="1:12" customFormat="1" ht="16" x14ac:dyDescent="0.2">
      <c r="A1103" t="s">
        <v>308</v>
      </c>
      <c r="B1103">
        <f>1/47.5</f>
        <v>2.1052631578947368E-2</v>
      </c>
      <c r="C1103" t="s">
        <v>18</v>
      </c>
      <c r="E1103" t="s">
        <v>9</v>
      </c>
      <c r="F1103" t="s">
        <v>23</v>
      </c>
      <c r="G1103" t="s">
        <v>267</v>
      </c>
    </row>
    <row r="1104" spans="1:12" customFormat="1" ht="16" x14ac:dyDescent="0.2">
      <c r="A1104" t="s">
        <v>206</v>
      </c>
      <c r="B1104" s="3">
        <f>(B1078/B1066)/(B1069/1000)</f>
        <v>2.3451692815854667E-5</v>
      </c>
      <c r="C1104" t="s">
        <v>18</v>
      </c>
      <c r="E1104" t="s">
        <v>9</v>
      </c>
      <c r="F1104" t="s">
        <v>23</v>
      </c>
      <c r="G1104" t="s">
        <v>207</v>
      </c>
      <c r="I1104">
        <v>5</v>
      </c>
      <c r="J1104">
        <f>B1104</f>
        <v>2.3451692815854667E-5</v>
      </c>
      <c r="K1104" s="3">
        <f>(B1079/B1068)/(B1071/1000)</f>
        <v>6.7484662576687119E-6</v>
      </c>
      <c r="L1104" s="3">
        <f>(B1080/B1067)/(B1070/1000)</f>
        <v>5.5000000000000002E-5</v>
      </c>
    </row>
    <row r="1105" spans="1:12" customFormat="1" ht="16" x14ac:dyDescent="0.2">
      <c r="A1105" t="s">
        <v>145</v>
      </c>
      <c r="B1105" s="3">
        <f>(B1075/B1066)/(B1069/1000)</f>
        <v>1.440132122213047E-4</v>
      </c>
      <c r="C1105" t="s">
        <v>18</v>
      </c>
      <c r="E1105" t="s">
        <v>9</v>
      </c>
      <c r="F1105" t="s">
        <v>23</v>
      </c>
      <c r="G1105" t="s">
        <v>145</v>
      </c>
      <c r="I1105">
        <v>5</v>
      </c>
      <c r="J1105">
        <f>B1105</f>
        <v>1.440132122213047E-4</v>
      </c>
      <c r="K1105" s="3">
        <f>(B1076/B1068)/(B1071/1000)</f>
        <v>4.7326906222611743E-5</v>
      </c>
      <c r="L1105" s="3">
        <f>(B1077/B1067)/(B1070/1000)</f>
        <v>3.9999999999999996E-4</v>
      </c>
    </row>
    <row r="1106" spans="1:12" customFormat="1" ht="16" x14ac:dyDescent="0.2">
      <c r="A1106" t="s">
        <v>48</v>
      </c>
      <c r="B1106" s="3">
        <v>4.4166666666666577E-6</v>
      </c>
      <c r="D1106" t="s">
        <v>14</v>
      </c>
      <c r="E1106" t="s">
        <v>9</v>
      </c>
      <c r="F1106" s="2" t="s">
        <v>15</v>
      </c>
      <c r="I1106" s="10"/>
    </row>
    <row r="1107" spans="1:12" customFormat="1" ht="16" x14ac:dyDescent="0.2">
      <c r="A1107" t="s">
        <v>50</v>
      </c>
      <c r="B1107" s="3">
        <v>7.5082705379565517E-7</v>
      </c>
      <c r="D1107" t="s">
        <v>14</v>
      </c>
      <c r="E1107" t="s">
        <v>9</v>
      </c>
      <c r="F1107" s="2" t="s">
        <v>15</v>
      </c>
      <c r="I1107" s="10"/>
    </row>
    <row r="1108" spans="1:12" customFormat="1" ht="16" x14ac:dyDescent="0.2">
      <c r="A1108" t="s">
        <v>122</v>
      </c>
      <c r="B1108" s="9">
        <f>2.74*B1103</f>
        <v>5.7684210526315789E-2</v>
      </c>
      <c r="D1108" t="s">
        <v>14</v>
      </c>
      <c r="E1108" t="s">
        <v>9</v>
      </c>
      <c r="F1108" s="2" t="s">
        <v>15</v>
      </c>
      <c r="H1108" t="s">
        <v>296</v>
      </c>
      <c r="I1108" s="10"/>
    </row>
    <row r="1109" spans="1:12" customFormat="1" ht="16" x14ac:dyDescent="0.2">
      <c r="A1109" t="s">
        <v>123</v>
      </c>
      <c r="B1109" s="9">
        <v>2.6360440412565261E-4</v>
      </c>
      <c r="D1109" t="s">
        <v>14</v>
      </c>
      <c r="E1109" t="s">
        <v>9</v>
      </c>
      <c r="F1109" s="2" t="s">
        <v>15</v>
      </c>
      <c r="I1109" s="10"/>
    </row>
    <row r="1110" spans="1:12" customFormat="1" ht="16" x14ac:dyDescent="0.2">
      <c r="A1110" t="s">
        <v>58</v>
      </c>
      <c r="B1110" s="3">
        <v>9.6666666666666532E-7</v>
      </c>
      <c r="D1110" t="s">
        <v>14</v>
      </c>
      <c r="E1110" t="s">
        <v>9</v>
      </c>
      <c r="F1110" s="2" t="s">
        <v>15</v>
      </c>
      <c r="I1110" s="10"/>
    </row>
    <row r="1111" spans="1:12" customFormat="1" ht="16" x14ac:dyDescent="0.2">
      <c r="A1111" t="s">
        <v>64</v>
      </c>
      <c r="B1111" s="3">
        <v>2.7750000000000002E-10</v>
      </c>
      <c r="D1111" t="s">
        <v>14</v>
      </c>
      <c r="E1111" t="s">
        <v>9</v>
      </c>
      <c r="F1111" s="2" t="s">
        <v>15</v>
      </c>
      <c r="I1111" s="10"/>
    </row>
    <row r="1112" spans="1:12" customFormat="1" ht="16" x14ac:dyDescent="0.2">
      <c r="A1112" t="s">
        <v>177</v>
      </c>
      <c r="B1112" s="3">
        <v>1.606690212560312E-5</v>
      </c>
      <c r="D1112" t="s">
        <v>14</v>
      </c>
      <c r="E1112" t="s">
        <v>9</v>
      </c>
      <c r="F1112" s="2" t="s">
        <v>15</v>
      </c>
      <c r="I1112" s="10"/>
    </row>
    <row r="1113" spans="1:12" customFormat="1" ht="16" x14ac:dyDescent="0.2">
      <c r="A1113" t="s">
        <v>67</v>
      </c>
      <c r="B1113" s="3">
        <v>6.8382126269474045E-6</v>
      </c>
      <c r="D1113" t="s">
        <v>14</v>
      </c>
      <c r="E1113" t="s">
        <v>9</v>
      </c>
      <c r="F1113" s="2" t="s">
        <v>15</v>
      </c>
      <c r="I1113" s="10"/>
    </row>
    <row r="1114" spans="1:12" customFormat="1" ht="16" x14ac:dyDescent="0.2">
      <c r="A1114" t="s">
        <v>69</v>
      </c>
      <c r="B1114" s="3">
        <f>B1098/1000</f>
        <v>3.0144677E-5</v>
      </c>
      <c r="D1114" t="s">
        <v>14</v>
      </c>
      <c r="E1114" t="s">
        <v>9</v>
      </c>
      <c r="F1114" s="2" t="s">
        <v>15</v>
      </c>
      <c r="I1114" s="10"/>
    </row>
    <row r="1115" spans="1:12" customFormat="1" ht="16" x14ac:dyDescent="0.2">
      <c r="A1115" t="s">
        <v>71</v>
      </c>
      <c r="B1115" s="3">
        <f>B1099/1000</f>
        <v>5.5636149999999998E-6</v>
      </c>
      <c r="D1115" t="s">
        <v>14</v>
      </c>
      <c r="E1115" t="s">
        <v>9</v>
      </c>
      <c r="F1115" s="2" t="s">
        <v>15</v>
      </c>
      <c r="I1115" s="10"/>
    </row>
    <row r="1116" spans="1:12" customFormat="1" ht="16" x14ac:dyDescent="0.2">
      <c r="A1116" t="s">
        <v>77</v>
      </c>
      <c r="B1116" s="3">
        <v>5.6430000000000142E-7</v>
      </c>
      <c r="D1116" t="s">
        <v>14</v>
      </c>
      <c r="E1116" t="s">
        <v>9</v>
      </c>
      <c r="F1116" s="2" t="s">
        <v>15</v>
      </c>
      <c r="I1116" s="10"/>
    </row>
    <row r="1117" spans="1:12" customFormat="1" ht="16" x14ac:dyDescent="0.2">
      <c r="A1117" t="s">
        <v>78</v>
      </c>
      <c r="B1117" s="3">
        <v>2.2336471011856279E-6</v>
      </c>
      <c r="D1117" t="s">
        <v>14</v>
      </c>
      <c r="E1117" t="s">
        <v>9</v>
      </c>
      <c r="F1117" s="2" t="s">
        <v>15</v>
      </c>
      <c r="I1117" s="10"/>
    </row>
    <row r="1118" spans="1:12" customFormat="1" ht="16" x14ac:dyDescent="0.2">
      <c r="B1118" s="3"/>
    </row>
    <row r="1119" spans="1:12" x14ac:dyDescent="0.2">
      <c r="A1119" s="17" t="s">
        <v>2</v>
      </c>
      <c r="B1119" s="17" t="s">
        <v>253</v>
      </c>
    </row>
    <row r="1120" spans="1:12" customFormat="1" ht="16" x14ac:dyDescent="0.2">
      <c r="A1120" t="s">
        <v>151</v>
      </c>
      <c r="B1120" t="s">
        <v>203</v>
      </c>
    </row>
    <row r="1121" spans="1:12" customFormat="1" ht="16" x14ac:dyDescent="0.2">
      <c r="A1121" t="s">
        <v>198</v>
      </c>
      <c r="B1121" t="s">
        <v>199</v>
      </c>
    </row>
    <row r="1122" spans="1:12" customFormat="1" ht="16" x14ac:dyDescent="0.2">
      <c r="A1122" t="s">
        <v>3</v>
      </c>
      <c r="B1122" t="s">
        <v>18</v>
      </c>
    </row>
    <row r="1123" spans="1:12" customFormat="1" ht="16" x14ac:dyDescent="0.2">
      <c r="A1123" t="s">
        <v>4</v>
      </c>
      <c r="B1123">
        <v>1</v>
      </c>
    </row>
    <row r="1124" spans="1:12" customFormat="1" ht="16" x14ac:dyDescent="0.2">
      <c r="A1124" t="s">
        <v>5</v>
      </c>
      <c r="B1124" t="s">
        <v>1</v>
      </c>
    </row>
    <row r="1125" spans="1:12" customFormat="1" ht="16" x14ac:dyDescent="0.2">
      <c r="A1125" t="s">
        <v>204</v>
      </c>
      <c r="B1125" t="s">
        <v>205</v>
      </c>
    </row>
    <row r="1126" spans="1:12" customFormat="1" ht="16" x14ac:dyDescent="0.2">
      <c r="A1126" t="s">
        <v>6</v>
      </c>
      <c r="B1126" t="s">
        <v>7</v>
      </c>
    </row>
    <row r="1127" spans="1:12" customFormat="1" ht="16" x14ac:dyDescent="0.2">
      <c r="A1127" t="s">
        <v>8</v>
      </c>
      <c r="B1127" t="s">
        <v>17</v>
      </c>
    </row>
    <row r="1128" spans="1:12" customFormat="1" ht="16" x14ac:dyDescent="0.2">
      <c r="A1128" t="s">
        <v>352</v>
      </c>
      <c r="B1128" s="2">
        <f>INDEX(Parameters!$B$6:$AL$57,MATCH(Inventories!$B$1119,Parameters!$A$6:$A$57,0),MATCH(Inventories!$A1128,Parameters!$B$4:$AL$4,0))</f>
        <v>242</v>
      </c>
      <c r="C1128" t="s">
        <v>312</v>
      </c>
      <c r="D1128" s="2"/>
      <c r="E1128" s="2"/>
      <c r="F1128" s="2"/>
      <c r="G1128" s="2"/>
      <c r="H1128" s="2"/>
      <c r="I1128" s="2"/>
      <c r="J1128" s="2"/>
      <c r="K1128" s="2"/>
      <c r="L1128" s="2"/>
    </row>
    <row r="1129" spans="1:12" customFormat="1" ht="16" x14ac:dyDescent="0.2">
      <c r="A1129" t="s">
        <v>353</v>
      </c>
      <c r="B1129" s="2">
        <f>INDEX(Parameters!$B$6:$AL$57,MATCH(Inventories!$B$1119,Parameters!$A$6:$A$57,0),MATCH(Inventories!$A1129,Parameters!$B$4:$AL$4,0))</f>
        <v>128</v>
      </c>
      <c r="C1129" t="s">
        <v>312</v>
      </c>
      <c r="D1129" s="2"/>
      <c r="E1129" s="2"/>
      <c r="F1129" s="2"/>
      <c r="G1129" s="2"/>
      <c r="H1129" s="2"/>
      <c r="I1129" s="2"/>
      <c r="J1129" s="2"/>
      <c r="K1129" s="2"/>
      <c r="L1129" s="2"/>
    </row>
    <row r="1130" spans="1:12" customFormat="1" ht="16" x14ac:dyDescent="0.2">
      <c r="A1130" t="s">
        <v>354</v>
      </c>
      <c r="B1130" s="2">
        <f>INDEX(Parameters!$B$6:$AL$57,MATCH(Inventories!$B$1119,Parameters!$A$6:$A$57,0),MATCH(Inventories!$A1130,Parameters!$B$4:$AL$4,0))</f>
        <v>328</v>
      </c>
      <c r="C1130" t="s">
        <v>312</v>
      </c>
      <c r="D1130" s="2"/>
      <c r="E1130" s="2"/>
      <c r="F1130" s="2"/>
      <c r="G1130" s="2"/>
      <c r="H1130" s="2"/>
      <c r="I1130" s="2"/>
      <c r="J1130" s="2"/>
      <c r="K1130" s="2"/>
      <c r="L1130" s="2"/>
    </row>
    <row r="1131" spans="1:12" customFormat="1" ht="16" x14ac:dyDescent="0.2">
      <c r="A1131" t="s">
        <v>316</v>
      </c>
      <c r="B1131" s="24">
        <f>INDEX(Parameters!$B$6:$AL$57,MATCH(Inventories!$B$1119,Parameters!$A$6:$A$57,0),MATCH(Inventories!$A1131,Parameters!$B$4:$AL$4,0))</f>
        <v>700000</v>
      </c>
      <c r="C1131" t="s">
        <v>313</v>
      </c>
      <c r="D1131" s="2"/>
      <c r="E1131" s="2"/>
      <c r="F1131" s="2"/>
      <c r="G1131" s="2"/>
      <c r="H1131" s="2"/>
      <c r="I1131" s="2"/>
      <c r="J1131" s="2"/>
      <c r="K1131" s="2"/>
      <c r="L1131" s="2"/>
    </row>
    <row r="1132" spans="1:12" customFormat="1" ht="16" x14ac:dyDescent="0.2">
      <c r="A1132" t="s">
        <v>317</v>
      </c>
      <c r="B1132" s="24">
        <f>INDEX(Parameters!$B$6:$AL$57,MATCH(Inventories!$B$1119,Parameters!$A$6:$A$57,0),MATCH(Inventories!$A1132,Parameters!$B$4:$AL$4,0))</f>
        <v>500000</v>
      </c>
      <c r="C1132" t="s">
        <v>313</v>
      </c>
      <c r="D1132" s="2"/>
      <c r="E1132" s="2"/>
      <c r="F1132" s="2"/>
      <c r="G1132" s="2"/>
      <c r="H1132" s="2"/>
      <c r="I1132" s="2"/>
      <c r="J1132" s="2"/>
      <c r="K1132" s="2"/>
      <c r="L1132" s="2"/>
    </row>
    <row r="1133" spans="1:12" customFormat="1" ht="16" x14ac:dyDescent="0.2">
      <c r="A1133" t="s">
        <v>318</v>
      </c>
      <c r="B1133" s="24">
        <f>INDEX(Parameters!$B$6:$AL$57,MATCH(Inventories!$B$1119,Parameters!$A$6:$A$57,0),MATCH(Inventories!$A1133,Parameters!$B$4:$AL$4,0))</f>
        <v>1000000</v>
      </c>
      <c r="C1133" t="s">
        <v>313</v>
      </c>
      <c r="D1133" s="2"/>
      <c r="E1133" s="2"/>
      <c r="F1133" s="2"/>
      <c r="G1133" s="2"/>
      <c r="H1133" s="2"/>
      <c r="I1133" s="2"/>
      <c r="J1133" s="2"/>
      <c r="K1133" s="2"/>
      <c r="L1133" s="2"/>
    </row>
    <row r="1134" spans="1:12" customFormat="1" ht="16" x14ac:dyDescent="0.2">
      <c r="A1134" t="s">
        <v>319</v>
      </c>
      <c r="B1134" s="2">
        <f>INDEX(Parameters!$B$6:$AL$57,MATCH(Inventories!$B$1119,Parameters!$A$6:$A$57,0),MATCH(Inventories!$A1134,Parameters!$B$4:$AL$4,0))</f>
        <v>8650</v>
      </c>
      <c r="C1134" t="s">
        <v>314</v>
      </c>
      <c r="D1134" s="2"/>
      <c r="E1134" s="2"/>
      <c r="F1134" s="2"/>
      <c r="G1134" s="2"/>
      <c r="H1134" s="2"/>
      <c r="I1134" s="2"/>
      <c r="J1134" s="2"/>
      <c r="K1134" s="2"/>
      <c r="L1134" s="2"/>
    </row>
    <row r="1135" spans="1:12" customFormat="1" ht="16" x14ac:dyDescent="0.2">
      <c r="A1135" t="s">
        <v>320</v>
      </c>
      <c r="B1135" s="2">
        <f>INDEX(Parameters!$B$6:$AL$57,MATCH(Inventories!$B$1119,Parameters!$A$6:$A$57,0),MATCH(Inventories!$A1135,Parameters!$B$4:$AL$4,0))</f>
        <v>5600</v>
      </c>
      <c r="C1135" t="s">
        <v>314</v>
      </c>
      <c r="D1135" s="2"/>
      <c r="E1135" s="2"/>
      <c r="F1135" s="2"/>
      <c r="G1135" s="2"/>
      <c r="H1135" s="2"/>
      <c r="I1135" s="2"/>
      <c r="J1135" s="2"/>
      <c r="K1135" s="2"/>
      <c r="L1135" s="2"/>
    </row>
    <row r="1136" spans="1:12" customFormat="1" ht="16" x14ac:dyDescent="0.2">
      <c r="A1136" t="s">
        <v>321</v>
      </c>
      <c r="B1136" s="2">
        <f>INDEX(Parameters!$B$6:$AL$57,MATCH(Inventories!$B$1119,Parameters!$A$6:$A$57,0),MATCH(Inventories!$A1136,Parameters!$B$4:$AL$4,0))</f>
        <v>11410</v>
      </c>
      <c r="C1136" t="s">
        <v>314</v>
      </c>
      <c r="D1136" s="2"/>
      <c r="E1136" s="2"/>
      <c r="F1136" s="2"/>
      <c r="G1136" s="2"/>
      <c r="H1136" s="2"/>
      <c r="I1136" s="2"/>
      <c r="J1136" s="2"/>
      <c r="K1136" s="2"/>
      <c r="L1136" s="2"/>
    </row>
    <row r="1137" spans="1:12" customFormat="1" ht="16" x14ac:dyDescent="0.2">
      <c r="A1137" t="s">
        <v>337</v>
      </c>
      <c r="B1137" s="2">
        <f>INDEX(Parameters!$B$6:$AL$57,MATCH(Inventories!$B$1119,Parameters!$A$6:$A$57,0),MATCH(Inventories!$A1137,Parameters!$B$4:$AL$4,0))</f>
        <v>0</v>
      </c>
      <c r="C1137" t="s">
        <v>336</v>
      </c>
      <c r="D1137" s="2"/>
      <c r="E1137" s="2"/>
      <c r="F1137" s="2"/>
      <c r="G1137" s="2"/>
      <c r="H1137" s="2"/>
      <c r="I1137" s="2"/>
      <c r="J1137" s="2"/>
      <c r="K1137" s="2"/>
      <c r="L1137" s="2"/>
    </row>
    <row r="1138" spans="1:12" customFormat="1" ht="16" x14ac:dyDescent="0.2">
      <c r="A1138" t="s">
        <v>338</v>
      </c>
      <c r="B1138" s="2">
        <f>INDEX(Parameters!$B$6:$AL$57,MATCH(Inventories!$B$1119,Parameters!$A$6:$A$57,0),MATCH(Inventories!$A1138,Parameters!$B$4:$AL$4,0))</f>
        <v>0</v>
      </c>
      <c r="C1138" t="s">
        <v>336</v>
      </c>
      <c r="D1138" s="2"/>
      <c r="E1138" s="2"/>
      <c r="F1138" s="2"/>
      <c r="G1138" s="2"/>
      <c r="H1138" s="2"/>
      <c r="I1138" s="2"/>
      <c r="J1138" s="2"/>
      <c r="K1138" s="2"/>
      <c r="L1138" s="2"/>
    </row>
    <row r="1139" spans="1:12" customFormat="1" ht="16" x14ac:dyDescent="0.2">
      <c r="A1139" t="s">
        <v>339</v>
      </c>
      <c r="B1139" s="2">
        <f>INDEX(Parameters!$B$6:$AL$57,MATCH(Inventories!$B$1119,Parameters!$A$6:$A$57,0),MATCH(Inventories!$A1139,Parameters!$B$4:$AL$4,0))</f>
        <v>0</v>
      </c>
      <c r="C1139" t="s">
        <v>336</v>
      </c>
      <c r="D1139" s="2"/>
      <c r="E1139" s="2"/>
      <c r="F1139" s="2"/>
      <c r="G1139" s="2"/>
      <c r="H1139" s="2"/>
      <c r="I1139" s="2"/>
      <c r="J1139" s="2"/>
      <c r="K1139" s="2"/>
      <c r="L1139" s="2"/>
    </row>
    <row r="1140" spans="1:12" customFormat="1" ht="16" x14ac:dyDescent="0.2">
      <c r="A1140" t="s">
        <v>340</v>
      </c>
      <c r="B1140" s="2">
        <f>INDEX(Parameters!$B$6:$AL$57,MATCH(Inventories!$B$1119,Parameters!$A$6:$A$57,0),MATCH(Inventories!$A1140,Parameters!$B$4:$AL$4,0))</f>
        <v>872</v>
      </c>
      <c r="C1140" t="s">
        <v>336</v>
      </c>
      <c r="D1140" s="2"/>
      <c r="E1140" s="2"/>
      <c r="F1140" s="2"/>
      <c r="G1140" s="2"/>
      <c r="H1140" s="2"/>
      <c r="I1140" s="2"/>
      <c r="J1140" s="2"/>
      <c r="K1140" s="2"/>
      <c r="L1140" s="2"/>
    </row>
    <row r="1141" spans="1:12" customFormat="1" ht="16" x14ac:dyDescent="0.2">
      <c r="A1141" t="s">
        <v>341</v>
      </c>
      <c r="B1141" s="2">
        <f>INDEX(Parameters!$B$6:$AL$57,MATCH(Inventories!$B$1119,Parameters!$A$6:$A$57,0),MATCH(Inventories!$A1141,Parameters!$B$4:$AL$4,0))</f>
        <v>540</v>
      </c>
      <c r="C1141" t="s">
        <v>336</v>
      </c>
      <c r="D1141" s="2"/>
      <c r="E1141" s="2"/>
      <c r="F1141" s="2"/>
      <c r="G1141" s="2"/>
      <c r="H1141" s="2"/>
      <c r="I1141" s="2"/>
      <c r="J1141" s="2"/>
      <c r="K1141" s="2"/>
      <c r="L1141" s="2"/>
    </row>
    <row r="1142" spans="1:12" customFormat="1" ht="16" x14ac:dyDescent="0.2">
      <c r="A1142" t="s">
        <v>342</v>
      </c>
      <c r="B1142" s="2">
        <f>INDEX(Parameters!$B$6:$AL$57,MATCH(Inventories!$B$1119,Parameters!$A$6:$A$57,0),MATCH(Inventories!$A1142,Parameters!$B$4:$AL$4,0))</f>
        <v>1120</v>
      </c>
      <c r="C1142" t="s">
        <v>336</v>
      </c>
      <c r="D1142" s="2"/>
      <c r="E1142" s="2"/>
      <c r="F1142" s="2"/>
      <c r="G1142" s="2"/>
      <c r="H1142" s="2"/>
      <c r="I1142" s="2"/>
      <c r="J1142" s="2"/>
      <c r="K1142" s="2"/>
      <c r="L1142" s="2"/>
    </row>
    <row r="1143" spans="1:12" customFormat="1" ht="16" x14ac:dyDescent="0.2">
      <c r="A1143" t="s">
        <v>333</v>
      </c>
      <c r="B1143" s="2">
        <f>INDEX(Parameters!$B$6:$AL$57,MATCH(Inventories!$B$1119,Parameters!$A$6:$A$57,0),MATCH(Inventories!$A1143,Parameters!$B$4:$AL$4,0))</f>
        <v>142</v>
      </c>
      <c r="C1143" t="s">
        <v>336</v>
      </c>
      <c r="D1143" s="2"/>
      <c r="E1143" s="2"/>
      <c r="F1143" s="2"/>
      <c r="G1143" s="2"/>
      <c r="H1143" s="2"/>
      <c r="I1143" s="2"/>
      <c r="J1143" s="2"/>
      <c r="K1143" s="2"/>
      <c r="L1143" s="2"/>
    </row>
    <row r="1144" spans="1:12" customFormat="1" ht="16" x14ac:dyDescent="0.2">
      <c r="A1144" t="s">
        <v>334</v>
      </c>
      <c r="B1144" s="2">
        <f>INDEX(Parameters!$B$6:$AL$57,MATCH(Inventories!$B$1119,Parameters!$A$6:$A$57,0),MATCH(Inventories!$A1144,Parameters!$B$4:$AL$4,0))</f>
        <v>77</v>
      </c>
      <c r="C1144" t="s">
        <v>336</v>
      </c>
      <c r="D1144" s="2"/>
      <c r="E1144" s="2"/>
      <c r="F1144" s="2"/>
      <c r="G1144" s="2"/>
      <c r="H1144" s="2"/>
      <c r="I1144" s="2"/>
      <c r="J1144" s="2"/>
      <c r="K1144" s="2"/>
      <c r="L1144" s="2"/>
    </row>
    <row r="1145" spans="1:12" customFormat="1" ht="16" x14ac:dyDescent="0.2">
      <c r="A1145" t="s">
        <v>335</v>
      </c>
      <c r="B1145" s="2">
        <f>INDEX(Parameters!$B$6:$AL$57,MATCH(Inventories!$B$1119,Parameters!$A$6:$A$57,0),MATCH(Inventories!$A1145,Parameters!$B$4:$AL$4,0))</f>
        <v>154</v>
      </c>
      <c r="C1145" t="s">
        <v>336</v>
      </c>
      <c r="D1145" s="2"/>
      <c r="E1145" s="2"/>
      <c r="F1145" s="2"/>
      <c r="G1145" s="2"/>
      <c r="H1145" s="2"/>
      <c r="I1145" s="2"/>
      <c r="J1145" s="2"/>
      <c r="K1145" s="2"/>
      <c r="L1145" s="2"/>
    </row>
    <row r="1146" spans="1:12" customFormat="1" ht="16" x14ac:dyDescent="0.2">
      <c r="A1146" t="s">
        <v>322</v>
      </c>
      <c r="B1146" s="2">
        <f>INDEX(Parameters!$B$6:$AL$57,MATCH(Inventories!$B$1119,Parameters!$A$6:$A$57,0),MATCH(Inventories!$A1146,Parameters!$B$4:$AL$4,0))</f>
        <v>0</v>
      </c>
      <c r="C1146" t="s">
        <v>315</v>
      </c>
      <c r="D1146" s="2"/>
      <c r="E1146" s="2"/>
      <c r="F1146" s="2"/>
      <c r="G1146" s="2"/>
      <c r="H1146" s="2"/>
      <c r="I1146" s="2"/>
      <c r="J1146" s="2"/>
      <c r="K1146" s="2"/>
      <c r="L1146" s="2"/>
    </row>
    <row r="1147" spans="1:12" customFormat="1" ht="16" x14ac:dyDescent="0.2">
      <c r="A1147" t="s">
        <v>323</v>
      </c>
      <c r="B1147" s="2">
        <f>INDEX(Parameters!$B$6:$AL$57,MATCH(Inventories!$B$1119,Parameters!$A$6:$A$57,0),MATCH(Inventories!$A1147,Parameters!$B$4:$AL$4,0))</f>
        <v>0</v>
      </c>
      <c r="C1147" t="s">
        <v>315</v>
      </c>
      <c r="D1147" s="2"/>
      <c r="E1147" s="2"/>
      <c r="F1147" s="2"/>
      <c r="G1147" s="2"/>
      <c r="H1147" s="2"/>
      <c r="I1147" s="2"/>
      <c r="J1147" s="2"/>
      <c r="K1147" s="2"/>
      <c r="L1147" s="2"/>
    </row>
    <row r="1148" spans="1:12" customFormat="1" ht="16" x14ac:dyDescent="0.2">
      <c r="A1148" t="s">
        <v>324</v>
      </c>
      <c r="B1148" s="2">
        <f>INDEX(Parameters!$B$6:$AL$57,MATCH(Inventories!$B$1119,Parameters!$A$6:$A$57,0),MATCH(Inventories!$A1148,Parameters!$B$4:$AL$4,0))</f>
        <v>0</v>
      </c>
      <c r="C1148" t="s">
        <v>315</v>
      </c>
      <c r="D1148" s="2"/>
      <c r="E1148" s="2"/>
      <c r="F1148" s="2"/>
      <c r="G1148" s="2"/>
      <c r="H1148" s="2"/>
      <c r="I1148" s="2"/>
      <c r="J1148" s="2"/>
      <c r="K1148" s="2"/>
      <c r="L1148" s="2"/>
    </row>
    <row r="1149" spans="1:12" customFormat="1" ht="16" x14ac:dyDescent="0.2">
      <c r="A1149" t="s">
        <v>330</v>
      </c>
      <c r="B1149" s="2">
        <f>INDEX(Parameters!$B$6:$AL$57,MATCH(Inventories!$B$1119,Parameters!$A$6:$A$57,0),MATCH(Inventories!$A1149,Parameters!$B$4:$AL$4,0))</f>
        <v>0</v>
      </c>
      <c r="C1149" t="s">
        <v>8</v>
      </c>
      <c r="D1149" s="2"/>
      <c r="E1149" s="2"/>
      <c r="F1149" s="2"/>
      <c r="G1149" s="2"/>
      <c r="H1149" s="2"/>
      <c r="I1149" s="2"/>
      <c r="J1149" s="2"/>
      <c r="K1149" s="2"/>
      <c r="L1149" s="2"/>
    </row>
    <row r="1150" spans="1:12" customFormat="1" ht="16" x14ac:dyDescent="0.2">
      <c r="A1150" t="s">
        <v>331</v>
      </c>
      <c r="B1150" s="2">
        <f>INDEX(Parameters!$B$6:$AL$57,MATCH(Inventories!$B$1119,Parameters!$A$6:$A$57,0),MATCH(Inventories!$A1150,Parameters!$B$4:$AL$4,0))</f>
        <v>0</v>
      </c>
      <c r="C1150" t="s">
        <v>8</v>
      </c>
      <c r="D1150" s="2"/>
      <c r="E1150" s="2"/>
      <c r="F1150" s="2"/>
      <c r="G1150" s="2"/>
      <c r="H1150" s="2"/>
      <c r="I1150" s="2"/>
      <c r="J1150" s="2"/>
      <c r="K1150" s="2"/>
      <c r="L1150" s="2"/>
    </row>
    <row r="1151" spans="1:12" customFormat="1" ht="16" x14ac:dyDescent="0.2">
      <c r="A1151" t="s">
        <v>332</v>
      </c>
      <c r="B1151" s="2">
        <f>INDEX(Parameters!$B$6:$AL$57,MATCH(Inventories!$B$1119,Parameters!$A$6:$A$57,0),MATCH(Inventories!$A1151,Parameters!$B$4:$AL$4,0))</f>
        <v>0</v>
      </c>
      <c r="C1151" t="s">
        <v>8</v>
      </c>
      <c r="D1151" s="2"/>
      <c r="E1151" s="2"/>
      <c r="F1151" s="2"/>
      <c r="G1151" s="2"/>
      <c r="H1151" s="2"/>
      <c r="I1151" s="2"/>
      <c r="J1151" s="2"/>
      <c r="K1151" s="2"/>
      <c r="L1151" s="2"/>
    </row>
    <row r="1152" spans="1:12" customFormat="1" ht="16" x14ac:dyDescent="0.2">
      <c r="A1152" t="s">
        <v>346</v>
      </c>
      <c r="B1152" s="2">
        <f>INDEX(Parameters!$B$6:$AL$57,MATCH(Inventories!$B$1119,Parameters!$A$6:$A$57,0),MATCH(Inventories!$A1152,Parameters!$B$4:$AL$4,0))</f>
        <v>0</v>
      </c>
      <c r="C1152" t="s">
        <v>312</v>
      </c>
      <c r="D1152" s="2"/>
      <c r="E1152" s="2"/>
      <c r="F1152" s="2"/>
      <c r="G1152" s="2"/>
      <c r="H1152" s="2"/>
      <c r="I1152" s="2"/>
      <c r="J1152" s="2"/>
      <c r="K1152" s="2"/>
      <c r="L1152" s="2"/>
    </row>
    <row r="1153" spans="1:12" customFormat="1" ht="16" x14ac:dyDescent="0.2">
      <c r="A1153" t="s">
        <v>347</v>
      </c>
      <c r="B1153" s="2">
        <f>INDEX(Parameters!$B$6:$AL$57,MATCH(Inventories!$B$1119,Parameters!$A$6:$A$57,0),MATCH(Inventories!$A1153,Parameters!$B$4:$AL$4,0))</f>
        <v>0</v>
      </c>
      <c r="C1153" t="s">
        <v>312</v>
      </c>
      <c r="D1153" s="2"/>
      <c r="E1153" s="12"/>
      <c r="F1153" s="2"/>
      <c r="G1153" s="2"/>
      <c r="H1153" s="2"/>
      <c r="I1153" s="2"/>
      <c r="J1153" s="2"/>
      <c r="K1153" s="2"/>
      <c r="L1153" s="2"/>
    </row>
    <row r="1154" spans="1:12" customFormat="1" ht="16" x14ac:dyDescent="0.2">
      <c r="A1154" t="s">
        <v>348</v>
      </c>
      <c r="B1154" s="2">
        <f>INDEX(Parameters!$B$6:$AL$57,MATCH(Inventories!$B$1119,Parameters!$A$6:$A$57,0),MATCH(Inventories!$A1154,Parameters!$B$4:$AL$4,0))</f>
        <v>0</v>
      </c>
      <c r="C1154" t="s">
        <v>312</v>
      </c>
      <c r="D1154" s="2"/>
      <c r="E1154" s="2"/>
      <c r="F1154" s="2"/>
      <c r="G1154" s="2"/>
      <c r="H1154" s="2"/>
      <c r="I1154" s="2"/>
      <c r="J1154" s="2"/>
      <c r="K1154" s="2"/>
      <c r="L1154" s="2"/>
    </row>
    <row r="1155" spans="1:12" customFormat="1" ht="16" x14ac:dyDescent="0.2">
      <c r="A1155" t="s">
        <v>349</v>
      </c>
      <c r="B1155" s="2">
        <f>INDEX(Parameters!$B$6:$AL$57,MATCH(Inventories!$B$1119,Parameters!$A$6:$A$57,0),MATCH(Inventories!$A1155,Parameters!$B$4:$AL$4,0))</f>
        <v>0</v>
      </c>
      <c r="C1155" t="s">
        <v>8</v>
      </c>
      <c r="D1155" s="2"/>
      <c r="E1155" s="2"/>
      <c r="F1155" s="2"/>
      <c r="G1155" s="2"/>
      <c r="H1155" s="2"/>
      <c r="I1155" s="2"/>
      <c r="J1155" s="2"/>
      <c r="K1155" s="2"/>
      <c r="L1155" s="2"/>
    </row>
    <row r="1156" spans="1:12" customFormat="1" ht="16" x14ac:dyDescent="0.2">
      <c r="A1156" t="s">
        <v>350</v>
      </c>
      <c r="B1156" s="2">
        <f>INDEX(Parameters!$B$6:$AL$57,MATCH(Inventories!$B$1119,Parameters!$A$6:$A$57,0),MATCH(Inventories!$A1156,Parameters!$B$4:$AL$4,0))</f>
        <v>0</v>
      </c>
      <c r="C1156" t="s">
        <v>8</v>
      </c>
      <c r="D1156" s="2"/>
      <c r="E1156" s="2"/>
      <c r="F1156" s="2"/>
      <c r="G1156" s="2"/>
      <c r="H1156" s="2"/>
      <c r="I1156" s="2"/>
      <c r="J1156" s="2"/>
      <c r="K1156" s="2"/>
      <c r="L1156" s="2"/>
    </row>
    <row r="1157" spans="1:12" customFormat="1" ht="16" x14ac:dyDescent="0.2">
      <c r="A1157" t="s">
        <v>351</v>
      </c>
      <c r="B1157" s="2">
        <f>INDEX(Parameters!$B$6:$AL$57,MATCH(Inventories!$B$1119,Parameters!$A$6:$A$57,0),MATCH(Inventories!$A1157,Parameters!$B$4:$AL$4,0))</f>
        <v>0</v>
      </c>
      <c r="C1157" t="s">
        <v>8</v>
      </c>
      <c r="D1157" s="2"/>
      <c r="E1157" s="2"/>
      <c r="F1157" s="2"/>
      <c r="G1157" s="2"/>
      <c r="H1157" s="2"/>
      <c r="I1157" s="2"/>
      <c r="J1157" s="2"/>
      <c r="K1157" s="2"/>
      <c r="L1157" s="2"/>
    </row>
    <row r="1158" spans="1:12" customFormat="1" ht="16" x14ac:dyDescent="0.2">
      <c r="A1158" t="s">
        <v>365</v>
      </c>
      <c r="B1158" s="2">
        <f>INDEX(Parameters!$B$6:$AL$57,MATCH(Inventories!$B$1119,Parameters!$A$6:$A$57,0),MATCH(Inventories!$A1158,Parameters!$B$4:$AL$4,0))</f>
        <v>0</v>
      </c>
      <c r="C1158" t="s">
        <v>336</v>
      </c>
      <c r="D1158" s="2"/>
      <c r="E1158" s="2"/>
      <c r="F1158" s="2"/>
      <c r="G1158" s="2"/>
      <c r="H1158" s="2"/>
      <c r="I1158" s="2"/>
      <c r="J1158" s="2"/>
      <c r="K1158" s="2"/>
      <c r="L1158" s="2"/>
    </row>
    <row r="1159" spans="1:12" customFormat="1" ht="16" x14ac:dyDescent="0.2">
      <c r="A1159" t="s">
        <v>366</v>
      </c>
      <c r="B1159" s="2">
        <f>INDEX(Parameters!$B$6:$AL$57,MATCH(Inventories!$B$1119,Parameters!$A$6:$A$57,0),MATCH(Inventories!$A1159,Parameters!$B$4:$AL$4,0))</f>
        <v>0</v>
      </c>
      <c r="C1159" t="s">
        <v>336</v>
      </c>
      <c r="D1159" s="2"/>
      <c r="E1159" s="2"/>
      <c r="F1159" s="2"/>
      <c r="G1159" s="2"/>
      <c r="H1159" s="2"/>
      <c r="I1159" s="2"/>
      <c r="J1159" s="2"/>
      <c r="K1159" s="2"/>
      <c r="L1159" s="2"/>
    </row>
    <row r="1160" spans="1:12" customFormat="1" ht="16" x14ac:dyDescent="0.2">
      <c r="A1160" t="s">
        <v>367</v>
      </c>
      <c r="B1160" s="2">
        <f>INDEX(Parameters!$B$6:$AL$57,MATCH(Inventories!$B$1119,Parameters!$A$6:$A$57,0),MATCH(Inventories!$A1160,Parameters!$B$4:$AL$4,0))</f>
        <v>0</v>
      </c>
      <c r="C1160" t="s">
        <v>336</v>
      </c>
      <c r="D1160" s="2"/>
      <c r="E1160" s="2"/>
      <c r="F1160" s="2"/>
      <c r="G1160" s="2"/>
      <c r="H1160" s="2"/>
      <c r="I1160" s="2"/>
      <c r="J1160" s="2"/>
      <c r="K1160" s="2"/>
      <c r="L1160" s="2"/>
    </row>
    <row r="1161" spans="1:12" customFormat="1" ht="16" x14ac:dyDescent="0.2">
      <c r="A1161" t="s">
        <v>368</v>
      </c>
      <c r="B1161" s="2">
        <f>INDEX(Parameters!$B$6:$AL$57,MATCH(Inventories!$B$1119,Parameters!$A$6:$A$57,0),MATCH(Inventories!$A1161,Parameters!$B$4:$AL$4,0))</f>
        <v>0</v>
      </c>
      <c r="C1161" t="s">
        <v>336</v>
      </c>
      <c r="D1161" s="2"/>
      <c r="E1161" s="2"/>
      <c r="F1161" s="2"/>
      <c r="G1161" s="2"/>
      <c r="H1161" s="2"/>
      <c r="I1161" s="2"/>
      <c r="J1161" s="2"/>
      <c r="K1161" s="2"/>
      <c r="L1161" s="2"/>
    </row>
    <row r="1162" spans="1:12" customFormat="1" ht="16" x14ac:dyDescent="0.2">
      <c r="A1162" t="s">
        <v>369</v>
      </c>
      <c r="B1162" s="2">
        <f>INDEX(Parameters!$B$6:$AL$57,MATCH(Inventories!$B$1119,Parameters!$A$6:$A$57,0),MATCH(Inventories!$A1162,Parameters!$B$4:$AL$4,0))</f>
        <v>0</v>
      </c>
      <c r="C1162" t="s">
        <v>336</v>
      </c>
      <c r="D1162" s="2"/>
      <c r="E1162" s="2"/>
      <c r="F1162" s="2"/>
      <c r="G1162" s="2"/>
      <c r="H1162" s="2"/>
      <c r="I1162" s="2"/>
      <c r="J1162" s="2"/>
      <c r="K1162" s="2"/>
      <c r="L1162" s="2"/>
    </row>
    <row r="1163" spans="1:12" customFormat="1" ht="16" x14ac:dyDescent="0.2">
      <c r="A1163" t="s">
        <v>344</v>
      </c>
      <c r="B1163" s="32">
        <f>INDEX(Parameters!$B$6:$AL$57,MATCH(Inventories!$B$1119,Parameters!$A$6:$A$57,0),MATCH(Inventories!$A1163,Parameters!$B$4:$AL$4,0))</f>
        <v>3.0144677000000002E-2</v>
      </c>
      <c r="C1163" t="s">
        <v>345</v>
      </c>
      <c r="D1163" s="2"/>
      <c r="E1163" s="2"/>
      <c r="F1163" s="2"/>
      <c r="G1163" s="2"/>
      <c r="H1163" s="2"/>
      <c r="I1163" s="2"/>
      <c r="J1163" s="2"/>
      <c r="K1163" s="2"/>
      <c r="L1163" s="2"/>
    </row>
    <row r="1164" spans="1:12" customFormat="1" ht="16" x14ac:dyDescent="0.2">
      <c r="A1164" t="s">
        <v>343</v>
      </c>
      <c r="B1164" s="32">
        <f>INDEX(Parameters!$B$6:$AL$57,MATCH(Inventories!$B$1119,Parameters!$A$6:$A$57,0),MATCH(Inventories!$A1164,Parameters!$B$4:$AL$4,0))</f>
        <v>5.5636150000000001E-3</v>
      </c>
      <c r="C1164" t="s">
        <v>345</v>
      </c>
      <c r="D1164" s="2"/>
      <c r="E1164" s="2"/>
      <c r="F1164" s="2"/>
      <c r="G1164" s="2"/>
      <c r="H1164" s="2"/>
      <c r="I1164" s="2"/>
      <c r="J1164" s="2"/>
      <c r="K1164" s="2"/>
      <c r="L1164" s="2"/>
    </row>
    <row r="1165" spans="1:12" customFormat="1" ht="16" x14ac:dyDescent="0.2">
      <c r="A1165" s="1" t="s">
        <v>10</v>
      </c>
    </row>
    <row r="1166" spans="1:12" x14ac:dyDescent="0.2">
      <c r="A1166" s="17" t="s">
        <v>11</v>
      </c>
      <c r="B1166" s="17" t="s">
        <v>12</v>
      </c>
      <c r="C1166" s="17" t="s">
        <v>3</v>
      </c>
      <c r="D1166" s="17" t="s">
        <v>13</v>
      </c>
      <c r="E1166" s="17" t="s">
        <v>8</v>
      </c>
      <c r="F1166" s="17" t="s">
        <v>6</v>
      </c>
      <c r="G1166" s="17" t="s">
        <v>5</v>
      </c>
      <c r="H1166" s="17" t="s">
        <v>151</v>
      </c>
      <c r="I1166" s="17" t="s">
        <v>179</v>
      </c>
      <c r="J1166" s="17" t="s">
        <v>180</v>
      </c>
      <c r="K1166" s="17" t="s">
        <v>181</v>
      </c>
      <c r="L1166" s="17" t="s">
        <v>182</v>
      </c>
    </row>
    <row r="1167" spans="1:12" customFormat="1" ht="16" x14ac:dyDescent="0.2">
      <c r="A1167" t="s">
        <v>253</v>
      </c>
      <c r="B1167">
        <v>1</v>
      </c>
      <c r="C1167" t="s">
        <v>18</v>
      </c>
      <c r="E1167" t="s">
        <v>17</v>
      </c>
      <c r="F1167" t="s">
        <v>19</v>
      </c>
      <c r="G1167" t="s">
        <v>1</v>
      </c>
    </row>
    <row r="1168" spans="1:12" customFormat="1" ht="16" x14ac:dyDescent="0.2">
      <c r="A1168" t="s">
        <v>254</v>
      </c>
      <c r="B1168">
        <f>1/47.5</f>
        <v>2.1052631578947368E-2</v>
      </c>
      <c r="C1168" t="s">
        <v>18</v>
      </c>
      <c r="E1168" t="s">
        <v>9</v>
      </c>
      <c r="F1168" t="s">
        <v>23</v>
      </c>
      <c r="G1168" t="s">
        <v>255</v>
      </c>
    </row>
    <row r="1169" spans="1:12" customFormat="1" ht="16" x14ac:dyDescent="0.2">
      <c r="A1169" t="s">
        <v>206</v>
      </c>
      <c r="B1169" s="3">
        <f>(B1143/B1131)/(B1134/1000)</f>
        <v>2.3451692815854667E-5</v>
      </c>
      <c r="C1169" t="s">
        <v>18</v>
      </c>
      <c r="E1169" t="s">
        <v>9</v>
      </c>
      <c r="F1169" t="s">
        <v>23</v>
      </c>
      <c r="G1169" t="s">
        <v>207</v>
      </c>
      <c r="I1169">
        <v>5</v>
      </c>
      <c r="J1169">
        <f>B1169</f>
        <v>2.3451692815854667E-5</v>
      </c>
      <c r="K1169" s="3">
        <f>(B1144/B1133)/(B1136/1000)</f>
        <v>6.7484662576687119E-6</v>
      </c>
      <c r="L1169" s="3">
        <f>(B1145/B1132)/(B1135/1000)</f>
        <v>5.5000000000000002E-5</v>
      </c>
    </row>
    <row r="1170" spans="1:12" customFormat="1" ht="16" x14ac:dyDescent="0.2">
      <c r="A1170" t="s">
        <v>145</v>
      </c>
      <c r="B1170" s="3">
        <f>(B1140/B1131)/(B1134/1000)</f>
        <v>1.440132122213047E-4</v>
      </c>
      <c r="C1170" t="s">
        <v>18</v>
      </c>
      <c r="E1170" t="s">
        <v>9</v>
      </c>
      <c r="F1170" t="s">
        <v>23</v>
      </c>
      <c r="G1170" t="s">
        <v>145</v>
      </c>
      <c r="I1170">
        <v>5</v>
      </c>
      <c r="J1170">
        <f>B1170</f>
        <v>1.440132122213047E-4</v>
      </c>
      <c r="K1170" s="3">
        <f>(B1141/B1133)/(B1136/1000)</f>
        <v>4.7326906222611743E-5</v>
      </c>
      <c r="L1170" s="3">
        <f>(B1142/B1132)/(B1135/1000)</f>
        <v>3.9999999999999996E-4</v>
      </c>
    </row>
    <row r="1171" spans="1:12" customFormat="1" ht="16" x14ac:dyDescent="0.2">
      <c r="A1171" t="s">
        <v>48</v>
      </c>
      <c r="B1171" s="3">
        <v>4.4166666666666577E-6</v>
      </c>
      <c r="D1171" t="s">
        <v>14</v>
      </c>
      <c r="E1171" t="s">
        <v>9</v>
      </c>
      <c r="F1171" s="2" t="s">
        <v>15</v>
      </c>
      <c r="I1171" s="10"/>
    </row>
    <row r="1172" spans="1:12" customFormat="1" ht="16" x14ac:dyDescent="0.2">
      <c r="A1172" t="s">
        <v>50</v>
      </c>
      <c r="B1172" s="3">
        <v>7.5082705379565517E-7</v>
      </c>
      <c r="D1172" t="s">
        <v>14</v>
      </c>
      <c r="E1172" t="s">
        <v>9</v>
      </c>
      <c r="F1172" s="2" t="s">
        <v>15</v>
      </c>
      <c r="I1172" s="10"/>
    </row>
    <row r="1173" spans="1:12" customFormat="1" ht="16" x14ac:dyDescent="0.2">
      <c r="A1173" t="s">
        <v>122</v>
      </c>
      <c r="B1173" s="25">
        <f>2.74*B1168</f>
        <v>5.7684210526315789E-2</v>
      </c>
      <c r="D1173" t="s">
        <v>14</v>
      </c>
      <c r="E1173" t="s">
        <v>9</v>
      </c>
      <c r="F1173" s="2" t="s">
        <v>15</v>
      </c>
      <c r="H1173" t="s">
        <v>296</v>
      </c>
      <c r="I1173" s="10"/>
    </row>
    <row r="1174" spans="1:12" customFormat="1" ht="16" x14ac:dyDescent="0.2">
      <c r="A1174" t="s">
        <v>123</v>
      </c>
      <c r="B1174" s="25">
        <v>2.6360440412565261E-4</v>
      </c>
      <c r="D1174" t="s">
        <v>14</v>
      </c>
      <c r="E1174" t="s">
        <v>9</v>
      </c>
      <c r="F1174" s="2" t="s">
        <v>15</v>
      </c>
      <c r="I1174" s="10"/>
    </row>
    <row r="1175" spans="1:12" customFormat="1" ht="16" x14ac:dyDescent="0.2">
      <c r="A1175" t="s">
        <v>58</v>
      </c>
      <c r="B1175" s="3">
        <v>9.6666666666666532E-7</v>
      </c>
      <c r="D1175" t="s">
        <v>14</v>
      </c>
      <c r="E1175" t="s">
        <v>9</v>
      </c>
      <c r="F1175" s="2" t="s">
        <v>15</v>
      </c>
      <c r="I1175" s="10"/>
    </row>
    <row r="1176" spans="1:12" customFormat="1" ht="16" x14ac:dyDescent="0.2">
      <c r="A1176" t="s">
        <v>64</v>
      </c>
      <c r="B1176" s="3">
        <v>2.7750000000000002E-10</v>
      </c>
      <c r="D1176" t="s">
        <v>14</v>
      </c>
      <c r="E1176" t="s">
        <v>9</v>
      </c>
      <c r="F1176" s="2" t="s">
        <v>15</v>
      </c>
      <c r="I1176" s="10"/>
    </row>
    <row r="1177" spans="1:12" customFormat="1" ht="16" x14ac:dyDescent="0.2">
      <c r="A1177" t="s">
        <v>177</v>
      </c>
      <c r="B1177" s="3">
        <v>1.606690212560312E-5</v>
      </c>
      <c r="D1177" t="s">
        <v>14</v>
      </c>
      <c r="E1177" t="s">
        <v>9</v>
      </c>
      <c r="F1177" s="2" t="s">
        <v>15</v>
      </c>
      <c r="I1177" s="10"/>
    </row>
    <row r="1178" spans="1:12" customFormat="1" ht="16" x14ac:dyDescent="0.2">
      <c r="A1178" t="s">
        <v>67</v>
      </c>
      <c r="B1178" s="3">
        <v>6.8382126269474045E-6</v>
      </c>
      <c r="D1178" t="s">
        <v>14</v>
      </c>
      <c r="E1178" t="s">
        <v>9</v>
      </c>
      <c r="F1178" s="2" t="s">
        <v>15</v>
      </c>
      <c r="I1178" s="10"/>
    </row>
    <row r="1179" spans="1:12" customFormat="1" ht="16" x14ac:dyDescent="0.2">
      <c r="A1179" t="s">
        <v>69</v>
      </c>
      <c r="B1179" s="3">
        <f>B1163/1000</f>
        <v>3.0144677E-5</v>
      </c>
      <c r="D1179" t="s">
        <v>14</v>
      </c>
      <c r="E1179" t="s">
        <v>9</v>
      </c>
      <c r="F1179" s="2" t="s">
        <v>15</v>
      </c>
      <c r="I1179" s="10"/>
    </row>
    <row r="1180" spans="1:12" customFormat="1" ht="16" x14ac:dyDescent="0.2">
      <c r="A1180" t="s">
        <v>71</v>
      </c>
      <c r="B1180" s="3">
        <f>B1164/1000</f>
        <v>5.5636149999999998E-6</v>
      </c>
      <c r="D1180" t="s">
        <v>14</v>
      </c>
      <c r="E1180" t="s">
        <v>9</v>
      </c>
      <c r="F1180" s="2" t="s">
        <v>15</v>
      </c>
      <c r="I1180" s="10"/>
    </row>
    <row r="1181" spans="1:12" customFormat="1" ht="16" x14ac:dyDescent="0.2">
      <c r="A1181" t="s">
        <v>77</v>
      </c>
      <c r="B1181" s="3">
        <v>5.6430000000000142E-7</v>
      </c>
      <c r="D1181" t="s">
        <v>14</v>
      </c>
      <c r="E1181" t="s">
        <v>9</v>
      </c>
      <c r="F1181" s="2" t="s">
        <v>15</v>
      </c>
      <c r="I1181" s="10"/>
    </row>
    <row r="1182" spans="1:12" customFormat="1" ht="16" x14ac:dyDescent="0.2">
      <c r="A1182" t="s">
        <v>78</v>
      </c>
      <c r="B1182" s="3">
        <v>2.2336471011856279E-6</v>
      </c>
      <c r="D1182" t="s">
        <v>14</v>
      </c>
      <c r="E1182" t="s">
        <v>9</v>
      </c>
      <c r="F1182" s="2" t="s">
        <v>15</v>
      </c>
      <c r="I1182" s="10"/>
    </row>
    <row r="1183" spans="1:12" customFormat="1" ht="16" x14ac:dyDescent="0.2">
      <c r="B1183" s="3"/>
    </row>
    <row r="1184" spans="1:12" customFormat="1" ht="16" x14ac:dyDescent="0.2">
      <c r="B1184" s="3"/>
    </row>
    <row r="1185" spans="1:12" x14ac:dyDescent="0.2">
      <c r="A1185" s="17" t="s">
        <v>2</v>
      </c>
      <c r="B1185" s="17" t="s">
        <v>208</v>
      </c>
    </row>
    <row r="1186" spans="1:12" customFormat="1" ht="16" x14ac:dyDescent="0.2">
      <c r="A1186" t="s">
        <v>151</v>
      </c>
      <c r="B1186" t="s">
        <v>209</v>
      </c>
    </row>
    <row r="1187" spans="1:12" customFormat="1" ht="16" x14ac:dyDescent="0.2">
      <c r="A1187" t="s">
        <v>198</v>
      </c>
      <c r="B1187" t="s">
        <v>199</v>
      </c>
    </row>
    <row r="1188" spans="1:12" customFormat="1" ht="16" x14ac:dyDescent="0.2">
      <c r="A1188" t="s">
        <v>3</v>
      </c>
      <c r="B1188" t="s">
        <v>18</v>
      </c>
    </row>
    <row r="1189" spans="1:12" customFormat="1" ht="16" x14ac:dyDescent="0.2">
      <c r="A1189" t="s">
        <v>4</v>
      </c>
      <c r="B1189">
        <v>1</v>
      </c>
    </row>
    <row r="1190" spans="1:12" customFormat="1" ht="16" x14ac:dyDescent="0.2">
      <c r="A1190" t="s">
        <v>5</v>
      </c>
      <c r="B1190" t="s">
        <v>142</v>
      </c>
    </row>
    <row r="1191" spans="1:12" customFormat="1" ht="16" x14ac:dyDescent="0.2">
      <c r="A1191" t="s">
        <v>204</v>
      </c>
      <c r="B1191" t="s">
        <v>205</v>
      </c>
    </row>
    <row r="1192" spans="1:12" customFormat="1" ht="16" x14ac:dyDescent="0.2">
      <c r="A1192" t="s">
        <v>6</v>
      </c>
      <c r="B1192" t="s">
        <v>7</v>
      </c>
    </row>
    <row r="1193" spans="1:12" customFormat="1" ht="16" x14ac:dyDescent="0.2">
      <c r="A1193" t="s">
        <v>8</v>
      </c>
      <c r="B1193" s="3" t="s">
        <v>17</v>
      </c>
    </row>
    <row r="1194" spans="1:12" customFormat="1" ht="16" x14ac:dyDescent="0.2">
      <c r="A1194" t="s">
        <v>352</v>
      </c>
      <c r="B1194" s="2">
        <f>INDEX(Parameters!$B$6:$AL$57,MATCH(Inventories!$B$1185,Parameters!$A$6:$A$57,0),MATCH(Inventories!$A1194,Parameters!$B$4:$AL$4,0))</f>
        <v>196</v>
      </c>
      <c r="C1194" t="s">
        <v>312</v>
      </c>
      <c r="D1194" s="2"/>
      <c r="E1194" s="2"/>
      <c r="F1194" s="2"/>
      <c r="G1194" s="2"/>
      <c r="H1194" s="2"/>
      <c r="I1194" s="2"/>
      <c r="J1194" s="2"/>
      <c r="K1194" s="2"/>
      <c r="L1194" s="2"/>
    </row>
    <row r="1195" spans="1:12" customFormat="1" ht="16" x14ac:dyDescent="0.2">
      <c r="A1195" t="s">
        <v>353</v>
      </c>
      <c r="B1195" s="2">
        <f>INDEX(Parameters!$B$6:$AL$57,MATCH(Inventories!$B$1185,Parameters!$A$6:$A$57,0),MATCH(Inventories!$A1195,Parameters!$B$4:$AL$4,0))</f>
        <v>125</v>
      </c>
      <c r="C1195" t="s">
        <v>312</v>
      </c>
      <c r="D1195" s="2"/>
      <c r="E1195" s="2"/>
      <c r="F1195" s="2"/>
      <c r="G1195" s="2"/>
      <c r="H1195" s="2"/>
      <c r="I1195" s="2"/>
      <c r="J1195" s="2"/>
      <c r="K1195" s="2"/>
      <c r="L1195" s="2"/>
    </row>
    <row r="1196" spans="1:12" customFormat="1" ht="16" x14ac:dyDescent="0.2">
      <c r="A1196" t="s">
        <v>354</v>
      </c>
      <c r="B1196" s="2">
        <f>INDEX(Parameters!$B$6:$AL$57,MATCH(Inventories!$B$1185,Parameters!$A$6:$A$57,0),MATCH(Inventories!$A1196,Parameters!$B$4:$AL$4,0))</f>
        <v>272</v>
      </c>
      <c r="C1196" t="s">
        <v>312</v>
      </c>
      <c r="D1196" s="2"/>
      <c r="E1196" s="2"/>
      <c r="F1196" s="2"/>
      <c r="G1196" s="2"/>
      <c r="H1196" s="2"/>
      <c r="I1196" s="2"/>
      <c r="J1196" s="2"/>
      <c r="K1196" s="2"/>
      <c r="L1196" s="2"/>
    </row>
    <row r="1197" spans="1:12" customFormat="1" ht="16" x14ac:dyDescent="0.2">
      <c r="A1197" t="s">
        <v>316</v>
      </c>
      <c r="B1197" s="24">
        <f>INDEX(Parameters!$B$6:$AL$57,MATCH(Inventories!$B$1185,Parameters!$A$6:$A$57,0),MATCH(Inventories!$A1197,Parameters!$B$4:$AL$4,0))</f>
        <v>700000</v>
      </c>
      <c r="C1197" t="s">
        <v>313</v>
      </c>
      <c r="D1197" s="2"/>
      <c r="E1197" s="2"/>
      <c r="F1197" s="2"/>
      <c r="G1197" s="2"/>
      <c r="H1197" s="2"/>
      <c r="I1197" s="2"/>
      <c r="J1197" s="2"/>
      <c r="K1197" s="2"/>
      <c r="L1197" s="2"/>
    </row>
    <row r="1198" spans="1:12" customFormat="1" ht="16" x14ac:dyDescent="0.2">
      <c r="A1198" t="s">
        <v>317</v>
      </c>
      <c r="B1198" s="24">
        <f>INDEX(Parameters!$B$6:$AL$57,MATCH(Inventories!$B$1185,Parameters!$A$6:$A$57,0),MATCH(Inventories!$A1198,Parameters!$B$4:$AL$4,0))</f>
        <v>500000</v>
      </c>
      <c r="C1198" t="s">
        <v>313</v>
      </c>
      <c r="D1198" s="2"/>
      <c r="E1198" s="2"/>
      <c r="F1198" s="2"/>
      <c r="G1198" s="2"/>
      <c r="H1198" s="2"/>
      <c r="I1198" s="2"/>
      <c r="J1198" s="2"/>
      <c r="K1198" s="2"/>
      <c r="L1198" s="2"/>
    </row>
    <row r="1199" spans="1:12" customFormat="1" ht="16" x14ac:dyDescent="0.2">
      <c r="A1199" t="s">
        <v>318</v>
      </c>
      <c r="B1199" s="24">
        <f>INDEX(Parameters!$B$6:$AL$57,MATCH(Inventories!$B$1185,Parameters!$A$6:$A$57,0),MATCH(Inventories!$A1199,Parameters!$B$4:$AL$4,0))</f>
        <v>1000000</v>
      </c>
      <c r="C1199" t="s">
        <v>313</v>
      </c>
      <c r="D1199" s="2"/>
      <c r="E1199" s="2"/>
      <c r="F1199" s="2"/>
      <c r="G1199" s="2"/>
      <c r="H1199" s="2"/>
      <c r="I1199" s="2"/>
      <c r="J1199" s="2"/>
      <c r="K1199" s="2"/>
      <c r="L1199" s="2"/>
    </row>
    <row r="1200" spans="1:12" customFormat="1" ht="16" x14ac:dyDescent="0.2">
      <c r="A1200" t="s">
        <v>319</v>
      </c>
      <c r="B1200" s="2">
        <f>INDEX(Parameters!$B$6:$AL$57,MATCH(Inventories!$B$1185,Parameters!$A$6:$A$57,0),MATCH(Inventories!$A1200,Parameters!$B$4:$AL$4,0))</f>
        <v>3720</v>
      </c>
      <c r="C1200" t="s">
        <v>314</v>
      </c>
      <c r="D1200" s="2"/>
      <c r="E1200" s="2"/>
      <c r="F1200" s="2"/>
      <c r="G1200" s="2"/>
      <c r="H1200" s="2"/>
      <c r="I1200" s="2"/>
      <c r="J1200" s="2"/>
      <c r="K1200" s="2"/>
      <c r="L1200" s="2"/>
    </row>
    <row r="1201" spans="1:12" customFormat="1" ht="16" x14ac:dyDescent="0.2">
      <c r="A1201" t="s">
        <v>320</v>
      </c>
      <c r="B1201" s="2">
        <f>INDEX(Parameters!$B$6:$AL$57,MATCH(Inventories!$B$1185,Parameters!$A$6:$A$57,0),MATCH(Inventories!$A1201,Parameters!$B$4:$AL$4,0))</f>
        <v>2370</v>
      </c>
      <c r="C1201" t="s">
        <v>314</v>
      </c>
      <c r="D1201" s="2"/>
      <c r="E1201" s="2"/>
      <c r="F1201" s="2"/>
      <c r="G1201" s="2"/>
      <c r="H1201" s="2"/>
      <c r="I1201" s="2"/>
      <c r="J1201" s="2"/>
      <c r="K1201" s="2"/>
      <c r="L1201" s="2"/>
    </row>
    <row r="1202" spans="1:12" customFormat="1" ht="16" x14ac:dyDescent="0.2">
      <c r="A1202" t="s">
        <v>321</v>
      </c>
      <c r="B1202" s="2">
        <f>INDEX(Parameters!$B$6:$AL$57,MATCH(Inventories!$B$1185,Parameters!$A$6:$A$57,0),MATCH(Inventories!$A1202,Parameters!$B$4:$AL$4,0))</f>
        <v>4680</v>
      </c>
      <c r="C1202" t="s">
        <v>314</v>
      </c>
      <c r="D1202" s="2"/>
      <c r="E1202" s="2"/>
      <c r="F1202" s="2"/>
      <c r="G1202" s="2"/>
      <c r="H1202" s="2"/>
      <c r="I1202" s="2"/>
      <c r="J1202" s="2"/>
      <c r="K1202" s="2"/>
      <c r="L1202" s="2"/>
    </row>
    <row r="1203" spans="1:12" customFormat="1" ht="16" x14ac:dyDescent="0.2">
      <c r="A1203" t="s">
        <v>337</v>
      </c>
      <c r="B1203" s="2">
        <f>INDEX(Parameters!$B$6:$AL$57,MATCH(Inventories!$B$1185,Parameters!$A$6:$A$57,0),MATCH(Inventories!$A1203,Parameters!$B$4:$AL$4,0))</f>
        <v>125</v>
      </c>
      <c r="C1203" t="s">
        <v>336</v>
      </c>
      <c r="D1203" s="2"/>
      <c r="E1203" s="2"/>
      <c r="F1203" s="2"/>
      <c r="G1203" s="2"/>
      <c r="H1203" s="2"/>
      <c r="I1203" s="2"/>
      <c r="J1203" s="2"/>
      <c r="K1203" s="2"/>
      <c r="L1203" s="2"/>
    </row>
    <row r="1204" spans="1:12" customFormat="1" ht="16" x14ac:dyDescent="0.2">
      <c r="A1204" t="s">
        <v>338</v>
      </c>
      <c r="B1204" s="2">
        <f>INDEX(Parameters!$B$6:$AL$57,MATCH(Inventories!$B$1185,Parameters!$A$6:$A$57,0),MATCH(Inventories!$A1204,Parameters!$B$4:$AL$4,0))</f>
        <v>64</v>
      </c>
      <c r="C1204" t="s">
        <v>336</v>
      </c>
      <c r="D1204" s="2"/>
      <c r="E1204" s="2"/>
      <c r="F1204" s="2"/>
      <c r="G1204" s="2"/>
      <c r="H1204" s="2"/>
      <c r="I1204" s="2"/>
      <c r="J1204" s="2"/>
      <c r="K1204" s="2"/>
      <c r="L1204" s="2"/>
    </row>
    <row r="1205" spans="1:12" customFormat="1" ht="16" x14ac:dyDescent="0.2">
      <c r="A1205" t="s">
        <v>339</v>
      </c>
      <c r="B1205" s="2">
        <f>INDEX(Parameters!$B$6:$AL$57,MATCH(Inventories!$B$1185,Parameters!$A$6:$A$57,0),MATCH(Inventories!$A1205,Parameters!$B$4:$AL$4,0))</f>
        <v>205</v>
      </c>
      <c r="C1205" t="s">
        <v>336</v>
      </c>
      <c r="D1205" s="2"/>
      <c r="E1205" s="2"/>
      <c r="F1205" s="2"/>
      <c r="G1205" s="2"/>
      <c r="H1205" s="2"/>
      <c r="I1205" s="2"/>
      <c r="J1205" s="2"/>
      <c r="K1205" s="2"/>
      <c r="L1205" s="2"/>
    </row>
    <row r="1206" spans="1:12" customFormat="1" ht="16" x14ac:dyDescent="0.2">
      <c r="A1206" t="s">
        <v>340</v>
      </c>
      <c r="B1206" s="2">
        <f>INDEX(Parameters!$B$6:$AL$57,MATCH(Inventories!$B$1185,Parameters!$A$6:$A$57,0),MATCH(Inventories!$A1206,Parameters!$B$4:$AL$4,0))</f>
        <v>0</v>
      </c>
      <c r="C1206" t="s">
        <v>336</v>
      </c>
      <c r="D1206" s="2"/>
      <c r="E1206" s="2"/>
      <c r="F1206" s="2"/>
      <c r="G1206" s="2"/>
      <c r="H1206" s="2"/>
      <c r="I1206" s="2"/>
      <c r="J1206" s="2"/>
      <c r="K1206" s="2"/>
      <c r="L1206" s="2"/>
    </row>
    <row r="1207" spans="1:12" customFormat="1" ht="16" x14ac:dyDescent="0.2">
      <c r="A1207" t="s">
        <v>341</v>
      </c>
      <c r="B1207" s="2">
        <f>INDEX(Parameters!$B$6:$AL$57,MATCH(Inventories!$B$1185,Parameters!$A$6:$A$57,0),MATCH(Inventories!$A1207,Parameters!$B$4:$AL$4,0))</f>
        <v>0</v>
      </c>
      <c r="C1207" t="s">
        <v>336</v>
      </c>
      <c r="D1207" s="2"/>
      <c r="E1207" s="2"/>
      <c r="F1207" s="2"/>
      <c r="G1207" s="2"/>
      <c r="H1207" s="2"/>
      <c r="I1207" s="2"/>
      <c r="J1207" s="2"/>
      <c r="K1207" s="2"/>
      <c r="L1207" s="2"/>
    </row>
    <row r="1208" spans="1:12" customFormat="1" ht="16" x14ac:dyDescent="0.2">
      <c r="A1208" t="s">
        <v>342</v>
      </c>
      <c r="B1208" s="2">
        <f>INDEX(Parameters!$B$6:$AL$57,MATCH(Inventories!$B$1185,Parameters!$A$6:$A$57,0),MATCH(Inventories!$A1208,Parameters!$B$4:$AL$4,0))</f>
        <v>0</v>
      </c>
      <c r="C1208" t="s">
        <v>336</v>
      </c>
      <c r="D1208" s="2"/>
      <c r="E1208" s="2"/>
      <c r="F1208" s="2"/>
      <c r="G1208" s="2"/>
      <c r="H1208" s="2"/>
      <c r="I1208" s="2"/>
      <c r="J1208" s="2"/>
      <c r="K1208" s="2"/>
      <c r="L1208" s="2"/>
    </row>
    <row r="1209" spans="1:12" customFormat="1" ht="16" x14ac:dyDescent="0.2">
      <c r="A1209" t="s">
        <v>333</v>
      </c>
      <c r="B1209" s="2">
        <f>INDEX(Parameters!$B$6:$AL$57,MATCH(Inventories!$B$1185,Parameters!$A$6:$A$57,0),MATCH(Inventories!$A1209,Parameters!$B$4:$AL$4,0))</f>
        <v>0</v>
      </c>
      <c r="C1209" t="s">
        <v>336</v>
      </c>
      <c r="D1209" s="2"/>
      <c r="E1209" s="2"/>
      <c r="F1209" s="2"/>
      <c r="G1209" s="2"/>
      <c r="H1209" s="2"/>
      <c r="I1209" s="2"/>
      <c r="J1209" s="2"/>
      <c r="K1209" s="2"/>
      <c r="L1209" s="2"/>
    </row>
    <row r="1210" spans="1:12" customFormat="1" ht="16" x14ac:dyDescent="0.2">
      <c r="A1210" t="s">
        <v>334</v>
      </c>
      <c r="B1210" s="2">
        <f>INDEX(Parameters!$B$6:$AL$57,MATCH(Inventories!$B$1185,Parameters!$A$6:$A$57,0),MATCH(Inventories!$A1210,Parameters!$B$4:$AL$4,0))</f>
        <v>0</v>
      </c>
      <c r="C1210" t="s">
        <v>336</v>
      </c>
      <c r="D1210" s="2"/>
      <c r="E1210" s="2"/>
      <c r="F1210" s="2"/>
      <c r="G1210" s="2"/>
      <c r="H1210" s="2"/>
      <c r="I1210" s="2"/>
      <c r="J1210" s="2"/>
      <c r="K1210" s="2"/>
      <c r="L1210" s="2"/>
    </row>
    <row r="1211" spans="1:12" customFormat="1" ht="16" x14ac:dyDescent="0.2">
      <c r="A1211" t="s">
        <v>335</v>
      </c>
      <c r="B1211" s="2">
        <f>INDEX(Parameters!$B$6:$AL$57,MATCH(Inventories!$B$1185,Parameters!$A$6:$A$57,0),MATCH(Inventories!$A1211,Parameters!$B$4:$AL$4,0))</f>
        <v>0</v>
      </c>
      <c r="C1211" t="s">
        <v>336</v>
      </c>
      <c r="D1211" s="2"/>
      <c r="E1211" s="2"/>
      <c r="F1211" s="2"/>
      <c r="G1211" s="2"/>
      <c r="H1211" s="2"/>
      <c r="I1211" s="2"/>
      <c r="J1211" s="2"/>
      <c r="K1211" s="2"/>
      <c r="L1211" s="2"/>
    </row>
    <row r="1212" spans="1:12" customFormat="1" ht="16" x14ac:dyDescent="0.2">
      <c r="A1212" t="s">
        <v>322</v>
      </c>
      <c r="B1212" s="2">
        <f>INDEX(Parameters!$B$6:$AL$57,MATCH(Inventories!$B$1185,Parameters!$A$6:$A$57,0),MATCH(Inventories!$A1212,Parameters!$B$4:$AL$4,0))</f>
        <v>420</v>
      </c>
      <c r="C1212" t="s">
        <v>315</v>
      </c>
      <c r="D1212" s="2"/>
      <c r="E1212" s="2"/>
      <c r="F1212" s="2"/>
      <c r="G1212" s="2"/>
      <c r="H1212" s="2"/>
      <c r="I1212" s="2"/>
      <c r="J1212" s="2"/>
      <c r="K1212" s="2"/>
      <c r="L1212" s="2"/>
    </row>
    <row r="1213" spans="1:12" customFormat="1" ht="16" x14ac:dyDescent="0.2">
      <c r="A1213" t="s">
        <v>323</v>
      </c>
      <c r="B1213" s="2">
        <f>INDEX(Parameters!$B$6:$AL$57,MATCH(Inventories!$B$1185,Parameters!$A$6:$A$57,0),MATCH(Inventories!$A1213,Parameters!$B$4:$AL$4,0))</f>
        <v>156</v>
      </c>
      <c r="C1213" t="s">
        <v>315</v>
      </c>
      <c r="D1213" s="2"/>
      <c r="E1213" s="2"/>
      <c r="F1213" s="2"/>
      <c r="G1213" s="2"/>
      <c r="H1213" s="2"/>
      <c r="I1213" s="2"/>
      <c r="J1213" s="2"/>
      <c r="K1213" s="2"/>
      <c r="L1213" s="2"/>
    </row>
    <row r="1214" spans="1:12" customFormat="1" ht="16" x14ac:dyDescent="0.2">
      <c r="A1214" t="s">
        <v>324</v>
      </c>
      <c r="B1214" s="2">
        <f>INDEX(Parameters!$B$6:$AL$57,MATCH(Inventories!$B$1185,Parameters!$A$6:$A$57,0),MATCH(Inventories!$A1214,Parameters!$B$4:$AL$4,0))</f>
        <v>815</v>
      </c>
      <c r="C1214" t="s">
        <v>315</v>
      </c>
      <c r="D1214" s="2"/>
      <c r="E1214" s="2"/>
      <c r="F1214" s="2"/>
      <c r="G1214" s="2"/>
      <c r="H1214" s="2"/>
      <c r="I1214" s="2"/>
      <c r="J1214" s="2"/>
      <c r="K1214" s="2"/>
      <c r="L1214" s="2"/>
    </row>
    <row r="1215" spans="1:12" customFormat="1" ht="16" x14ac:dyDescent="0.2">
      <c r="A1215" t="s">
        <v>330</v>
      </c>
      <c r="B1215" s="2">
        <f>INDEX(Parameters!$B$6:$AL$57,MATCH(Inventories!$B$1185,Parameters!$A$6:$A$57,0),MATCH(Inventories!$A1215,Parameters!$B$4:$AL$4,0))</f>
        <v>1</v>
      </c>
      <c r="C1215" t="s">
        <v>8</v>
      </c>
      <c r="D1215" s="2"/>
      <c r="E1215" s="2"/>
      <c r="F1215" s="2"/>
      <c r="G1215" s="2"/>
      <c r="H1215" s="2"/>
      <c r="I1215" s="2"/>
      <c r="J1215" s="2"/>
      <c r="K1215" s="2"/>
      <c r="L1215" s="2"/>
    </row>
    <row r="1216" spans="1:12" customFormat="1" ht="16" x14ac:dyDescent="0.2">
      <c r="A1216" t="s">
        <v>331</v>
      </c>
      <c r="B1216" s="2">
        <f>INDEX(Parameters!$B$6:$AL$57,MATCH(Inventories!$B$1185,Parameters!$A$6:$A$57,0),MATCH(Inventories!$A1216,Parameters!$B$4:$AL$4,0))</f>
        <v>0</v>
      </c>
      <c r="C1216" t="s">
        <v>8</v>
      </c>
      <c r="D1216" s="2"/>
      <c r="E1216" s="2"/>
      <c r="F1216" s="2"/>
      <c r="G1216" s="2"/>
      <c r="H1216" s="2"/>
      <c r="I1216" s="2"/>
      <c r="J1216" s="2"/>
      <c r="K1216" s="2"/>
      <c r="L1216" s="2"/>
    </row>
    <row r="1217" spans="1:12" customFormat="1" ht="16" x14ac:dyDescent="0.2">
      <c r="A1217" t="s">
        <v>332</v>
      </c>
      <c r="B1217" s="2">
        <f>INDEX(Parameters!$B$6:$AL$57,MATCH(Inventories!$B$1185,Parameters!$A$6:$A$57,0),MATCH(Inventories!$A1217,Parameters!$B$4:$AL$4,0))</f>
        <v>3</v>
      </c>
      <c r="C1217" t="s">
        <v>8</v>
      </c>
      <c r="D1217" s="2"/>
      <c r="E1217" s="2"/>
      <c r="F1217" s="2"/>
      <c r="G1217" s="2"/>
      <c r="H1217" s="2"/>
      <c r="I1217" s="2"/>
      <c r="J1217" s="2"/>
      <c r="K1217" s="2"/>
      <c r="L1217" s="2"/>
    </row>
    <row r="1218" spans="1:12" customFormat="1" ht="16" x14ac:dyDescent="0.2">
      <c r="A1218" t="s">
        <v>346</v>
      </c>
      <c r="B1218" s="2">
        <f>INDEX(Parameters!$B$6:$AL$57,MATCH(Inventories!$B$1185,Parameters!$A$6:$A$57,0),MATCH(Inventories!$A1218,Parameters!$B$4:$AL$4,0))</f>
        <v>0</v>
      </c>
      <c r="C1218" t="s">
        <v>312</v>
      </c>
      <c r="D1218" s="2"/>
      <c r="E1218" s="2"/>
      <c r="F1218" s="2"/>
      <c r="G1218" s="2"/>
      <c r="H1218" s="2"/>
      <c r="I1218" s="2"/>
      <c r="J1218" s="2"/>
      <c r="K1218" s="2"/>
      <c r="L1218" s="2"/>
    </row>
    <row r="1219" spans="1:12" customFormat="1" ht="16" x14ac:dyDescent="0.2">
      <c r="A1219" t="s">
        <v>347</v>
      </c>
      <c r="B1219" s="2">
        <f>INDEX(Parameters!$B$6:$AL$57,MATCH(Inventories!$B$1185,Parameters!$A$6:$A$57,0),MATCH(Inventories!$A1219,Parameters!$B$4:$AL$4,0))</f>
        <v>0</v>
      </c>
      <c r="C1219" t="s">
        <v>312</v>
      </c>
      <c r="D1219" s="2"/>
      <c r="E1219" s="12"/>
      <c r="F1219" s="2"/>
      <c r="G1219" s="2"/>
      <c r="H1219" s="2"/>
      <c r="I1219" s="2"/>
      <c r="J1219" s="2"/>
      <c r="K1219" s="2"/>
      <c r="L1219" s="2"/>
    </row>
    <row r="1220" spans="1:12" customFormat="1" ht="16" x14ac:dyDescent="0.2">
      <c r="A1220" t="s">
        <v>348</v>
      </c>
      <c r="B1220" s="2">
        <f>INDEX(Parameters!$B$6:$AL$57,MATCH(Inventories!$B$1185,Parameters!$A$6:$A$57,0),MATCH(Inventories!$A1220,Parameters!$B$4:$AL$4,0))</f>
        <v>0</v>
      </c>
      <c r="C1220" t="s">
        <v>312</v>
      </c>
      <c r="D1220" s="2"/>
      <c r="E1220" s="2"/>
      <c r="F1220" s="2"/>
      <c r="G1220" s="2"/>
      <c r="H1220" s="2"/>
      <c r="I1220" s="2"/>
      <c r="J1220" s="2"/>
      <c r="K1220" s="2"/>
      <c r="L1220" s="2"/>
    </row>
    <row r="1221" spans="1:12" customFormat="1" ht="16" x14ac:dyDescent="0.2">
      <c r="A1221" t="s">
        <v>349</v>
      </c>
      <c r="B1221" s="2">
        <f>INDEX(Parameters!$B$6:$AL$57,MATCH(Inventories!$B$1185,Parameters!$A$6:$A$57,0),MATCH(Inventories!$A1221,Parameters!$B$4:$AL$4,0))</f>
        <v>0</v>
      </c>
      <c r="C1221" t="s">
        <v>8</v>
      </c>
      <c r="D1221" s="2"/>
      <c r="E1221" s="2"/>
      <c r="F1221" s="2"/>
      <c r="G1221" s="2"/>
      <c r="H1221" s="2"/>
      <c r="I1221" s="2"/>
      <c r="J1221" s="2"/>
      <c r="K1221" s="2"/>
      <c r="L1221" s="2"/>
    </row>
    <row r="1222" spans="1:12" customFormat="1" ht="16" x14ac:dyDescent="0.2">
      <c r="A1222" t="s">
        <v>350</v>
      </c>
      <c r="B1222" s="2">
        <f>INDEX(Parameters!$B$6:$AL$57,MATCH(Inventories!$B$1185,Parameters!$A$6:$A$57,0),MATCH(Inventories!$A1222,Parameters!$B$4:$AL$4,0))</f>
        <v>0</v>
      </c>
      <c r="C1222" t="s">
        <v>8</v>
      </c>
      <c r="D1222" s="2"/>
      <c r="E1222" s="2"/>
      <c r="F1222" s="2"/>
      <c r="G1222" s="2"/>
      <c r="H1222" s="2"/>
      <c r="I1222" s="2"/>
      <c r="J1222" s="2"/>
      <c r="K1222" s="2"/>
      <c r="L1222" s="2"/>
    </row>
    <row r="1223" spans="1:12" customFormat="1" ht="16" x14ac:dyDescent="0.2">
      <c r="A1223" t="s">
        <v>351</v>
      </c>
      <c r="B1223" s="2">
        <f>INDEX(Parameters!$B$6:$AL$57,MATCH(Inventories!$B$1185,Parameters!$A$6:$A$57,0),MATCH(Inventories!$A1223,Parameters!$B$4:$AL$4,0))</f>
        <v>0</v>
      </c>
      <c r="C1223" t="s">
        <v>8</v>
      </c>
      <c r="D1223" s="2"/>
      <c r="E1223" s="2"/>
      <c r="F1223" s="2"/>
      <c r="G1223" s="2"/>
      <c r="H1223" s="2"/>
      <c r="I1223" s="2"/>
      <c r="J1223" s="2"/>
      <c r="K1223" s="2"/>
      <c r="L1223" s="2"/>
    </row>
    <row r="1224" spans="1:12" customFormat="1" ht="16" x14ac:dyDescent="0.2">
      <c r="A1224" t="s">
        <v>365</v>
      </c>
      <c r="B1224" s="2">
        <f>INDEX(Parameters!$B$6:$AL$57,MATCH(Inventories!$B$1185,Parameters!$A$6:$A$57,0),MATCH(Inventories!$A1224,Parameters!$B$4:$AL$4,0))</f>
        <v>36</v>
      </c>
      <c r="C1224" t="s">
        <v>336</v>
      </c>
      <c r="D1224" s="2"/>
      <c r="E1224" s="2"/>
      <c r="F1224" s="2"/>
      <c r="G1224" s="2"/>
      <c r="H1224" s="2"/>
      <c r="I1224" s="2"/>
      <c r="J1224" s="2"/>
      <c r="K1224" s="2"/>
      <c r="L1224" s="2"/>
    </row>
    <row r="1225" spans="1:12" customFormat="1" ht="16" x14ac:dyDescent="0.2">
      <c r="A1225" t="s">
        <v>366</v>
      </c>
      <c r="B1225" s="2">
        <f>INDEX(Parameters!$B$6:$AL$57,MATCH(Inventories!$B$1185,Parameters!$A$6:$A$57,0),MATCH(Inventories!$A1225,Parameters!$B$4:$AL$4,0))</f>
        <v>36</v>
      </c>
      <c r="C1225" t="s">
        <v>336</v>
      </c>
      <c r="D1225" s="2"/>
      <c r="E1225" s="2"/>
      <c r="F1225" s="2"/>
      <c r="G1225" s="2"/>
      <c r="H1225" s="2"/>
      <c r="I1225" s="2"/>
      <c r="J1225" s="2"/>
      <c r="K1225" s="2"/>
      <c r="L1225" s="2"/>
    </row>
    <row r="1226" spans="1:12" customFormat="1" ht="16" x14ac:dyDescent="0.2">
      <c r="A1226" t="s">
        <v>367</v>
      </c>
      <c r="B1226" s="2">
        <f>INDEX(Parameters!$B$6:$AL$57,MATCH(Inventories!$B$1185,Parameters!$A$6:$A$57,0),MATCH(Inventories!$A1226,Parameters!$B$4:$AL$4,0))</f>
        <v>25</v>
      </c>
      <c r="C1226" t="s">
        <v>336</v>
      </c>
      <c r="D1226" s="2"/>
      <c r="E1226" s="2"/>
      <c r="F1226" s="2"/>
      <c r="G1226" s="2"/>
      <c r="H1226" s="2"/>
      <c r="I1226" s="2"/>
      <c r="J1226" s="2"/>
      <c r="K1226" s="2"/>
      <c r="L1226" s="2"/>
    </row>
    <row r="1227" spans="1:12" customFormat="1" ht="16" x14ac:dyDescent="0.2">
      <c r="A1227" t="s">
        <v>368</v>
      </c>
      <c r="B1227" s="2">
        <f>INDEX(Parameters!$B$6:$AL$57,MATCH(Inventories!$B$1185,Parameters!$A$6:$A$57,0),MATCH(Inventories!$A1227,Parameters!$B$4:$AL$4,0))</f>
        <v>215</v>
      </c>
      <c r="C1227" t="s">
        <v>336</v>
      </c>
      <c r="D1227" s="2"/>
      <c r="E1227" s="2"/>
      <c r="F1227" s="2"/>
      <c r="G1227" s="2"/>
      <c r="H1227" s="2"/>
      <c r="I1227" s="2"/>
      <c r="J1227" s="2"/>
      <c r="K1227" s="2"/>
      <c r="L1227" s="2"/>
    </row>
    <row r="1228" spans="1:12" customFormat="1" ht="16" x14ac:dyDescent="0.2">
      <c r="A1228" t="s">
        <v>369</v>
      </c>
      <c r="B1228" s="2">
        <f>INDEX(Parameters!$B$6:$AL$57,MATCH(Inventories!$B$1185,Parameters!$A$6:$A$57,0),MATCH(Inventories!$A1228,Parameters!$B$4:$AL$4,0))</f>
        <v>15</v>
      </c>
      <c r="C1228" t="s">
        <v>336</v>
      </c>
      <c r="D1228" s="2"/>
      <c r="E1228" s="2"/>
      <c r="F1228" s="2"/>
      <c r="G1228" s="2"/>
      <c r="H1228" s="2"/>
      <c r="I1228" s="2"/>
      <c r="J1228" s="2"/>
      <c r="K1228" s="2"/>
      <c r="L1228" s="2"/>
    </row>
    <row r="1229" spans="1:12" customFormat="1" ht="16" x14ac:dyDescent="0.2">
      <c r="A1229" t="s">
        <v>344</v>
      </c>
      <c r="B1229" s="32">
        <f>INDEX(Parameters!$B$6:$AL$57,MATCH(Inventories!$B$1185,Parameters!$A$6:$A$57,0),MATCH(Inventories!$A1229,Parameters!$B$4:$AL$4,0))</f>
        <v>0</v>
      </c>
      <c r="C1229" t="s">
        <v>345</v>
      </c>
      <c r="D1229" s="2"/>
      <c r="E1229" s="2"/>
      <c r="F1229" s="2"/>
      <c r="G1229" s="2"/>
      <c r="H1229" s="2"/>
      <c r="I1229" s="2"/>
      <c r="J1229" s="2"/>
      <c r="K1229" s="2"/>
      <c r="L1229" s="2"/>
    </row>
    <row r="1230" spans="1:12" customFormat="1" ht="16" x14ac:dyDescent="0.2">
      <c r="A1230" t="s">
        <v>343</v>
      </c>
      <c r="B1230" s="32">
        <f>INDEX(Parameters!$B$6:$AL$57,MATCH(Inventories!$B$1185,Parameters!$A$6:$A$57,0),MATCH(Inventories!$A1230,Parameters!$B$4:$AL$4,0))</f>
        <v>0</v>
      </c>
      <c r="C1230" t="s">
        <v>345</v>
      </c>
      <c r="D1230" s="2"/>
      <c r="E1230" s="2"/>
      <c r="F1230" s="2"/>
      <c r="G1230" s="2"/>
      <c r="H1230" s="2"/>
      <c r="I1230" s="2"/>
      <c r="J1230" s="2"/>
      <c r="K1230" s="2"/>
      <c r="L1230" s="2"/>
    </row>
    <row r="1231" spans="1:12" customFormat="1" ht="16" x14ac:dyDescent="0.2">
      <c r="A1231" s="1" t="s">
        <v>10</v>
      </c>
    </row>
    <row r="1232" spans="1:12" x14ac:dyDescent="0.2">
      <c r="A1232" s="17" t="s">
        <v>11</v>
      </c>
      <c r="B1232" s="17" t="s">
        <v>12</v>
      </c>
      <c r="C1232" s="17" t="s">
        <v>3</v>
      </c>
      <c r="D1232" s="17" t="s">
        <v>13</v>
      </c>
      <c r="E1232" s="17" t="s">
        <v>8</v>
      </c>
      <c r="F1232" s="17" t="s">
        <v>6</v>
      </c>
      <c r="G1232" s="17" t="s">
        <v>5</v>
      </c>
      <c r="H1232" s="17" t="s">
        <v>151</v>
      </c>
      <c r="I1232" s="17" t="s">
        <v>179</v>
      </c>
      <c r="J1232" s="17" t="s">
        <v>180</v>
      </c>
      <c r="K1232" s="17" t="s">
        <v>181</v>
      </c>
      <c r="L1232" s="17" t="s">
        <v>182</v>
      </c>
    </row>
    <row r="1233" spans="1:13" customFormat="1" ht="16" x14ac:dyDescent="0.2">
      <c r="A1233" t="s">
        <v>208</v>
      </c>
      <c r="B1233">
        <v>1</v>
      </c>
      <c r="C1233" t="s">
        <v>18</v>
      </c>
      <c r="D1233" s="2"/>
      <c r="E1233" t="s">
        <v>17</v>
      </c>
      <c r="F1233" t="s">
        <v>19</v>
      </c>
      <c r="G1233" t="s">
        <v>142</v>
      </c>
      <c r="M1233" s="2"/>
    </row>
    <row r="1234" spans="1:13" customFormat="1" ht="16" x14ac:dyDescent="0.2">
      <c r="A1234" t="s">
        <v>140</v>
      </c>
      <c r="B1234" s="3">
        <f>1/3.6</f>
        <v>0.27777777777777779</v>
      </c>
      <c r="C1234" t="s">
        <v>18</v>
      </c>
      <c r="D1234" s="2"/>
      <c r="E1234" t="s">
        <v>141</v>
      </c>
      <c r="F1234" t="s">
        <v>23</v>
      </c>
      <c r="G1234" t="s">
        <v>142</v>
      </c>
      <c r="M1234" s="2"/>
    </row>
    <row r="1235" spans="1:13" customFormat="1" ht="16" x14ac:dyDescent="0.2">
      <c r="A1235" t="s">
        <v>183</v>
      </c>
      <c r="B1235" s="3">
        <f>(B1226/B1197)/(B1200/1000)</f>
        <v>9.6006144393241167E-6</v>
      </c>
      <c r="C1235" t="s">
        <v>114</v>
      </c>
      <c r="D1235" s="2"/>
      <c r="E1235" t="s">
        <v>9</v>
      </c>
      <c r="F1235" t="s">
        <v>23</v>
      </c>
      <c r="G1235" t="s">
        <v>184</v>
      </c>
      <c r="M1235" s="2"/>
    </row>
    <row r="1236" spans="1:13" customFormat="1" ht="16" x14ac:dyDescent="0.2">
      <c r="A1236" t="s">
        <v>146</v>
      </c>
      <c r="B1236" s="3">
        <f>(B1203/B1197)/(B1200/1000)</f>
        <v>4.8003072196620584E-5</v>
      </c>
      <c r="C1236" t="s">
        <v>114</v>
      </c>
      <c r="D1236" s="2"/>
      <c r="E1236" t="s">
        <v>9</v>
      </c>
      <c r="F1236" t="s">
        <v>23</v>
      </c>
      <c r="G1236" t="s">
        <v>147</v>
      </c>
      <c r="I1236">
        <v>5</v>
      </c>
      <c r="J1236">
        <f t="shared" ref="J1236:J1239" si="0">B1236</f>
        <v>4.8003072196620584E-5</v>
      </c>
      <c r="K1236" s="3">
        <f>(B1204/B1199)/(B1202/1000)</f>
        <v>1.3675213675213676E-5</v>
      </c>
      <c r="L1236" s="3">
        <f>(B1205/B1198)/(B1201/1000)</f>
        <v>1.7299578059071729E-4</v>
      </c>
      <c r="M1236" s="2"/>
    </row>
    <row r="1237" spans="1:13" customFormat="1" ht="16" x14ac:dyDescent="0.2">
      <c r="A1237" t="s">
        <v>185</v>
      </c>
      <c r="B1237" s="3">
        <f>(B1228/B1197)/(B1200/1000)</f>
        <v>5.76036866359447E-6</v>
      </c>
      <c r="C1237" t="s">
        <v>114</v>
      </c>
      <c r="D1237" s="2"/>
      <c r="E1237" t="s">
        <v>9</v>
      </c>
      <c r="F1237" t="s">
        <v>23</v>
      </c>
      <c r="G1237" t="s">
        <v>186</v>
      </c>
      <c r="M1237" s="2"/>
    </row>
    <row r="1238" spans="1:13" customFormat="1" ht="16" x14ac:dyDescent="0.2">
      <c r="A1238" t="s">
        <v>187</v>
      </c>
      <c r="B1238" s="3">
        <f>(B1225/B1197)/(B1200/1000)</f>
        <v>1.3824884792626727E-5</v>
      </c>
      <c r="C1238" t="s">
        <v>114</v>
      </c>
      <c r="D1238" s="2"/>
      <c r="E1238" t="s">
        <v>9</v>
      </c>
      <c r="F1238" t="s">
        <v>23</v>
      </c>
      <c r="G1238" t="s">
        <v>188</v>
      </c>
      <c r="M1238" s="2"/>
    </row>
    <row r="1239" spans="1:13" customFormat="1" ht="16" x14ac:dyDescent="0.2">
      <c r="A1239" t="s">
        <v>189</v>
      </c>
      <c r="B1239" s="3">
        <f>(B1212/B1197)/(B1200/1000)</f>
        <v>1.6129032258064513E-4</v>
      </c>
      <c r="C1239" s="2" t="s">
        <v>114</v>
      </c>
      <c r="D1239" s="2"/>
      <c r="E1239" t="s">
        <v>141</v>
      </c>
      <c r="F1239" t="s">
        <v>23</v>
      </c>
      <c r="G1239" t="s">
        <v>190</v>
      </c>
      <c r="I1239">
        <v>5</v>
      </c>
      <c r="J1239" s="3">
        <f t="shared" si="0"/>
        <v>1.6129032258064513E-4</v>
      </c>
      <c r="K1239" s="3">
        <f>(B1213/B1199)/(B1202/1000)</f>
        <v>3.3333333333333335E-5</v>
      </c>
      <c r="L1239" s="3">
        <f>(B1214/B1198)/(B1201/1000)</f>
        <v>6.8776371308016868E-4</v>
      </c>
      <c r="M1239" s="2"/>
    </row>
    <row r="1240" spans="1:13" customFormat="1" ht="16" x14ac:dyDescent="0.2">
      <c r="A1240" t="s">
        <v>191</v>
      </c>
      <c r="B1240" s="3">
        <f>(B1224/B1197)/(B1200/1000)</f>
        <v>1.3824884792626727E-5</v>
      </c>
      <c r="C1240" t="s">
        <v>114</v>
      </c>
      <c r="E1240" t="s">
        <v>9</v>
      </c>
      <c r="F1240" t="s">
        <v>23</v>
      </c>
      <c r="G1240" t="s">
        <v>192</v>
      </c>
      <c r="H1240" s="2" t="s">
        <v>370</v>
      </c>
    </row>
    <row r="1241" spans="1:13" customFormat="1" ht="16" x14ac:dyDescent="0.2">
      <c r="A1241" t="s">
        <v>210</v>
      </c>
      <c r="B1241" s="3">
        <f>(1/20)/B1197/(B1200/1000)</f>
        <v>1.9201228878648235E-8</v>
      </c>
      <c r="C1241" t="s">
        <v>18</v>
      </c>
      <c r="D1241" s="2"/>
      <c r="E1241" t="s">
        <v>8</v>
      </c>
      <c r="F1241" t="s">
        <v>23</v>
      </c>
      <c r="G1241" t="s">
        <v>210</v>
      </c>
      <c r="H1241" t="s">
        <v>376</v>
      </c>
      <c r="M1241" s="2"/>
    </row>
    <row r="1242" spans="1:13" customFormat="1" ht="16" x14ac:dyDescent="0.2">
      <c r="B1242" s="3"/>
    </row>
    <row r="1243" spans="1:13" x14ac:dyDescent="0.2">
      <c r="A1243" s="17" t="s">
        <v>2</v>
      </c>
      <c r="B1243" s="17" t="s">
        <v>210</v>
      </c>
    </row>
    <row r="1244" spans="1:13" customFormat="1" ht="16" x14ac:dyDescent="0.2">
      <c r="A1244" t="s">
        <v>151</v>
      </c>
      <c r="B1244" t="s">
        <v>211</v>
      </c>
    </row>
    <row r="1245" spans="1:13" customFormat="1" ht="16" x14ac:dyDescent="0.2">
      <c r="A1245" t="s">
        <v>198</v>
      </c>
      <c r="B1245" t="s">
        <v>212</v>
      </c>
    </row>
    <row r="1246" spans="1:13" customFormat="1" ht="16" x14ac:dyDescent="0.2">
      <c r="A1246" t="s">
        <v>3</v>
      </c>
      <c r="B1246" t="s">
        <v>18</v>
      </c>
    </row>
    <row r="1247" spans="1:13" customFormat="1" ht="16" x14ac:dyDescent="0.2">
      <c r="A1247" t="s">
        <v>4</v>
      </c>
      <c r="B1247">
        <v>1</v>
      </c>
    </row>
    <row r="1248" spans="1:13" customFormat="1" ht="16" x14ac:dyDescent="0.2">
      <c r="A1248" t="s">
        <v>5</v>
      </c>
      <c r="B1248" t="s">
        <v>210</v>
      </c>
    </row>
    <row r="1249" spans="1:7" customFormat="1" ht="16" x14ac:dyDescent="0.2">
      <c r="A1249" t="s">
        <v>204</v>
      </c>
      <c r="B1249" t="s">
        <v>213</v>
      </c>
    </row>
    <row r="1250" spans="1:7" customFormat="1" ht="16" x14ac:dyDescent="0.2">
      <c r="A1250" t="s">
        <v>214</v>
      </c>
      <c r="B1250" t="s">
        <v>211</v>
      </c>
    </row>
    <row r="1251" spans="1:7" customFormat="1" ht="16" x14ac:dyDescent="0.2">
      <c r="A1251" t="s">
        <v>6</v>
      </c>
      <c r="B1251" t="s">
        <v>7</v>
      </c>
    </row>
    <row r="1252" spans="1:7" customFormat="1" ht="16" x14ac:dyDescent="0.2">
      <c r="A1252" t="s">
        <v>8</v>
      </c>
      <c r="B1252" t="s">
        <v>8</v>
      </c>
    </row>
    <row r="1253" spans="1:7" customFormat="1" ht="16" x14ac:dyDescent="0.2">
      <c r="A1253" s="1" t="s">
        <v>10</v>
      </c>
    </row>
    <row r="1254" spans="1:7" x14ac:dyDescent="0.2">
      <c r="A1254" s="17" t="s">
        <v>11</v>
      </c>
      <c r="B1254" s="17" t="s">
        <v>12</v>
      </c>
      <c r="C1254" s="17" t="s">
        <v>3</v>
      </c>
      <c r="D1254" s="17" t="s">
        <v>13</v>
      </c>
      <c r="E1254" s="17" t="s">
        <v>8</v>
      </c>
      <c r="F1254" s="17" t="s">
        <v>6</v>
      </c>
      <c r="G1254" s="17" t="s">
        <v>5</v>
      </c>
    </row>
    <row r="1255" spans="1:7" customFormat="1" ht="16" x14ac:dyDescent="0.2">
      <c r="A1255" t="s">
        <v>210</v>
      </c>
      <c r="B1255">
        <v>1</v>
      </c>
      <c r="C1255" t="s">
        <v>18</v>
      </c>
      <c r="D1255" s="2"/>
      <c r="E1255" t="s">
        <v>8</v>
      </c>
      <c r="F1255" t="s">
        <v>19</v>
      </c>
      <c r="G1255" t="s">
        <v>210</v>
      </c>
    </row>
    <row r="1256" spans="1:7" customFormat="1" ht="16" x14ac:dyDescent="0.2">
      <c r="A1256" t="s">
        <v>215</v>
      </c>
      <c r="B1256">
        <v>4.3</v>
      </c>
      <c r="C1256" t="s">
        <v>18</v>
      </c>
      <c r="D1256" s="2"/>
      <c r="E1256" t="s">
        <v>8</v>
      </c>
      <c r="F1256" t="s">
        <v>23</v>
      </c>
      <c r="G1256" t="s">
        <v>215</v>
      </c>
    </row>
    <row r="1257" spans="1:7" customFormat="1" ht="16" x14ac:dyDescent="0.2">
      <c r="A1257" t="s">
        <v>216</v>
      </c>
      <c r="B1257">
        <v>1</v>
      </c>
      <c r="C1257" t="s">
        <v>18</v>
      </c>
      <c r="D1257" s="2"/>
      <c r="E1257" t="s">
        <v>8</v>
      </c>
      <c r="F1257" t="s">
        <v>23</v>
      </c>
      <c r="G1257" t="s">
        <v>216</v>
      </c>
    </row>
    <row r="1258" spans="1:7" customFormat="1" ht="16" x14ac:dyDescent="0.2">
      <c r="A1258" t="s">
        <v>217</v>
      </c>
      <c r="B1258">
        <v>1</v>
      </c>
      <c r="C1258" t="s">
        <v>18</v>
      </c>
      <c r="D1258" s="2"/>
      <c r="E1258" t="s">
        <v>8</v>
      </c>
      <c r="F1258" t="s">
        <v>23</v>
      </c>
      <c r="G1258" t="s">
        <v>217</v>
      </c>
    </row>
    <row r="1259" spans="1:7" customFormat="1" ht="16" x14ac:dyDescent="0.2"/>
    <row r="1260" spans="1:7" x14ac:dyDescent="0.2">
      <c r="A1260" s="17" t="s">
        <v>2</v>
      </c>
      <c r="B1260" s="17" t="s">
        <v>299</v>
      </c>
    </row>
    <row r="1261" spans="1:7" customFormat="1" ht="16" x14ac:dyDescent="0.2">
      <c r="A1261" t="s">
        <v>151</v>
      </c>
      <c r="B1261" t="s">
        <v>218</v>
      </c>
    </row>
    <row r="1262" spans="1:7" customFormat="1" ht="16" x14ac:dyDescent="0.2">
      <c r="A1262" t="s">
        <v>198</v>
      </c>
      <c r="B1262" t="s">
        <v>199</v>
      </c>
    </row>
    <row r="1263" spans="1:7" customFormat="1" ht="16" x14ac:dyDescent="0.2">
      <c r="A1263" t="s">
        <v>3</v>
      </c>
      <c r="B1263" t="s">
        <v>18</v>
      </c>
    </row>
    <row r="1264" spans="1:7" customFormat="1" ht="16" x14ac:dyDescent="0.2">
      <c r="A1264" t="s">
        <v>4</v>
      </c>
      <c r="B1264">
        <v>1</v>
      </c>
    </row>
    <row r="1265" spans="1:12" customFormat="1" ht="16" x14ac:dyDescent="0.2">
      <c r="A1265" t="s">
        <v>5</v>
      </c>
      <c r="B1265" t="s">
        <v>1</v>
      </c>
    </row>
    <row r="1266" spans="1:12" customFormat="1" ht="16" x14ac:dyDescent="0.2">
      <c r="A1266" t="s">
        <v>204</v>
      </c>
      <c r="B1266" t="s">
        <v>205</v>
      </c>
    </row>
    <row r="1267" spans="1:12" customFormat="1" ht="16" x14ac:dyDescent="0.2">
      <c r="A1267" t="s">
        <v>6</v>
      </c>
      <c r="B1267" t="s">
        <v>7</v>
      </c>
    </row>
    <row r="1268" spans="1:12" customFormat="1" ht="16" x14ac:dyDescent="0.2">
      <c r="A1268" t="s">
        <v>8</v>
      </c>
      <c r="B1268" t="s">
        <v>17</v>
      </c>
    </row>
    <row r="1269" spans="1:12" customFormat="1" ht="16" x14ac:dyDescent="0.2">
      <c r="A1269" t="s">
        <v>352</v>
      </c>
      <c r="B1269" s="2">
        <f>INDEX(Parameters!$B$6:$AL$57,MATCH(Inventories!$B$1260,Parameters!$A$6:$A$57,0),MATCH(Inventories!$A1269,Parameters!$B$4:$AL$4,0))</f>
        <v>185</v>
      </c>
      <c r="C1269" t="s">
        <v>312</v>
      </c>
      <c r="D1269" s="2"/>
      <c r="E1269" s="2"/>
      <c r="F1269" s="2"/>
      <c r="G1269" s="2"/>
      <c r="H1269" s="2"/>
      <c r="I1269" s="2"/>
      <c r="J1269" s="2"/>
      <c r="K1269" s="2"/>
      <c r="L1269" s="2"/>
    </row>
    <row r="1270" spans="1:12" customFormat="1" ht="16" x14ac:dyDescent="0.2">
      <c r="A1270" t="s">
        <v>353</v>
      </c>
      <c r="B1270" s="2">
        <f>INDEX(Parameters!$B$6:$AL$57,MATCH(Inventories!$B$1260,Parameters!$A$6:$A$57,0),MATCH(Inventories!$A1270,Parameters!$B$4:$AL$4,0))</f>
        <v>117</v>
      </c>
      <c r="C1270" t="s">
        <v>312</v>
      </c>
      <c r="D1270" s="2"/>
      <c r="E1270" s="2"/>
      <c r="F1270" s="2"/>
      <c r="G1270" s="2"/>
      <c r="H1270" s="2"/>
      <c r="I1270" s="2"/>
      <c r="J1270" s="2"/>
      <c r="K1270" s="2"/>
      <c r="L1270" s="2"/>
    </row>
    <row r="1271" spans="1:12" customFormat="1" ht="16" x14ac:dyDescent="0.2">
      <c r="A1271" t="s">
        <v>354</v>
      </c>
      <c r="B1271" s="2">
        <f>INDEX(Parameters!$B$6:$AL$57,MATCH(Inventories!$B$1260,Parameters!$A$6:$A$57,0),MATCH(Inventories!$A1271,Parameters!$B$4:$AL$4,0))</f>
        <v>228</v>
      </c>
      <c r="C1271" t="s">
        <v>312</v>
      </c>
      <c r="D1271" s="2"/>
      <c r="E1271" s="2"/>
      <c r="F1271" s="2"/>
      <c r="G1271" s="2"/>
      <c r="H1271" s="2"/>
      <c r="I1271" s="2"/>
      <c r="J1271" s="2"/>
      <c r="K1271" s="2"/>
      <c r="L1271" s="2"/>
    </row>
    <row r="1272" spans="1:12" customFormat="1" ht="16" x14ac:dyDescent="0.2">
      <c r="A1272" t="s">
        <v>316</v>
      </c>
      <c r="B1272" s="24">
        <f>INDEX(Parameters!$B$6:$AL$57,MATCH(Inventories!$B$1260,Parameters!$A$6:$A$57,0),MATCH(Inventories!$A1272,Parameters!$B$4:$AL$4,0))</f>
        <v>700000</v>
      </c>
      <c r="C1272" t="s">
        <v>313</v>
      </c>
      <c r="D1272" s="2"/>
      <c r="E1272" s="2"/>
      <c r="F1272" s="2"/>
      <c r="G1272" s="2"/>
      <c r="H1272" s="2"/>
      <c r="I1272" s="2"/>
      <c r="J1272" s="2"/>
      <c r="K1272" s="2"/>
      <c r="L1272" s="2"/>
    </row>
    <row r="1273" spans="1:12" customFormat="1" ht="16" x14ac:dyDescent="0.2">
      <c r="A1273" t="s">
        <v>317</v>
      </c>
      <c r="B1273" s="24">
        <f>INDEX(Parameters!$B$6:$AL$57,MATCH(Inventories!$B$1260,Parameters!$A$6:$A$57,0),MATCH(Inventories!$A1273,Parameters!$B$4:$AL$4,0))</f>
        <v>500000</v>
      </c>
      <c r="C1273" t="s">
        <v>313</v>
      </c>
      <c r="D1273" s="2"/>
      <c r="E1273" s="2"/>
      <c r="F1273" s="2"/>
      <c r="G1273" s="2"/>
      <c r="H1273" s="2"/>
      <c r="I1273" s="2"/>
      <c r="J1273" s="2"/>
      <c r="K1273" s="2"/>
      <c r="L1273" s="2"/>
    </row>
    <row r="1274" spans="1:12" customFormat="1" ht="16" x14ac:dyDescent="0.2">
      <c r="A1274" t="s">
        <v>318</v>
      </c>
      <c r="B1274" s="24">
        <f>INDEX(Parameters!$B$6:$AL$57,MATCH(Inventories!$B$1260,Parameters!$A$6:$A$57,0),MATCH(Inventories!$A1274,Parameters!$B$4:$AL$4,0))</f>
        <v>1000000</v>
      </c>
      <c r="C1274" t="s">
        <v>313</v>
      </c>
      <c r="D1274" s="2"/>
      <c r="E1274" s="2"/>
      <c r="F1274" s="2"/>
      <c r="G1274" s="2"/>
      <c r="H1274" s="2"/>
      <c r="I1274" s="2"/>
      <c r="J1274" s="2"/>
      <c r="K1274" s="2"/>
      <c r="L1274" s="2"/>
    </row>
    <row r="1275" spans="1:12" customFormat="1" ht="16" x14ac:dyDescent="0.2">
      <c r="A1275" t="s">
        <v>319</v>
      </c>
      <c r="B1275" s="2">
        <f>INDEX(Parameters!$B$6:$AL$57,MATCH(Inventories!$B$1260,Parameters!$A$6:$A$57,0),MATCH(Inventories!$A1275,Parameters!$B$4:$AL$4,0))</f>
        <v>4580</v>
      </c>
      <c r="C1275" t="s">
        <v>314</v>
      </c>
      <c r="D1275" s="2"/>
      <c r="E1275" s="2"/>
      <c r="F1275" s="2"/>
      <c r="G1275" s="2"/>
      <c r="H1275" s="2"/>
      <c r="I1275" s="2"/>
      <c r="J1275" s="2"/>
      <c r="K1275" s="2"/>
      <c r="L1275" s="2"/>
    </row>
    <row r="1276" spans="1:12" customFormat="1" ht="16" x14ac:dyDescent="0.2">
      <c r="A1276" t="s">
        <v>320</v>
      </c>
      <c r="B1276" s="2">
        <f>INDEX(Parameters!$B$6:$AL$57,MATCH(Inventories!$B$1260,Parameters!$A$6:$A$57,0),MATCH(Inventories!$A1276,Parameters!$B$4:$AL$4,0))</f>
        <v>2930</v>
      </c>
      <c r="C1276" t="s">
        <v>314</v>
      </c>
      <c r="D1276" s="2"/>
      <c r="E1276" s="2"/>
      <c r="F1276" s="2"/>
      <c r="G1276" s="2"/>
      <c r="H1276" s="2"/>
      <c r="I1276" s="2"/>
      <c r="J1276" s="2"/>
      <c r="K1276" s="2"/>
      <c r="L1276" s="2"/>
    </row>
    <row r="1277" spans="1:12" customFormat="1" ht="16" x14ac:dyDescent="0.2">
      <c r="A1277" t="s">
        <v>321</v>
      </c>
      <c r="B1277" s="2">
        <f>INDEX(Parameters!$B$6:$AL$57,MATCH(Inventories!$B$1260,Parameters!$A$6:$A$57,0),MATCH(Inventories!$A1277,Parameters!$B$4:$AL$4,0))</f>
        <v>5170</v>
      </c>
      <c r="C1277" t="s">
        <v>314</v>
      </c>
      <c r="D1277" s="2"/>
      <c r="E1277" s="2"/>
      <c r="F1277" s="2"/>
      <c r="G1277" s="2"/>
      <c r="H1277" s="2"/>
      <c r="I1277" s="2"/>
      <c r="J1277" s="2"/>
      <c r="K1277" s="2"/>
      <c r="L1277" s="2"/>
    </row>
    <row r="1278" spans="1:12" customFormat="1" ht="16" x14ac:dyDescent="0.2">
      <c r="A1278" t="s">
        <v>337</v>
      </c>
      <c r="B1278" s="2">
        <f>INDEX(Parameters!$B$6:$AL$57,MATCH(Inventories!$B$1260,Parameters!$A$6:$A$57,0),MATCH(Inventories!$A1278,Parameters!$B$4:$AL$4,0))</f>
        <v>107</v>
      </c>
      <c r="C1278" t="s">
        <v>336</v>
      </c>
      <c r="D1278" s="2"/>
      <c r="E1278" s="2"/>
      <c r="F1278" s="2"/>
      <c r="G1278" s="2"/>
      <c r="H1278" s="2"/>
      <c r="I1278" s="2"/>
      <c r="J1278" s="2"/>
      <c r="K1278" s="2"/>
      <c r="L1278" s="2"/>
    </row>
    <row r="1279" spans="1:12" customFormat="1" ht="16" x14ac:dyDescent="0.2">
      <c r="A1279" t="s">
        <v>338</v>
      </c>
      <c r="B1279" s="2">
        <f>INDEX(Parameters!$B$6:$AL$57,MATCH(Inventories!$B$1260,Parameters!$A$6:$A$57,0),MATCH(Inventories!$A1279,Parameters!$B$4:$AL$4,0))</f>
        <v>61</v>
      </c>
      <c r="C1279" t="s">
        <v>336</v>
      </c>
      <c r="D1279" s="2"/>
      <c r="E1279" s="2"/>
      <c r="F1279" s="2"/>
      <c r="G1279" s="2"/>
      <c r="H1279" s="2"/>
      <c r="I1279" s="2"/>
      <c r="J1279" s="2"/>
      <c r="K1279" s="2"/>
      <c r="L1279" s="2"/>
    </row>
    <row r="1280" spans="1:12" customFormat="1" ht="16" x14ac:dyDescent="0.2">
      <c r="A1280" t="s">
        <v>339</v>
      </c>
      <c r="B1280" s="2">
        <f>INDEX(Parameters!$B$6:$AL$57,MATCH(Inventories!$B$1260,Parameters!$A$6:$A$57,0),MATCH(Inventories!$A1280,Parameters!$B$4:$AL$4,0))</f>
        <v>146</v>
      </c>
      <c r="C1280" t="s">
        <v>336</v>
      </c>
      <c r="D1280" s="2"/>
      <c r="E1280" s="2"/>
      <c r="F1280" s="2"/>
      <c r="G1280" s="2"/>
      <c r="H1280" s="2"/>
      <c r="I1280" s="2"/>
      <c r="J1280" s="2"/>
      <c r="K1280" s="2"/>
      <c r="L1280" s="2"/>
    </row>
    <row r="1281" spans="1:12" customFormat="1" ht="16" x14ac:dyDescent="0.2">
      <c r="A1281" t="s">
        <v>340</v>
      </c>
      <c r="B1281" s="2">
        <f>INDEX(Parameters!$B$6:$AL$57,MATCH(Inventories!$B$1260,Parameters!$A$6:$A$57,0),MATCH(Inventories!$A1281,Parameters!$B$4:$AL$4,0))</f>
        <v>0</v>
      </c>
      <c r="C1281" t="s">
        <v>336</v>
      </c>
      <c r="D1281" s="2"/>
      <c r="E1281" s="2"/>
      <c r="F1281" s="2"/>
      <c r="G1281" s="2"/>
      <c r="H1281" s="2"/>
      <c r="I1281" s="2"/>
      <c r="J1281" s="2"/>
      <c r="K1281" s="2"/>
      <c r="L1281" s="2"/>
    </row>
    <row r="1282" spans="1:12" customFormat="1" ht="16" x14ac:dyDescent="0.2">
      <c r="A1282" t="s">
        <v>341</v>
      </c>
      <c r="B1282" s="2">
        <f>INDEX(Parameters!$B$6:$AL$57,MATCH(Inventories!$B$1260,Parameters!$A$6:$A$57,0),MATCH(Inventories!$A1282,Parameters!$B$4:$AL$4,0))</f>
        <v>0</v>
      </c>
      <c r="C1282" t="s">
        <v>336</v>
      </c>
      <c r="D1282" s="2"/>
      <c r="E1282" s="2"/>
      <c r="F1282" s="2"/>
      <c r="G1282" s="2"/>
      <c r="H1282" s="2"/>
      <c r="I1282" s="2"/>
      <c r="J1282" s="2"/>
      <c r="K1282" s="2"/>
      <c r="L1282" s="2"/>
    </row>
    <row r="1283" spans="1:12" customFormat="1" ht="16" x14ac:dyDescent="0.2">
      <c r="A1283" t="s">
        <v>342</v>
      </c>
      <c r="B1283" s="2">
        <f>INDEX(Parameters!$B$6:$AL$57,MATCH(Inventories!$B$1260,Parameters!$A$6:$A$57,0),MATCH(Inventories!$A1283,Parameters!$B$4:$AL$4,0))</f>
        <v>0</v>
      </c>
      <c r="C1283" t="s">
        <v>336</v>
      </c>
      <c r="D1283" s="2"/>
      <c r="E1283" s="2"/>
      <c r="F1283" s="2"/>
      <c r="G1283" s="2"/>
      <c r="H1283" s="2"/>
      <c r="I1283" s="2"/>
      <c r="J1283" s="2"/>
      <c r="K1283" s="2"/>
      <c r="L1283" s="2"/>
    </row>
    <row r="1284" spans="1:12" customFormat="1" ht="16" x14ac:dyDescent="0.2">
      <c r="A1284" t="s">
        <v>333</v>
      </c>
      <c r="B1284" s="2">
        <f>INDEX(Parameters!$B$6:$AL$57,MATCH(Inventories!$B$1260,Parameters!$A$6:$A$57,0),MATCH(Inventories!$A1284,Parameters!$B$4:$AL$4,0))</f>
        <v>242</v>
      </c>
      <c r="C1284" t="s">
        <v>336</v>
      </c>
      <c r="D1284" s="2"/>
      <c r="E1284" s="2"/>
      <c r="F1284" s="2"/>
      <c r="G1284" s="2"/>
      <c r="H1284" s="2"/>
      <c r="I1284" s="2"/>
      <c r="J1284" s="2"/>
      <c r="K1284" s="2"/>
      <c r="L1284" s="2"/>
    </row>
    <row r="1285" spans="1:12" customFormat="1" ht="16" x14ac:dyDescent="0.2">
      <c r="A1285" t="s">
        <v>334</v>
      </c>
      <c r="B1285" s="2">
        <f>INDEX(Parameters!$B$6:$AL$57,MATCH(Inventories!$B$1260,Parameters!$A$6:$A$57,0),MATCH(Inventories!$A1285,Parameters!$B$4:$AL$4,0))</f>
        <v>181</v>
      </c>
      <c r="C1285" t="s">
        <v>336</v>
      </c>
      <c r="D1285" s="2"/>
      <c r="E1285" s="2"/>
      <c r="F1285" s="2"/>
      <c r="G1285" s="2"/>
      <c r="H1285" s="2"/>
      <c r="I1285" s="2"/>
      <c r="J1285" s="2"/>
      <c r="K1285" s="2"/>
      <c r="L1285" s="2"/>
    </row>
    <row r="1286" spans="1:12" customFormat="1" ht="16" x14ac:dyDescent="0.2">
      <c r="A1286" t="s">
        <v>335</v>
      </c>
      <c r="B1286" s="2">
        <f>INDEX(Parameters!$B$6:$AL$57,MATCH(Inventories!$B$1260,Parameters!$A$6:$A$57,0),MATCH(Inventories!$A1286,Parameters!$B$4:$AL$4,0))</f>
        <v>362</v>
      </c>
      <c r="C1286" t="s">
        <v>336</v>
      </c>
      <c r="D1286" s="2"/>
      <c r="E1286" s="2"/>
      <c r="F1286" s="2"/>
      <c r="G1286" s="2"/>
      <c r="H1286" s="2"/>
      <c r="I1286" s="2"/>
      <c r="J1286" s="2"/>
      <c r="K1286" s="2"/>
      <c r="L1286" s="2"/>
    </row>
    <row r="1287" spans="1:12" customFormat="1" ht="16" x14ac:dyDescent="0.2">
      <c r="A1287" t="s">
        <v>322</v>
      </c>
      <c r="B1287" s="2">
        <f>INDEX(Parameters!$B$6:$AL$57,MATCH(Inventories!$B$1260,Parameters!$A$6:$A$57,0),MATCH(Inventories!$A1287,Parameters!$B$4:$AL$4,0))</f>
        <v>49</v>
      </c>
      <c r="C1287" t="s">
        <v>315</v>
      </c>
      <c r="D1287" s="2"/>
      <c r="E1287" s="2"/>
      <c r="F1287" s="2"/>
      <c r="G1287" s="2"/>
      <c r="H1287" s="2"/>
      <c r="I1287" s="2"/>
      <c r="J1287" s="2"/>
      <c r="K1287" s="2"/>
      <c r="L1287" s="2"/>
    </row>
    <row r="1288" spans="1:12" customFormat="1" ht="16" x14ac:dyDescent="0.2">
      <c r="A1288" t="s">
        <v>323</v>
      </c>
      <c r="B1288" s="2">
        <f>INDEX(Parameters!$B$6:$AL$57,MATCH(Inventories!$B$1260,Parameters!$A$6:$A$57,0),MATCH(Inventories!$A1288,Parameters!$B$4:$AL$4,0))</f>
        <v>35</v>
      </c>
      <c r="C1288" t="s">
        <v>315</v>
      </c>
      <c r="D1288" s="2"/>
      <c r="E1288" s="2"/>
      <c r="F1288" s="2"/>
      <c r="G1288" s="2"/>
      <c r="H1288" s="2"/>
      <c r="I1288" s="2"/>
      <c r="J1288" s="2"/>
      <c r="K1288" s="2"/>
      <c r="L1288" s="2"/>
    </row>
    <row r="1289" spans="1:12" customFormat="1" ht="16" x14ac:dyDescent="0.2">
      <c r="A1289" t="s">
        <v>324</v>
      </c>
      <c r="B1289" s="2">
        <f>INDEX(Parameters!$B$6:$AL$57,MATCH(Inventories!$B$1260,Parameters!$A$6:$A$57,0),MATCH(Inventories!$A1289,Parameters!$B$4:$AL$4,0))</f>
        <v>65</v>
      </c>
      <c r="C1289" t="s">
        <v>315</v>
      </c>
      <c r="D1289" s="2"/>
      <c r="E1289" s="2"/>
      <c r="F1289" s="2"/>
      <c r="G1289" s="2"/>
      <c r="H1289" s="2"/>
      <c r="I1289" s="2"/>
      <c r="J1289" s="2"/>
      <c r="K1289" s="2"/>
      <c r="L1289" s="2"/>
    </row>
    <row r="1290" spans="1:12" customFormat="1" ht="16" x14ac:dyDescent="0.2">
      <c r="A1290" t="s">
        <v>330</v>
      </c>
      <c r="B1290" s="2">
        <f>INDEX(Parameters!$B$6:$AL$57,MATCH(Inventories!$B$1260,Parameters!$A$6:$A$57,0),MATCH(Inventories!$A1290,Parameters!$B$4:$AL$4,0))</f>
        <v>0</v>
      </c>
      <c r="C1290" t="s">
        <v>8</v>
      </c>
      <c r="D1290" s="2"/>
      <c r="E1290" s="2"/>
      <c r="F1290" s="2"/>
      <c r="G1290" s="2"/>
      <c r="H1290" s="2"/>
      <c r="I1290" s="2"/>
      <c r="J1290" s="2"/>
      <c r="K1290" s="2"/>
      <c r="L1290" s="2"/>
    </row>
    <row r="1291" spans="1:12" customFormat="1" ht="16" x14ac:dyDescent="0.2">
      <c r="A1291" t="s">
        <v>331</v>
      </c>
      <c r="B1291" s="2">
        <f>INDEX(Parameters!$B$6:$AL$57,MATCH(Inventories!$B$1260,Parameters!$A$6:$A$57,0),MATCH(Inventories!$A1291,Parameters!$B$4:$AL$4,0))</f>
        <v>0</v>
      </c>
      <c r="C1291" t="s">
        <v>8</v>
      </c>
      <c r="D1291" s="2"/>
      <c r="E1291" s="2"/>
      <c r="F1291" s="2"/>
      <c r="G1291" s="2"/>
      <c r="H1291" s="2"/>
      <c r="I1291" s="2"/>
      <c r="J1291" s="2"/>
      <c r="K1291" s="2"/>
      <c r="L1291" s="2"/>
    </row>
    <row r="1292" spans="1:12" customFormat="1" ht="16" x14ac:dyDescent="0.2">
      <c r="A1292" t="s">
        <v>332</v>
      </c>
      <c r="B1292" s="2">
        <f>INDEX(Parameters!$B$6:$AL$57,MATCH(Inventories!$B$1260,Parameters!$A$6:$A$57,0),MATCH(Inventories!$A1292,Parameters!$B$4:$AL$4,0))</f>
        <v>0</v>
      </c>
      <c r="C1292" t="s">
        <v>8</v>
      </c>
      <c r="D1292" s="2"/>
      <c r="E1292" s="2"/>
      <c r="F1292" s="2"/>
      <c r="G1292" s="2"/>
      <c r="H1292" s="2"/>
      <c r="I1292" s="2"/>
      <c r="J1292" s="2"/>
      <c r="K1292" s="2"/>
      <c r="L1292" s="2"/>
    </row>
    <row r="1293" spans="1:12" customFormat="1" ht="16" x14ac:dyDescent="0.2">
      <c r="A1293" t="s">
        <v>346</v>
      </c>
      <c r="B1293" s="2">
        <f>INDEX(Parameters!$B$6:$AL$57,MATCH(Inventories!$B$1260,Parameters!$A$6:$A$57,0),MATCH(Inventories!$A1293,Parameters!$B$4:$AL$4,0))</f>
        <v>53</v>
      </c>
      <c r="C1293" t="s">
        <v>312</v>
      </c>
      <c r="D1293" s="2"/>
      <c r="E1293" s="2"/>
      <c r="F1293" s="2"/>
      <c r="G1293" s="2"/>
      <c r="H1293" s="2"/>
      <c r="I1293" s="2"/>
      <c r="J1293" s="2"/>
      <c r="K1293" s="2"/>
      <c r="L1293" s="2"/>
    </row>
    <row r="1294" spans="1:12" customFormat="1" ht="16" x14ac:dyDescent="0.2">
      <c r="A1294" t="s">
        <v>347</v>
      </c>
      <c r="B1294" s="2">
        <f>INDEX(Parameters!$B$6:$AL$57,MATCH(Inventories!$B$1260,Parameters!$A$6:$A$57,0),MATCH(Inventories!$A1294,Parameters!$B$4:$AL$4,0))</f>
        <v>33</v>
      </c>
      <c r="C1294" t="s">
        <v>312</v>
      </c>
      <c r="D1294" s="2"/>
      <c r="E1294" s="12"/>
      <c r="F1294" s="2"/>
      <c r="G1294" s="2"/>
      <c r="H1294" s="2"/>
      <c r="I1294" s="2"/>
      <c r="J1294" s="2"/>
      <c r="K1294" s="2"/>
      <c r="L1294" s="2"/>
    </row>
    <row r="1295" spans="1:12" customFormat="1" ht="16" x14ac:dyDescent="0.2">
      <c r="A1295" t="s">
        <v>348</v>
      </c>
      <c r="B1295" s="2">
        <f>INDEX(Parameters!$B$6:$AL$57,MATCH(Inventories!$B$1260,Parameters!$A$6:$A$57,0),MATCH(Inventories!$A1295,Parameters!$B$4:$AL$4,0))</f>
        <v>66</v>
      </c>
      <c r="C1295" t="s">
        <v>312</v>
      </c>
      <c r="D1295" s="2"/>
      <c r="E1295" s="2"/>
      <c r="F1295" s="2"/>
      <c r="G1295" s="2"/>
      <c r="H1295" s="2"/>
      <c r="I1295" s="2"/>
      <c r="J1295" s="2"/>
      <c r="K1295" s="2"/>
      <c r="L1295" s="2"/>
    </row>
    <row r="1296" spans="1:12" customFormat="1" ht="16" x14ac:dyDescent="0.2">
      <c r="A1296" t="s">
        <v>349</v>
      </c>
      <c r="B1296" s="2">
        <f>INDEX(Parameters!$B$6:$AL$57,MATCH(Inventories!$B$1260,Parameters!$A$6:$A$57,0),MATCH(Inventories!$A1296,Parameters!$B$4:$AL$4,0))</f>
        <v>1</v>
      </c>
      <c r="C1296" t="s">
        <v>8</v>
      </c>
      <c r="D1296" s="2"/>
      <c r="E1296" s="2"/>
      <c r="F1296" s="2"/>
      <c r="G1296" s="2"/>
      <c r="H1296" s="2"/>
      <c r="I1296" s="2"/>
      <c r="J1296" s="2"/>
      <c r="K1296" s="2"/>
      <c r="L1296" s="2"/>
    </row>
    <row r="1297" spans="1:13" customFormat="1" ht="16" x14ac:dyDescent="0.2">
      <c r="A1297" t="s">
        <v>350</v>
      </c>
      <c r="B1297" s="2">
        <f>INDEX(Parameters!$B$6:$AL$57,MATCH(Inventories!$B$1260,Parameters!$A$6:$A$57,0),MATCH(Inventories!$A1297,Parameters!$B$4:$AL$4,0))</f>
        <v>0</v>
      </c>
      <c r="C1297" t="s">
        <v>8</v>
      </c>
      <c r="D1297" s="2"/>
      <c r="E1297" s="2"/>
      <c r="F1297" s="2"/>
      <c r="G1297" s="2"/>
      <c r="H1297" s="2"/>
      <c r="I1297" s="2"/>
      <c r="J1297" s="2"/>
      <c r="K1297" s="2"/>
      <c r="L1297" s="2"/>
    </row>
    <row r="1298" spans="1:13" customFormat="1" ht="16" x14ac:dyDescent="0.2">
      <c r="A1298" t="s">
        <v>351</v>
      </c>
      <c r="B1298" s="2">
        <f>INDEX(Parameters!$B$6:$AL$57,MATCH(Inventories!$B$1260,Parameters!$A$6:$A$57,0),MATCH(Inventories!$A1298,Parameters!$B$4:$AL$4,0))</f>
        <v>1</v>
      </c>
      <c r="C1298" t="s">
        <v>8</v>
      </c>
      <c r="D1298" s="2"/>
      <c r="E1298" s="2"/>
      <c r="F1298" s="2"/>
      <c r="G1298" s="2"/>
      <c r="H1298" s="2"/>
      <c r="I1298" s="2"/>
      <c r="J1298" s="2"/>
      <c r="K1298" s="2"/>
      <c r="L1298" s="2"/>
    </row>
    <row r="1299" spans="1:13" customFormat="1" ht="16" x14ac:dyDescent="0.2">
      <c r="A1299" t="s">
        <v>365</v>
      </c>
      <c r="B1299" s="2">
        <f>INDEX(Parameters!$B$6:$AL$57,MATCH(Inventories!$B$1260,Parameters!$A$6:$A$57,0),MATCH(Inventories!$A1299,Parameters!$B$4:$AL$4,0))</f>
        <v>0</v>
      </c>
      <c r="C1299" t="s">
        <v>336</v>
      </c>
      <c r="D1299" s="2"/>
      <c r="E1299" s="2"/>
      <c r="F1299" s="2"/>
      <c r="G1299" s="2"/>
      <c r="H1299" s="2"/>
      <c r="I1299" s="2"/>
      <c r="J1299" s="2"/>
      <c r="K1299" s="2"/>
      <c r="L1299" s="2"/>
    </row>
    <row r="1300" spans="1:13" customFormat="1" ht="16" x14ac:dyDescent="0.2">
      <c r="A1300" t="s">
        <v>366</v>
      </c>
      <c r="B1300" s="2">
        <f>INDEX(Parameters!$B$6:$AL$57,MATCH(Inventories!$B$1260,Parameters!$A$6:$A$57,0),MATCH(Inventories!$A1300,Parameters!$B$4:$AL$4,0))</f>
        <v>36</v>
      </c>
      <c r="C1300" t="s">
        <v>336</v>
      </c>
      <c r="D1300" s="2"/>
      <c r="E1300" s="2"/>
      <c r="F1300" s="2"/>
      <c r="G1300" s="2"/>
      <c r="H1300" s="2"/>
      <c r="I1300" s="2"/>
      <c r="J1300" s="2"/>
      <c r="K1300" s="2"/>
      <c r="L1300" s="2"/>
    </row>
    <row r="1301" spans="1:13" customFormat="1" ht="16" x14ac:dyDescent="0.2">
      <c r="A1301" t="s">
        <v>367</v>
      </c>
      <c r="B1301" s="2">
        <f>INDEX(Parameters!$B$6:$AL$57,MATCH(Inventories!$B$1260,Parameters!$A$6:$A$57,0),MATCH(Inventories!$A1301,Parameters!$B$4:$AL$4,0))</f>
        <v>25</v>
      </c>
      <c r="C1301" t="s">
        <v>336</v>
      </c>
      <c r="D1301" s="2"/>
      <c r="E1301" s="2"/>
      <c r="F1301" s="2"/>
      <c r="G1301" s="2"/>
      <c r="H1301" s="2"/>
      <c r="I1301" s="2"/>
      <c r="J1301" s="2"/>
      <c r="K1301" s="2"/>
      <c r="L1301" s="2"/>
    </row>
    <row r="1302" spans="1:13" customFormat="1" ht="16" x14ac:dyDescent="0.2">
      <c r="A1302" t="s">
        <v>368</v>
      </c>
      <c r="B1302" s="2">
        <f>INDEX(Parameters!$B$6:$AL$57,MATCH(Inventories!$B$1260,Parameters!$A$6:$A$57,0),MATCH(Inventories!$A1302,Parameters!$B$4:$AL$4,0))</f>
        <v>216</v>
      </c>
      <c r="C1302" t="s">
        <v>336</v>
      </c>
      <c r="D1302" s="2"/>
      <c r="E1302" s="2"/>
      <c r="F1302" s="2"/>
      <c r="G1302" s="2"/>
      <c r="H1302" s="2"/>
      <c r="I1302" s="2"/>
      <c r="J1302" s="2"/>
      <c r="K1302" s="2"/>
      <c r="L1302" s="2"/>
    </row>
    <row r="1303" spans="1:13" customFormat="1" ht="16" x14ac:dyDescent="0.2">
      <c r="A1303" t="s">
        <v>369</v>
      </c>
      <c r="B1303" s="2">
        <f>INDEX(Parameters!$B$6:$AL$57,MATCH(Inventories!$B$1260,Parameters!$A$6:$A$57,0),MATCH(Inventories!$A1303,Parameters!$B$4:$AL$4,0))</f>
        <v>14</v>
      </c>
      <c r="C1303" t="s">
        <v>336</v>
      </c>
      <c r="D1303" s="2"/>
      <c r="E1303" s="2"/>
      <c r="F1303" s="2"/>
      <c r="G1303" s="2"/>
      <c r="H1303" s="2"/>
      <c r="I1303" s="2"/>
      <c r="J1303" s="2"/>
      <c r="K1303" s="2"/>
      <c r="L1303" s="2"/>
    </row>
    <row r="1304" spans="1:13" customFormat="1" ht="16" x14ac:dyDescent="0.2">
      <c r="A1304" t="s">
        <v>344</v>
      </c>
      <c r="B1304" s="32">
        <f>INDEX(Parameters!$B$6:$AL$57,MATCH(Inventories!$B$1260,Parameters!$A$6:$A$57,0),MATCH(Inventories!$A1304,Parameters!$B$4:$AL$4,0))</f>
        <v>0</v>
      </c>
      <c r="C1304" t="s">
        <v>345</v>
      </c>
      <c r="D1304" s="2"/>
      <c r="E1304" s="2"/>
      <c r="F1304" s="2"/>
      <c r="G1304" s="2"/>
      <c r="H1304" s="2"/>
      <c r="I1304" s="2"/>
      <c r="J1304" s="2"/>
      <c r="K1304" s="2"/>
      <c r="L1304" s="2"/>
    </row>
    <row r="1305" spans="1:13" customFormat="1" ht="16" x14ac:dyDescent="0.2">
      <c r="A1305" t="s">
        <v>343</v>
      </c>
      <c r="B1305" s="32">
        <f>INDEX(Parameters!$B$6:$AL$57,MATCH(Inventories!$B$1260,Parameters!$A$6:$A$57,0),MATCH(Inventories!$A1305,Parameters!$B$4:$AL$4,0))</f>
        <v>0</v>
      </c>
      <c r="C1305" t="s">
        <v>345</v>
      </c>
      <c r="D1305" s="2"/>
      <c r="E1305" s="2"/>
      <c r="F1305" s="2"/>
      <c r="G1305" s="2"/>
      <c r="H1305" s="2"/>
      <c r="I1305" s="2"/>
      <c r="J1305" s="2"/>
      <c r="K1305" s="2"/>
      <c r="L1305" s="2"/>
    </row>
    <row r="1306" spans="1:13" customFormat="1" ht="16" x14ac:dyDescent="0.2">
      <c r="A1306" s="1" t="s">
        <v>10</v>
      </c>
    </row>
    <row r="1307" spans="1:13" x14ac:dyDescent="0.2">
      <c r="A1307" s="17" t="s">
        <v>11</v>
      </c>
      <c r="B1307" s="17" t="s">
        <v>12</v>
      </c>
      <c r="C1307" s="17" t="s">
        <v>3</v>
      </c>
      <c r="D1307" s="17" t="s">
        <v>13</v>
      </c>
      <c r="E1307" s="17" t="s">
        <v>8</v>
      </c>
      <c r="F1307" s="17" t="s">
        <v>6</v>
      </c>
      <c r="G1307" s="17" t="s">
        <v>5</v>
      </c>
      <c r="H1307" s="17" t="s">
        <v>151</v>
      </c>
      <c r="I1307" s="17" t="s">
        <v>179</v>
      </c>
      <c r="J1307" s="17" t="s">
        <v>180</v>
      </c>
      <c r="K1307" s="17" t="s">
        <v>181</v>
      </c>
      <c r="L1307" s="17" t="s">
        <v>182</v>
      </c>
    </row>
    <row r="1308" spans="1:13" customFormat="1" ht="16" x14ac:dyDescent="0.2">
      <c r="A1308" t="s">
        <v>299</v>
      </c>
      <c r="B1308">
        <v>1</v>
      </c>
      <c r="C1308" t="s">
        <v>18</v>
      </c>
      <c r="D1308" s="2"/>
      <c r="E1308" t="s">
        <v>17</v>
      </c>
      <c r="F1308" t="s">
        <v>19</v>
      </c>
      <c r="G1308" t="s">
        <v>1</v>
      </c>
      <c r="M1308" s="2"/>
    </row>
    <row r="1309" spans="1:13" customFormat="1" ht="16" x14ac:dyDescent="0.2">
      <c r="A1309" s="2" t="s">
        <v>158</v>
      </c>
      <c r="B1309" s="11">
        <f>1/120</f>
        <v>8.3333333333333332E-3</v>
      </c>
      <c r="C1309" s="4" t="s">
        <v>18</v>
      </c>
      <c r="D1309" s="2"/>
      <c r="E1309" s="4" t="s">
        <v>9</v>
      </c>
      <c r="F1309" s="4" t="s">
        <v>23</v>
      </c>
      <c r="G1309" s="2" t="s">
        <v>159</v>
      </c>
      <c r="I1309" s="2"/>
      <c r="M1309" s="2"/>
    </row>
    <row r="1310" spans="1:13" customFormat="1" ht="16" x14ac:dyDescent="0.2">
      <c r="A1310" t="s">
        <v>194</v>
      </c>
      <c r="B1310" s="3">
        <f>(B1284/B1272)/(B1275/1000)</f>
        <v>7.5483468496568941E-5</v>
      </c>
      <c r="C1310" t="s">
        <v>18</v>
      </c>
      <c r="D1310" s="2"/>
      <c r="E1310" t="s">
        <v>9</v>
      </c>
      <c r="F1310" t="s">
        <v>23</v>
      </c>
      <c r="G1310" t="s">
        <v>195</v>
      </c>
      <c r="I1310">
        <v>5</v>
      </c>
      <c r="J1310" s="3">
        <f>B1310</f>
        <v>7.5483468496568941E-5</v>
      </c>
      <c r="K1310" s="3">
        <f>(B1285/B1274)/(B1277/1000)</f>
        <v>3.5009671179883945E-5</v>
      </c>
      <c r="L1310" s="3">
        <f>(B1286/B1273)/(B1276/1000)</f>
        <v>2.4709897610921501E-4</v>
      </c>
      <c r="M1310" s="2"/>
    </row>
    <row r="1311" spans="1:13" customFormat="1" ht="16" x14ac:dyDescent="0.2">
      <c r="A1311" t="s">
        <v>113</v>
      </c>
      <c r="B1311" s="3">
        <f>(B1293/B1272)/(B1275/1000)</f>
        <v>1.653150343106675E-5</v>
      </c>
      <c r="C1311" t="s">
        <v>114</v>
      </c>
      <c r="D1311" s="2"/>
      <c r="E1311" t="s">
        <v>8</v>
      </c>
      <c r="F1311" t="s">
        <v>23</v>
      </c>
      <c r="G1311" t="s">
        <v>115</v>
      </c>
      <c r="I1311">
        <v>5</v>
      </c>
      <c r="J1311">
        <f t="shared" ref="J1311:J1316" si="1">B1311</f>
        <v>1.653150343106675E-5</v>
      </c>
      <c r="K1311" s="3">
        <f>(B1294/B1274)/(B1277/1000)</f>
        <v>6.3829787234042555E-6</v>
      </c>
      <c r="L1311" s="3">
        <f>(B1295/B1273)/(B1276/1000)</f>
        <v>4.505119453924915E-5</v>
      </c>
      <c r="M1311" s="2"/>
    </row>
    <row r="1312" spans="1:13" customFormat="1" ht="16" x14ac:dyDescent="0.2">
      <c r="A1312" t="s">
        <v>183</v>
      </c>
      <c r="B1312" s="3">
        <f>(B1301/B1272)/(B1275/1000)</f>
        <v>7.7978789769182789E-6</v>
      </c>
      <c r="C1312" t="s">
        <v>114</v>
      </c>
      <c r="D1312" s="2"/>
      <c r="E1312" t="s">
        <v>9</v>
      </c>
      <c r="F1312" t="s">
        <v>23</v>
      </c>
      <c r="G1312" t="s">
        <v>184</v>
      </c>
      <c r="K1312" s="3"/>
      <c r="L1312" s="3"/>
      <c r="M1312" s="2"/>
    </row>
    <row r="1313" spans="1:13" customFormat="1" ht="16" x14ac:dyDescent="0.2">
      <c r="A1313" t="s">
        <v>146</v>
      </c>
      <c r="B1313" s="3">
        <f>(B1278/B1272)/(B1275/1000)</f>
        <v>3.3374922021210232E-5</v>
      </c>
      <c r="C1313" t="s">
        <v>114</v>
      </c>
      <c r="D1313" s="2"/>
      <c r="E1313" t="s">
        <v>9</v>
      </c>
      <c r="F1313" t="s">
        <v>23</v>
      </c>
      <c r="G1313" t="s">
        <v>147</v>
      </c>
      <c r="I1313">
        <v>5</v>
      </c>
      <c r="J1313">
        <f t="shared" si="1"/>
        <v>3.3374922021210232E-5</v>
      </c>
      <c r="K1313" s="3">
        <f>(B1279/B1274)/(B1277/1000)</f>
        <v>1.1798839458413926E-5</v>
      </c>
      <c r="L1313" s="3">
        <f>(B1280/B1273)/(B1276/1000)</f>
        <v>9.9658703071672347E-5</v>
      </c>
      <c r="M1313" s="2"/>
    </row>
    <row r="1314" spans="1:13" customFormat="1" ht="16" x14ac:dyDescent="0.2">
      <c r="A1314" t="s">
        <v>185</v>
      </c>
      <c r="B1314" s="3">
        <f>(B1303/B1272)/(B1275/1000)</f>
        <v>4.3668122270742363E-6</v>
      </c>
      <c r="C1314" t="s">
        <v>114</v>
      </c>
      <c r="D1314" s="2"/>
      <c r="E1314" t="s">
        <v>9</v>
      </c>
      <c r="F1314" t="s">
        <v>23</v>
      </c>
      <c r="G1314" t="s">
        <v>186</v>
      </c>
      <c r="K1314" s="3"/>
      <c r="L1314" s="3"/>
      <c r="M1314" s="2"/>
    </row>
    <row r="1315" spans="1:13" customFormat="1" ht="16" x14ac:dyDescent="0.2">
      <c r="A1315" t="s">
        <v>187</v>
      </c>
      <c r="B1315" s="3">
        <f>(B1302/B1272)/(B1275/1000)</f>
        <v>6.7373674360573927E-5</v>
      </c>
      <c r="C1315" t="s">
        <v>114</v>
      </c>
      <c r="D1315" s="2"/>
      <c r="E1315" t="s">
        <v>9</v>
      </c>
      <c r="F1315" t="s">
        <v>23</v>
      </c>
      <c r="G1315" t="s">
        <v>188</v>
      </c>
      <c r="K1315" s="3"/>
      <c r="L1315" s="3"/>
      <c r="M1315" s="2"/>
    </row>
    <row r="1316" spans="1:13" customFormat="1" ht="16" x14ac:dyDescent="0.2">
      <c r="A1316" t="s">
        <v>189</v>
      </c>
      <c r="B1316" s="3">
        <f>(B1287/B1272)/(B1275/1000)</f>
        <v>1.5283842794759823E-5</v>
      </c>
      <c r="C1316" s="2" t="s">
        <v>114</v>
      </c>
      <c r="D1316" s="2"/>
      <c r="E1316" t="s">
        <v>141</v>
      </c>
      <c r="F1316" t="s">
        <v>23</v>
      </c>
      <c r="G1316" t="s">
        <v>190</v>
      </c>
      <c r="I1316">
        <v>5</v>
      </c>
      <c r="J1316">
        <f t="shared" si="1"/>
        <v>1.5283842794759823E-5</v>
      </c>
      <c r="K1316" s="3">
        <f>(B1288/B1274)/(B1277/1000)</f>
        <v>6.7698259187620884E-6</v>
      </c>
      <c r="L1316" s="3">
        <f>(B1289/B1273)/(B1276/1000)</f>
        <v>4.4368600682593848E-5</v>
      </c>
      <c r="M1316" s="2"/>
    </row>
    <row r="1317" spans="1:13" customFormat="1" ht="16" x14ac:dyDescent="0.2">
      <c r="A1317" t="s">
        <v>98</v>
      </c>
      <c r="B1317" s="3">
        <f>9*B1309/1000</f>
        <v>7.4999999999999993E-5</v>
      </c>
      <c r="C1317" s="2"/>
      <c r="D1317" s="2" t="s">
        <v>116</v>
      </c>
      <c r="E1317" t="s">
        <v>94</v>
      </c>
      <c r="F1317" t="s">
        <v>15</v>
      </c>
      <c r="K1317" s="3"/>
      <c r="L1317" s="3"/>
      <c r="M1317" s="2"/>
    </row>
    <row r="1318" spans="1:13" customFormat="1" ht="16" x14ac:dyDescent="0.2"/>
    <row r="1319" spans="1:13" x14ac:dyDescent="0.2">
      <c r="A1319" s="17" t="s">
        <v>2</v>
      </c>
      <c r="B1319" s="17" t="s">
        <v>219</v>
      </c>
    </row>
    <row r="1320" spans="1:13" customFormat="1" ht="16" x14ac:dyDescent="0.2">
      <c r="A1320" t="s">
        <v>151</v>
      </c>
      <c r="B1320" t="s">
        <v>220</v>
      </c>
    </row>
    <row r="1321" spans="1:13" customFormat="1" ht="16" x14ac:dyDescent="0.2">
      <c r="A1321" t="s">
        <v>198</v>
      </c>
      <c r="B1321" t="s">
        <v>199</v>
      </c>
    </row>
    <row r="1322" spans="1:13" customFormat="1" ht="16" x14ac:dyDescent="0.2">
      <c r="A1322" t="s">
        <v>3</v>
      </c>
      <c r="B1322" t="s">
        <v>18</v>
      </c>
    </row>
    <row r="1323" spans="1:13" customFormat="1" ht="16" x14ac:dyDescent="0.2">
      <c r="A1323" t="s">
        <v>4</v>
      </c>
      <c r="B1323">
        <v>1</v>
      </c>
    </row>
    <row r="1324" spans="1:13" customFormat="1" ht="16" x14ac:dyDescent="0.2">
      <c r="A1324" t="s">
        <v>5</v>
      </c>
      <c r="B1324" t="s">
        <v>142</v>
      </c>
    </row>
    <row r="1325" spans="1:13" customFormat="1" ht="16" x14ac:dyDescent="0.2">
      <c r="A1325" t="s">
        <v>204</v>
      </c>
      <c r="B1325" t="s">
        <v>205</v>
      </c>
    </row>
    <row r="1326" spans="1:13" customFormat="1" ht="16" x14ac:dyDescent="0.2">
      <c r="A1326" t="s">
        <v>6</v>
      </c>
      <c r="B1326" t="s">
        <v>7</v>
      </c>
    </row>
    <row r="1327" spans="1:13" customFormat="1" ht="16" x14ac:dyDescent="0.2">
      <c r="A1327" t="s">
        <v>8</v>
      </c>
      <c r="B1327" t="s">
        <v>17</v>
      </c>
    </row>
    <row r="1328" spans="1:13" customFormat="1" ht="16" x14ac:dyDescent="0.2">
      <c r="A1328" t="s">
        <v>352</v>
      </c>
      <c r="B1328" s="2">
        <f>INDEX(Parameters!$B$6:$AL$57,MATCH(Inventories!$B$1319,Parameters!$A$6:$A$57,0),MATCH(Inventories!$A1328,Parameters!$B$4:$AL$4,0))</f>
        <v>261</v>
      </c>
      <c r="C1328" t="s">
        <v>312</v>
      </c>
      <c r="D1328" s="2"/>
      <c r="E1328" s="2"/>
      <c r="F1328" s="2"/>
      <c r="G1328" s="2"/>
      <c r="H1328" s="2"/>
      <c r="I1328" s="2"/>
      <c r="J1328" s="2"/>
      <c r="K1328" s="2"/>
      <c r="L1328" s="2"/>
    </row>
    <row r="1329" spans="1:12" customFormat="1" ht="16" x14ac:dyDescent="0.2">
      <c r="A1329" t="s">
        <v>353</v>
      </c>
      <c r="B1329" s="2">
        <f>INDEX(Parameters!$B$6:$AL$57,MATCH(Inventories!$B$1319,Parameters!$A$6:$A$57,0),MATCH(Inventories!$A1329,Parameters!$B$4:$AL$4,0))</f>
        <v>114</v>
      </c>
      <c r="C1329" t="s">
        <v>312</v>
      </c>
      <c r="D1329" s="2"/>
      <c r="E1329" s="2"/>
      <c r="F1329" s="2"/>
      <c r="G1329" s="2"/>
      <c r="H1329" s="2"/>
      <c r="I1329" s="2"/>
      <c r="J1329" s="2"/>
      <c r="K1329" s="2"/>
      <c r="L1329" s="2"/>
    </row>
    <row r="1330" spans="1:12" customFormat="1" ht="16" x14ac:dyDescent="0.2">
      <c r="A1330" t="s">
        <v>354</v>
      </c>
      <c r="B1330" s="2">
        <f>INDEX(Parameters!$B$6:$AL$57,MATCH(Inventories!$B$1319,Parameters!$A$6:$A$57,0),MATCH(Inventories!$A1330,Parameters!$B$4:$AL$4,0))</f>
        <v>513</v>
      </c>
      <c r="C1330" t="s">
        <v>312</v>
      </c>
      <c r="D1330" s="2"/>
      <c r="E1330" s="2"/>
      <c r="F1330" s="2"/>
      <c r="G1330" s="2"/>
      <c r="H1330" s="2"/>
      <c r="I1330" s="2"/>
      <c r="J1330" s="2"/>
      <c r="K1330" s="2"/>
      <c r="L1330" s="2"/>
    </row>
    <row r="1331" spans="1:12" customFormat="1" ht="16" x14ac:dyDescent="0.2">
      <c r="A1331" t="s">
        <v>316</v>
      </c>
      <c r="B1331" s="24">
        <f>INDEX(Parameters!$B$6:$AL$57,MATCH(Inventories!$B$1319,Parameters!$A$6:$A$57,0),MATCH(Inventories!$A1331,Parameters!$B$4:$AL$4,0))</f>
        <v>700000</v>
      </c>
      <c r="C1331" t="s">
        <v>313</v>
      </c>
      <c r="D1331" s="2"/>
      <c r="E1331" s="2"/>
      <c r="F1331" s="2"/>
      <c r="G1331" s="2"/>
      <c r="H1331" s="2"/>
      <c r="I1331" s="2"/>
      <c r="J1331" s="2"/>
      <c r="K1331" s="2"/>
      <c r="L1331" s="2"/>
    </row>
    <row r="1332" spans="1:12" customFormat="1" ht="16" x14ac:dyDescent="0.2">
      <c r="A1332" t="s">
        <v>317</v>
      </c>
      <c r="B1332" s="24">
        <f>INDEX(Parameters!$B$6:$AL$57,MATCH(Inventories!$B$1319,Parameters!$A$6:$A$57,0),MATCH(Inventories!$A1332,Parameters!$B$4:$AL$4,0))</f>
        <v>500000</v>
      </c>
      <c r="C1332" t="s">
        <v>313</v>
      </c>
      <c r="D1332" s="2"/>
      <c r="E1332" s="2"/>
      <c r="F1332" s="2"/>
      <c r="G1332" s="2"/>
      <c r="H1332" s="2"/>
      <c r="I1332" s="2"/>
      <c r="J1332" s="2"/>
      <c r="K1332" s="2"/>
      <c r="L1332" s="2"/>
    </row>
    <row r="1333" spans="1:12" customFormat="1" ht="16" x14ac:dyDescent="0.2">
      <c r="A1333" t="s">
        <v>318</v>
      </c>
      <c r="B1333" s="24">
        <f>INDEX(Parameters!$B$6:$AL$57,MATCH(Inventories!$B$1319,Parameters!$A$6:$A$57,0),MATCH(Inventories!$A1333,Parameters!$B$4:$AL$4,0))</f>
        <v>1000000</v>
      </c>
      <c r="C1333" t="s">
        <v>313</v>
      </c>
      <c r="D1333" s="2"/>
      <c r="E1333" s="2"/>
      <c r="F1333" s="2"/>
      <c r="G1333" s="2"/>
      <c r="H1333" s="2"/>
      <c r="I1333" s="2"/>
      <c r="J1333" s="2"/>
      <c r="K1333" s="2"/>
      <c r="L1333" s="2"/>
    </row>
    <row r="1334" spans="1:12" customFormat="1" ht="16" x14ac:dyDescent="0.2">
      <c r="A1334" t="s">
        <v>319</v>
      </c>
      <c r="B1334" s="2">
        <f>INDEX(Parameters!$B$6:$AL$57,MATCH(Inventories!$B$1319,Parameters!$A$6:$A$57,0),MATCH(Inventories!$A1334,Parameters!$B$4:$AL$4,0))</f>
        <v>1715</v>
      </c>
      <c r="C1334" t="s">
        <v>314</v>
      </c>
      <c r="D1334" s="2"/>
      <c r="E1334" s="2"/>
      <c r="F1334" s="2"/>
      <c r="G1334" s="2"/>
      <c r="H1334" s="2"/>
      <c r="I1334" s="2"/>
      <c r="J1334" s="2"/>
      <c r="K1334" s="2"/>
      <c r="L1334" s="2"/>
    </row>
    <row r="1335" spans="1:12" customFormat="1" ht="16" x14ac:dyDescent="0.2">
      <c r="A1335" t="s">
        <v>320</v>
      </c>
      <c r="B1335" s="2">
        <f>INDEX(Parameters!$B$6:$AL$57,MATCH(Inventories!$B$1319,Parameters!$A$6:$A$57,0),MATCH(Inventories!$A1335,Parameters!$B$4:$AL$4,0))</f>
        <v>1500</v>
      </c>
      <c r="C1335" t="s">
        <v>314</v>
      </c>
      <c r="D1335" s="2"/>
      <c r="E1335" s="2"/>
      <c r="F1335" s="2"/>
      <c r="G1335" s="2"/>
      <c r="H1335" s="2"/>
      <c r="I1335" s="2"/>
      <c r="J1335" s="2"/>
      <c r="K1335" s="2"/>
      <c r="L1335" s="2"/>
    </row>
    <row r="1336" spans="1:12" customFormat="1" ht="16" x14ac:dyDescent="0.2">
      <c r="A1336" t="s">
        <v>321</v>
      </c>
      <c r="B1336" s="2">
        <f>INDEX(Parameters!$B$6:$AL$57,MATCH(Inventories!$B$1319,Parameters!$A$6:$A$57,0),MATCH(Inventories!$A1336,Parameters!$B$4:$AL$4,0))</f>
        <v>4450</v>
      </c>
      <c r="C1336" t="s">
        <v>314</v>
      </c>
      <c r="D1336" s="2"/>
      <c r="E1336" s="2"/>
      <c r="F1336" s="2"/>
      <c r="G1336" s="2"/>
      <c r="H1336" s="2"/>
      <c r="I1336" s="2"/>
      <c r="J1336" s="2"/>
      <c r="K1336" s="2"/>
      <c r="L1336" s="2"/>
    </row>
    <row r="1337" spans="1:12" customFormat="1" ht="16" x14ac:dyDescent="0.2">
      <c r="A1337" t="s">
        <v>337</v>
      </c>
      <c r="B1337" s="2">
        <f>INDEX(Parameters!$B$6:$AL$57,MATCH(Inventories!$B$1319,Parameters!$A$6:$A$57,0),MATCH(Inventories!$A1337,Parameters!$B$4:$AL$4,0))</f>
        <v>247</v>
      </c>
      <c r="C1337" t="s">
        <v>336</v>
      </c>
      <c r="D1337" s="2"/>
      <c r="E1337" s="2"/>
      <c r="F1337" s="2"/>
      <c r="G1337" s="2"/>
      <c r="H1337" s="2"/>
      <c r="I1337" s="2"/>
      <c r="J1337" s="2"/>
      <c r="K1337" s="2"/>
      <c r="L1337" s="2"/>
    </row>
    <row r="1338" spans="1:12" customFormat="1" ht="16" x14ac:dyDescent="0.2">
      <c r="A1338" t="s">
        <v>338</v>
      </c>
      <c r="B1338" s="2">
        <f>INDEX(Parameters!$B$6:$AL$57,MATCH(Inventories!$B$1319,Parameters!$A$6:$A$57,0),MATCH(Inventories!$A1338,Parameters!$B$4:$AL$4,0))</f>
        <v>60</v>
      </c>
      <c r="C1338" t="s">
        <v>336</v>
      </c>
      <c r="D1338" s="2"/>
      <c r="E1338" s="2"/>
      <c r="F1338" s="2"/>
      <c r="G1338" s="2"/>
      <c r="H1338" s="2"/>
      <c r="I1338" s="2"/>
      <c r="J1338" s="2"/>
      <c r="K1338" s="2"/>
      <c r="L1338" s="2"/>
    </row>
    <row r="1339" spans="1:12" customFormat="1" ht="16" x14ac:dyDescent="0.2">
      <c r="A1339" t="s">
        <v>339</v>
      </c>
      <c r="B1339" s="2">
        <f>INDEX(Parameters!$B$6:$AL$57,MATCH(Inventories!$B$1319,Parameters!$A$6:$A$57,0),MATCH(Inventories!$A1339,Parameters!$B$4:$AL$4,0))</f>
        <v>600</v>
      </c>
      <c r="C1339" t="s">
        <v>336</v>
      </c>
      <c r="D1339" s="2"/>
      <c r="E1339" s="2"/>
      <c r="F1339" s="2"/>
      <c r="G1339" s="2"/>
      <c r="H1339" s="2"/>
      <c r="I1339" s="2"/>
      <c r="J1339" s="2"/>
      <c r="K1339" s="2"/>
      <c r="L1339" s="2"/>
    </row>
    <row r="1340" spans="1:12" customFormat="1" ht="16" x14ac:dyDescent="0.2">
      <c r="A1340" t="s">
        <v>340</v>
      </c>
      <c r="B1340" s="2">
        <f>INDEX(Parameters!$B$6:$AL$57,MATCH(Inventories!$B$1319,Parameters!$A$6:$A$57,0),MATCH(Inventories!$A1340,Parameters!$B$4:$AL$4,0))</f>
        <v>0</v>
      </c>
      <c r="C1340" t="s">
        <v>336</v>
      </c>
      <c r="D1340" s="2"/>
      <c r="E1340" s="2"/>
      <c r="F1340" s="2"/>
      <c r="G1340" s="2"/>
      <c r="H1340" s="2"/>
      <c r="I1340" s="2"/>
      <c r="J1340" s="2"/>
      <c r="K1340" s="2"/>
      <c r="L1340" s="2"/>
    </row>
    <row r="1341" spans="1:12" customFormat="1" ht="16" x14ac:dyDescent="0.2">
      <c r="A1341" t="s">
        <v>341</v>
      </c>
      <c r="B1341" s="2">
        <f>INDEX(Parameters!$B$6:$AL$57,MATCH(Inventories!$B$1319,Parameters!$A$6:$A$57,0),MATCH(Inventories!$A1341,Parameters!$B$4:$AL$4,0))</f>
        <v>0</v>
      </c>
      <c r="C1341" t="s">
        <v>336</v>
      </c>
      <c r="D1341" s="2"/>
      <c r="E1341" s="2"/>
      <c r="F1341" s="2"/>
      <c r="G1341" s="2"/>
      <c r="H1341" s="2"/>
      <c r="I1341" s="2"/>
      <c r="J1341" s="2"/>
      <c r="K1341" s="2"/>
      <c r="L1341" s="2"/>
    </row>
    <row r="1342" spans="1:12" customFormat="1" ht="16" x14ac:dyDescent="0.2">
      <c r="A1342" t="s">
        <v>342</v>
      </c>
      <c r="B1342" s="2">
        <f>INDEX(Parameters!$B$6:$AL$57,MATCH(Inventories!$B$1319,Parameters!$A$6:$A$57,0),MATCH(Inventories!$A1342,Parameters!$B$4:$AL$4,0))</f>
        <v>0</v>
      </c>
      <c r="C1342" t="s">
        <v>336</v>
      </c>
      <c r="D1342" s="2"/>
      <c r="E1342" s="2"/>
      <c r="F1342" s="2"/>
      <c r="G1342" s="2"/>
      <c r="H1342" s="2"/>
      <c r="I1342" s="2"/>
      <c r="J1342" s="2"/>
      <c r="K1342" s="2"/>
      <c r="L1342" s="2"/>
    </row>
    <row r="1343" spans="1:12" customFormat="1" ht="16" x14ac:dyDescent="0.2">
      <c r="A1343" t="s">
        <v>333</v>
      </c>
      <c r="B1343" s="2">
        <f>INDEX(Parameters!$B$6:$AL$57,MATCH(Inventories!$B$1319,Parameters!$A$6:$A$57,0),MATCH(Inventories!$A1343,Parameters!$B$4:$AL$4,0))</f>
        <v>0</v>
      </c>
      <c r="C1343" t="s">
        <v>336</v>
      </c>
      <c r="D1343" s="2"/>
      <c r="E1343" s="2"/>
      <c r="F1343" s="2"/>
      <c r="G1343" s="2"/>
      <c r="H1343" s="2"/>
      <c r="I1343" s="2"/>
      <c r="J1343" s="2"/>
      <c r="K1343" s="2"/>
      <c r="L1343" s="2"/>
    </row>
    <row r="1344" spans="1:12" customFormat="1" ht="16" x14ac:dyDescent="0.2">
      <c r="A1344" t="s">
        <v>334</v>
      </c>
      <c r="B1344" s="2">
        <f>INDEX(Parameters!$B$6:$AL$57,MATCH(Inventories!$B$1319,Parameters!$A$6:$A$57,0),MATCH(Inventories!$A1344,Parameters!$B$4:$AL$4,0))</f>
        <v>0</v>
      </c>
      <c r="C1344" t="s">
        <v>336</v>
      </c>
      <c r="D1344" s="2"/>
      <c r="E1344" s="2"/>
      <c r="F1344" s="2"/>
      <c r="G1344" s="2"/>
      <c r="H1344" s="2"/>
      <c r="I1344" s="2"/>
      <c r="J1344" s="2"/>
      <c r="K1344" s="2"/>
      <c r="L1344" s="2"/>
    </row>
    <row r="1345" spans="1:12" customFormat="1" ht="16" x14ac:dyDescent="0.2">
      <c r="A1345" t="s">
        <v>335</v>
      </c>
      <c r="B1345" s="2">
        <f>INDEX(Parameters!$B$6:$AL$57,MATCH(Inventories!$B$1319,Parameters!$A$6:$A$57,0),MATCH(Inventories!$A1345,Parameters!$B$4:$AL$4,0))</f>
        <v>0</v>
      </c>
      <c r="C1345" t="s">
        <v>336</v>
      </c>
      <c r="D1345" s="2"/>
      <c r="E1345" s="2"/>
      <c r="F1345" s="2"/>
      <c r="G1345" s="2"/>
      <c r="H1345" s="2"/>
      <c r="I1345" s="2"/>
      <c r="J1345" s="2"/>
      <c r="K1345" s="2"/>
      <c r="L1345" s="2"/>
    </row>
    <row r="1346" spans="1:12" customFormat="1" ht="16" x14ac:dyDescent="0.2">
      <c r="A1346" t="s">
        <v>322</v>
      </c>
      <c r="B1346" s="2">
        <f>INDEX(Parameters!$B$6:$AL$57,MATCH(Inventories!$B$1319,Parameters!$A$6:$A$57,0),MATCH(Inventories!$A1346,Parameters!$B$4:$AL$4,0))</f>
        <v>15</v>
      </c>
      <c r="C1346" t="s">
        <v>315</v>
      </c>
      <c r="D1346" s="2"/>
      <c r="E1346" s="2"/>
      <c r="F1346" s="2"/>
      <c r="G1346" s="2"/>
      <c r="H1346" s="2"/>
      <c r="I1346" s="2"/>
      <c r="J1346" s="2"/>
      <c r="K1346" s="2"/>
      <c r="L1346" s="2"/>
    </row>
    <row r="1347" spans="1:12" customFormat="1" ht="16" x14ac:dyDescent="0.2">
      <c r="A1347" t="s">
        <v>323</v>
      </c>
      <c r="B1347" s="2">
        <f>INDEX(Parameters!$B$6:$AL$57,MATCH(Inventories!$B$1319,Parameters!$A$6:$A$57,0),MATCH(Inventories!$A1347,Parameters!$B$4:$AL$4,0))</f>
        <v>10</v>
      </c>
      <c r="C1347" t="s">
        <v>315</v>
      </c>
      <c r="D1347" s="2"/>
      <c r="E1347" s="2"/>
      <c r="F1347" s="2"/>
      <c r="G1347" s="2"/>
      <c r="H1347" s="2"/>
      <c r="I1347" s="2"/>
      <c r="J1347" s="2"/>
      <c r="K1347" s="2"/>
      <c r="L1347" s="2"/>
    </row>
    <row r="1348" spans="1:12" customFormat="1" ht="16" x14ac:dyDescent="0.2">
      <c r="A1348" t="s">
        <v>324</v>
      </c>
      <c r="B1348" s="2">
        <f>INDEX(Parameters!$B$6:$AL$57,MATCH(Inventories!$B$1319,Parameters!$A$6:$A$57,0),MATCH(Inventories!$A1348,Parameters!$B$4:$AL$4,0))</f>
        <v>30</v>
      </c>
      <c r="C1348" t="s">
        <v>315</v>
      </c>
      <c r="D1348" s="2"/>
      <c r="E1348" s="2"/>
      <c r="F1348" s="2"/>
      <c r="G1348" s="2"/>
      <c r="H1348" s="2"/>
      <c r="I1348" s="2"/>
      <c r="J1348" s="2"/>
      <c r="K1348" s="2"/>
      <c r="L1348" s="2"/>
    </row>
    <row r="1349" spans="1:12" customFormat="1" ht="16" x14ac:dyDescent="0.2">
      <c r="A1349" t="s">
        <v>330</v>
      </c>
      <c r="B1349" s="2">
        <f>INDEX(Parameters!$B$6:$AL$57,MATCH(Inventories!$B$1319,Parameters!$A$6:$A$57,0),MATCH(Inventories!$A1349,Parameters!$B$4:$AL$4,0))</f>
        <v>1</v>
      </c>
      <c r="C1349" t="s">
        <v>8</v>
      </c>
      <c r="D1349" s="2"/>
      <c r="E1349" s="2"/>
      <c r="F1349" s="2"/>
      <c r="G1349" s="2"/>
      <c r="H1349" s="2"/>
      <c r="I1349" s="2"/>
      <c r="J1349" s="2"/>
      <c r="K1349" s="2"/>
      <c r="L1349" s="2"/>
    </row>
    <row r="1350" spans="1:12" customFormat="1" ht="16" x14ac:dyDescent="0.2">
      <c r="A1350" t="s">
        <v>331</v>
      </c>
      <c r="B1350" s="2">
        <f>INDEX(Parameters!$B$6:$AL$57,MATCH(Inventories!$B$1319,Parameters!$A$6:$A$57,0),MATCH(Inventories!$A1350,Parameters!$B$4:$AL$4,0))</f>
        <v>0</v>
      </c>
      <c r="C1350" t="s">
        <v>8</v>
      </c>
      <c r="D1350" s="2"/>
      <c r="E1350" s="2"/>
      <c r="F1350" s="2"/>
      <c r="G1350" s="2"/>
      <c r="H1350" s="2"/>
      <c r="I1350" s="2"/>
      <c r="J1350" s="2"/>
      <c r="K1350" s="2"/>
      <c r="L1350" s="2"/>
    </row>
    <row r="1351" spans="1:12" customFormat="1" ht="16" x14ac:dyDescent="0.2">
      <c r="A1351" t="s">
        <v>332</v>
      </c>
      <c r="B1351" s="2">
        <f>INDEX(Parameters!$B$6:$AL$57,MATCH(Inventories!$B$1319,Parameters!$A$6:$A$57,0),MATCH(Inventories!$A1351,Parameters!$B$4:$AL$4,0))</f>
        <v>2</v>
      </c>
      <c r="C1351" t="s">
        <v>8</v>
      </c>
      <c r="D1351" s="2"/>
      <c r="E1351" s="2"/>
      <c r="F1351" s="2"/>
      <c r="G1351" s="2"/>
      <c r="H1351" s="2"/>
      <c r="I1351" s="2"/>
      <c r="J1351" s="2"/>
      <c r="K1351" s="2"/>
      <c r="L1351" s="2"/>
    </row>
    <row r="1352" spans="1:12" customFormat="1" ht="16" x14ac:dyDescent="0.2">
      <c r="A1352" t="s">
        <v>346</v>
      </c>
      <c r="B1352" s="2">
        <f>INDEX(Parameters!$B$6:$AL$57,MATCH(Inventories!$B$1319,Parameters!$A$6:$A$57,0),MATCH(Inventories!$A1352,Parameters!$B$4:$AL$4,0))</f>
        <v>0</v>
      </c>
      <c r="C1352" t="s">
        <v>312</v>
      </c>
      <c r="D1352" s="2"/>
      <c r="E1352" s="2"/>
      <c r="F1352" s="2"/>
      <c r="G1352" s="2"/>
      <c r="H1352" s="2"/>
      <c r="I1352" s="2"/>
      <c r="J1352" s="2"/>
      <c r="K1352" s="2"/>
      <c r="L1352" s="2"/>
    </row>
    <row r="1353" spans="1:12" customFormat="1" ht="16" x14ac:dyDescent="0.2">
      <c r="A1353" t="s">
        <v>347</v>
      </c>
      <c r="B1353" s="2">
        <f>INDEX(Parameters!$B$6:$AL$57,MATCH(Inventories!$B$1319,Parameters!$A$6:$A$57,0),MATCH(Inventories!$A1353,Parameters!$B$4:$AL$4,0))</f>
        <v>0</v>
      </c>
      <c r="C1353" t="s">
        <v>312</v>
      </c>
      <c r="D1353" s="2"/>
      <c r="E1353" s="12"/>
      <c r="F1353" s="2"/>
      <c r="G1353" s="2"/>
      <c r="H1353" s="2"/>
      <c r="I1353" s="2"/>
      <c r="J1353" s="2"/>
      <c r="K1353" s="2"/>
      <c r="L1353" s="2"/>
    </row>
    <row r="1354" spans="1:12" customFormat="1" ht="16" x14ac:dyDescent="0.2">
      <c r="A1354" t="s">
        <v>348</v>
      </c>
      <c r="B1354" s="2">
        <f>INDEX(Parameters!$B$6:$AL$57,MATCH(Inventories!$B$1319,Parameters!$A$6:$A$57,0),MATCH(Inventories!$A1354,Parameters!$B$4:$AL$4,0))</f>
        <v>0</v>
      </c>
      <c r="C1354" t="s">
        <v>312</v>
      </c>
      <c r="D1354" s="2"/>
      <c r="E1354" s="2"/>
      <c r="F1354" s="2"/>
      <c r="G1354" s="2"/>
      <c r="H1354" s="2"/>
      <c r="I1354" s="2"/>
      <c r="J1354" s="2"/>
      <c r="K1354" s="2"/>
      <c r="L1354" s="2"/>
    </row>
    <row r="1355" spans="1:12" customFormat="1" ht="16" x14ac:dyDescent="0.2">
      <c r="A1355" t="s">
        <v>349</v>
      </c>
      <c r="B1355" s="2">
        <f>INDEX(Parameters!$B$6:$AL$57,MATCH(Inventories!$B$1319,Parameters!$A$6:$A$57,0),MATCH(Inventories!$A1355,Parameters!$B$4:$AL$4,0))</f>
        <v>0</v>
      </c>
      <c r="C1355" t="s">
        <v>8</v>
      </c>
      <c r="D1355" s="2"/>
      <c r="E1355" s="2"/>
      <c r="F1355" s="2"/>
      <c r="G1355" s="2"/>
      <c r="H1355" s="2"/>
      <c r="I1355" s="2"/>
      <c r="J1355" s="2"/>
      <c r="K1355" s="2"/>
      <c r="L1355" s="2"/>
    </row>
    <row r="1356" spans="1:12" customFormat="1" ht="16" x14ac:dyDescent="0.2">
      <c r="A1356" t="s">
        <v>350</v>
      </c>
      <c r="B1356" s="2">
        <f>INDEX(Parameters!$B$6:$AL$57,MATCH(Inventories!$B$1319,Parameters!$A$6:$A$57,0),MATCH(Inventories!$A1356,Parameters!$B$4:$AL$4,0))</f>
        <v>0</v>
      </c>
      <c r="C1356" t="s">
        <v>8</v>
      </c>
      <c r="D1356" s="2"/>
      <c r="E1356" s="2"/>
      <c r="F1356" s="2"/>
      <c r="G1356" s="2"/>
      <c r="H1356" s="2"/>
      <c r="I1356" s="2"/>
      <c r="J1356" s="2"/>
      <c r="K1356" s="2"/>
      <c r="L1356" s="2"/>
    </row>
    <row r="1357" spans="1:12" customFormat="1" ht="16" x14ac:dyDescent="0.2">
      <c r="A1357" t="s">
        <v>351</v>
      </c>
      <c r="B1357" s="2">
        <f>INDEX(Parameters!$B$6:$AL$57,MATCH(Inventories!$B$1319,Parameters!$A$6:$A$57,0),MATCH(Inventories!$A1357,Parameters!$B$4:$AL$4,0))</f>
        <v>0</v>
      </c>
      <c r="C1357" t="s">
        <v>8</v>
      </c>
      <c r="D1357" s="2"/>
      <c r="E1357" s="2"/>
      <c r="F1357" s="2"/>
      <c r="G1357" s="2"/>
      <c r="H1357" s="2"/>
      <c r="I1357" s="2"/>
      <c r="J1357" s="2"/>
      <c r="K1357" s="2"/>
      <c r="L1357" s="2"/>
    </row>
    <row r="1358" spans="1:12" customFormat="1" ht="16" x14ac:dyDescent="0.2">
      <c r="A1358" t="s">
        <v>365</v>
      </c>
      <c r="B1358" s="2">
        <f>INDEX(Parameters!$B$6:$AL$57,MATCH(Inventories!$B$1319,Parameters!$A$6:$A$57,0),MATCH(Inventories!$A1358,Parameters!$B$4:$AL$4,0))</f>
        <v>36</v>
      </c>
      <c r="C1358" t="s">
        <v>336</v>
      </c>
      <c r="D1358" s="2"/>
      <c r="E1358" s="2"/>
      <c r="F1358" s="2"/>
      <c r="G1358" s="2"/>
      <c r="H1358" s="2"/>
      <c r="I1358" s="2"/>
      <c r="J1358" s="2"/>
      <c r="K1358" s="2"/>
      <c r="L1358" s="2"/>
    </row>
    <row r="1359" spans="1:12" customFormat="1" ht="16" x14ac:dyDescent="0.2">
      <c r="A1359" t="s">
        <v>366</v>
      </c>
      <c r="B1359" s="2">
        <f>INDEX(Parameters!$B$6:$AL$57,MATCH(Inventories!$B$1319,Parameters!$A$6:$A$57,0),MATCH(Inventories!$A1359,Parameters!$B$4:$AL$4,0))</f>
        <v>36</v>
      </c>
      <c r="C1359" t="s">
        <v>336</v>
      </c>
      <c r="D1359" s="2"/>
      <c r="E1359" s="2"/>
      <c r="F1359" s="2"/>
      <c r="G1359" s="2"/>
      <c r="H1359" s="2"/>
      <c r="I1359" s="2"/>
      <c r="J1359" s="2"/>
      <c r="K1359" s="2"/>
      <c r="L1359" s="2"/>
    </row>
    <row r="1360" spans="1:12" customFormat="1" ht="16" x14ac:dyDescent="0.2">
      <c r="A1360" t="s">
        <v>367</v>
      </c>
      <c r="B1360" s="2">
        <f>INDEX(Parameters!$B$6:$AL$57,MATCH(Inventories!$B$1319,Parameters!$A$6:$A$57,0),MATCH(Inventories!$A1360,Parameters!$B$4:$AL$4,0))</f>
        <v>25</v>
      </c>
      <c r="C1360" t="s">
        <v>336</v>
      </c>
      <c r="D1360" s="2"/>
      <c r="E1360" s="2"/>
      <c r="F1360" s="2"/>
      <c r="G1360" s="2"/>
      <c r="H1360" s="2"/>
      <c r="I1360" s="2"/>
      <c r="J1360" s="2"/>
      <c r="K1360" s="2"/>
      <c r="L1360" s="2"/>
    </row>
    <row r="1361" spans="1:12" customFormat="1" ht="16" x14ac:dyDescent="0.2">
      <c r="A1361" t="s">
        <v>368</v>
      </c>
      <c r="B1361" s="2">
        <f>INDEX(Parameters!$B$6:$AL$57,MATCH(Inventories!$B$1319,Parameters!$A$6:$A$57,0),MATCH(Inventories!$A1361,Parameters!$B$4:$AL$4,0))</f>
        <v>216</v>
      </c>
      <c r="C1361" t="s">
        <v>336</v>
      </c>
      <c r="D1361" s="2"/>
      <c r="E1361" s="2"/>
      <c r="F1361" s="2"/>
      <c r="G1361" s="2"/>
      <c r="H1361" s="2"/>
      <c r="I1361" s="2"/>
      <c r="J1361" s="2"/>
      <c r="K1361" s="2"/>
      <c r="L1361" s="2"/>
    </row>
    <row r="1362" spans="1:12" customFormat="1" ht="16" x14ac:dyDescent="0.2">
      <c r="A1362" t="s">
        <v>369</v>
      </c>
      <c r="B1362" s="2">
        <f>INDEX(Parameters!$B$6:$AL$57,MATCH(Inventories!$B$1319,Parameters!$A$6:$A$57,0),MATCH(Inventories!$A1362,Parameters!$B$4:$AL$4,0))</f>
        <v>18</v>
      </c>
      <c r="C1362" t="s">
        <v>336</v>
      </c>
      <c r="D1362" s="2"/>
      <c r="E1362" s="2"/>
      <c r="F1362" s="2"/>
      <c r="G1362" s="2"/>
      <c r="H1362" s="2"/>
      <c r="I1362" s="2"/>
      <c r="J1362" s="2"/>
      <c r="K1362" s="2"/>
      <c r="L1362" s="2"/>
    </row>
    <row r="1363" spans="1:12" customFormat="1" ht="16" x14ac:dyDescent="0.2">
      <c r="A1363" t="s">
        <v>344</v>
      </c>
      <c r="B1363" s="32">
        <f>INDEX(Parameters!$B$6:$AL$57,MATCH(Inventories!$B$1319,Parameters!$A$6:$A$57,0),MATCH(Inventories!$A1363,Parameters!$B$4:$AL$4,0))</f>
        <v>0</v>
      </c>
      <c r="C1363" t="s">
        <v>345</v>
      </c>
      <c r="D1363" s="2"/>
      <c r="E1363" s="2"/>
      <c r="F1363" s="2"/>
      <c r="G1363" s="2"/>
      <c r="H1363" s="2"/>
      <c r="I1363" s="2"/>
      <c r="J1363" s="2"/>
      <c r="K1363" s="2"/>
      <c r="L1363" s="2"/>
    </row>
    <row r="1364" spans="1:12" customFormat="1" ht="16" x14ac:dyDescent="0.2">
      <c r="A1364" t="s">
        <v>343</v>
      </c>
      <c r="B1364" s="32">
        <f>INDEX(Parameters!$B$6:$AL$57,MATCH(Inventories!$B$1319,Parameters!$A$6:$A$57,0),MATCH(Inventories!$A1364,Parameters!$B$4:$AL$4,0))</f>
        <v>0</v>
      </c>
      <c r="C1364" t="s">
        <v>345</v>
      </c>
      <c r="D1364" s="2"/>
      <c r="E1364" s="2"/>
      <c r="F1364" s="2"/>
      <c r="G1364" s="2"/>
      <c r="H1364" s="2"/>
      <c r="I1364" s="2"/>
      <c r="J1364" s="2"/>
      <c r="K1364" s="2"/>
      <c r="L1364" s="2"/>
    </row>
    <row r="1365" spans="1:12" customFormat="1" ht="16" x14ac:dyDescent="0.2">
      <c r="A1365" s="1" t="s">
        <v>10</v>
      </c>
    </row>
    <row r="1366" spans="1:12" x14ac:dyDescent="0.2">
      <c r="A1366" s="17" t="s">
        <v>11</v>
      </c>
      <c r="B1366" s="17" t="s">
        <v>12</v>
      </c>
      <c r="C1366" s="17" t="s">
        <v>3</v>
      </c>
      <c r="D1366" s="17" t="s">
        <v>13</v>
      </c>
      <c r="E1366" s="17" t="s">
        <v>8</v>
      </c>
      <c r="F1366" s="17" t="s">
        <v>6</v>
      </c>
      <c r="G1366" s="17" t="s">
        <v>5</v>
      </c>
      <c r="H1366" s="17" t="s">
        <v>151</v>
      </c>
      <c r="I1366" s="17" t="s">
        <v>179</v>
      </c>
      <c r="J1366" s="17" t="s">
        <v>180</v>
      </c>
      <c r="K1366" s="17" t="s">
        <v>181</v>
      </c>
      <c r="L1366" s="17" t="s">
        <v>182</v>
      </c>
    </row>
    <row r="1367" spans="1:12" customFormat="1" ht="16" x14ac:dyDescent="0.2">
      <c r="A1367" t="s">
        <v>219</v>
      </c>
      <c r="B1367">
        <v>1</v>
      </c>
      <c r="C1367" t="s">
        <v>18</v>
      </c>
      <c r="D1367" s="2"/>
      <c r="E1367" t="s">
        <v>17</v>
      </c>
      <c r="F1367" t="s">
        <v>19</v>
      </c>
      <c r="G1367" t="s">
        <v>142</v>
      </c>
      <c r="H1367" s="2"/>
    </row>
    <row r="1368" spans="1:12" customFormat="1" ht="16" x14ac:dyDescent="0.2">
      <c r="A1368" t="s">
        <v>140</v>
      </c>
      <c r="B1368" s="25">
        <f>1/3.6</f>
        <v>0.27777777777777779</v>
      </c>
      <c r="C1368" t="s">
        <v>18</v>
      </c>
      <c r="D1368" s="2"/>
      <c r="E1368" t="s">
        <v>141</v>
      </c>
      <c r="F1368" t="s">
        <v>23</v>
      </c>
      <c r="G1368" t="s">
        <v>142</v>
      </c>
      <c r="H1368" s="2"/>
    </row>
    <row r="1369" spans="1:12" customFormat="1" ht="16" x14ac:dyDescent="0.2">
      <c r="A1369" t="s">
        <v>183</v>
      </c>
      <c r="B1369" s="3">
        <f>(B1360/B1331)/(B1334/1000)</f>
        <v>2.0824656393169513E-5</v>
      </c>
      <c r="C1369" t="s">
        <v>114</v>
      </c>
      <c r="D1369" s="2"/>
      <c r="E1369" t="s">
        <v>9</v>
      </c>
      <c r="F1369" t="s">
        <v>23</v>
      </c>
      <c r="G1369" t="s">
        <v>184</v>
      </c>
      <c r="H1369" s="2"/>
    </row>
    <row r="1370" spans="1:12" customFormat="1" ht="16" x14ac:dyDescent="0.2">
      <c r="A1370" t="s">
        <v>146</v>
      </c>
      <c r="B1370" s="3">
        <f>(B1337/B1331)/(B1334/1000)</f>
        <v>2.0574760516451479E-4</v>
      </c>
      <c r="C1370" t="s">
        <v>114</v>
      </c>
      <c r="D1370" s="2"/>
      <c r="E1370" t="s">
        <v>9</v>
      </c>
      <c r="F1370" t="s">
        <v>23</v>
      </c>
      <c r="G1370" t="s">
        <v>147</v>
      </c>
      <c r="H1370" s="2"/>
      <c r="I1370">
        <v>5</v>
      </c>
      <c r="J1370">
        <f>B1370</f>
        <v>2.0574760516451479E-4</v>
      </c>
      <c r="K1370" s="3">
        <f>(B1338/B1333)/(B1336/1000)</f>
        <v>1.3483146067415731E-5</v>
      </c>
      <c r="L1370" s="3">
        <f>(B1339/B1332)/(B1335/1000)</f>
        <v>7.9999999999999993E-4</v>
      </c>
    </row>
    <row r="1371" spans="1:12" customFormat="1" ht="16" x14ac:dyDescent="0.2">
      <c r="A1371" t="s">
        <v>185</v>
      </c>
      <c r="B1371" s="3">
        <f>(B1362/B1331)/(B1334/1000)</f>
        <v>1.4993752603082048E-5</v>
      </c>
      <c r="C1371" t="s">
        <v>114</v>
      </c>
      <c r="D1371" s="2"/>
      <c r="E1371" t="s">
        <v>9</v>
      </c>
      <c r="F1371" t="s">
        <v>23</v>
      </c>
      <c r="G1371" t="s">
        <v>186</v>
      </c>
      <c r="H1371" s="2"/>
    </row>
    <row r="1372" spans="1:12" customFormat="1" ht="16" x14ac:dyDescent="0.2">
      <c r="A1372" t="s">
        <v>187</v>
      </c>
      <c r="B1372" s="3">
        <f>(B1359/B1331)/(B1334/1000)</f>
        <v>2.9987505206164097E-5</v>
      </c>
      <c r="C1372" t="s">
        <v>114</v>
      </c>
      <c r="D1372" s="2"/>
      <c r="E1372" t="s">
        <v>9</v>
      </c>
      <c r="F1372" t="s">
        <v>23</v>
      </c>
      <c r="G1372" t="s">
        <v>188</v>
      </c>
      <c r="H1372" s="2"/>
    </row>
    <row r="1373" spans="1:12" customFormat="1" ht="16" x14ac:dyDescent="0.2">
      <c r="A1373" t="s">
        <v>221</v>
      </c>
      <c r="B1373" s="3">
        <f>(B1346/B1331)/(B1334/1000)</f>
        <v>1.2494793835901706E-5</v>
      </c>
      <c r="C1373" s="2" t="s">
        <v>114</v>
      </c>
      <c r="D1373" s="2"/>
      <c r="E1373" t="s">
        <v>141</v>
      </c>
      <c r="F1373" t="s">
        <v>23</v>
      </c>
      <c r="G1373" t="s">
        <v>190</v>
      </c>
      <c r="H1373" s="2"/>
      <c r="I1373">
        <v>5</v>
      </c>
      <c r="J1373">
        <f>B1373</f>
        <v>1.2494793835901706E-5</v>
      </c>
      <c r="K1373" s="3">
        <f>(B1347/B1333)/(B1336/1000)</f>
        <v>2.247191011235955E-6</v>
      </c>
      <c r="L1373" s="3">
        <f>(B1348/B1332)/(B1335/1000)</f>
        <v>4.0000000000000003E-5</v>
      </c>
    </row>
    <row r="1374" spans="1:12" customFormat="1" ht="16" x14ac:dyDescent="0.2">
      <c r="B1374" s="3"/>
    </row>
    <row r="1375" spans="1:12" x14ac:dyDescent="0.2">
      <c r="A1375" s="17" t="s">
        <v>2</v>
      </c>
      <c r="B1375" s="17" t="s">
        <v>222</v>
      </c>
    </row>
    <row r="1376" spans="1:12" customFormat="1" ht="16" x14ac:dyDescent="0.2">
      <c r="A1376" t="s">
        <v>3</v>
      </c>
      <c r="B1376" t="s">
        <v>18</v>
      </c>
    </row>
    <row r="1377" spans="1:12" customFormat="1" ht="16" x14ac:dyDescent="0.2">
      <c r="A1377" t="s">
        <v>5</v>
      </c>
      <c r="B1377" t="s">
        <v>142</v>
      </c>
    </row>
    <row r="1378" spans="1:12" customFormat="1" ht="16" x14ac:dyDescent="0.2">
      <c r="A1378" t="s">
        <v>6</v>
      </c>
      <c r="B1378" t="s">
        <v>7</v>
      </c>
    </row>
    <row r="1379" spans="1:12" customFormat="1" ht="16" x14ac:dyDescent="0.2">
      <c r="A1379" t="s">
        <v>8</v>
      </c>
      <c r="B1379" t="s">
        <v>17</v>
      </c>
    </row>
    <row r="1380" spans="1:12" customFormat="1" ht="16" x14ac:dyDescent="0.2">
      <c r="A1380" s="1" t="s">
        <v>10</v>
      </c>
    </row>
    <row r="1381" spans="1:12" x14ac:dyDescent="0.2">
      <c r="A1381" s="17" t="s">
        <v>11</v>
      </c>
      <c r="B1381" s="17" t="s">
        <v>12</v>
      </c>
      <c r="C1381" s="17" t="s">
        <v>3</v>
      </c>
      <c r="D1381" s="17" t="s">
        <v>13</v>
      </c>
      <c r="E1381" s="17" t="s">
        <v>8</v>
      </c>
      <c r="F1381" s="17" t="s">
        <v>6</v>
      </c>
      <c r="G1381" s="17" t="s">
        <v>5</v>
      </c>
    </row>
    <row r="1382" spans="1:12" customFormat="1" ht="16" x14ac:dyDescent="0.2">
      <c r="A1382" t="s">
        <v>219</v>
      </c>
      <c r="B1382">
        <v>1</v>
      </c>
      <c r="C1382" t="s">
        <v>18</v>
      </c>
      <c r="D1382" s="2"/>
      <c r="E1382" t="s">
        <v>17</v>
      </c>
      <c r="F1382" t="s">
        <v>19</v>
      </c>
      <c r="G1382" t="s">
        <v>142</v>
      </c>
      <c r="I1382" s="2"/>
    </row>
    <row r="1383" spans="1:12" customFormat="1" ht="16" x14ac:dyDescent="0.2">
      <c r="A1383" t="s">
        <v>223</v>
      </c>
      <c r="B1383" s="13">
        <f>1/(0.089775*3.6)</f>
        <v>3.0941551409387671</v>
      </c>
      <c r="C1383" t="s">
        <v>22</v>
      </c>
      <c r="D1383" s="2"/>
      <c r="E1383" t="s">
        <v>224</v>
      </c>
      <c r="F1383" t="s">
        <v>23</v>
      </c>
      <c r="G1383" t="s">
        <v>223</v>
      </c>
      <c r="I1383" s="2"/>
    </row>
    <row r="1384" spans="1:12" customFormat="1" ht="16" x14ac:dyDescent="0.2">
      <c r="I1384" s="2"/>
    </row>
    <row r="1385" spans="1:12" x14ac:dyDescent="0.2">
      <c r="A1385" s="17" t="s">
        <v>2</v>
      </c>
      <c r="B1385" s="17" t="s">
        <v>225</v>
      </c>
    </row>
    <row r="1386" spans="1:12" customFormat="1" ht="16" x14ac:dyDescent="0.2">
      <c r="A1386" t="s">
        <v>3</v>
      </c>
      <c r="B1386" t="s">
        <v>18</v>
      </c>
      <c r="I1386" s="2"/>
    </row>
    <row r="1387" spans="1:12" customFormat="1" ht="16" x14ac:dyDescent="0.2">
      <c r="A1387" t="s">
        <v>5</v>
      </c>
      <c r="B1387" s="3" t="s">
        <v>142</v>
      </c>
    </row>
    <row r="1388" spans="1:12" customFormat="1" ht="16" x14ac:dyDescent="0.2">
      <c r="A1388" t="s">
        <v>6</v>
      </c>
      <c r="B1388" s="3" t="s">
        <v>7</v>
      </c>
    </row>
    <row r="1389" spans="1:12" customFormat="1" ht="16" x14ac:dyDescent="0.2">
      <c r="A1389" t="s">
        <v>8</v>
      </c>
      <c r="B1389" s="3" t="s">
        <v>17</v>
      </c>
    </row>
    <row r="1390" spans="1:12" customFormat="1" ht="16" x14ac:dyDescent="0.2">
      <c r="A1390" t="s">
        <v>204</v>
      </c>
      <c r="B1390" s="3" t="s">
        <v>226</v>
      </c>
    </row>
    <row r="1391" spans="1:12" customFormat="1" ht="16" x14ac:dyDescent="0.2">
      <c r="A1391" t="s">
        <v>151</v>
      </c>
      <c r="B1391" s="3" t="s">
        <v>362</v>
      </c>
    </row>
    <row r="1392" spans="1:12" customFormat="1" ht="16" x14ac:dyDescent="0.2">
      <c r="A1392" t="s">
        <v>352</v>
      </c>
      <c r="B1392" s="2">
        <f>INDEX(Parameters!$B$6:$AL$57,MATCH(Inventories!$B$1385,Parameters!$A$6:$A$57,0),MATCH(Inventories!$A1392,Parameters!$B$4:$AL$4,0))</f>
        <v>13</v>
      </c>
      <c r="C1392" t="s">
        <v>312</v>
      </c>
      <c r="D1392" s="2"/>
      <c r="E1392" s="2"/>
      <c r="F1392" s="2"/>
      <c r="G1392" s="2"/>
      <c r="H1392" s="2"/>
      <c r="I1392" s="2"/>
      <c r="J1392" s="2"/>
      <c r="K1392" s="2"/>
      <c r="L1392" s="2"/>
    </row>
    <row r="1393" spans="1:12" customFormat="1" ht="16" x14ac:dyDescent="0.2">
      <c r="A1393" t="s">
        <v>353</v>
      </c>
      <c r="B1393" s="2">
        <f>INDEX(Parameters!$B$6:$AL$57,MATCH(Inventories!$B$1385,Parameters!$A$6:$A$57,0),MATCH(Inventories!$A1393,Parameters!$B$4:$AL$4,0))</f>
        <v>5</v>
      </c>
      <c r="C1393" t="s">
        <v>312</v>
      </c>
      <c r="D1393" s="2"/>
      <c r="E1393" s="2"/>
      <c r="F1393" s="2"/>
      <c r="G1393" s="2"/>
      <c r="H1393" s="2"/>
      <c r="I1393" s="2"/>
      <c r="J1393" s="2"/>
      <c r="K1393" s="2"/>
      <c r="L1393" s="2"/>
    </row>
    <row r="1394" spans="1:12" customFormat="1" ht="16" x14ac:dyDescent="0.2">
      <c r="A1394" t="s">
        <v>354</v>
      </c>
      <c r="B1394" s="2">
        <f>INDEX(Parameters!$B$6:$AL$57,MATCH(Inventories!$B$1385,Parameters!$A$6:$A$57,0),MATCH(Inventories!$A1394,Parameters!$B$4:$AL$4,0))</f>
        <v>45</v>
      </c>
      <c r="C1394" t="s">
        <v>312</v>
      </c>
      <c r="D1394" s="2"/>
      <c r="E1394" s="2"/>
      <c r="F1394" s="2"/>
      <c r="G1394" s="2"/>
      <c r="H1394" s="2"/>
      <c r="I1394" s="2"/>
      <c r="J1394" s="2"/>
      <c r="K1394" s="2"/>
      <c r="L1394" s="2"/>
    </row>
    <row r="1395" spans="1:12" customFormat="1" ht="16" x14ac:dyDescent="0.2">
      <c r="A1395" t="s">
        <v>316</v>
      </c>
      <c r="B1395" s="24">
        <f>INDEX(Parameters!$B$6:$AL$57,MATCH(Inventories!$B$1385,Parameters!$A$6:$A$57,0),MATCH(Inventories!$A1395,Parameters!$B$4:$AL$4,0))</f>
        <v>100000</v>
      </c>
      <c r="C1395" t="s">
        <v>313</v>
      </c>
      <c r="D1395" s="2"/>
      <c r="E1395" s="2"/>
      <c r="F1395" s="2"/>
      <c r="G1395" s="2"/>
      <c r="H1395" s="2"/>
      <c r="I1395" s="2"/>
      <c r="J1395" s="2"/>
      <c r="K1395" s="2"/>
      <c r="L1395" s="2"/>
    </row>
    <row r="1396" spans="1:12" customFormat="1" ht="16" x14ac:dyDescent="0.2">
      <c r="A1396" t="s">
        <v>317</v>
      </c>
      <c r="B1396" s="24">
        <f>INDEX(Parameters!$B$6:$AL$57,MATCH(Inventories!$B$1385,Parameters!$A$6:$A$57,0),MATCH(Inventories!$A1396,Parameters!$B$4:$AL$4,0))</f>
        <v>50000</v>
      </c>
      <c r="C1396" t="s">
        <v>313</v>
      </c>
      <c r="D1396" s="2"/>
      <c r="E1396" s="2"/>
      <c r="F1396" s="2"/>
      <c r="G1396" s="2"/>
      <c r="H1396" s="2"/>
      <c r="I1396" s="2"/>
      <c r="J1396" s="2"/>
      <c r="K1396" s="2"/>
      <c r="L1396" s="2"/>
    </row>
    <row r="1397" spans="1:12" customFormat="1" ht="16" x14ac:dyDescent="0.2">
      <c r="A1397" t="s">
        <v>318</v>
      </c>
      <c r="B1397" s="24">
        <f>INDEX(Parameters!$B$6:$AL$57,MATCH(Inventories!$B$1385,Parameters!$A$6:$A$57,0),MATCH(Inventories!$A1397,Parameters!$B$4:$AL$4,0))</f>
        <v>200000</v>
      </c>
      <c r="C1397" t="s">
        <v>313</v>
      </c>
      <c r="D1397" s="2"/>
      <c r="E1397" s="2"/>
      <c r="F1397" s="2"/>
      <c r="G1397" s="2"/>
      <c r="H1397" s="2"/>
      <c r="I1397" s="2"/>
      <c r="J1397" s="2"/>
      <c r="K1397" s="2"/>
      <c r="L1397" s="2"/>
    </row>
    <row r="1398" spans="1:12" customFormat="1" ht="16" x14ac:dyDescent="0.2">
      <c r="A1398" t="s">
        <v>319</v>
      </c>
      <c r="B1398" s="2">
        <f>INDEX(Parameters!$B$6:$AL$57,MATCH(Inventories!$B$1385,Parameters!$A$6:$A$57,0),MATCH(Inventories!$A1398,Parameters!$B$4:$AL$4,0))</f>
        <v>284</v>
      </c>
      <c r="C1398" t="s">
        <v>314</v>
      </c>
      <c r="D1398" s="2"/>
      <c r="E1398" s="2"/>
      <c r="F1398" s="2"/>
      <c r="G1398" s="2"/>
      <c r="H1398" s="2"/>
      <c r="I1398" s="2"/>
      <c r="J1398" s="2"/>
      <c r="K1398" s="2"/>
      <c r="L1398" s="2"/>
    </row>
    <row r="1399" spans="1:12" customFormat="1" ht="16" x14ac:dyDescent="0.2">
      <c r="A1399" t="s">
        <v>320</v>
      </c>
      <c r="B1399" s="2">
        <f>INDEX(Parameters!$B$6:$AL$57,MATCH(Inventories!$B$1385,Parameters!$A$6:$A$57,0),MATCH(Inventories!$A1399,Parameters!$B$4:$AL$4,0))</f>
        <v>156</v>
      </c>
      <c r="C1399" t="s">
        <v>314</v>
      </c>
      <c r="D1399" s="2"/>
      <c r="E1399" s="2"/>
      <c r="F1399" s="2"/>
      <c r="G1399" s="2"/>
      <c r="H1399" s="2"/>
      <c r="I1399" s="2"/>
      <c r="J1399" s="2"/>
      <c r="K1399" s="2"/>
      <c r="L1399" s="2"/>
    </row>
    <row r="1400" spans="1:12" customFormat="1" ht="16" x14ac:dyDescent="0.2">
      <c r="A1400" t="s">
        <v>321</v>
      </c>
      <c r="B1400" s="2">
        <f>INDEX(Parameters!$B$6:$AL$57,MATCH(Inventories!$B$1385,Parameters!$A$6:$A$57,0),MATCH(Inventories!$A1400,Parameters!$B$4:$AL$4,0))</f>
        <v>356</v>
      </c>
      <c r="C1400" t="s">
        <v>314</v>
      </c>
      <c r="D1400" s="2"/>
      <c r="E1400" s="2"/>
      <c r="F1400" s="2"/>
      <c r="G1400" s="2"/>
      <c r="H1400" s="2"/>
      <c r="I1400" s="2"/>
      <c r="J1400" s="2"/>
      <c r="K1400" s="2"/>
      <c r="L1400" s="2"/>
    </row>
    <row r="1401" spans="1:12" customFormat="1" ht="16" x14ac:dyDescent="0.2">
      <c r="A1401" t="s">
        <v>337</v>
      </c>
      <c r="B1401" s="2">
        <f>INDEX(Parameters!$B$6:$AL$57,MATCH(Inventories!$B$1385,Parameters!$A$6:$A$57,0),MATCH(Inventories!$A1401,Parameters!$B$4:$AL$4,0))</f>
        <v>6.4</v>
      </c>
      <c r="C1401" t="s">
        <v>336</v>
      </c>
      <c r="D1401" s="2"/>
      <c r="E1401" s="2"/>
      <c r="F1401" s="2"/>
      <c r="G1401" s="2"/>
      <c r="H1401" s="2"/>
      <c r="I1401" s="2"/>
      <c r="J1401" s="2"/>
      <c r="K1401" s="2"/>
      <c r="L1401" s="2"/>
    </row>
    <row r="1402" spans="1:12" customFormat="1" ht="16" x14ac:dyDescent="0.2">
      <c r="A1402" t="s">
        <v>338</v>
      </c>
      <c r="B1402" s="2">
        <f>INDEX(Parameters!$B$6:$AL$57,MATCH(Inventories!$B$1385,Parameters!$A$6:$A$57,0),MATCH(Inventories!$A1402,Parameters!$B$4:$AL$4,0))</f>
        <v>2.2999999999999998</v>
      </c>
      <c r="C1402" t="s">
        <v>336</v>
      </c>
      <c r="D1402" s="2"/>
      <c r="E1402" s="2"/>
      <c r="F1402" s="2"/>
      <c r="G1402" s="2"/>
      <c r="H1402" s="2"/>
      <c r="I1402" s="2"/>
      <c r="J1402" s="2"/>
      <c r="K1402" s="2"/>
      <c r="L1402" s="2"/>
    </row>
    <row r="1403" spans="1:12" customFormat="1" ht="16" x14ac:dyDescent="0.2">
      <c r="A1403" t="s">
        <v>339</v>
      </c>
      <c r="B1403" s="2">
        <f>INDEX(Parameters!$B$6:$AL$57,MATCH(Inventories!$B$1385,Parameters!$A$6:$A$57,0),MATCH(Inventories!$A1403,Parameters!$B$4:$AL$4,0))</f>
        <v>22</v>
      </c>
      <c r="C1403" t="s">
        <v>336</v>
      </c>
      <c r="D1403" s="2"/>
      <c r="E1403" s="2"/>
      <c r="F1403" s="2"/>
      <c r="G1403" s="2"/>
      <c r="H1403" s="2"/>
      <c r="I1403" s="2"/>
      <c r="J1403" s="2"/>
      <c r="K1403" s="2"/>
      <c r="L1403" s="2"/>
    </row>
    <row r="1404" spans="1:12" customFormat="1" ht="16" x14ac:dyDescent="0.2">
      <c r="A1404" t="s">
        <v>340</v>
      </c>
      <c r="B1404" s="2">
        <f>INDEX(Parameters!$B$6:$AL$57,MATCH(Inventories!$B$1385,Parameters!$A$6:$A$57,0),MATCH(Inventories!$A1404,Parameters!$B$4:$AL$4,0))</f>
        <v>0</v>
      </c>
      <c r="C1404" t="s">
        <v>336</v>
      </c>
      <c r="D1404" s="2"/>
      <c r="E1404" s="2"/>
      <c r="F1404" s="2"/>
      <c r="G1404" s="2"/>
      <c r="H1404" s="2"/>
      <c r="I1404" s="2"/>
      <c r="J1404" s="2"/>
      <c r="K1404" s="2"/>
      <c r="L1404" s="2"/>
    </row>
    <row r="1405" spans="1:12" customFormat="1" ht="16" x14ac:dyDescent="0.2">
      <c r="A1405" t="s">
        <v>341</v>
      </c>
      <c r="B1405" s="2">
        <f>INDEX(Parameters!$B$6:$AL$57,MATCH(Inventories!$B$1385,Parameters!$A$6:$A$57,0),MATCH(Inventories!$A1405,Parameters!$B$4:$AL$4,0))</f>
        <v>0</v>
      </c>
      <c r="C1405" t="s">
        <v>336</v>
      </c>
      <c r="D1405" s="2"/>
      <c r="E1405" s="2"/>
      <c r="F1405" s="2"/>
      <c r="G1405" s="2"/>
      <c r="H1405" s="2"/>
      <c r="I1405" s="2"/>
      <c r="J1405" s="2"/>
      <c r="K1405" s="2"/>
      <c r="L1405" s="2"/>
    </row>
    <row r="1406" spans="1:12" customFormat="1" ht="16" x14ac:dyDescent="0.2">
      <c r="A1406" t="s">
        <v>342</v>
      </c>
      <c r="B1406" s="2">
        <f>INDEX(Parameters!$B$6:$AL$57,MATCH(Inventories!$B$1385,Parameters!$A$6:$A$57,0),MATCH(Inventories!$A1406,Parameters!$B$4:$AL$4,0))</f>
        <v>0</v>
      </c>
      <c r="C1406" t="s">
        <v>336</v>
      </c>
      <c r="D1406" s="2"/>
      <c r="E1406" s="2"/>
      <c r="F1406" s="2"/>
      <c r="G1406" s="2"/>
      <c r="H1406" s="2"/>
      <c r="I1406" s="2"/>
      <c r="J1406" s="2"/>
      <c r="K1406" s="2"/>
      <c r="L1406" s="2"/>
    </row>
    <row r="1407" spans="1:12" customFormat="1" ht="16" x14ac:dyDescent="0.2">
      <c r="A1407" t="s">
        <v>333</v>
      </c>
      <c r="B1407" s="2">
        <f>INDEX(Parameters!$B$6:$AL$57,MATCH(Inventories!$B$1385,Parameters!$A$6:$A$57,0),MATCH(Inventories!$A1407,Parameters!$B$4:$AL$4,0))</f>
        <v>0</v>
      </c>
      <c r="C1407" t="s">
        <v>336</v>
      </c>
      <c r="D1407" s="2"/>
      <c r="E1407" s="2"/>
      <c r="F1407" s="2"/>
      <c r="G1407" s="2"/>
      <c r="H1407" s="2"/>
      <c r="I1407" s="2"/>
      <c r="J1407" s="2"/>
      <c r="K1407" s="2"/>
      <c r="L1407" s="2"/>
    </row>
    <row r="1408" spans="1:12" customFormat="1" ht="16" x14ac:dyDescent="0.2">
      <c r="A1408" t="s">
        <v>334</v>
      </c>
      <c r="B1408" s="2">
        <f>INDEX(Parameters!$B$6:$AL$57,MATCH(Inventories!$B$1385,Parameters!$A$6:$A$57,0),MATCH(Inventories!$A1408,Parameters!$B$4:$AL$4,0))</f>
        <v>0</v>
      </c>
      <c r="C1408" t="s">
        <v>336</v>
      </c>
      <c r="D1408" s="2"/>
      <c r="E1408" s="2"/>
      <c r="F1408" s="2"/>
      <c r="G1408" s="2"/>
      <c r="H1408" s="2"/>
      <c r="I1408" s="2"/>
      <c r="J1408" s="2"/>
      <c r="K1408" s="2"/>
      <c r="L1408" s="2"/>
    </row>
    <row r="1409" spans="1:12" customFormat="1" ht="16" x14ac:dyDescent="0.2">
      <c r="A1409" t="s">
        <v>335</v>
      </c>
      <c r="B1409" s="2">
        <f>INDEX(Parameters!$B$6:$AL$57,MATCH(Inventories!$B$1385,Parameters!$A$6:$A$57,0),MATCH(Inventories!$A1409,Parameters!$B$4:$AL$4,0))</f>
        <v>0</v>
      </c>
      <c r="C1409" t="s">
        <v>336</v>
      </c>
      <c r="D1409" s="2"/>
      <c r="E1409" s="2"/>
      <c r="F1409" s="2"/>
      <c r="G1409" s="2"/>
      <c r="H1409" s="2"/>
      <c r="I1409" s="2"/>
      <c r="J1409" s="2"/>
      <c r="K1409" s="2"/>
      <c r="L1409" s="2"/>
    </row>
    <row r="1410" spans="1:12" customFormat="1" ht="16" x14ac:dyDescent="0.2">
      <c r="A1410" t="s">
        <v>322</v>
      </c>
      <c r="B1410" s="2">
        <f>INDEX(Parameters!$B$6:$AL$57,MATCH(Inventories!$B$1385,Parameters!$A$6:$A$57,0),MATCH(Inventories!$A1410,Parameters!$B$4:$AL$4,0))</f>
        <v>6.7</v>
      </c>
      <c r="C1410" t="s">
        <v>315</v>
      </c>
      <c r="D1410" s="2"/>
      <c r="E1410" s="2"/>
      <c r="F1410" s="2"/>
      <c r="G1410" s="2"/>
      <c r="H1410" s="2"/>
      <c r="I1410" s="2"/>
      <c r="J1410" s="2"/>
      <c r="K1410" s="2"/>
      <c r="L1410" s="2"/>
    </row>
    <row r="1411" spans="1:12" customFormat="1" ht="16" x14ac:dyDescent="0.2">
      <c r="A1411" t="s">
        <v>323</v>
      </c>
      <c r="B1411" s="2">
        <f>INDEX(Parameters!$B$6:$AL$57,MATCH(Inventories!$B$1385,Parameters!$A$6:$A$57,0),MATCH(Inventories!$A1411,Parameters!$B$4:$AL$4,0))</f>
        <v>2.5</v>
      </c>
      <c r="C1411" t="s">
        <v>315</v>
      </c>
      <c r="D1411" s="2"/>
      <c r="E1411" s="2"/>
      <c r="F1411" s="2"/>
      <c r="G1411" s="2"/>
      <c r="H1411" s="2"/>
      <c r="I1411" s="2"/>
      <c r="J1411" s="2"/>
      <c r="K1411" s="2"/>
      <c r="L1411" s="2"/>
    </row>
    <row r="1412" spans="1:12" customFormat="1" ht="16" x14ac:dyDescent="0.2">
      <c r="A1412" t="s">
        <v>324</v>
      </c>
      <c r="B1412" s="2">
        <f>INDEX(Parameters!$B$6:$AL$57,MATCH(Inventories!$B$1385,Parameters!$A$6:$A$57,0),MATCH(Inventories!$A1412,Parameters!$B$4:$AL$4,0))</f>
        <v>14</v>
      </c>
      <c r="C1412" t="s">
        <v>315</v>
      </c>
      <c r="D1412" s="2"/>
      <c r="E1412" s="2"/>
      <c r="F1412" s="2"/>
      <c r="G1412" s="2"/>
      <c r="H1412" s="2"/>
      <c r="I1412" s="2"/>
      <c r="J1412" s="2"/>
      <c r="K1412" s="2"/>
      <c r="L1412" s="2"/>
    </row>
    <row r="1413" spans="1:12" customFormat="1" ht="16" x14ac:dyDescent="0.2">
      <c r="A1413" t="s">
        <v>330</v>
      </c>
      <c r="B1413" s="2">
        <f>INDEX(Parameters!$B$6:$AL$57,MATCH(Inventories!$B$1385,Parameters!$A$6:$A$57,0),MATCH(Inventories!$A1413,Parameters!$B$4:$AL$4,0))</f>
        <v>0</v>
      </c>
      <c r="C1413" t="s">
        <v>8</v>
      </c>
      <c r="D1413" s="2"/>
      <c r="E1413" s="2"/>
      <c r="F1413" s="2"/>
      <c r="G1413" s="2"/>
      <c r="H1413" s="2"/>
      <c r="I1413" s="2"/>
      <c r="J1413" s="2"/>
      <c r="K1413" s="2"/>
      <c r="L1413" s="2"/>
    </row>
    <row r="1414" spans="1:12" customFormat="1" ht="16" x14ac:dyDescent="0.2">
      <c r="A1414" t="s">
        <v>331</v>
      </c>
      <c r="B1414" s="2">
        <f>INDEX(Parameters!$B$6:$AL$57,MATCH(Inventories!$B$1385,Parameters!$A$6:$A$57,0),MATCH(Inventories!$A1414,Parameters!$B$4:$AL$4,0))</f>
        <v>0</v>
      </c>
      <c r="C1414" t="s">
        <v>8</v>
      </c>
      <c r="D1414" s="2"/>
      <c r="E1414" s="2"/>
      <c r="F1414" s="2"/>
      <c r="G1414" s="2"/>
      <c r="H1414" s="2"/>
      <c r="I1414" s="2"/>
      <c r="J1414" s="2"/>
      <c r="K1414" s="2"/>
      <c r="L1414" s="2"/>
    </row>
    <row r="1415" spans="1:12" customFormat="1" ht="16" x14ac:dyDescent="0.2">
      <c r="A1415" t="s">
        <v>332</v>
      </c>
      <c r="B1415" s="2">
        <f>INDEX(Parameters!$B$6:$AL$57,MATCH(Inventories!$B$1385,Parameters!$A$6:$A$57,0),MATCH(Inventories!$A1415,Parameters!$B$4:$AL$4,0))</f>
        <v>0</v>
      </c>
      <c r="C1415" t="s">
        <v>8</v>
      </c>
      <c r="D1415" s="2"/>
      <c r="E1415" s="2"/>
      <c r="F1415" s="2"/>
      <c r="G1415" s="2"/>
      <c r="H1415" s="2"/>
      <c r="I1415" s="2"/>
      <c r="J1415" s="2"/>
      <c r="K1415" s="2"/>
      <c r="L1415" s="2"/>
    </row>
    <row r="1416" spans="1:12" customFormat="1" ht="16" x14ac:dyDescent="0.2">
      <c r="A1416" t="s">
        <v>346</v>
      </c>
      <c r="B1416" s="2">
        <f>INDEX(Parameters!$B$6:$AL$57,MATCH(Inventories!$B$1385,Parameters!$A$6:$A$57,0),MATCH(Inventories!$A1416,Parameters!$B$4:$AL$4,0))</f>
        <v>0</v>
      </c>
      <c r="C1416" t="s">
        <v>336</v>
      </c>
      <c r="D1416" s="2"/>
      <c r="E1416" s="2"/>
      <c r="F1416" s="2"/>
      <c r="G1416" s="2"/>
      <c r="H1416" s="2"/>
      <c r="I1416" s="2"/>
      <c r="J1416" s="2"/>
      <c r="K1416" s="2"/>
      <c r="L1416" s="2"/>
    </row>
    <row r="1417" spans="1:12" customFormat="1" ht="16" x14ac:dyDescent="0.2">
      <c r="A1417" t="s">
        <v>347</v>
      </c>
      <c r="B1417" s="2">
        <f>INDEX(Parameters!$B$6:$AL$57,MATCH(Inventories!$B$1385,Parameters!$A$6:$A$57,0),MATCH(Inventories!$A1417,Parameters!$B$4:$AL$4,0))</f>
        <v>0</v>
      </c>
      <c r="C1417" t="s">
        <v>336</v>
      </c>
      <c r="D1417" s="2"/>
      <c r="E1417" s="12"/>
      <c r="F1417" s="2"/>
      <c r="G1417" s="2"/>
      <c r="H1417" s="2"/>
      <c r="I1417" s="2"/>
      <c r="J1417" s="2"/>
      <c r="K1417" s="2"/>
      <c r="L1417" s="2"/>
    </row>
    <row r="1418" spans="1:12" customFormat="1" ht="16" x14ac:dyDescent="0.2">
      <c r="A1418" t="s">
        <v>348</v>
      </c>
      <c r="B1418" s="2">
        <f>INDEX(Parameters!$B$6:$AL$57,MATCH(Inventories!$B$1385,Parameters!$A$6:$A$57,0),MATCH(Inventories!$A1418,Parameters!$B$4:$AL$4,0))</f>
        <v>0</v>
      </c>
      <c r="C1418" t="s">
        <v>336</v>
      </c>
      <c r="D1418" s="2"/>
      <c r="E1418" s="2"/>
      <c r="F1418" s="2"/>
      <c r="G1418" s="2"/>
      <c r="H1418" s="2"/>
      <c r="I1418" s="2"/>
      <c r="J1418" s="2"/>
      <c r="K1418" s="2"/>
      <c r="L1418" s="2"/>
    </row>
    <row r="1419" spans="1:12" customFormat="1" ht="16" x14ac:dyDescent="0.2">
      <c r="A1419" t="s">
        <v>349</v>
      </c>
      <c r="B1419" s="2">
        <f>INDEX(Parameters!$B$6:$AL$57,MATCH(Inventories!$B$1385,Parameters!$A$6:$A$57,0),MATCH(Inventories!$A1419,Parameters!$B$4:$AL$4,0))</f>
        <v>0</v>
      </c>
      <c r="C1419" t="s">
        <v>8</v>
      </c>
      <c r="D1419" s="2"/>
      <c r="E1419" s="2"/>
      <c r="F1419" s="2"/>
      <c r="G1419" s="2"/>
      <c r="H1419" s="2"/>
      <c r="I1419" s="2"/>
      <c r="J1419" s="2"/>
      <c r="K1419" s="2"/>
      <c r="L1419" s="2"/>
    </row>
    <row r="1420" spans="1:12" customFormat="1" ht="16" x14ac:dyDescent="0.2">
      <c r="A1420" t="s">
        <v>350</v>
      </c>
      <c r="B1420" s="2">
        <f>INDEX(Parameters!$B$6:$AL$57,MATCH(Inventories!$B$1385,Parameters!$A$6:$A$57,0),MATCH(Inventories!$A1420,Parameters!$B$4:$AL$4,0))</f>
        <v>0</v>
      </c>
      <c r="C1420" t="s">
        <v>8</v>
      </c>
      <c r="D1420" s="2"/>
      <c r="E1420" s="2"/>
      <c r="F1420" s="2"/>
      <c r="G1420" s="2"/>
      <c r="H1420" s="2"/>
      <c r="I1420" s="2"/>
      <c r="J1420" s="2"/>
      <c r="K1420" s="2"/>
      <c r="L1420" s="2"/>
    </row>
    <row r="1421" spans="1:12" customFormat="1" ht="16" x14ac:dyDescent="0.2">
      <c r="A1421" t="s">
        <v>351</v>
      </c>
      <c r="B1421" s="2">
        <f>INDEX(Parameters!$B$6:$AL$57,MATCH(Inventories!$B$1385,Parameters!$A$6:$A$57,0),MATCH(Inventories!$A1421,Parameters!$B$4:$AL$4,0))</f>
        <v>0</v>
      </c>
      <c r="C1421" t="s">
        <v>8</v>
      </c>
      <c r="D1421" s="2"/>
      <c r="E1421" s="2"/>
      <c r="F1421" s="2"/>
      <c r="G1421" s="2"/>
      <c r="H1421" s="2"/>
      <c r="I1421" s="2"/>
      <c r="J1421" s="2"/>
      <c r="K1421" s="2"/>
      <c r="L1421" s="2"/>
    </row>
    <row r="1422" spans="1:12" customFormat="1" ht="16" x14ac:dyDescent="0.2">
      <c r="A1422" t="s">
        <v>365</v>
      </c>
      <c r="B1422" s="2">
        <f>INDEX(Parameters!$B$6:$AL$57,MATCH(Inventories!$B$1385,Parameters!$A$6:$A$57,0),MATCH(Inventories!$A1422,Parameters!$B$4:$AL$4,0))</f>
        <v>2.4</v>
      </c>
      <c r="C1422" t="s">
        <v>336</v>
      </c>
      <c r="D1422" s="2"/>
      <c r="E1422" s="2"/>
      <c r="F1422" s="2"/>
      <c r="G1422" s="2"/>
      <c r="H1422" s="2"/>
      <c r="I1422" s="2"/>
      <c r="J1422" s="2"/>
      <c r="K1422" s="2"/>
      <c r="L1422" s="2"/>
    </row>
    <row r="1423" spans="1:12" customFormat="1" ht="16" x14ac:dyDescent="0.2">
      <c r="A1423" t="s">
        <v>366</v>
      </c>
      <c r="B1423" s="2">
        <f>INDEX(Parameters!$B$6:$AL$57,MATCH(Inventories!$B$1385,Parameters!$A$6:$A$57,0),MATCH(Inventories!$A1423,Parameters!$B$4:$AL$4,0))</f>
        <v>1.3</v>
      </c>
      <c r="C1423" t="s">
        <v>336</v>
      </c>
      <c r="D1423" s="2"/>
      <c r="E1423" s="2"/>
      <c r="F1423" s="2"/>
      <c r="G1423" s="2"/>
      <c r="H1423" s="2"/>
      <c r="I1423" s="2"/>
      <c r="J1423" s="2"/>
      <c r="K1423" s="2"/>
      <c r="L1423" s="2"/>
    </row>
    <row r="1424" spans="1:12" customFormat="1" ht="16" x14ac:dyDescent="0.2">
      <c r="A1424" t="s">
        <v>367</v>
      </c>
      <c r="B1424" s="2">
        <f>INDEX(Parameters!$B$6:$AL$57,MATCH(Inventories!$B$1385,Parameters!$A$6:$A$57,0),MATCH(Inventories!$A1424,Parameters!$B$4:$AL$4,0))</f>
        <v>1.125</v>
      </c>
      <c r="C1424" t="s">
        <v>336</v>
      </c>
      <c r="D1424" s="2"/>
      <c r="E1424" s="2"/>
      <c r="F1424" s="2"/>
      <c r="G1424" s="2"/>
      <c r="H1424" s="2"/>
      <c r="I1424" s="2"/>
      <c r="J1424" s="2"/>
      <c r="K1424" s="2"/>
      <c r="L1424" s="2"/>
    </row>
    <row r="1425" spans="1:13" customFormat="1" ht="16" x14ac:dyDescent="0.2">
      <c r="A1425" t="s">
        <v>368</v>
      </c>
      <c r="B1425" s="2">
        <f>INDEX(Parameters!$B$6:$AL$57,MATCH(Inventories!$B$1385,Parameters!$A$6:$A$57,0),MATCH(Inventories!$A1425,Parameters!$B$4:$AL$4,0))</f>
        <v>5.2</v>
      </c>
      <c r="C1425" t="s">
        <v>336</v>
      </c>
      <c r="D1425" s="2"/>
      <c r="E1425" s="2"/>
      <c r="F1425" s="2"/>
      <c r="G1425" s="2"/>
      <c r="H1425" s="2"/>
      <c r="I1425" s="2"/>
      <c r="J1425" s="2"/>
      <c r="K1425" s="2"/>
      <c r="L1425" s="2"/>
    </row>
    <row r="1426" spans="1:13" customFormat="1" ht="16" x14ac:dyDescent="0.2">
      <c r="A1426" t="s">
        <v>369</v>
      </c>
      <c r="B1426" s="2">
        <f>INDEX(Parameters!$B$6:$AL$57,MATCH(Inventories!$B$1385,Parameters!$A$6:$A$57,0),MATCH(Inventories!$A1426,Parameters!$B$4:$AL$4,0))</f>
        <v>2.25</v>
      </c>
      <c r="C1426" t="s">
        <v>336</v>
      </c>
      <c r="D1426" s="2"/>
      <c r="E1426" s="2"/>
      <c r="F1426" s="2"/>
      <c r="G1426" s="2"/>
      <c r="H1426" s="2"/>
      <c r="I1426" s="2"/>
      <c r="J1426" s="2"/>
      <c r="K1426" s="2"/>
      <c r="L1426" s="2"/>
    </row>
    <row r="1427" spans="1:13" customFormat="1" ht="16" x14ac:dyDescent="0.2">
      <c r="A1427" t="s">
        <v>344</v>
      </c>
      <c r="B1427" s="29">
        <f>INDEX(Parameters!$B$6:$AL$57,MATCH(Inventories!$B$1385,Parameters!$A$6:$A$57,0),MATCH(Inventories!$A1427,Parameters!$B$4:$AL$4,0))</f>
        <v>0</v>
      </c>
      <c r="C1427" t="s">
        <v>345</v>
      </c>
      <c r="D1427" s="2"/>
      <c r="E1427" s="2"/>
      <c r="F1427" s="2"/>
      <c r="G1427" s="2"/>
      <c r="H1427" s="2"/>
      <c r="I1427" s="2"/>
      <c r="J1427" s="2"/>
      <c r="K1427" s="2"/>
      <c r="L1427" s="2"/>
    </row>
    <row r="1428" spans="1:13" customFormat="1" ht="16" x14ac:dyDescent="0.2">
      <c r="A1428" t="s">
        <v>343</v>
      </c>
      <c r="B1428" s="2">
        <f>INDEX(Parameters!$B$6:$AL$57,MATCH(Inventories!$B$1385,Parameters!$A$6:$A$57,0),MATCH(Inventories!$A1428,Parameters!$B$4:$AL$4,0))</f>
        <v>0</v>
      </c>
      <c r="C1428" t="s">
        <v>345</v>
      </c>
      <c r="D1428" s="2"/>
      <c r="E1428" s="2"/>
      <c r="F1428" s="2"/>
      <c r="G1428" s="2"/>
      <c r="H1428" s="2"/>
      <c r="I1428" s="2"/>
      <c r="J1428" s="2"/>
      <c r="K1428" s="2"/>
      <c r="L1428" s="2"/>
    </row>
    <row r="1429" spans="1:13" customFormat="1" ht="16" x14ac:dyDescent="0.2">
      <c r="A1429" t="s">
        <v>10</v>
      </c>
      <c r="B1429" s="3"/>
    </row>
    <row r="1430" spans="1:13" x14ac:dyDescent="0.2">
      <c r="A1430" s="17" t="s">
        <v>11</v>
      </c>
      <c r="B1430" s="18" t="s">
        <v>12</v>
      </c>
      <c r="C1430" s="17" t="s">
        <v>3</v>
      </c>
      <c r="D1430" s="17" t="s">
        <v>13</v>
      </c>
      <c r="E1430" s="17" t="s">
        <v>8</v>
      </c>
      <c r="F1430" s="17" t="s">
        <v>6</v>
      </c>
      <c r="G1430" s="17" t="s">
        <v>5</v>
      </c>
      <c r="H1430" s="17" t="s">
        <v>151</v>
      </c>
      <c r="I1430" s="17" t="s">
        <v>179</v>
      </c>
      <c r="J1430" s="17" t="s">
        <v>180</v>
      </c>
      <c r="K1430" s="17" t="s">
        <v>181</v>
      </c>
      <c r="L1430" s="17" t="s">
        <v>182</v>
      </c>
    </row>
    <row r="1431" spans="1:13" customFormat="1" ht="16" x14ac:dyDescent="0.2">
      <c r="A1431" t="s">
        <v>225</v>
      </c>
      <c r="B1431" s="3">
        <v>1</v>
      </c>
      <c r="C1431" t="s">
        <v>18</v>
      </c>
      <c r="D1431" s="2"/>
      <c r="E1431" t="s">
        <v>17</v>
      </c>
      <c r="F1431" t="s">
        <v>19</v>
      </c>
      <c r="G1431" t="s">
        <v>142</v>
      </c>
      <c r="H1431" t="s">
        <v>211</v>
      </c>
      <c r="M1431" s="2"/>
    </row>
    <row r="1432" spans="1:13" customFormat="1" ht="16" x14ac:dyDescent="0.2">
      <c r="A1432" t="s">
        <v>140</v>
      </c>
      <c r="B1432" s="9">
        <f>1/3.6</f>
        <v>0.27777777777777779</v>
      </c>
      <c r="C1432" t="s">
        <v>18</v>
      </c>
      <c r="D1432" s="2"/>
      <c r="E1432" t="s">
        <v>141</v>
      </c>
      <c r="F1432" t="s">
        <v>23</v>
      </c>
      <c r="G1432" t="s">
        <v>142</v>
      </c>
      <c r="M1432" s="2"/>
    </row>
    <row r="1433" spans="1:13" customFormat="1" ht="16" x14ac:dyDescent="0.2">
      <c r="A1433" t="s">
        <v>146</v>
      </c>
      <c r="B1433" s="3">
        <f>(B1401/B1395)/(B1398/1000)</f>
        <v>2.2535211267605634E-4</v>
      </c>
      <c r="C1433" t="s">
        <v>114</v>
      </c>
      <c r="D1433" t="s">
        <v>211</v>
      </c>
      <c r="E1433" t="s">
        <v>9</v>
      </c>
      <c r="F1433" t="s">
        <v>23</v>
      </c>
      <c r="G1433" t="s">
        <v>147</v>
      </c>
      <c r="H1433" s="2"/>
      <c r="I1433">
        <v>5</v>
      </c>
      <c r="J1433" s="3">
        <f>B1433</f>
        <v>2.2535211267605634E-4</v>
      </c>
      <c r="K1433" s="3">
        <f>(B1402/B1397)/(B1400/1000)</f>
        <v>3.2303370786516852E-5</v>
      </c>
      <c r="L1433" s="3">
        <f>(B1403/B1396)/(B1399/1000)</f>
        <v>2.8205128205128207E-3</v>
      </c>
    </row>
    <row r="1434" spans="1:13" customFormat="1" ht="16" x14ac:dyDescent="0.2">
      <c r="A1434" t="s">
        <v>189</v>
      </c>
      <c r="B1434" s="3">
        <f>((B1410*(1+B1413)/B1395)/(B1398/1000))</f>
        <v>2.3591549295774652E-4</v>
      </c>
      <c r="C1434" s="2" t="s">
        <v>114</v>
      </c>
      <c r="D1434" s="2"/>
      <c r="E1434" t="s">
        <v>141</v>
      </c>
      <c r="F1434" t="s">
        <v>23</v>
      </c>
      <c r="G1434" t="s">
        <v>190</v>
      </c>
      <c r="I1434">
        <v>5</v>
      </c>
      <c r="J1434" s="3">
        <f>B1434</f>
        <v>2.3591549295774652E-4</v>
      </c>
      <c r="K1434" s="3">
        <f>((B1411+(1+B1414))/B1397)/(B1400/1000)</f>
        <v>4.9157303370786517E-5</v>
      </c>
      <c r="L1434" s="3">
        <f>((B1412+(1+B1415))/B1396)/(B1399/1000)</f>
        <v>1.923076923076923E-3</v>
      </c>
      <c r="M1434" s="2"/>
    </row>
    <row r="1435" spans="1:13" customFormat="1" ht="16" x14ac:dyDescent="0.2">
      <c r="A1435" t="s">
        <v>228</v>
      </c>
      <c r="B1435" s="3">
        <f>(1/B1395)/(B1398/1000)</f>
        <v>3.5211267605633811E-5</v>
      </c>
      <c r="C1435" t="s">
        <v>114</v>
      </c>
      <c r="D1435" s="2"/>
      <c r="E1435" t="s">
        <v>8</v>
      </c>
      <c r="F1435" t="s">
        <v>23</v>
      </c>
      <c r="G1435" t="s">
        <v>228</v>
      </c>
      <c r="H1435" t="s">
        <v>371</v>
      </c>
      <c r="I1435">
        <v>5</v>
      </c>
      <c r="J1435" s="3">
        <f>B1435</f>
        <v>3.5211267605633811E-5</v>
      </c>
      <c r="K1435" s="3">
        <f>(1/B1397)/(B1400/1000)</f>
        <v>1.4044943820224721E-5</v>
      </c>
      <c r="L1435" s="3">
        <f>(1/B1396)/(B1399/1000)</f>
        <v>1.2820512820512821E-4</v>
      </c>
      <c r="M1435" s="2"/>
    </row>
    <row r="1436" spans="1:13" customFormat="1" ht="16" x14ac:dyDescent="0.2">
      <c r="A1436" t="s">
        <v>388</v>
      </c>
      <c r="B1436" s="3">
        <f>(B1425/B1395)/(B1398/1000)</f>
        <v>1.830985915492958E-4</v>
      </c>
      <c r="C1436" t="s">
        <v>114</v>
      </c>
      <c r="D1436" s="2"/>
      <c r="E1436" t="s">
        <v>9</v>
      </c>
      <c r="F1436" t="s">
        <v>23</v>
      </c>
      <c r="G1436" t="s">
        <v>389</v>
      </c>
      <c r="J1436" s="3"/>
      <c r="K1436" s="3"/>
      <c r="L1436" s="3"/>
      <c r="M1436" s="2"/>
    </row>
    <row r="1437" spans="1:13" customFormat="1" ht="16" x14ac:dyDescent="0.2">
      <c r="A1437" t="s">
        <v>228</v>
      </c>
      <c r="B1437" s="3">
        <f>(B1422/B1395)/(B1398/1000)</f>
        <v>8.4507042253521139E-5</v>
      </c>
      <c r="C1437" t="s">
        <v>114</v>
      </c>
      <c r="D1437" s="2"/>
      <c r="E1437" t="s">
        <v>8</v>
      </c>
      <c r="F1437" t="s">
        <v>23</v>
      </c>
      <c r="G1437" t="s">
        <v>228</v>
      </c>
      <c r="H1437" t="s">
        <v>370</v>
      </c>
      <c r="J1437" s="3"/>
      <c r="K1437" s="3"/>
      <c r="L1437" s="3"/>
      <c r="M1437" s="2"/>
    </row>
    <row r="1438" spans="1:13" customFormat="1" ht="16" x14ac:dyDescent="0.2">
      <c r="A1438" t="s">
        <v>185</v>
      </c>
      <c r="B1438" s="3">
        <f>(B1426/B1395)/(B1398/1000)</f>
        <v>7.9225352112676067E-5</v>
      </c>
      <c r="C1438" t="s">
        <v>114</v>
      </c>
      <c r="D1438" s="2"/>
      <c r="E1438" t="s">
        <v>9</v>
      </c>
      <c r="F1438" t="s">
        <v>23</v>
      </c>
      <c r="G1438" t="s">
        <v>186</v>
      </c>
      <c r="J1438" s="3"/>
      <c r="K1438" s="3"/>
      <c r="L1438" s="3"/>
      <c r="M1438" s="2"/>
    </row>
    <row r="1439" spans="1:13" customFormat="1" ht="16" x14ac:dyDescent="0.2">
      <c r="A1439" t="s">
        <v>183</v>
      </c>
      <c r="B1439" s="3">
        <f>(B1424/B1395)/(B1398/1000)</f>
        <v>3.9612676056338034E-5</v>
      </c>
      <c r="C1439" t="s">
        <v>114</v>
      </c>
      <c r="D1439" s="2"/>
      <c r="E1439" t="s">
        <v>9</v>
      </c>
      <c r="F1439" t="s">
        <v>23</v>
      </c>
      <c r="G1439" t="s">
        <v>184</v>
      </c>
      <c r="J1439" s="3"/>
      <c r="K1439" s="3"/>
      <c r="L1439" s="3"/>
      <c r="M1439" s="2"/>
    </row>
    <row r="1440" spans="1:13" customFormat="1" ht="16" x14ac:dyDescent="0.2">
      <c r="A1440" t="s">
        <v>187</v>
      </c>
      <c r="B1440" s="3">
        <f>(B1423/B1395)/(B1398/1000)</f>
        <v>4.5774647887323949E-5</v>
      </c>
      <c r="C1440" t="s">
        <v>114</v>
      </c>
      <c r="D1440" s="2"/>
      <c r="E1440" t="s">
        <v>9</v>
      </c>
      <c r="F1440" t="s">
        <v>23</v>
      </c>
      <c r="G1440" t="s">
        <v>188</v>
      </c>
      <c r="J1440" s="3"/>
      <c r="K1440" s="3"/>
      <c r="L1440" s="3"/>
      <c r="M1440" s="2"/>
    </row>
    <row r="1441" spans="1:12" customFormat="1" ht="16" x14ac:dyDescent="0.2">
      <c r="B1441" s="3"/>
    </row>
    <row r="1442" spans="1:12" x14ac:dyDescent="0.2">
      <c r="A1442" s="17" t="s">
        <v>2</v>
      </c>
      <c r="B1442" s="17" t="s">
        <v>300</v>
      </c>
    </row>
    <row r="1443" spans="1:12" customFormat="1" ht="16" x14ac:dyDescent="0.2">
      <c r="A1443" t="s">
        <v>3</v>
      </c>
      <c r="B1443" t="s">
        <v>18</v>
      </c>
    </row>
    <row r="1444" spans="1:12" customFormat="1" ht="16" x14ac:dyDescent="0.2">
      <c r="A1444" t="s">
        <v>5</v>
      </c>
      <c r="B1444" s="3" t="s">
        <v>1</v>
      </c>
    </row>
    <row r="1445" spans="1:12" customFormat="1" ht="16" x14ac:dyDescent="0.2">
      <c r="A1445" t="s">
        <v>6</v>
      </c>
      <c r="B1445" s="3" t="s">
        <v>7</v>
      </c>
    </row>
    <row r="1446" spans="1:12" customFormat="1" ht="16" x14ac:dyDescent="0.2">
      <c r="A1446" t="s">
        <v>8</v>
      </c>
      <c r="B1446" s="3" t="s">
        <v>17</v>
      </c>
    </row>
    <row r="1447" spans="1:12" customFormat="1" ht="16" x14ac:dyDescent="0.2">
      <c r="A1447" t="s">
        <v>204</v>
      </c>
      <c r="B1447" s="3" t="s">
        <v>226</v>
      </c>
    </row>
    <row r="1448" spans="1:12" customFormat="1" ht="16" x14ac:dyDescent="0.2">
      <c r="A1448" t="s">
        <v>151</v>
      </c>
      <c r="B1448" s="3" t="s">
        <v>227</v>
      </c>
    </row>
    <row r="1449" spans="1:12" customFormat="1" ht="16" x14ac:dyDescent="0.2">
      <c r="A1449" t="s">
        <v>352</v>
      </c>
      <c r="B1449" s="2">
        <f>INDEX(Parameters!$B$6:$AL$57,MATCH(Inventories!$B$1442,Parameters!$A$6:$A$57,0),MATCH(Inventories!$A1449,Parameters!$B$4:$AL$4,0))</f>
        <v>13</v>
      </c>
      <c r="C1449" t="s">
        <v>312</v>
      </c>
      <c r="D1449" s="2"/>
      <c r="E1449" s="2"/>
      <c r="F1449" s="2"/>
      <c r="G1449" s="2"/>
      <c r="H1449" s="2"/>
      <c r="I1449" s="2"/>
      <c r="J1449" s="2"/>
      <c r="K1449" s="2"/>
      <c r="L1449" s="2"/>
    </row>
    <row r="1450" spans="1:12" customFormat="1" ht="16" x14ac:dyDescent="0.2">
      <c r="A1450" t="s">
        <v>353</v>
      </c>
      <c r="B1450" s="2">
        <f>INDEX(Parameters!$B$6:$AL$57,MATCH(Inventories!$B$1442,Parameters!$A$6:$A$57,0),MATCH(Inventories!$A1450,Parameters!$B$4:$AL$4,0))</f>
        <v>5</v>
      </c>
      <c r="C1450" t="s">
        <v>312</v>
      </c>
      <c r="D1450" s="2"/>
      <c r="E1450" s="2"/>
      <c r="F1450" s="2"/>
      <c r="G1450" s="2"/>
      <c r="H1450" s="2"/>
      <c r="I1450" s="2"/>
      <c r="J1450" s="2"/>
      <c r="K1450" s="2"/>
      <c r="L1450" s="2"/>
    </row>
    <row r="1451" spans="1:12" customFormat="1" ht="16" x14ac:dyDescent="0.2">
      <c r="A1451" t="s">
        <v>354</v>
      </c>
      <c r="B1451" s="2">
        <f>INDEX(Parameters!$B$6:$AL$57,MATCH(Inventories!$B$1442,Parameters!$A$6:$A$57,0),MATCH(Inventories!$A1451,Parameters!$B$4:$AL$4,0))</f>
        <v>45</v>
      </c>
      <c r="C1451" t="s">
        <v>312</v>
      </c>
      <c r="D1451" s="2"/>
      <c r="E1451" s="2"/>
      <c r="F1451" s="2"/>
      <c r="G1451" s="2"/>
      <c r="H1451" s="2"/>
      <c r="I1451" s="2"/>
      <c r="J1451" s="2"/>
      <c r="K1451" s="2"/>
      <c r="L1451" s="2"/>
    </row>
    <row r="1452" spans="1:12" customFormat="1" ht="16" x14ac:dyDescent="0.2">
      <c r="A1452" t="s">
        <v>316</v>
      </c>
      <c r="B1452" s="24">
        <f>INDEX(Parameters!$B$6:$AL$57,MATCH(Inventories!$B$1442,Parameters!$A$6:$A$57,0),MATCH(Inventories!$A1452,Parameters!$B$4:$AL$4,0))</f>
        <v>100000</v>
      </c>
      <c r="C1452" t="s">
        <v>313</v>
      </c>
      <c r="D1452" s="2"/>
      <c r="E1452" s="2"/>
      <c r="F1452" s="2"/>
      <c r="G1452" s="2"/>
      <c r="H1452" s="2"/>
      <c r="I1452" s="2"/>
      <c r="J1452" s="2"/>
      <c r="K1452" s="2"/>
      <c r="L1452" s="2"/>
    </row>
    <row r="1453" spans="1:12" customFormat="1" ht="16" x14ac:dyDescent="0.2">
      <c r="A1453" t="s">
        <v>317</v>
      </c>
      <c r="B1453" s="24">
        <f>INDEX(Parameters!$B$6:$AL$57,MATCH(Inventories!$B$1442,Parameters!$A$6:$A$57,0),MATCH(Inventories!$A1453,Parameters!$B$4:$AL$4,0))</f>
        <v>50000</v>
      </c>
      <c r="C1453" t="s">
        <v>313</v>
      </c>
      <c r="D1453" s="2"/>
      <c r="E1453" s="2"/>
      <c r="F1453" s="2"/>
      <c r="G1453" s="2"/>
      <c r="H1453" s="2"/>
      <c r="I1453" s="2"/>
      <c r="J1453" s="2"/>
      <c r="K1453" s="2"/>
      <c r="L1453" s="2"/>
    </row>
    <row r="1454" spans="1:12" customFormat="1" ht="16" x14ac:dyDescent="0.2">
      <c r="A1454" t="s">
        <v>318</v>
      </c>
      <c r="B1454" s="24">
        <f>INDEX(Parameters!$B$6:$AL$57,MATCH(Inventories!$B$1442,Parameters!$A$6:$A$57,0),MATCH(Inventories!$A1454,Parameters!$B$4:$AL$4,0))</f>
        <v>200000</v>
      </c>
      <c r="C1454" t="s">
        <v>313</v>
      </c>
      <c r="D1454" s="2"/>
      <c r="E1454" s="2"/>
      <c r="F1454" s="2"/>
      <c r="G1454" s="2"/>
      <c r="H1454" s="2"/>
      <c r="I1454" s="2"/>
      <c r="J1454" s="2"/>
      <c r="K1454" s="2"/>
      <c r="L1454" s="2"/>
    </row>
    <row r="1455" spans="1:12" customFormat="1" ht="16" x14ac:dyDescent="0.2">
      <c r="A1455" t="s">
        <v>319</v>
      </c>
      <c r="B1455" s="2">
        <f>INDEX(Parameters!$B$6:$AL$57,MATCH(Inventories!$B$1442,Parameters!$A$6:$A$57,0),MATCH(Inventories!$A1455,Parameters!$B$4:$AL$4,0))</f>
        <v>284</v>
      </c>
      <c r="C1455" t="s">
        <v>314</v>
      </c>
      <c r="D1455" s="2"/>
      <c r="E1455" s="2"/>
      <c r="F1455" s="2"/>
      <c r="G1455" s="2"/>
      <c r="H1455" s="2"/>
      <c r="I1455" s="2"/>
      <c r="J1455" s="2"/>
      <c r="K1455" s="2"/>
      <c r="L1455" s="2"/>
    </row>
    <row r="1456" spans="1:12" customFormat="1" ht="16" x14ac:dyDescent="0.2">
      <c r="A1456" t="s">
        <v>320</v>
      </c>
      <c r="B1456" s="2">
        <f>INDEX(Parameters!$B$6:$AL$57,MATCH(Inventories!$B$1442,Parameters!$A$6:$A$57,0),MATCH(Inventories!$A1456,Parameters!$B$4:$AL$4,0))</f>
        <v>156</v>
      </c>
      <c r="C1456" t="s">
        <v>314</v>
      </c>
      <c r="D1456" s="2"/>
      <c r="E1456" s="2"/>
      <c r="F1456" s="2"/>
      <c r="G1456" s="2"/>
      <c r="H1456" s="2"/>
      <c r="I1456" s="2"/>
      <c r="J1456" s="2"/>
      <c r="K1456" s="2"/>
      <c r="L1456" s="2"/>
    </row>
    <row r="1457" spans="1:12" customFormat="1" ht="16" x14ac:dyDescent="0.2">
      <c r="A1457" t="s">
        <v>321</v>
      </c>
      <c r="B1457" s="2">
        <f>INDEX(Parameters!$B$6:$AL$57,MATCH(Inventories!$B$1442,Parameters!$A$6:$A$57,0),MATCH(Inventories!$A1457,Parameters!$B$4:$AL$4,0))</f>
        <v>356</v>
      </c>
      <c r="C1457" t="s">
        <v>314</v>
      </c>
      <c r="D1457" s="2"/>
      <c r="E1457" s="2"/>
      <c r="F1457" s="2"/>
      <c r="G1457" s="2"/>
      <c r="H1457" s="2"/>
      <c r="I1457" s="2"/>
      <c r="J1457" s="2"/>
      <c r="K1457" s="2"/>
      <c r="L1457" s="2"/>
    </row>
    <row r="1458" spans="1:12" customFormat="1" ht="16" x14ac:dyDescent="0.2">
      <c r="A1458" t="s">
        <v>337</v>
      </c>
      <c r="B1458" s="2">
        <f>INDEX(Parameters!$B$6:$AL$57,MATCH(Inventories!$B$1442,Parameters!$A$6:$A$57,0),MATCH(Inventories!$A1458,Parameters!$B$4:$AL$4,0))</f>
        <v>6.4</v>
      </c>
      <c r="C1458" t="s">
        <v>336</v>
      </c>
      <c r="D1458" s="2"/>
      <c r="E1458" s="2"/>
      <c r="F1458" s="2"/>
      <c r="G1458" s="2"/>
      <c r="H1458" s="2"/>
      <c r="I1458" s="2"/>
      <c r="J1458" s="2"/>
      <c r="K1458" s="2"/>
      <c r="L1458" s="2"/>
    </row>
    <row r="1459" spans="1:12" customFormat="1" ht="16" x14ac:dyDescent="0.2">
      <c r="A1459" t="s">
        <v>338</v>
      </c>
      <c r="B1459" s="2">
        <f>INDEX(Parameters!$B$6:$AL$57,MATCH(Inventories!$B$1442,Parameters!$A$6:$A$57,0),MATCH(Inventories!$A1459,Parameters!$B$4:$AL$4,0))</f>
        <v>2.2999999999999998</v>
      </c>
      <c r="C1459" t="s">
        <v>336</v>
      </c>
      <c r="D1459" s="2"/>
      <c r="E1459" s="2"/>
      <c r="F1459" s="2"/>
      <c r="G1459" s="2"/>
      <c r="H1459" s="2"/>
      <c r="I1459" s="2"/>
      <c r="J1459" s="2"/>
      <c r="K1459" s="2"/>
      <c r="L1459" s="2"/>
    </row>
    <row r="1460" spans="1:12" customFormat="1" ht="16" x14ac:dyDescent="0.2">
      <c r="A1460" t="s">
        <v>339</v>
      </c>
      <c r="B1460" s="2">
        <f>INDEX(Parameters!$B$6:$AL$57,MATCH(Inventories!$B$1442,Parameters!$A$6:$A$57,0),MATCH(Inventories!$A1460,Parameters!$B$4:$AL$4,0))</f>
        <v>22</v>
      </c>
      <c r="C1460" t="s">
        <v>336</v>
      </c>
      <c r="D1460" s="2"/>
      <c r="E1460" s="2"/>
      <c r="F1460" s="2"/>
      <c r="G1460" s="2"/>
      <c r="H1460" s="2"/>
      <c r="I1460" s="2"/>
      <c r="J1460" s="2"/>
      <c r="K1460" s="2"/>
      <c r="L1460" s="2"/>
    </row>
    <row r="1461" spans="1:12" customFormat="1" ht="16" x14ac:dyDescent="0.2">
      <c r="A1461" t="s">
        <v>340</v>
      </c>
      <c r="B1461" s="2">
        <f>INDEX(Parameters!$B$6:$AL$57,MATCH(Inventories!$B$1442,Parameters!$A$6:$A$57,0),MATCH(Inventories!$A1461,Parameters!$B$4:$AL$4,0))</f>
        <v>0</v>
      </c>
      <c r="C1461" t="s">
        <v>336</v>
      </c>
      <c r="D1461" s="2"/>
      <c r="E1461" s="2"/>
      <c r="F1461" s="2"/>
      <c r="G1461" s="2"/>
      <c r="H1461" s="2"/>
      <c r="I1461" s="2"/>
      <c r="J1461" s="2"/>
      <c r="K1461" s="2"/>
      <c r="L1461" s="2"/>
    </row>
    <row r="1462" spans="1:12" customFormat="1" ht="16" x14ac:dyDescent="0.2">
      <c r="A1462" t="s">
        <v>341</v>
      </c>
      <c r="B1462" s="2">
        <f>INDEX(Parameters!$B$6:$AL$57,MATCH(Inventories!$B$1442,Parameters!$A$6:$A$57,0),MATCH(Inventories!$A1462,Parameters!$B$4:$AL$4,0))</f>
        <v>0</v>
      </c>
      <c r="C1462" t="s">
        <v>336</v>
      </c>
      <c r="D1462" s="2"/>
      <c r="E1462" s="2"/>
      <c r="F1462" s="2"/>
      <c r="G1462" s="2"/>
      <c r="H1462" s="2"/>
      <c r="I1462" s="2"/>
      <c r="J1462" s="2"/>
      <c r="K1462" s="2"/>
      <c r="L1462" s="2"/>
    </row>
    <row r="1463" spans="1:12" customFormat="1" ht="16" x14ac:dyDescent="0.2">
      <c r="A1463" t="s">
        <v>342</v>
      </c>
      <c r="B1463" s="2">
        <f>INDEX(Parameters!$B$6:$AL$57,MATCH(Inventories!$B$1442,Parameters!$A$6:$A$57,0),MATCH(Inventories!$A1463,Parameters!$B$4:$AL$4,0))</f>
        <v>0</v>
      </c>
      <c r="C1463" t="s">
        <v>336</v>
      </c>
      <c r="D1463" s="2"/>
      <c r="E1463" s="2"/>
      <c r="F1463" s="2"/>
      <c r="G1463" s="2"/>
      <c r="H1463" s="2"/>
      <c r="I1463" s="2"/>
      <c r="J1463" s="2"/>
      <c r="K1463" s="2"/>
      <c r="L1463" s="2"/>
    </row>
    <row r="1464" spans="1:12" customFormat="1" ht="16" x14ac:dyDescent="0.2">
      <c r="A1464" t="s">
        <v>333</v>
      </c>
      <c r="B1464" s="2">
        <f>INDEX(Parameters!$B$6:$AL$57,MATCH(Inventories!$B$1442,Parameters!$A$6:$A$57,0),MATCH(Inventories!$A1464,Parameters!$B$4:$AL$4,0))</f>
        <v>0</v>
      </c>
      <c r="C1464" t="s">
        <v>336</v>
      </c>
      <c r="D1464" s="2"/>
      <c r="E1464" s="2"/>
      <c r="F1464" s="2"/>
      <c r="G1464" s="2"/>
      <c r="H1464" s="2"/>
      <c r="I1464" s="2"/>
      <c r="J1464" s="2"/>
      <c r="K1464" s="2"/>
      <c r="L1464" s="2"/>
    </row>
    <row r="1465" spans="1:12" customFormat="1" ht="16" x14ac:dyDescent="0.2">
      <c r="A1465" t="s">
        <v>334</v>
      </c>
      <c r="B1465" s="2">
        <f>INDEX(Parameters!$B$6:$AL$57,MATCH(Inventories!$B$1442,Parameters!$A$6:$A$57,0),MATCH(Inventories!$A1465,Parameters!$B$4:$AL$4,0))</f>
        <v>0</v>
      </c>
      <c r="C1465" t="s">
        <v>336</v>
      </c>
      <c r="D1465" s="2"/>
      <c r="E1465" s="2"/>
      <c r="F1465" s="2"/>
      <c r="G1465" s="2"/>
      <c r="H1465" s="2"/>
      <c r="I1465" s="2"/>
      <c r="J1465" s="2"/>
      <c r="K1465" s="2"/>
      <c r="L1465" s="2"/>
    </row>
    <row r="1466" spans="1:12" customFormat="1" ht="16" x14ac:dyDescent="0.2">
      <c r="A1466" t="s">
        <v>335</v>
      </c>
      <c r="B1466" s="2">
        <f>INDEX(Parameters!$B$6:$AL$57,MATCH(Inventories!$B$1442,Parameters!$A$6:$A$57,0),MATCH(Inventories!$A1466,Parameters!$B$4:$AL$4,0))</f>
        <v>0</v>
      </c>
      <c r="C1466" t="s">
        <v>336</v>
      </c>
      <c r="D1466" s="2"/>
      <c r="E1466" s="2"/>
      <c r="F1466" s="2"/>
      <c r="G1466" s="2"/>
      <c r="H1466" s="2"/>
      <c r="I1466" s="2"/>
      <c r="J1466" s="2"/>
      <c r="K1466" s="2"/>
      <c r="L1466" s="2"/>
    </row>
    <row r="1467" spans="1:12" customFormat="1" ht="16" x14ac:dyDescent="0.2">
      <c r="A1467" t="s">
        <v>322</v>
      </c>
      <c r="B1467" s="2">
        <f>INDEX(Parameters!$B$6:$AL$57,MATCH(Inventories!$B$1442,Parameters!$A$6:$A$57,0),MATCH(Inventories!$A1467,Parameters!$B$4:$AL$4,0))</f>
        <v>2</v>
      </c>
      <c r="C1467" t="s">
        <v>315</v>
      </c>
      <c r="D1467" s="2"/>
      <c r="E1467" s="2"/>
      <c r="F1467" s="2"/>
      <c r="G1467" s="2"/>
      <c r="H1467" s="2"/>
      <c r="I1467" s="2"/>
      <c r="J1467" s="2"/>
      <c r="K1467" s="2"/>
      <c r="L1467" s="2"/>
    </row>
    <row r="1468" spans="1:12" customFormat="1" ht="16" x14ac:dyDescent="0.2">
      <c r="A1468" t="s">
        <v>323</v>
      </c>
      <c r="B1468" s="2">
        <f>INDEX(Parameters!$B$6:$AL$57,MATCH(Inventories!$B$1442,Parameters!$A$6:$A$57,0),MATCH(Inventories!$A1468,Parameters!$B$4:$AL$4,0))</f>
        <v>1</v>
      </c>
      <c r="C1468" t="s">
        <v>315</v>
      </c>
      <c r="D1468" s="2"/>
      <c r="E1468" s="2"/>
      <c r="F1468" s="2"/>
      <c r="G1468" s="2"/>
      <c r="H1468" s="2"/>
      <c r="I1468" s="2"/>
      <c r="J1468" s="2"/>
      <c r="K1468" s="2"/>
      <c r="L1468" s="2"/>
    </row>
    <row r="1469" spans="1:12" customFormat="1" ht="16" x14ac:dyDescent="0.2">
      <c r="A1469" t="s">
        <v>324</v>
      </c>
      <c r="B1469" s="2">
        <f>INDEX(Parameters!$B$6:$AL$57,MATCH(Inventories!$B$1442,Parameters!$A$6:$A$57,0),MATCH(Inventories!$A1469,Parameters!$B$4:$AL$4,0))</f>
        <v>5</v>
      </c>
      <c r="C1469" t="s">
        <v>315</v>
      </c>
      <c r="D1469" s="2"/>
      <c r="E1469" s="2"/>
      <c r="F1469" s="2"/>
      <c r="G1469" s="2"/>
      <c r="H1469" s="2"/>
      <c r="I1469" s="2"/>
      <c r="J1469" s="2"/>
      <c r="K1469" s="2"/>
      <c r="L1469" s="2"/>
    </row>
    <row r="1470" spans="1:12" customFormat="1" ht="16" x14ac:dyDescent="0.2">
      <c r="A1470" t="s">
        <v>330</v>
      </c>
      <c r="B1470" s="2">
        <f>INDEX(Parameters!$B$6:$AL$57,MATCH(Inventories!$B$1442,Parameters!$A$6:$A$57,0),MATCH(Inventories!$A1470,Parameters!$B$4:$AL$4,0))</f>
        <v>0</v>
      </c>
      <c r="C1470" t="s">
        <v>8</v>
      </c>
      <c r="D1470" s="2"/>
      <c r="E1470" s="2"/>
      <c r="F1470" s="2"/>
      <c r="G1470" s="2"/>
      <c r="H1470" s="2"/>
      <c r="I1470" s="2"/>
      <c r="J1470" s="2"/>
      <c r="K1470" s="2"/>
      <c r="L1470" s="2"/>
    </row>
    <row r="1471" spans="1:12" customFormat="1" ht="16" x14ac:dyDescent="0.2">
      <c r="A1471" t="s">
        <v>331</v>
      </c>
      <c r="B1471" s="2">
        <f>INDEX(Parameters!$B$6:$AL$57,MATCH(Inventories!$B$1442,Parameters!$A$6:$A$57,0),MATCH(Inventories!$A1471,Parameters!$B$4:$AL$4,0))</f>
        <v>0</v>
      </c>
      <c r="C1471" t="s">
        <v>8</v>
      </c>
      <c r="D1471" s="2"/>
      <c r="E1471" s="2"/>
      <c r="F1471" s="2"/>
      <c r="G1471" s="2"/>
      <c r="H1471" s="2"/>
      <c r="I1471" s="2"/>
      <c r="J1471" s="2"/>
      <c r="K1471" s="2"/>
      <c r="L1471" s="2"/>
    </row>
    <row r="1472" spans="1:12" customFormat="1" ht="16" x14ac:dyDescent="0.2">
      <c r="A1472" t="s">
        <v>332</v>
      </c>
      <c r="B1472" s="2">
        <f>INDEX(Parameters!$B$6:$AL$57,MATCH(Inventories!$B$1442,Parameters!$A$6:$A$57,0),MATCH(Inventories!$A1472,Parameters!$B$4:$AL$4,0))</f>
        <v>0</v>
      </c>
      <c r="C1472" t="s">
        <v>8</v>
      </c>
      <c r="D1472" s="2"/>
      <c r="E1472" s="2"/>
      <c r="F1472" s="2"/>
      <c r="G1472" s="2"/>
      <c r="H1472" s="2"/>
      <c r="I1472" s="2"/>
      <c r="J1472" s="2"/>
      <c r="K1472" s="2"/>
      <c r="L1472" s="2"/>
    </row>
    <row r="1473" spans="1:13" customFormat="1" ht="16" x14ac:dyDescent="0.2">
      <c r="A1473" t="s">
        <v>346</v>
      </c>
      <c r="B1473" s="2">
        <f>INDEX(Parameters!$B$6:$AL$57,MATCH(Inventories!$B$1442,Parameters!$A$6:$A$57,0),MATCH(Inventories!$A1473,Parameters!$B$4:$AL$4,0))</f>
        <v>13</v>
      </c>
      <c r="C1473" t="s">
        <v>312</v>
      </c>
      <c r="D1473" s="2"/>
      <c r="E1473" s="2"/>
      <c r="F1473" s="2"/>
      <c r="G1473" s="2"/>
      <c r="H1473" s="2"/>
      <c r="I1473" s="2"/>
      <c r="J1473" s="2"/>
      <c r="K1473" s="2"/>
      <c r="L1473" s="2"/>
    </row>
    <row r="1474" spans="1:13" customFormat="1" ht="16" x14ac:dyDescent="0.2">
      <c r="A1474" t="s">
        <v>347</v>
      </c>
      <c r="B1474" s="2">
        <f>INDEX(Parameters!$B$6:$AL$57,MATCH(Inventories!$B$1442,Parameters!$A$6:$A$57,0),MATCH(Inventories!$A1474,Parameters!$B$4:$AL$4,0))</f>
        <v>5</v>
      </c>
      <c r="C1474" t="s">
        <v>312</v>
      </c>
      <c r="D1474" s="2"/>
      <c r="E1474" s="12"/>
      <c r="F1474" s="2"/>
      <c r="G1474" s="2"/>
      <c r="H1474" s="2"/>
      <c r="I1474" s="2"/>
      <c r="J1474" s="2"/>
      <c r="K1474" s="2"/>
      <c r="L1474" s="2"/>
    </row>
    <row r="1475" spans="1:13" customFormat="1" ht="16" x14ac:dyDescent="0.2">
      <c r="A1475" t="s">
        <v>348</v>
      </c>
      <c r="B1475" s="2">
        <f>INDEX(Parameters!$B$6:$AL$57,MATCH(Inventories!$B$1442,Parameters!$A$6:$A$57,0),MATCH(Inventories!$A1475,Parameters!$B$4:$AL$4,0))</f>
        <v>45</v>
      </c>
      <c r="C1475" t="s">
        <v>312</v>
      </c>
      <c r="D1475" s="2"/>
      <c r="E1475" s="2"/>
      <c r="F1475" s="2"/>
      <c r="G1475" s="2"/>
      <c r="H1475" s="2"/>
      <c r="I1475" s="2"/>
      <c r="J1475" s="2"/>
      <c r="K1475" s="2"/>
      <c r="L1475" s="2"/>
    </row>
    <row r="1476" spans="1:13" customFormat="1" ht="16" x14ac:dyDescent="0.2">
      <c r="A1476" t="s">
        <v>349</v>
      </c>
      <c r="B1476" s="2">
        <f>INDEX(Parameters!$B$6:$AL$57,MATCH(Inventories!$B$1442,Parameters!$A$6:$A$57,0),MATCH(Inventories!$A1476,Parameters!$B$4:$AL$4,0))</f>
        <v>0</v>
      </c>
      <c r="C1476" t="s">
        <v>8</v>
      </c>
      <c r="D1476" s="2"/>
      <c r="E1476" s="2"/>
      <c r="F1476" s="2"/>
      <c r="G1476" s="2"/>
      <c r="H1476" s="2"/>
      <c r="I1476" s="2"/>
      <c r="J1476" s="2"/>
      <c r="K1476" s="2"/>
      <c r="L1476" s="2"/>
    </row>
    <row r="1477" spans="1:13" customFormat="1" ht="16" x14ac:dyDescent="0.2">
      <c r="A1477" t="s">
        <v>350</v>
      </c>
      <c r="B1477" s="2">
        <f>INDEX(Parameters!$B$6:$AL$57,MATCH(Inventories!$B$1442,Parameters!$A$6:$A$57,0),MATCH(Inventories!$A1477,Parameters!$B$4:$AL$4,0))</f>
        <v>0</v>
      </c>
      <c r="C1477" t="s">
        <v>8</v>
      </c>
      <c r="D1477" s="2"/>
      <c r="E1477" s="2"/>
      <c r="F1477" s="2"/>
      <c r="G1477" s="2"/>
      <c r="H1477" s="2"/>
      <c r="I1477" s="2"/>
      <c r="J1477" s="2"/>
      <c r="K1477" s="2"/>
      <c r="L1477" s="2"/>
    </row>
    <row r="1478" spans="1:13" customFormat="1" ht="16" x14ac:dyDescent="0.2">
      <c r="A1478" t="s">
        <v>351</v>
      </c>
      <c r="B1478" s="2">
        <f>INDEX(Parameters!$B$6:$AL$57,MATCH(Inventories!$B$1442,Parameters!$A$6:$A$57,0),MATCH(Inventories!$A1478,Parameters!$B$4:$AL$4,0))</f>
        <v>0</v>
      </c>
      <c r="C1478" t="s">
        <v>8</v>
      </c>
      <c r="D1478" s="2"/>
      <c r="E1478" s="2"/>
      <c r="F1478" s="2"/>
      <c r="G1478" s="2"/>
      <c r="H1478" s="2"/>
      <c r="I1478" s="2"/>
      <c r="J1478" s="2"/>
      <c r="K1478" s="2"/>
      <c r="L1478" s="2"/>
    </row>
    <row r="1479" spans="1:13" customFormat="1" ht="16" x14ac:dyDescent="0.2">
      <c r="A1479" t="s">
        <v>365</v>
      </c>
      <c r="B1479" s="2">
        <f>INDEX(Parameters!$B$6:$AL$57,MATCH(Inventories!$B$1442,Parameters!$A$6:$A$57,0),MATCH(Inventories!$A1479,Parameters!$B$4:$AL$4,0))</f>
        <v>0</v>
      </c>
      <c r="C1479" t="s">
        <v>336</v>
      </c>
      <c r="D1479" s="2"/>
      <c r="E1479" s="2"/>
      <c r="F1479" s="2"/>
      <c r="G1479" s="2"/>
      <c r="H1479" s="2"/>
      <c r="I1479" s="2"/>
      <c r="J1479" s="2"/>
      <c r="K1479" s="2"/>
      <c r="L1479" s="2"/>
    </row>
    <row r="1480" spans="1:13" customFormat="1" ht="16" x14ac:dyDescent="0.2">
      <c r="A1480" t="s">
        <v>366</v>
      </c>
      <c r="B1480" s="2">
        <f>INDEX(Parameters!$B$6:$AL$57,MATCH(Inventories!$B$1442,Parameters!$A$6:$A$57,0),MATCH(Inventories!$A1480,Parameters!$B$4:$AL$4,0))</f>
        <v>1.3</v>
      </c>
      <c r="C1480" t="s">
        <v>336</v>
      </c>
      <c r="D1480" s="2"/>
      <c r="E1480" s="2"/>
      <c r="F1480" s="2"/>
      <c r="G1480" s="2"/>
      <c r="H1480" s="2"/>
      <c r="I1480" s="2"/>
      <c r="J1480" s="2"/>
      <c r="K1480" s="2"/>
      <c r="L1480" s="2"/>
    </row>
    <row r="1481" spans="1:13" customFormat="1" ht="16" x14ac:dyDescent="0.2">
      <c r="A1481" t="s">
        <v>367</v>
      </c>
      <c r="B1481" s="2">
        <f>INDEX(Parameters!$B$6:$AL$57,MATCH(Inventories!$B$1442,Parameters!$A$6:$A$57,0),MATCH(Inventories!$A1481,Parameters!$B$4:$AL$4,0))</f>
        <v>1.125</v>
      </c>
      <c r="C1481" t="s">
        <v>336</v>
      </c>
      <c r="D1481" s="2"/>
      <c r="E1481" s="2"/>
      <c r="F1481" s="2"/>
      <c r="G1481" s="2"/>
      <c r="H1481" s="2"/>
      <c r="I1481" s="2"/>
      <c r="J1481" s="2"/>
      <c r="K1481" s="2"/>
      <c r="L1481" s="2"/>
    </row>
    <row r="1482" spans="1:13" customFormat="1" ht="16" x14ac:dyDescent="0.2">
      <c r="A1482" t="s">
        <v>368</v>
      </c>
      <c r="B1482" s="2">
        <f>INDEX(Parameters!$B$6:$AL$57,MATCH(Inventories!$B$1442,Parameters!$A$6:$A$57,0),MATCH(Inventories!$A1482,Parameters!$B$4:$AL$4,0))</f>
        <v>5.2</v>
      </c>
      <c r="C1482" t="s">
        <v>336</v>
      </c>
      <c r="D1482" s="2"/>
      <c r="E1482" s="2"/>
      <c r="F1482" s="2"/>
      <c r="G1482" s="2"/>
      <c r="H1482" s="2"/>
      <c r="I1482" s="2"/>
      <c r="J1482" s="2"/>
      <c r="K1482" s="2"/>
      <c r="L1482" s="2"/>
    </row>
    <row r="1483" spans="1:13" customFormat="1" ht="16" x14ac:dyDescent="0.2">
      <c r="A1483" t="s">
        <v>369</v>
      </c>
      <c r="B1483" s="2">
        <f>INDEX(Parameters!$B$6:$AL$57,MATCH(Inventories!$B$1442,Parameters!$A$6:$A$57,0),MATCH(Inventories!$A1483,Parameters!$B$4:$AL$4,0))</f>
        <v>2.25</v>
      </c>
      <c r="C1483" t="s">
        <v>336</v>
      </c>
      <c r="D1483" s="2"/>
      <c r="E1483" s="2"/>
      <c r="F1483" s="2"/>
      <c r="G1483" s="2"/>
      <c r="H1483" s="2"/>
      <c r="I1483" s="2"/>
      <c r="J1483" s="2"/>
      <c r="K1483" s="2"/>
      <c r="L1483" s="2"/>
    </row>
    <row r="1484" spans="1:13" customFormat="1" ht="16" x14ac:dyDescent="0.2">
      <c r="A1484" t="s">
        <v>344</v>
      </c>
      <c r="B1484" s="29">
        <f>INDEX(Parameters!$B$6:$AL$57,MATCH(Inventories!$B$1442,Parameters!$A$6:$A$57,0),MATCH(Inventories!$A1484,Parameters!$B$4:$AL$4,0))</f>
        <v>0</v>
      </c>
      <c r="C1484" t="s">
        <v>345</v>
      </c>
      <c r="D1484" s="2"/>
      <c r="E1484" s="2"/>
      <c r="F1484" s="2"/>
      <c r="G1484" s="2"/>
      <c r="H1484" s="2"/>
      <c r="I1484" s="2"/>
      <c r="J1484" s="2"/>
      <c r="K1484" s="2"/>
      <c r="L1484" s="2"/>
    </row>
    <row r="1485" spans="1:13" customFormat="1" ht="16" x14ac:dyDescent="0.2">
      <c r="A1485" t="s">
        <v>343</v>
      </c>
      <c r="B1485" s="2">
        <f>INDEX(Parameters!$B$6:$AL$57,MATCH(Inventories!$B$1442,Parameters!$A$6:$A$57,0),MATCH(Inventories!$A1485,Parameters!$B$4:$AL$4,0))</f>
        <v>0</v>
      </c>
      <c r="C1485" t="s">
        <v>345</v>
      </c>
      <c r="D1485" s="2"/>
      <c r="E1485" s="2"/>
      <c r="F1485" s="2"/>
      <c r="G1485" s="2"/>
      <c r="H1485" s="2"/>
      <c r="I1485" s="2"/>
      <c r="J1485" s="2"/>
      <c r="K1485" s="2"/>
      <c r="L1485" s="2"/>
    </row>
    <row r="1486" spans="1:13" customFormat="1" ht="16" x14ac:dyDescent="0.2">
      <c r="A1486" t="s">
        <v>10</v>
      </c>
      <c r="B1486" s="3"/>
    </row>
    <row r="1487" spans="1:13" x14ac:dyDescent="0.2">
      <c r="A1487" s="17" t="s">
        <v>11</v>
      </c>
      <c r="B1487" s="18" t="s">
        <v>12</v>
      </c>
      <c r="C1487" s="17" t="s">
        <v>3</v>
      </c>
      <c r="D1487" s="17" t="s">
        <v>13</v>
      </c>
      <c r="E1487" s="17" t="s">
        <v>8</v>
      </c>
      <c r="F1487" s="17" t="s">
        <v>6</v>
      </c>
      <c r="G1487" s="17" t="s">
        <v>5</v>
      </c>
      <c r="H1487" s="17" t="s">
        <v>151</v>
      </c>
      <c r="I1487" s="17" t="s">
        <v>179</v>
      </c>
      <c r="J1487" s="17" t="s">
        <v>180</v>
      </c>
      <c r="K1487" s="17" t="s">
        <v>181</v>
      </c>
      <c r="L1487" s="17" t="s">
        <v>182</v>
      </c>
    </row>
    <row r="1488" spans="1:13" customFormat="1" ht="16" x14ac:dyDescent="0.2">
      <c r="A1488" t="s">
        <v>300</v>
      </c>
      <c r="B1488" s="3">
        <v>1</v>
      </c>
      <c r="C1488" t="s">
        <v>18</v>
      </c>
      <c r="D1488" s="2"/>
      <c r="E1488" t="s">
        <v>17</v>
      </c>
      <c r="F1488" t="s">
        <v>19</v>
      </c>
      <c r="G1488" s="3" t="s">
        <v>1</v>
      </c>
      <c r="H1488" t="s">
        <v>211</v>
      </c>
      <c r="M1488" s="2"/>
    </row>
    <row r="1489" spans="1:15" s="4" customFormat="1" ht="16" x14ac:dyDescent="0.2">
      <c r="A1489" s="4" t="s">
        <v>113</v>
      </c>
      <c r="B1489" s="19">
        <f>((B1473+(1+B1476))/B1452)/(B1455/1000)</f>
        <v>4.9295774647887321E-4</v>
      </c>
      <c r="C1489" s="4" t="s">
        <v>114</v>
      </c>
      <c r="E1489" s="4" t="s">
        <v>8</v>
      </c>
      <c r="F1489" s="4" t="s">
        <v>23</v>
      </c>
      <c r="G1489" s="4" t="s">
        <v>115</v>
      </c>
      <c r="H1489"/>
      <c r="I1489" s="4">
        <v>5</v>
      </c>
      <c r="J1489" s="20">
        <f>B1489</f>
        <v>4.9295774647887321E-4</v>
      </c>
      <c r="K1489" s="6">
        <f>((B1474+(1+B1477))/B1454)/(B1457/1000)</f>
        <v>8.4269662921348325E-5</v>
      </c>
      <c r="L1489" s="6">
        <f>((B1475+(1+B1478))/B1453)/(B1456/1000)</f>
        <v>5.8974358974358976E-3</v>
      </c>
      <c r="O1489" s="5"/>
    </row>
    <row r="1490" spans="1:15" customFormat="1" ht="16" x14ac:dyDescent="0.2">
      <c r="A1490" t="s">
        <v>194</v>
      </c>
      <c r="B1490" s="21">
        <f>(8/B1452)/(B1455/1000)</f>
        <v>2.8169014084507049E-4</v>
      </c>
      <c r="C1490" t="s">
        <v>18</v>
      </c>
      <c r="D1490" s="2"/>
      <c r="E1490" t="s">
        <v>9</v>
      </c>
      <c r="F1490" t="s">
        <v>23</v>
      </c>
      <c r="G1490" t="s">
        <v>195</v>
      </c>
      <c r="H1490" t="s">
        <v>363</v>
      </c>
      <c r="I1490">
        <v>5</v>
      </c>
      <c r="J1490" s="20">
        <f>B1490</f>
        <v>2.8169014084507049E-4</v>
      </c>
      <c r="K1490" s="3">
        <f>(8/B1454)/(B1457/1000)</f>
        <v>1.1235955056179777E-4</v>
      </c>
      <c r="L1490" s="3">
        <f>(8/B1453)/(B1456/1000)</f>
        <v>1.0256410256410256E-3</v>
      </c>
      <c r="M1490" s="2"/>
    </row>
    <row r="1491" spans="1:15" customFormat="1" ht="16" x14ac:dyDescent="0.2">
      <c r="A1491" s="2" t="s">
        <v>158</v>
      </c>
      <c r="B1491" s="19">
        <f>1/120</f>
        <v>8.3333333333333332E-3</v>
      </c>
      <c r="C1491" s="4" t="s">
        <v>18</v>
      </c>
      <c r="D1491" s="2"/>
      <c r="E1491" s="4" t="s">
        <v>9</v>
      </c>
      <c r="F1491" s="4" t="s">
        <v>23</v>
      </c>
      <c r="G1491" s="2" t="s">
        <v>159</v>
      </c>
      <c r="M1491" s="2"/>
    </row>
    <row r="1492" spans="1:15" customFormat="1" ht="16" x14ac:dyDescent="0.2">
      <c r="A1492" s="2" t="s">
        <v>189</v>
      </c>
      <c r="B1492" s="3">
        <f>((B1467+(1+B1470))/B1452)/(B1455/1000)</f>
        <v>1.0563380281690141E-4</v>
      </c>
      <c r="C1492" s="2" t="s">
        <v>114</v>
      </c>
      <c r="D1492" s="2"/>
      <c r="E1492" t="s">
        <v>141</v>
      </c>
      <c r="F1492" t="s">
        <v>23</v>
      </c>
      <c r="G1492" t="s">
        <v>190</v>
      </c>
      <c r="I1492">
        <v>5</v>
      </c>
      <c r="J1492" s="20">
        <f>B1492</f>
        <v>1.0563380281690141E-4</v>
      </c>
      <c r="K1492" s="3">
        <f>((B1468+(1+B1471))/B1454)/(B1457/1000)</f>
        <v>2.8089887640449443E-5</v>
      </c>
      <c r="L1492" s="3">
        <f>((B1469+(1+B1472))/B1453)/(B1456/1000)</f>
        <v>7.6923076923076923E-4</v>
      </c>
      <c r="M1492" s="2"/>
    </row>
    <row r="1493" spans="1:15" customFormat="1" ht="16" x14ac:dyDescent="0.2">
      <c r="A1493" t="s">
        <v>388</v>
      </c>
      <c r="B1493" s="3">
        <f>(B1482/B1452)/(B1455/1000)</f>
        <v>1.830985915492958E-4</v>
      </c>
      <c r="C1493" t="s">
        <v>114</v>
      </c>
      <c r="D1493" s="2"/>
      <c r="E1493" t="s">
        <v>9</v>
      </c>
      <c r="F1493" t="s">
        <v>23</v>
      </c>
      <c r="G1493" t="s">
        <v>389</v>
      </c>
      <c r="J1493" s="3"/>
      <c r="K1493" s="3"/>
      <c r="L1493" s="3"/>
      <c r="M1493" s="2"/>
    </row>
    <row r="1494" spans="1:15" customFormat="1" ht="16" x14ac:dyDescent="0.2">
      <c r="A1494" t="s">
        <v>185</v>
      </c>
      <c r="B1494" s="3">
        <f>(B1483/B1452)/(B1455/1000)</f>
        <v>7.9225352112676067E-5</v>
      </c>
      <c r="C1494" t="s">
        <v>114</v>
      </c>
      <c r="D1494" s="2"/>
      <c r="E1494" t="s">
        <v>9</v>
      </c>
      <c r="F1494" t="s">
        <v>23</v>
      </c>
      <c r="G1494" t="s">
        <v>186</v>
      </c>
      <c r="J1494" s="3"/>
      <c r="K1494" s="3"/>
      <c r="L1494" s="3"/>
      <c r="M1494" s="2"/>
    </row>
    <row r="1495" spans="1:15" customFormat="1" ht="16" x14ac:dyDescent="0.2">
      <c r="A1495" t="s">
        <v>183</v>
      </c>
      <c r="B1495" s="3">
        <f>(B1481/B1452)/(B1455/1000)</f>
        <v>3.9612676056338034E-5</v>
      </c>
      <c r="C1495" t="s">
        <v>114</v>
      </c>
      <c r="D1495" s="2"/>
      <c r="E1495" t="s">
        <v>9</v>
      </c>
      <c r="F1495" t="s">
        <v>23</v>
      </c>
      <c r="G1495" t="s">
        <v>184</v>
      </c>
      <c r="J1495" s="3"/>
      <c r="K1495" s="3"/>
      <c r="L1495" s="3"/>
      <c r="M1495" s="2"/>
    </row>
    <row r="1496" spans="1:15" customFormat="1" ht="16" x14ac:dyDescent="0.2">
      <c r="A1496" t="s">
        <v>187</v>
      </c>
      <c r="B1496" s="3">
        <f>(B1480/B1452)/(B1455/1000)</f>
        <v>4.5774647887323949E-5</v>
      </c>
      <c r="C1496" t="s">
        <v>114</v>
      </c>
      <c r="D1496" s="2"/>
      <c r="E1496" t="s">
        <v>9</v>
      </c>
      <c r="F1496" t="s">
        <v>23</v>
      </c>
      <c r="G1496" t="s">
        <v>188</v>
      </c>
      <c r="J1496" s="3"/>
      <c r="K1496" s="3"/>
      <c r="L1496" s="3"/>
      <c r="M1496" s="2"/>
    </row>
    <row r="1497" spans="1:15" customFormat="1" ht="16" x14ac:dyDescent="0.2">
      <c r="A1497" t="s">
        <v>98</v>
      </c>
      <c r="B1497" s="3">
        <f>B1491*9/1000</f>
        <v>7.4999999999999993E-5</v>
      </c>
      <c r="D1497" s="2" t="s">
        <v>116</v>
      </c>
      <c r="E1497" t="s">
        <v>94</v>
      </c>
      <c r="F1497" t="s">
        <v>15</v>
      </c>
      <c r="H1497" t="s">
        <v>364</v>
      </c>
      <c r="J1497" s="3"/>
      <c r="K1497" s="3"/>
      <c r="L1497" s="3"/>
      <c r="M1497" s="2"/>
    </row>
    <row r="1498" spans="1:15" customFormat="1" ht="16" x14ac:dyDescent="0.2">
      <c r="B1498" s="3"/>
    </row>
    <row r="1499" spans="1:15" x14ac:dyDescent="0.2">
      <c r="A1499" s="17" t="s">
        <v>2</v>
      </c>
      <c r="B1499" s="17" t="s">
        <v>229</v>
      </c>
    </row>
    <row r="1500" spans="1:15" customFormat="1" ht="16" x14ac:dyDescent="0.2">
      <c r="A1500" s="2" t="s">
        <v>3</v>
      </c>
      <c r="B1500" s="2" t="s">
        <v>18</v>
      </c>
      <c r="C1500" s="2"/>
      <c r="D1500" s="2"/>
      <c r="E1500" s="2"/>
      <c r="F1500" s="2"/>
      <c r="G1500" s="2"/>
      <c r="H1500" s="2"/>
      <c r="I1500" s="2"/>
      <c r="J1500" s="2"/>
      <c r="K1500" s="2"/>
      <c r="L1500" s="2"/>
    </row>
    <row r="1501" spans="1:15" customFormat="1" ht="16" x14ac:dyDescent="0.2">
      <c r="A1501" s="2" t="s">
        <v>4</v>
      </c>
      <c r="B1501" s="2">
        <v>1</v>
      </c>
      <c r="C1501" s="2"/>
      <c r="D1501" s="2"/>
      <c r="E1501" s="2"/>
      <c r="F1501" s="2"/>
      <c r="G1501" s="2"/>
      <c r="H1501" s="2"/>
      <c r="I1501" s="2"/>
      <c r="J1501" s="2"/>
      <c r="K1501" s="2"/>
      <c r="L1501" s="2"/>
    </row>
    <row r="1502" spans="1:15" customFormat="1" ht="16" x14ac:dyDescent="0.2">
      <c r="A1502" s="2" t="s">
        <v>5</v>
      </c>
      <c r="B1502" s="2" t="s">
        <v>1</v>
      </c>
      <c r="C1502" s="2"/>
      <c r="D1502" s="2"/>
      <c r="E1502" s="2"/>
      <c r="F1502" s="2"/>
      <c r="G1502" s="2"/>
      <c r="H1502" s="2"/>
      <c r="I1502" s="2"/>
      <c r="J1502" s="2"/>
    </row>
    <row r="1503" spans="1:15" customFormat="1" ht="16" x14ac:dyDescent="0.2">
      <c r="A1503" s="2" t="s">
        <v>6</v>
      </c>
      <c r="B1503" s="2" t="s">
        <v>7</v>
      </c>
      <c r="C1503" s="2"/>
      <c r="D1503" s="2"/>
      <c r="E1503" s="2"/>
      <c r="F1503" s="2"/>
      <c r="G1503" s="2"/>
      <c r="H1503" s="2"/>
      <c r="I1503" s="2"/>
      <c r="J1503" s="2"/>
      <c r="K1503" s="2"/>
      <c r="L1503" s="2"/>
    </row>
    <row r="1504" spans="1:15" customFormat="1" ht="16" x14ac:dyDescent="0.2">
      <c r="A1504" s="2" t="s">
        <v>8</v>
      </c>
      <c r="B1504" s="2" t="s">
        <v>17</v>
      </c>
      <c r="C1504" s="2"/>
      <c r="D1504" s="2"/>
      <c r="E1504" s="2"/>
      <c r="F1504" s="2"/>
      <c r="G1504" s="2"/>
      <c r="H1504" s="2"/>
      <c r="I1504" s="2"/>
      <c r="J1504" s="2"/>
      <c r="K1504" s="2"/>
      <c r="L1504" s="2"/>
    </row>
    <row r="1505" spans="1:12" customFormat="1" ht="16" x14ac:dyDescent="0.2">
      <c r="A1505" t="s">
        <v>352</v>
      </c>
      <c r="B1505" s="2">
        <f>INDEX(Parameters!$B$6:$AL$57,MATCH(Inventories!$B$1499,Parameters!$A$6:$A$57,0),MATCH(Inventories!$A1505,Parameters!$B$4:$AL$4,0))</f>
        <v>20</v>
      </c>
      <c r="C1505" t="s">
        <v>312</v>
      </c>
      <c r="D1505" s="2"/>
      <c r="E1505" s="2"/>
      <c r="F1505" s="2"/>
      <c r="G1505" s="2"/>
      <c r="H1505" s="2"/>
      <c r="I1505" s="2"/>
      <c r="J1505" s="2"/>
      <c r="K1505" s="2"/>
      <c r="L1505" s="2"/>
    </row>
    <row r="1506" spans="1:12" customFormat="1" ht="16" x14ac:dyDescent="0.2">
      <c r="A1506" t="s">
        <v>353</v>
      </c>
      <c r="B1506" s="2">
        <f>INDEX(Parameters!$B$6:$AL$57,MATCH(Inventories!$B$1499,Parameters!$A$6:$A$57,0),MATCH(Inventories!$A1506,Parameters!$B$4:$AL$4,0))</f>
        <v>9</v>
      </c>
      <c r="C1506" t="s">
        <v>312</v>
      </c>
      <c r="D1506" s="2"/>
      <c r="E1506" s="2"/>
      <c r="F1506" s="2"/>
      <c r="G1506" s="2"/>
      <c r="H1506" s="2"/>
      <c r="I1506" s="2"/>
      <c r="J1506" s="2"/>
      <c r="K1506" s="2"/>
      <c r="L1506" s="2"/>
    </row>
    <row r="1507" spans="1:12" customFormat="1" ht="16" x14ac:dyDescent="0.2">
      <c r="A1507" t="s">
        <v>354</v>
      </c>
      <c r="B1507" s="2">
        <f>INDEX(Parameters!$B$6:$AL$57,MATCH(Inventories!$B$1499,Parameters!$A$6:$A$57,0),MATCH(Inventories!$A1507,Parameters!$B$4:$AL$4,0))</f>
        <v>92</v>
      </c>
      <c r="C1507" t="s">
        <v>312</v>
      </c>
      <c r="D1507" s="2"/>
      <c r="E1507" s="2"/>
      <c r="F1507" s="2"/>
      <c r="G1507" s="2"/>
      <c r="H1507" s="2"/>
      <c r="I1507" s="2"/>
      <c r="J1507" s="2"/>
      <c r="K1507" s="2"/>
      <c r="L1507" s="2"/>
    </row>
    <row r="1508" spans="1:12" customFormat="1" ht="16" x14ac:dyDescent="0.2">
      <c r="A1508" t="s">
        <v>316</v>
      </c>
      <c r="B1508" s="24">
        <f>INDEX(Parameters!$B$6:$AL$57,MATCH(Inventories!$B$1499,Parameters!$A$6:$A$57,0),MATCH(Inventories!$A1508,Parameters!$B$4:$AL$4,0))</f>
        <v>100000</v>
      </c>
      <c r="C1508" t="s">
        <v>313</v>
      </c>
      <c r="D1508" s="2"/>
      <c r="E1508" s="2"/>
      <c r="F1508" s="2"/>
      <c r="G1508" s="2"/>
      <c r="H1508" s="2"/>
      <c r="I1508" s="2"/>
      <c r="J1508" s="2"/>
      <c r="K1508" s="2"/>
      <c r="L1508" s="2"/>
    </row>
    <row r="1509" spans="1:12" customFormat="1" ht="16" x14ac:dyDescent="0.2">
      <c r="A1509" t="s">
        <v>317</v>
      </c>
      <c r="B1509" s="24">
        <f>INDEX(Parameters!$B$6:$AL$57,MATCH(Inventories!$B$1499,Parameters!$A$6:$A$57,0),MATCH(Inventories!$A1509,Parameters!$B$4:$AL$4,0))</f>
        <v>50000</v>
      </c>
      <c r="C1509" t="s">
        <v>313</v>
      </c>
      <c r="D1509" s="2"/>
      <c r="E1509" s="2"/>
      <c r="F1509" s="2"/>
      <c r="G1509" s="2"/>
      <c r="H1509" s="2"/>
      <c r="I1509" s="2"/>
      <c r="J1509" s="2"/>
      <c r="K1509" s="2"/>
      <c r="L1509" s="2"/>
    </row>
    <row r="1510" spans="1:12" customFormat="1" ht="16" x14ac:dyDescent="0.2">
      <c r="A1510" t="s">
        <v>318</v>
      </c>
      <c r="B1510" s="24">
        <f>INDEX(Parameters!$B$6:$AL$57,MATCH(Inventories!$B$1499,Parameters!$A$6:$A$57,0),MATCH(Inventories!$A1510,Parameters!$B$4:$AL$4,0))</f>
        <v>200000</v>
      </c>
      <c r="C1510" t="s">
        <v>313</v>
      </c>
      <c r="D1510" s="2"/>
      <c r="E1510" s="2"/>
      <c r="F1510" s="2"/>
      <c r="G1510" s="2"/>
      <c r="H1510" s="2"/>
      <c r="I1510" s="2"/>
      <c r="J1510" s="2"/>
      <c r="K1510" s="2"/>
      <c r="L1510" s="2"/>
    </row>
    <row r="1511" spans="1:12" customFormat="1" ht="16" x14ac:dyDescent="0.2">
      <c r="A1511" t="s">
        <v>319</v>
      </c>
      <c r="B1511" s="2">
        <f>INDEX(Parameters!$B$6:$AL$57,MATCH(Inventories!$B$1499,Parameters!$A$6:$A$57,0),MATCH(Inventories!$A1511,Parameters!$B$4:$AL$4,0))</f>
        <v>1300</v>
      </c>
      <c r="C1511" t="s">
        <v>314</v>
      </c>
      <c r="D1511" s="2"/>
      <c r="E1511" s="2"/>
      <c r="F1511" s="2"/>
      <c r="G1511" s="2"/>
      <c r="H1511" s="2"/>
      <c r="I1511" s="2"/>
      <c r="J1511" s="2"/>
      <c r="K1511" s="2"/>
      <c r="L1511" s="2"/>
    </row>
    <row r="1512" spans="1:12" customFormat="1" ht="16" x14ac:dyDescent="0.2">
      <c r="A1512" t="s">
        <v>320</v>
      </c>
      <c r="B1512" s="2">
        <f>INDEX(Parameters!$B$6:$AL$57,MATCH(Inventories!$B$1499,Parameters!$A$6:$A$57,0),MATCH(Inventories!$A1512,Parameters!$B$4:$AL$4,0))</f>
        <v>800</v>
      </c>
      <c r="C1512" t="s">
        <v>314</v>
      </c>
      <c r="D1512" s="2"/>
      <c r="E1512" s="2"/>
      <c r="F1512" s="2"/>
      <c r="G1512" s="2"/>
      <c r="H1512" s="2"/>
      <c r="I1512" s="2"/>
      <c r="J1512" s="2"/>
      <c r="K1512" s="2"/>
      <c r="L1512" s="2"/>
    </row>
    <row r="1513" spans="1:12" customFormat="1" ht="16" x14ac:dyDescent="0.2">
      <c r="A1513" t="s">
        <v>321</v>
      </c>
      <c r="B1513" s="2">
        <f>INDEX(Parameters!$B$6:$AL$57,MATCH(Inventories!$B$1499,Parameters!$A$6:$A$57,0),MATCH(Inventories!$A1513,Parameters!$B$4:$AL$4,0))</f>
        <v>1530</v>
      </c>
      <c r="C1513" t="s">
        <v>314</v>
      </c>
      <c r="D1513" s="2"/>
      <c r="E1513" s="2"/>
      <c r="F1513" s="2"/>
      <c r="G1513" s="2"/>
      <c r="H1513" s="2"/>
      <c r="I1513" s="2"/>
      <c r="J1513" s="2"/>
      <c r="K1513" s="2"/>
      <c r="L1513" s="2"/>
    </row>
    <row r="1514" spans="1:12" customFormat="1" ht="16" x14ac:dyDescent="0.2">
      <c r="A1514" t="s">
        <v>340</v>
      </c>
      <c r="B1514" s="2">
        <f>INDEX(Parameters!$B$6:$AL$57,MATCH(Inventories!$B$1499,Parameters!$A$6:$A$57,0),MATCH(Inventories!$A1514,Parameters!$B$4:$AL$4,0))</f>
        <v>14</v>
      </c>
      <c r="C1514" t="s">
        <v>336</v>
      </c>
      <c r="D1514" s="2"/>
      <c r="E1514" s="2"/>
      <c r="F1514" s="2"/>
      <c r="G1514" s="2"/>
      <c r="H1514" s="2"/>
      <c r="I1514" s="2"/>
      <c r="J1514" s="2"/>
      <c r="K1514" s="2"/>
      <c r="L1514" s="2"/>
    </row>
    <row r="1515" spans="1:12" customFormat="1" ht="16" x14ac:dyDescent="0.2">
      <c r="A1515" t="s">
        <v>341</v>
      </c>
      <c r="B1515" s="2">
        <f>INDEX(Parameters!$B$6:$AL$57,MATCH(Inventories!$B$1499,Parameters!$A$6:$A$57,0),MATCH(Inventories!$A1515,Parameters!$B$4:$AL$4,0))</f>
        <v>6</v>
      </c>
      <c r="C1515" t="s">
        <v>336</v>
      </c>
      <c r="D1515" s="2"/>
      <c r="E1515" s="2"/>
      <c r="F1515" s="2"/>
      <c r="G1515" s="2"/>
      <c r="H1515" s="2"/>
      <c r="I1515" s="2"/>
      <c r="J1515" s="2"/>
      <c r="K1515" s="2"/>
      <c r="L1515" s="2"/>
    </row>
    <row r="1516" spans="1:12" customFormat="1" ht="16" x14ac:dyDescent="0.2">
      <c r="A1516" t="s">
        <v>342</v>
      </c>
      <c r="B1516" s="2">
        <f>INDEX(Parameters!$B$6:$AL$57,MATCH(Inventories!$B$1499,Parameters!$A$6:$A$57,0),MATCH(Inventories!$A1516,Parameters!$B$4:$AL$4,0))</f>
        <v>65</v>
      </c>
      <c r="C1516" t="s">
        <v>336</v>
      </c>
      <c r="D1516" s="2"/>
      <c r="E1516" s="2"/>
      <c r="F1516" s="2"/>
      <c r="G1516" s="2"/>
      <c r="H1516" s="2"/>
      <c r="I1516" s="2"/>
      <c r="J1516" s="2"/>
      <c r="K1516" s="2"/>
      <c r="L1516" s="2"/>
    </row>
    <row r="1517" spans="1:12" customFormat="1" ht="16" x14ac:dyDescent="0.2">
      <c r="A1517" t="s">
        <v>333</v>
      </c>
      <c r="B1517" s="2">
        <f>INDEX(Parameters!$B$6:$AL$57,MATCH(Inventories!$B$1499,Parameters!$A$6:$A$57,0),MATCH(Inventories!$A1517,Parameters!$B$4:$AL$4,0))</f>
        <v>10</v>
      </c>
      <c r="C1517" t="s">
        <v>336</v>
      </c>
      <c r="D1517" s="2"/>
      <c r="E1517" s="2"/>
      <c r="F1517" s="2"/>
      <c r="G1517" s="2"/>
      <c r="H1517" s="2"/>
      <c r="I1517" s="2"/>
      <c r="J1517" s="2"/>
      <c r="K1517" s="2"/>
      <c r="L1517" s="2"/>
    </row>
    <row r="1518" spans="1:12" customFormat="1" ht="16" x14ac:dyDescent="0.2">
      <c r="A1518" t="s">
        <v>334</v>
      </c>
      <c r="B1518" s="2">
        <f>INDEX(Parameters!$B$6:$AL$57,MATCH(Inventories!$B$1499,Parameters!$A$6:$A$57,0),MATCH(Inventories!$A1518,Parameters!$B$4:$AL$4,0))</f>
        <v>6</v>
      </c>
      <c r="C1518" t="s">
        <v>336</v>
      </c>
      <c r="D1518" s="2"/>
      <c r="E1518" s="2"/>
      <c r="F1518" s="2"/>
      <c r="G1518" s="2"/>
      <c r="H1518" s="2"/>
      <c r="I1518" s="2"/>
      <c r="J1518" s="2"/>
      <c r="K1518" s="2"/>
      <c r="L1518" s="2"/>
    </row>
    <row r="1519" spans="1:12" customFormat="1" ht="16" x14ac:dyDescent="0.2">
      <c r="A1519" t="s">
        <v>335</v>
      </c>
      <c r="B1519" s="2">
        <f>INDEX(Parameters!$B$6:$AL$57,MATCH(Inventories!$B$1499,Parameters!$A$6:$A$57,0),MATCH(Inventories!$A1519,Parameters!$B$4:$AL$4,0))</f>
        <v>12</v>
      </c>
      <c r="C1519" t="s">
        <v>336</v>
      </c>
      <c r="D1519" s="2"/>
      <c r="E1519" s="2"/>
      <c r="F1519" s="2"/>
      <c r="G1519" s="2"/>
      <c r="H1519" s="2"/>
      <c r="I1519" s="2"/>
      <c r="J1519" s="2"/>
      <c r="K1519" s="2"/>
      <c r="L1519" s="2"/>
    </row>
    <row r="1520" spans="1:12" customFormat="1" ht="16" x14ac:dyDescent="0.2">
      <c r="A1520" t="s">
        <v>344</v>
      </c>
      <c r="B1520" s="26">
        <f>INDEX(Parameters!$B$6:$AL$57,MATCH(Inventories!$B$1499,Parameters!$A$6:$A$57,0),MATCH(Inventories!$A1520,Parameters!$B$4:$AL$4,0))</f>
        <v>7.5811450000000001E-3</v>
      </c>
      <c r="C1520" t="s">
        <v>345</v>
      </c>
      <c r="D1520" s="2"/>
      <c r="E1520" s="2"/>
      <c r="F1520" s="2"/>
      <c r="G1520" s="2"/>
      <c r="H1520" s="2"/>
      <c r="I1520" s="2"/>
      <c r="J1520" s="2"/>
      <c r="K1520" s="2"/>
      <c r="L1520" s="2"/>
    </row>
    <row r="1521" spans="1:12" customFormat="1" ht="16" x14ac:dyDescent="0.2">
      <c r="A1521" t="s">
        <v>343</v>
      </c>
      <c r="B1521" s="2">
        <f>INDEX(Parameters!$B$6:$AL$57,MATCH(Inventories!$B$1499,Parameters!$A$6:$A$57,0),MATCH(Inventories!$A1521,Parameters!$B$4:$AL$4,0))</f>
        <v>5.65099E-4</v>
      </c>
      <c r="C1521" t="s">
        <v>345</v>
      </c>
      <c r="D1521" s="2"/>
      <c r="E1521" s="2"/>
      <c r="F1521" s="2"/>
      <c r="G1521" s="2"/>
      <c r="H1521" s="2"/>
      <c r="I1521" s="2"/>
      <c r="J1521" s="2"/>
      <c r="K1521" s="2"/>
      <c r="L1521" s="2"/>
    </row>
    <row r="1522" spans="1:12" customFormat="1" ht="16" x14ac:dyDescent="0.2">
      <c r="A1522" s="1" t="s">
        <v>10</v>
      </c>
      <c r="B1522" s="2"/>
      <c r="C1522" s="2"/>
      <c r="D1522" s="2"/>
      <c r="E1522" s="2"/>
      <c r="F1522" s="2"/>
      <c r="G1522" s="2"/>
      <c r="H1522" s="2"/>
      <c r="I1522" s="2"/>
      <c r="J1522" s="2"/>
      <c r="K1522" s="2"/>
      <c r="L1522" s="2"/>
    </row>
    <row r="1523" spans="1:12" x14ac:dyDescent="0.2">
      <c r="A1523" s="17" t="s">
        <v>11</v>
      </c>
      <c r="B1523" s="17" t="s">
        <v>12</v>
      </c>
      <c r="C1523" s="17" t="s">
        <v>3</v>
      </c>
      <c r="D1523" s="17" t="s">
        <v>13</v>
      </c>
      <c r="E1523" s="17" t="s">
        <v>8</v>
      </c>
      <c r="F1523" s="17" t="s">
        <v>6</v>
      </c>
      <c r="G1523" s="17" t="s">
        <v>5</v>
      </c>
      <c r="H1523" s="17" t="s">
        <v>151</v>
      </c>
      <c r="I1523" s="17" t="s">
        <v>179</v>
      </c>
      <c r="J1523" s="17" t="s">
        <v>181</v>
      </c>
      <c r="K1523" s="17" t="s">
        <v>182</v>
      </c>
      <c r="L1523" s="17" t="s">
        <v>180</v>
      </c>
    </row>
    <row r="1524" spans="1:12" customFormat="1" ht="16" x14ac:dyDescent="0.2">
      <c r="A1524" s="2" t="str">
        <f>B1499</f>
        <v>petrol, burned in motorcycle</v>
      </c>
      <c r="B1524" s="2">
        <v>1</v>
      </c>
      <c r="C1524" s="2" t="s">
        <v>18</v>
      </c>
      <c r="D1524" s="2"/>
      <c r="E1524" s="2" t="str">
        <f>B1504</f>
        <v>megajoule</v>
      </c>
      <c r="F1524" s="2" t="s">
        <v>19</v>
      </c>
      <c r="G1524" s="2" t="str">
        <f>B1502</f>
        <v>heat</v>
      </c>
      <c r="H1524" s="2"/>
      <c r="I1524" s="2"/>
      <c r="J1524" s="2"/>
      <c r="K1524" s="2"/>
      <c r="L1524" s="2"/>
    </row>
    <row r="1525" spans="1:12" customFormat="1" ht="16" x14ac:dyDescent="0.2">
      <c r="A1525" t="s">
        <v>120</v>
      </c>
      <c r="B1525" s="25">
        <f>1/42.6</f>
        <v>2.3474178403755867E-2</v>
      </c>
      <c r="C1525" t="s">
        <v>27</v>
      </c>
      <c r="E1525" t="s">
        <v>9</v>
      </c>
      <c r="F1525" t="s">
        <v>23</v>
      </c>
      <c r="G1525" t="s">
        <v>82</v>
      </c>
      <c r="H1525" s="2"/>
      <c r="I1525" s="2"/>
      <c r="J1525" s="2"/>
      <c r="K1525" s="2"/>
    </row>
    <row r="1526" spans="1:12" customFormat="1" ht="16" x14ac:dyDescent="0.2">
      <c r="A1526" s="2" t="s">
        <v>143</v>
      </c>
      <c r="B1526" s="3">
        <f>(B1514/B1508)/(B1511/1000)</f>
        <v>1.0769230769230768E-4</v>
      </c>
      <c r="C1526" t="s">
        <v>114</v>
      </c>
      <c r="E1526" t="s">
        <v>9</v>
      </c>
      <c r="F1526" t="s">
        <v>23</v>
      </c>
      <c r="G1526" t="s">
        <v>144</v>
      </c>
      <c r="H1526" s="2"/>
      <c r="I1526">
        <v>5</v>
      </c>
      <c r="J1526" s="12">
        <f>(B1515/B1510)/(B1513/1000)</f>
        <v>1.9607843137254903E-5</v>
      </c>
      <c r="K1526" s="3">
        <f>(B1516/B1509)/(B1512/1000)</f>
        <v>1.6249999999999999E-3</v>
      </c>
      <c r="L1526" s="3">
        <f>B1526</f>
        <v>1.0769230769230768E-4</v>
      </c>
    </row>
    <row r="1527" spans="1:12" customFormat="1" ht="16" x14ac:dyDescent="0.2">
      <c r="A1527" s="2" t="s">
        <v>358</v>
      </c>
      <c r="B1527" s="3">
        <f>(B1517/B1508)/(B1511/1000)</f>
        <v>7.6923076923076926E-5</v>
      </c>
      <c r="C1527" t="s">
        <v>114</v>
      </c>
      <c r="E1527" t="s">
        <v>9</v>
      </c>
      <c r="F1527" t="s">
        <v>23</v>
      </c>
      <c r="G1527" s="2" t="s">
        <v>357</v>
      </c>
      <c r="H1527" s="2" t="s">
        <v>361</v>
      </c>
      <c r="I1527">
        <v>5</v>
      </c>
      <c r="J1527" s="12">
        <f>L1527*0.8</f>
        <v>6.1538461538461549E-5</v>
      </c>
      <c r="K1527" s="3">
        <f>L1527*1.2</f>
        <v>9.2307692307692303E-5</v>
      </c>
      <c r="L1527" s="3">
        <f t="shared" ref="L1527:L1528" si="2">B1527</f>
        <v>7.6923076923076926E-5</v>
      </c>
    </row>
    <row r="1528" spans="1:12" customFormat="1" ht="16" x14ac:dyDescent="0.2">
      <c r="A1528" s="2" t="s">
        <v>359</v>
      </c>
      <c r="B1528" s="3">
        <f>(B1517/B1508)/(B1511/1000)</f>
        <v>7.6923076923076926E-5</v>
      </c>
      <c r="C1528" t="s">
        <v>114</v>
      </c>
      <c r="E1528" t="s">
        <v>9</v>
      </c>
      <c r="F1528" t="s">
        <v>23</v>
      </c>
      <c r="G1528" s="2" t="s">
        <v>360</v>
      </c>
      <c r="H1528" s="2" t="s">
        <v>361</v>
      </c>
      <c r="I1528">
        <v>5</v>
      </c>
      <c r="J1528" s="12">
        <f>J1527</f>
        <v>6.1538461538461549E-5</v>
      </c>
      <c r="K1528" s="3">
        <f>K1527</f>
        <v>9.2307692307692303E-5</v>
      </c>
      <c r="L1528" s="3">
        <f t="shared" si="2"/>
        <v>7.6923076923076926E-5</v>
      </c>
    </row>
    <row r="1529" spans="1:12" customFormat="1" ht="16" x14ac:dyDescent="0.2">
      <c r="A1529" t="s">
        <v>53</v>
      </c>
      <c r="B1529" s="3">
        <f>B1525*3.15</f>
        <v>7.3943661971830985E-2</v>
      </c>
      <c r="D1529" t="s">
        <v>14</v>
      </c>
      <c r="E1529" t="s">
        <v>9</v>
      </c>
      <c r="F1529" t="s">
        <v>15</v>
      </c>
      <c r="H1529" s="2"/>
      <c r="I1529" s="2"/>
      <c r="J1529" s="2"/>
      <c r="K1529" s="2"/>
    </row>
    <row r="1530" spans="1:12" customFormat="1" ht="16" x14ac:dyDescent="0.2">
      <c r="A1530" t="s">
        <v>230</v>
      </c>
      <c r="B1530" s="3">
        <v>8.8450704225352119E-4</v>
      </c>
      <c r="D1530" t="s">
        <v>14</v>
      </c>
      <c r="E1530" t="s">
        <v>9</v>
      </c>
      <c r="F1530" t="s">
        <v>15</v>
      </c>
      <c r="H1530" s="2"/>
      <c r="I1530" s="2"/>
      <c r="J1530" s="2"/>
      <c r="K1530" s="2"/>
    </row>
    <row r="1531" spans="1:12" customFormat="1" ht="16" x14ac:dyDescent="0.2">
      <c r="A1531" t="s">
        <v>77</v>
      </c>
      <c r="B1531" s="3">
        <v>3.7558685446009391E-7</v>
      </c>
      <c r="D1531" t="s">
        <v>14</v>
      </c>
      <c r="E1531" t="s">
        <v>9</v>
      </c>
      <c r="F1531" t="s">
        <v>15</v>
      </c>
      <c r="H1531" s="2"/>
      <c r="I1531" s="2"/>
      <c r="J1531" s="2"/>
      <c r="K1531" s="2"/>
    </row>
    <row r="1532" spans="1:12" customFormat="1" ht="16" x14ac:dyDescent="0.2">
      <c r="A1532" t="s">
        <v>50</v>
      </c>
      <c r="B1532" s="3">
        <v>7.6234099132856199E-7</v>
      </c>
      <c r="D1532" t="s">
        <v>14</v>
      </c>
      <c r="E1532" t="s">
        <v>9</v>
      </c>
      <c r="F1532" t="s">
        <v>15</v>
      </c>
      <c r="H1532" s="2"/>
      <c r="I1532" s="2"/>
      <c r="J1532" s="2"/>
      <c r="K1532" s="2"/>
    </row>
    <row r="1533" spans="1:12" customFormat="1" ht="16" x14ac:dyDescent="0.2">
      <c r="A1533" t="s">
        <v>65</v>
      </c>
      <c r="B1533" s="3">
        <v>1.8797075715851682E-5</v>
      </c>
      <c r="D1533" t="s">
        <v>14</v>
      </c>
      <c r="E1533" t="s">
        <v>9</v>
      </c>
      <c r="F1533" t="s">
        <v>15</v>
      </c>
      <c r="H1533" s="2"/>
      <c r="I1533" s="2"/>
      <c r="J1533" s="2"/>
      <c r="K1533" s="2"/>
    </row>
    <row r="1534" spans="1:12" customFormat="1" ht="16" x14ac:dyDescent="0.2">
      <c r="A1534" t="s">
        <v>54</v>
      </c>
      <c r="B1534" s="3">
        <v>8.3455151885463482E-5</v>
      </c>
      <c r="D1534" t="s">
        <v>14</v>
      </c>
      <c r="E1534" t="s">
        <v>9</v>
      </c>
      <c r="F1534" t="s">
        <v>15</v>
      </c>
      <c r="H1534" s="2"/>
      <c r="I1534" s="2"/>
      <c r="J1534" s="2"/>
      <c r="K1534" s="2"/>
    </row>
    <row r="1535" spans="1:12" customFormat="1" ht="16" x14ac:dyDescent="0.2">
      <c r="A1535" t="s">
        <v>58</v>
      </c>
      <c r="B1535" s="3">
        <v>5.6532558543914833E-7</v>
      </c>
      <c r="D1535" t="s">
        <v>14</v>
      </c>
      <c r="E1535" t="s">
        <v>9</v>
      </c>
      <c r="F1535" t="s">
        <v>15</v>
      </c>
      <c r="H1535" s="2"/>
      <c r="I1535" s="2"/>
      <c r="J1535" s="2"/>
      <c r="K1535" s="2"/>
    </row>
    <row r="1536" spans="1:12" customFormat="1" ht="16" x14ac:dyDescent="0.2">
      <c r="A1536" t="s">
        <v>48</v>
      </c>
      <c r="B1536" s="3">
        <v>5.6532558543914833E-7</v>
      </c>
      <c r="D1536" t="s">
        <v>14</v>
      </c>
      <c r="E1536" t="s">
        <v>9</v>
      </c>
      <c r="F1536" t="s">
        <v>15</v>
      </c>
      <c r="H1536" s="2"/>
      <c r="I1536" s="2"/>
      <c r="J1536" s="2"/>
      <c r="K1536" s="2"/>
    </row>
    <row r="1537" spans="1:11" customFormat="1" ht="16" x14ac:dyDescent="0.2">
      <c r="A1537" t="s">
        <v>69</v>
      </c>
      <c r="B1537" s="3">
        <f>B1520/1000</f>
        <v>7.5811449999999999E-6</v>
      </c>
      <c r="D1537" t="s">
        <v>14</v>
      </c>
      <c r="E1537" t="s">
        <v>9</v>
      </c>
      <c r="F1537" t="s">
        <v>15</v>
      </c>
      <c r="H1537" s="2"/>
      <c r="I1537" s="2"/>
      <c r="J1537" s="2"/>
      <c r="K1537" s="2"/>
    </row>
    <row r="1538" spans="1:11" customFormat="1" ht="16" x14ac:dyDescent="0.2">
      <c r="A1538" t="s">
        <v>231</v>
      </c>
      <c r="B1538" s="3">
        <f>B1521/1000</f>
        <v>5.6509899999999997E-7</v>
      </c>
      <c r="D1538" t="s">
        <v>14</v>
      </c>
      <c r="E1538" t="s">
        <v>9</v>
      </c>
      <c r="F1538" t="s">
        <v>15</v>
      </c>
      <c r="H1538" s="2"/>
      <c r="I1538" s="2"/>
      <c r="J1538" s="2"/>
      <c r="K1538" s="2"/>
    </row>
    <row r="1539" spans="1:11" customFormat="1" ht="16" x14ac:dyDescent="0.2">
      <c r="A1539" t="s">
        <v>232</v>
      </c>
      <c r="B1539" s="3">
        <v>6.1476482081469075E-6</v>
      </c>
      <c r="D1539" t="s">
        <v>14</v>
      </c>
      <c r="E1539" t="s">
        <v>9</v>
      </c>
      <c r="F1539" t="s">
        <v>15</v>
      </c>
      <c r="H1539" s="2"/>
      <c r="I1539" s="2"/>
      <c r="J1539" s="2"/>
      <c r="K1539" s="2"/>
    </row>
    <row r="1540" spans="1:11" customFormat="1" ht="16" x14ac:dyDescent="0.2">
      <c r="A1540" t="s">
        <v>59</v>
      </c>
      <c r="B1540" s="3">
        <v>4.3348801467702544E-7</v>
      </c>
      <c r="D1540" t="s">
        <v>14</v>
      </c>
      <c r="E1540" t="s">
        <v>9</v>
      </c>
      <c r="F1540" t="s">
        <v>15</v>
      </c>
      <c r="H1540" s="2"/>
      <c r="I1540" s="2"/>
      <c r="J1540" s="2"/>
      <c r="K1540" s="2"/>
    </row>
    <row r="1541" spans="1:11" customFormat="1" ht="16" x14ac:dyDescent="0.2">
      <c r="A1541" t="s">
        <v>73</v>
      </c>
      <c r="B1541" s="3">
        <v>8.8328278852685434E-8</v>
      </c>
      <c r="D1541" t="s">
        <v>14</v>
      </c>
      <c r="E1541" t="s">
        <v>9</v>
      </c>
      <c r="F1541" t="s">
        <v>15</v>
      </c>
      <c r="H1541" s="2"/>
      <c r="I1541" s="2"/>
      <c r="J1541" s="2"/>
      <c r="K1541" s="2"/>
    </row>
    <row r="1542" spans="1:11" customFormat="1" ht="16" x14ac:dyDescent="0.2">
      <c r="A1542" t="s">
        <v>51</v>
      </c>
      <c r="B1542" s="3">
        <v>7.1206181721241788E-7</v>
      </c>
      <c r="D1542" t="s">
        <v>14</v>
      </c>
      <c r="E1542" t="s">
        <v>9</v>
      </c>
      <c r="F1542" t="s">
        <v>15</v>
      </c>
      <c r="H1542" s="2"/>
      <c r="I1542" s="2"/>
      <c r="J1542" s="2"/>
      <c r="K1542" s="2"/>
    </row>
    <row r="1543" spans="1:11" customFormat="1" ht="16" x14ac:dyDescent="0.2">
      <c r="A1543" t="s">
        <v>72</v>
      </c>
      <c r="B1543" s="3">
        <v>2.9216276851272876E-7</v>
      </c>
      <c r="D1543" t="s">
        <v>14</v>
      </c>
      <c r="E1543" t="s">
        <v>9</v>
      </c>
      <c r="F1543" t="s">
        <v>15</v>
      </c>
      <c r="H1543" s="2"/>
      <c r="I1543" s="2"/>
      <c r="J1543" s="2"/>
      <c r="K1543" s="2"/>
    </row>
    <row r="1544" spans="1:11" customFormat="1" ht="16" x14ac:dyDescent="0.2">
      <c r="A1544" t="s">
        <v>85</v>
      </c>
      <c r="B1544" s="3">
        <v>2.1878235223511317E-7</v>
      </c>
      <c r="D1544" t="s">
        <v>14</v>
      </c>
      <c r="E1544" t="s">
        <v>9</v>
      </c>
      <c r="F1544" t="s">
        <v>15</v>
      </c>
      <c r="H1544" s="2"/>
      <c r="I1544" s="2"/>
      <c r="J1544" s="2"/>
      <c r="K1544" s="2"/>
    </row>
    <row r="1545" spans="1:11" customFormat="1" ht="16" x14ac:dyDescent="0.2">
      <c r="A1545" t="s">
        <v>233</v>
      </c>
      <c r="B1545" s="3">
        <v>1.5491421214163292E-7</v>
      </c>
      <c r="D1545" t="s">
        <v>14</v>
      </c>
      <c r="E1545" t="s">
        <v>9</v>
      </c>
      <c r="F1545" t="s">
        <v>15</v>
      </c>
      <c r="H1545" s="2"/>
      <c r="I1545" s="2"/>
      <c r="J1545" s="2"/>
      <c r="K1545" s="2"/>
    </row>
    <row r="1546" spans="1:11" customFormat="1" ht="16" x14ac:dyDescent="0.2">
      <c r="A1546" t="s">
        <v>62</v>
      </c>
      <c r="B1546" s="3">
        <v>1.0055834823228804E-7</v>
      </c>
      <c r="D1546" t="s">
        <v>14</v>
      </c>
      <c r="E1546" t="s">
        <v>9</v>
      </c>
      <c r="F1546" t="s">
        <v>15</v>
      </c>
      <c r="H1546" s="2"/>
      <c r="I1546" s="2"/>
      <c r="J1546" s="2"/>
      <c r="K1546" s="2"/>
    </row>
    <row r="1547" spans="1:11" customFormat="1" ht="16" x14ac:dyDescent="0.2">
      <c r="A1547" t="s">
        <v>234</v>
      </c>
      <c r="B1547" s="3">
        <v>9.9199451634554413E-7</v>
      </c>
      <c r="D1547" t="s">
        <v>14</v>
      </c>
      <c r="E1547" t="s">
        <v>9</v>
      </c>
      <c r="F1547" t="s">
        <v>15</v>
      </c>
      <c r="H1547" s="2"/>
      <c r="I1547" s="2"/>
      <c r="J1547" s="2"/>
      <c r="K1547" s="2"/>
    </row>
    <row r="1548" spans="1:11" customFormat="1" ht="16" x14ac:dyDescent="0.2">
      <c r="A1548" t="s">
        <v>86</v>
      </c>
      <c r="B1548" s="3">
        <v>5.1909850033424364E-7</v>
      </c>
      <c r="D1548" t="s">
        <v>14</v>
      </c>
      <c r="E1548" t="s">
        <v>9</v>
      </c>
      <c r="F1548" t="s">
        <v>15</v>
      </c>
      <c r="H1548" s="2"/>
      <c r="I1548" s="2"/>
      <c r="J1548" s="2"/>
      <c r="K1548" s="2"/>
    </row>
    <row r="1549" spans="1:11" customFormat="1" ht="16" x14ac:dyDescent="0.2">
      <c r="A1549" t="s">
        <v>83</v>
      </c>
      <c r="B1549" s="3">
        <v>1.4947862575069847E-8</v>
      </c>
      <c r="D1549" t="s">
        <v>14</v>
      </c>
      <c r="E1549" t="s">
        <v>9</v>
      </c>
      <c r="F1549" t="s">
        <v>15</v>
      </c>
      <c r="H1549" s="2"/>
      <c r="I1549" s="2"/>
      <c r="J1549" s="2"/>
      <c r="K1549" s="2"/>
    </row>
    <row r="1550" spans="1:11" customFormat="1" ht="16" x14ac:dyDescent="0.2">
      <c r="A1550" t="s">
        <v>78</v>
      </c>
      <c r="B1550" s="3">
        <v>1.4920684643115172E-6</v>
      </c>
      <c r="D1550" t="s">
        <v>14</v>
      </c>
      <c r="E1550" t="s">
        <v>9</v>
      </c>
      <c r="F1550" t="s">
        <v>15</v>
      </c>
      <c r="H1550" s="2"/>
      <c r="I1550" s="2"/>
      <c r="J1550" s="2"/>
      <c r="K1550" s="2"/>
    </row>
    <row r="1551" spans="1:11" customFormat="1" ht="16" x14ac:dyDescent="0.2">
      <c r="A1551" t="s">
        <v>80</v>
      </c>
      <c r="B1551" s="3">
        <v>7.3788085256935697E-7</v>
      </c>
      <c r="D1551" t="s">
        <v>14</v>
      </c>
      <c r="E1551" t="s">
        <v>9</v>
      </c>
      <c r="F1551" t="s">
        <v>15</v>
      </c>
      <c r="H1551" s="2"/>
      <c r="I1551" s="2"/>
      <c r="J1551" s="2"/>
      <c r="K1551" s="2"/>
    </row>
    <row r="1552" spans="1:11" customFormat="1" ht="16" x14ac:dyDescent="0.2">
      <c r="A1552" t="s">
        <v>81</v>
      </c>
      <c r="B1552" s="3">
        <v>3.0711063108779858E-7</v>
      </c>
      <c r="D1552" t="s">
        <v>14</v>
      </c>
      <c r="E1552" t="s">
        <v>9</v>
      </c>
      <c r="F1552" t="s">
        <v>15</v>
      </c>
      <c r="H1552" s="2"/>
      <c r="I1552" s="2"/>
      <c r="J1552" s="2"/>
      <c r="K1552" s="2"/>
    </row>
    <row r="1553" spans="1:11" customFormat="1" ht="16" x14ac:dyDescent="0.2">
      <c r="A1553" t="s">
        <v>61</v>
      </c>
      <c r="B1553" s="3">
        <v>2.3101242161471579E-7</v>
      </c>
      <c r="D1553" t="s">
        <v>14</v>
      </c>
      <c r="E1553" t="s">
        <v>9</v>
      </c>
      <c r="F1553" t="s">
        <v>15</v>
      </c>
      <c r="H1553" s="2"/>
      <c r="I1553" s="2"/>
      <c r="J1553" s="2"/>
      <c r="K1553" s="2"/>
    </row>
    <row r="1554" spans="1:11" customFormat="1" ht="16" x14ac:dyDescent="0.2">
      <c r="A1554" t="s">
        <v>45</v>
      </c>
      <c r="B1554" s="3">
        <v>1.0191724483002165E-7</v>
      </c>
      <c r="D1554" t="s">
        <v>14</v>
      </c>
      <c r="E1554" t="s">
        <v>9</v>
      </c>
      <c r="F1554" t="s">
        <v>15</v>
      </c>
      <c r="H1554" s="2"/>
      <c r="I1554" s="2"/>
      <c r="J1554" s="2"/>
      <c r="K1554" s="2"/>
    </row>
    <row r="1555" spans="1:11" customFormat="1" ht="16" x14ac:dyDescent="0.2">
      <c r="A1555" t="s">
        <v>49</v>
      </c>
      <c r="B1555" s="3">
        <v>2.9895725150139694E-8</v>
      </c>
      <c r="D1555" t="s">
        <v>14</v>
      </c>
      <c r="E1555" t="s">
        <v>9</v>
      </c>
      <c r="F1555" t="s">
        <v>15</v>
      </c>
      <c r="H1555" s="2"/>
      <c r="I1555" s="2"/>
      <c r="J1555" s="2"/>
      <c r="K1555" s="2"/>
    </row>
    <row r="1556" spans="1:11" customFormat="1" ht="16" x14ac:dyDescent="0.2">
      <c r="A1556" t="s">
        <v>46</v>
      </c>
      <c r="B1556" s="3">
        <v>8.2892692461750966E-8</v>
      </c>
      <c r="D1556" t="s">
        <v>14</v>
      </c>
      <c r="E1556" t="s">
        <v>9</v>
      </c>
      <c r="F1556" t="s">
        <v>15</v>
      </c>
      <c r="H1556" s="2"/>
      <c r="I1556" s="2"/>
      <c r="J1556" s="2"/>
      <c r="K1556" s="2"/>
    </row>
    <row r="1557" spans="1:11" customFormat="1" ht="16" x14ac:dyDescent="0.2">
      <c r="A1557" t="s">
        <v>66</v>
      </c>
      <c r="B1557" s="3">
        <v>0</v>
      </c>
      <c r="D1557" t="s">
        <v>14</v>
      </c>
      <c r="E1557" t="s">
        <v>9</v>
      </c>
      <c r="F1557" t="s">
        <v>15</v>
      </c>
      <c r="H1557" s="2"/>
      <c r="I1557" s="2"/>
      <c r="J1557" s="2"/>
      <c r="K1557" s="2"/>
    </row>
    <row r="1558" spans="1:11" customFormat="1" ht="16" x14ac:dyDescent="0.2">
      <c r="A1558" t="s">
        <v>47</v>
      </c>
      <c r="B1558" s="3">
        <v>2.5819035356938819E-8</v>
      </c>
      <c r="D1558" t="s">
        <v>14</v>
      </c>
      <c r="E1558" t="s">
        <v>9</v>
      </c>
      <c r="F1558" t="s">
        <v>15</v>
      </c>
      <c r="H1558" s="2"/>
      <c r="I1558" s="2"/>
      <c r="J1558" s="2"/>
      <c r="K1558" s="2"/>
    </row>
    <row r="1559" spans="1:11" customFormat="1" ht="16" x14ac:dyDescent="0.2">
      <c r="A1559" t="s">
        <v>76</v>
      </c>
      <c r="B1559" s="3">
        <v>1.3724855637109585E-7</v>
      </c>
      <c r="D1559" t="s">
        <v>14</v>
      </c>
      <c r="E1559" t="s">
        <v>9</v>
      </c>
      <c r="F1559" t="s">
        <v>15</v>
      </c>
      <c r="H1559" s="2"/>
      <c r="I1559" s="2"/>
      <c r="J1559" s="2"/>
      <c r="K1559" s="2"/>
    </row>
    <row r="1560" spans="1:11" customFormat="1" ht="16" x14ac:dyDescent="0.2">
      <c r="A1560" t="s">
        <v>70</v>
      </c>
      <c r="B1560" s="3">
        <v>8.1882352941176476E-10</v>
      </c>
      <c r="D1560" t="s">
        <v>14</v>
      </c>
      <c r="E1560" t="s">
        <v>9</v>
      </c>
      <c r="F1560" t="s">
        <v>15</v>
      </c>
      <c r="H1560" s="2"/>
      <c r="I1560" s="2"/>
      <c r="J1560" s="2"/>
      <c r="K1560" s="2"/>
    </row>
    <row r="1561" spans="1:11" customFormat="1" ht="16" x14ac:dyDescent="0.2">
      <c r="A1561" t="s">
        <v>235</v>
      </c>
      <c r="B1561" s="3">
        <v>7.0588235294117658E-12</v>
      </c>
      <c r="D1561" t="s">
        <v>14</v>
      </c>
      <c r="E1561" t="s">
        <v>9</v>
      </c>
      <c r="F1561" t="s">
        <v>15</v>
      </c>
      <c r="H1561" s="2"/>
      <c r="I1561" s="2"/>
      <c r="J1561" s="2"/>
      <c r="K1561" s="2"/>
    </row>
    <row r="1562" spans="1:11" customFormat="1" ht="16" x14ac:dyDescent="0.2">
      <c r="A1562" t="s">
        <v>236</v>
      </c>
      <c r="B1562" s="3">
        <v>4.7058823529411767E-12</v>
      </c>
      <c r="D1562" t="s">
        <v>14</v>
      </c>
      <c r="E1562" t="s">
        <v>9</v>
      </c>
      <c r="F1562" t="s">
        <v>15</v>
      </c>
      <c r="H1562" s="2"/>
      <c r="I1562" s="2"/>
      <c r="J1562" s="2"/>
      <c r="K1562" s="2"/>
    </row>
    <row r="1563" spans="1:11" customFormat="1" ht="16" x14ac:dyDescent="0.2">
      <c r="A1563" t="s">
        <v>237</v>
      </c>
      <c r="B1563" s="3">
        <v>5.082352941176471E-8</v>
      </c>
      <c r="D1563" t="s">
        <v>14</v>
      </c>
      <c r="E1563" t="s">
        <v>9</v>
      </c>
      <c r="F1563" t="s">
        <v>15</v>
      </c>
      <c r="H1563" s="2"/>
      <c r="I1563" s="2"/>
      <c r="J1563" s="2"/>
      <c r="K1563" s="2"/>
    </row>
    <row r="1564" spans="1:11" customFormat="1" ht="16" x14ac:dyDescent="0.2">
      <c r="A1564" t="s">
        <v>238</v>
      </c>
      <c r="B1564" s="3">
        <v>9.8823529411764698E-10</v>
      </c>
      <c r="D1564" t="s">
        <v>14</v>
      </c>
      <c r="E1564" t="s">
        <v>9</v>
      </c>
      <c r="F1564" t="s">
        <v>15</v>
      </c>
      <c r="H1564" s="2"/>
      <c r="I1564" s="2"/>
      <c r="J1564" s="2"/>
      <c r="K1564" s="2"/>
    </row>
    <row r="1565" spans="1:11" customFormat="1" ht="16" x14ac:dyDescent="0.2">
      <c r="A1565" t="s">
        <v>239</v>
      </c>
      <c r="B1565" s="3">
        <v>3.0588235294117649E-10</v>
      </c>
      <c r="D1565" t="s">
        <v>14</v>
      </c>
      <c r="E1565" t="s">
        <v>9</v>
      </c>
      <c r="F1565" t="s">
        <v>15</v>
      </c>
      <c r="H1565" s="2"/>
      <c r="I1565" s="2"/>
      <c r="J1565" s="2"/>
      <c r="K1565" s="2"/>
    </row>
    <row r="1566" spans="1:11" customFormat="1" ht="16" x14ac:dyDescent="0.2">
      <c r="A1566" t="s">
        <v>240</v>
      </c>
      <c r="B1566" s="3">
        <v>3.7647058823529416E-10</v>
      </c>
      <c r="D1566" t="s">
        <v>14</v>
      </c>
      <c r="E1566" t="s">
        <v>9</v>
      </c>
      <c r="F1566" t="s">
        <v>15</v>
      </c>
      <c r="H1566" s="2"/>
      <c r="I1566" s="2"/>
      <c r="J1566" s="2"/>
      <c r="K1566" s="2"/>
    </row>
    <row r="1567" spans="1:11" customFormat="1" ht="16" x14ac:dyDescent="0.2">
      <c r="A1567" t="s">
        <v>56</v>
      </c>
      <c r="B1567" s="3">
        <v>7.5294117647058818E-13</v>
      </c>
      <c r="D1567" t="s">
        <v>14</v>
      </c>
      <c r="E1567" t="s">
        <v>9</v>
      </c>
      <c r="F1567" t="s">
        <v>15</v>
      </c>
      <c r="H1567" s="2"/>
      <c r="I1567" s="2"/>
      <c r="J1567" s="2"/>
      <c r="K1567" s="2"/>
    </row>
    <row r="1568" spans="1:11" customFormat="1" ht="16" x14ac:dyDescent="0.2">
      <c r="A1568" t="s">
        <v>241</v>
      </c>
      <c r="B1568" s="3">
        <v>2.0470588235294119E-10</v>
      </c>
      <c r="D1568" t="s">
        <v>14</v>
      </c>
      <c r="E1568" t="s">
        <v>9</v>
      </c>
      <c r="F1568" t="s">
        <v>15</v>
      </c>
      <c r="H1568" s="2"/>
      <c r="I1568" s="2"/>
      <c r="J1568" s="2"/>
      <c r="K1568" s="2"/>
    </row>
    <row r="1569" spans="1:12" customFormat="1" ht="16" x14ac:dyDescent="0.2">
      <c r="A1569" t="s">
        <v>242</v>
      </c>
      <c r="B1569" s="3">
        <v>2.5411764705882359E-10</v>
      </c>
      <c r="D1569" t="s">
        <v>14</v>
      </c>
      <c r="E1569" t="s">
        <v>9</v>
      </c>
      <c r="F1569" t="s">
        <v>15</v>
      </c>
      <c r="H1569" s="2"/>
      <c r="I1569" s="2"/>
      <c r="J1569" s="2"/>
      <c r="K1569" s="2"/>
    </row>
    <row r="1570" spans="1:12" customFormat="1" ht="16" x14ac:dyDescent="0.2">
      <c r="B1570" s="3"/>
    </row>
    <row r="1571" spans="1:12" x14ac:dyDescent="0.2">
      <c r="A1571" s="17" t="s">
        <v>2</v>
      </c>
      <c r="B1571" s="17" t="s">
        <v>258</v>
      </c>
    </row>
    <row r="1572" spans="1:12" customFormat="1" ht="16" x14ac:dyDescent="0.2">
      <c r="A1572" s="2" t="s">
        <v>3</v>
      </c>
      <c r="B1572" s="2" t="s">
        <v>18</v>
      </c>
      <c r="C1572" s="2"/>
      <c r="D1572" s="2"/>
      <c r="E1572" s="2"/>
      <c r="F1572" s="2"/>
      <c r="G1572" s="2"/>
      <c r="H1572" s="2"/>
      <c r="I1572" s="2"/>
      <c r="J1572" s="2"/>
      <c r="K1572" s="2"/>
      <c r="L1572" s="2"/>
    </row>
    <row r="1573" spans="1:12" customFormat="1" ht="16" x14ac:dyDescent="0.2">
      <c r="A1573" s="2" t="s">
        <v>4</v>
      </c>
      <c r="B1573" s="2">
        <v>1</v>
      </c>
      <c r="C1573" s="2"/>
      <c r="D1573" s="2"/>
      <c r="E1573" s="2"/>
      <c r="F1573" s="2"/>
      <c r="G1573" s="2"/>
      <c r="H1573" s="2"/>
      <c r="I1573" s="2"/>
      <c r="J1573" s="2"/>
      <c r="K1573" s="2"/>
      <c r="L1573" s="2"/>
    </row>
    <row r="1574" spans="1:12" customFormat="1" ht="16" x14ac:dyDescent="0.2">
      <c r="A1574" s="2" t="s">
        <v>5</v>
      </c>
      <c r="B1574" s="2" t="s">
        <v>1</v>
      </c>
      <c r="C1574" s="2"/>
      <c r="D1574" s="2"/>
      <c r="E1574" s="2"/>
      <c r="F1574" s="2"/>
      <c r="G1574" s="2"/>
      <c r="H1574" s="2"/>
      <c r="I1574" s="2"/>
      <c r="J1574" s="2"/>
    </row>
    <row r="1575" spans="1:12" customFormat="1" ht="16" x14ac:dyDescent="0.2">
      <c r="A1575" s="2" t="s">
        <v>6</v>
      </c>
      <c r="B1575" s="2" t="s">
        <v>7</v>
      </c>
      <c r="C1575" s="2"/>
      <c r="D1575" s="2"/>
      <c r="E1575" s="2"/>
      <c r="F1575" s="2"/>
      <c r="G1575" s="2"/>
      <c r="H1575" s="2"/>
      <c r="I1575" s="2"/>
      <c r="J1575" s="2"/>
      <c r="K1575" s="2"/>
      <c r="L1575" s="2"/>
    </row>
    <row r="1576" spans="1:12" customFormat="1" ht="16" x14ac:dyDescent="0.2">
      <c r="A1576" s="2" t="s">
        <v>8</v>
      </c>
      <c r="B1576" s="2" t="s">
        <v>17</v>
      </c>
      <c r="C1576" s="2"/>
      <c r="D1576" s="2"/>
      <c r="E1576" s="2"/>
      <c r="F1576" s="2"/>
      <c r="G1576" s="2"/>
      <c r="H1576" s="2"/>
      <c r="I1576" s="2"/>
      <c r="J1576" s="2"/>
      <c r="K1576" s="2"/>
      <c r="L1576" s="2"/>
    </row>
    <row r="1577" spans="1:12" customFormat="1" ht="16" x14ac:dyDescent="0.2">
      <c r="A1577" t="s">
        <v>352</v>
      </c>
      <c r="B1577" s="2">
        <f>INDEX(Parameters!$B$6:$AL$57,MATCH(Inventories!$B$1571,Parameters!$A$6:$A$57,0),MATCH(Inventories!$A1577,Parameters!$B$4:$AL$4,0))</f>
        <v>20</v>
      </c>
      <c r="C1577" t="s">
        <v>312</v>
      </c>
      <c r="D1577" s="2"/>
      <c r="E1577" s="2"/>
      <c r="F1577" s="2"/>
      <c r="G1577" s="2"/>
      <c r="H1577" s="2"/>
      <c r="I1577" s="2"/>
      <c r="J1577" s="2"/>
      <c r="K1577" s="2"/>
      <c r="L1577" s="2"/>
    </row>
    <row r="1578" spans="1:12" customFormat="1" ht="16" x14ac:dyDescent="0.2">
      <c r="A1578" t="s">
        <v>353</v>
      </c>
      <c r="B1578" s="2">
        <f>INDEX(Parameters!$B$6:$AL$57,MATCH(Inventories!$B$1571,Parameters!$A$6:$A$57,0),MATCH(Inventories!$A1578,Parameters!$B$4:$AL$4,0))</f>
        <v>9</v>
      </c>
      <c r="C1578" t="s">
        <v>312</v>
      </c>
      <c r="D1578" s="2"/>
      <c r="E1578" s="2"/>
      <c r="F1578" s="2"/>
      <c r="G1578" s="2"/>
      <c r="H1578" s="2"/>
      <c r="I1578" s="2"/>
      <c r="J1578" s="2"/>
      <c r="K1578" s="2"/>
      <c r="L1578" s="2"/>
    </row>
    <row r="1579" spans="1:12" customFormat="1" ht="16" x14ac:dyDescent="0.2">
      <c r="A1579" t="s">
        <v>354</v>
      </c>
      <c r="B1579" s="2">
        <f>INDEX(Parameters!$B$6:$AL$57,MATCH(Inventories!$B$1571,Parameters!$A$6:$A$57,0),MATCH(Inventories!$A1579,Parameters!$B$4:$AL$4,0))</f>
        <v>92</v>
      </c>
      <c r="C1579" t="s">
        <v>312</v>
      </c>
      <c r="D1579" s="2"/>
      <c r="E1579" s="2"/>
      <c r="F1579" s="2"/>
      <c r="G1579" s="2"/>
      <c r="H1579" s="2"/>
      <c r="I1579" s="2"/>
      <c r="J1579" s="2"/>
      <c r="K1579" s="2"/>
      <c r="L1579" s="2"/>
    </row>
    <row r="1580" spans="1:12" customFormat="1" ht="16" x14ac:dyDescent="0.2">
      <c r="A1580" t="s">
        <v>316</v>
      </c>
      <c r="B1580" s="24">
        <f>INDEX(Parameters!$B$6:$AL$57,MATCH(Inventories!$B$1571,Parameters!$A$6:$A$57,0),MATCH(Inventories!$A1580,Parameters!$B$4:$AL$4,0))</f>
        <v>100000</v>
      </c>
      <c r="C1580" t="s">
        <v>313</v>
      </c>
      <c r="D1580" s="2"/>
      <c r="E1580" s="2"/>
      <c r="F1580" s="2"/>
      <c r="G1580" s="2"/>
      <c r="H1580" s="2"/>
      <c r="I1580" s="2"/>
      <c r="J1580" s="2"/>
      <c r="K1580" s="2"/>
      <c r="L1580" s="2"/>
    </row>
    <row r="1581" spans="1:12" customFormat="1" ht="16" x14ac:dyDescent="0.2">
      <c r="A1581" t="s">
        <v>317</v>
      </c>
      <c r="B1581" s="24">
        <f>INDEX(Parameters!$B$6:$AL$57,MATCH(Inventories!$B$1571,Parameters!$A$6:$A$57,0),MATCH(Inventories!$A1581,Parameters!$B$4:$AL$4,0))</f>
        <v>50000</v>
      </c>
      <c r="C1581" t="s">
        <v>313</v>
      </c>
      <c r="D1581" s="2"/>
      <c r="E1581" s="2"/>
      <c r="F1581" s="2"/>
      <c r="G1581" s="2"/>
      <c r="H1581" s="2"/>
      <c r="I1581" s="2"/>
      <c r="J1581" s="2"/>
      <c r="K1581" s="2"/>
      <c r="L1581" s="2"/>
    </row>
    <row r="1582" spans="1:12" customFormat="1" ht="16" x14ac:dyDescent="0.2">
      <c r="A1582" t="s">
        <v>318</v>
      </c>
      <c r="B1582" s="24">
        <f>INDEX(Parameters!$B$6:$AL$57,MATCH(Inventories!$B$1571,Parameters!$A$6:$A$57,0),MATCH(Inventories!$A1582,Parameters!$B$4:$AL$4,0))</f>
        <v>200000</v>
      </c>
      <c r="C1582" t="s">
        <v>313</v>
      </c>
      <c r="D1582" s="2"/>
      <c r="E1582" s="2"/>
      <c r="F1582" s="2"/>
      <c r="G1582" s="2"/>
      <c r="H1582" s="2"/>
      <c r="I1582" s="2"/>
      <c r="J1582" s="2"/>
      <c r="K1582" s="2"/>
      <c r="L1582" s="2"/>
    </row>
    <row r="1583" spans="1:12" customFormat="1" ht="16" x14ac:dyDescent="0.2">
      <c r="A1583" t="s">
        <v>319</v>
      </c>
      <c r="B1583" s="2">
        <f>INDEX(Parameters!$B$6:$AL$57,MATCH(Inventories!$B$1571,Parameters!$A$6:$A$57,0),MATCH(Inventories!$A1583,Parameters!$B$4:$AL$4,0))</f>
        <v>1300</v>
      </c>
      <c r="C1583" t="s">
        <v>314</v>
      </c>
      <c r="D1583" s="2"/>
      <c r="E1583" s="2"/>
      <c r="F1583" s="2"/>
      <c r="G1583" s="2"/>
      <c r="H1583" s="2"/>
      <c r="I1583" s="2"/>
      <c r="J1583" s="2"/>
      <c r="K1583" s="2"/>
      <c r="L1583" s="2"/>
    </row>
    <row r="1584" spans="1:12" customFormat="1" ht="16" x14ac:dyDescent="0.2">
      <c r="A1584" t="s">
        <v>320</v>
      </c>
      <c r="B1584" s="2">
        <f>INDEX(Parameters!$B$6:$AL$57,MATCH(Inventories!$B$1571,Parameters!$A$6:$A$57,0),MATCH(Inventories!$A1584,Parameters!$B$4:$AL$4,0))</f>
        <v>800</v>
      </c>
      <c r="C1584" t="s">
        <v>314</v>
      </c>
      <c r="D1584" s="2"/>
      <c r="E1584" s="2"/>
      <c r="F1584" s="2"/>
      <c r="G1584" s="2"/>
      <c r="H1584" s="2"/>
      <c r="I1584" s="2"/>
      <c r="J1584" s="2"/>
      <c r="K1584" s="2"/>
      <c r="L1584" s="2"/>
    </row>
    <row r="1585" spans="1:12" customFormat="1" ht="16" x14ac:dyDescent="0.2">
      <c r="A1585" t="s">
        <v>321</v>
      </c>
      <c r="B1585" s="2">
        <f>INDEX(Parameters!$B$6:$AL$57,MATCH(Inventories!$B$1571,Parameters!$A$6:$A$57,0),MATCH(Inventories!$A1585,Parameters!$B$4:$AL$4,0))</f>
        <v>1530</v>
      </c>
      <c r="C1585" t="s">
        <v>314</v>
      </c>
      <c r="D1585" s="2"/>
      <c r="E1585" s="2"/>
      <c r="F1585" s="2"/>
      <c r="G1585" s="2"/>
      <c r="H1585" s="2"/>
      <c r="I1585" s="2"/>
      <c r="J1585" s="2"/>
      <c r="K1585" s="2"/>
      <c r="L1585" s="2"/>
    </row>
    <row r="1586" spans="1:12" customFormat="1" ht="16" x14ac:dyDescent="0.2">
      <c r="A1586" t="s">
        <v>340</v>
      </c>
      <c r="B1586" s="2">
        <f>INDEX(Parameters!$B$6:$AL$57,MATCH(Inventories!$B$1571,Parameters!$A$6:$A$57,0),MATCH(Inventories!$A1586,Parameters!$B$4:$AL$4,0))</f>
        <v>14</v>
      </c>
      <c r="C1586" t="s">
        <v>336</v>
      </c>
      <c r="D1586" s="2"/>
      <c r="E1586" s="2"/>
      <c r="F1586" s="2"/>
      <c r="G1586" s="2"/>
      <c r="H1586" s="2"/>
      <c r="I1586" s="2"/>
      <c r="J1586" s="2"/>
      <c r="K1586" s="2"/>
      <c r="L1586" s="2"/>
    </row>
    <row r="1587" spans="1:12" customFormat="1" ht="16" x14ac:dyDescent="0.2">
      <c r="A1587" t="s">
        <v>341</v>
      </c>
      <c r="B1587" s="2">
        <f>INDEX(Parameters!$B$6:$AL$57,MATCH(Inventories!$B$1571,Parameters!$A$6:$A$57,0),MATCH(Inventories!$A1587,Parameters!$B$4:$AL$4,0))</f>
        <v>6</v>
      </c>
      <c r="C1587" t="s">
        <v>336</v>
      </c>
      <c r="D1587" s="2"/>
      <c r="E1587" s="2"/>
      <c r="F1587" s="2"/>
      <c r="G1587" s="2"/>
      <c r="H1587" s="2"/>
      <c r="I1587" s="2"/>
      <c r="J1587" s="2"/>
      <c r="K1587" s="2"/>
      <c r="L1587" s="2"/>
    </row>
    <row r="1588" spans="1:12" customFormat="1" ht="16" x14ac:dyDescent="0.2">
      <c r="A1588" t="s">
        <v>342</v>
      </c>
      <c r="B1588" s="2">
        <f>INDEX(Parameters!$B$6:$AL$57,MATCH(Inventories!$B$1571,Parameters!$A$6:$A$57,0),MATCH(Inventories!$A1588,Parameters!$B$4:$AL$4,0))</f>
        <v>65</v>
      </c>
      <c r="C1588" t="s">
        <v>336</v>
      </c>
      <c r="D1588" s="2"/>
      <c r="E1588" s="2"/>
      <c r="F1588" s="2"/>
      <c r="G1588" s="2"/>
      <c r="H1588" s="2"/>
      <c r="I1588" s="2"/>
      <c r="J1588" s="2"/>
      <c r="K1588" s="2"/>
      <c r="L1588" s="2"/>
    </row>
    <row r="1589" spans="1:12" customFormat="1" ht="16" x14ac:dyDescent="0.2">
      <c r="A1589" t="s">
        <v>333</v>
      </c>
      <c r="B1589" s="2">
        <f>INDEX(Parameters!$B$6:$AL$57,MATCH(Inventories!$B$1571,Parameters!$A$6:$A$57,0),MATCH(Inventories!$A1589,Parameters!$B$4:$AL$4,0))</f>
        <v>10</v>
      </c>
      <c r="C1589" t="s">
        <v>336</v>
      </c>
      <c r="D1589" s="2"/>
      <c r="E1589" s="2"/>
      <c r="F1589" s="2"/>
      <c r="G1589" s="2"/>
      <c r="H1589" s="2"/>
      <c r="I1589" s="2"/>
      <c r="J1589" s="2"/>
      <c r="K1589" s="2"/>
      <c r="L1589" s="2"/>
    </row>
    <row r="1590" spans="1:12" customFormat="1" ht="16" x14ac:dyDescent="0.2">
      <c r="A1590" t="s">
        <v>334</v>
      </c>
      <c r="B1590" s="2">
        <f>INDEX(Parameters!$B$6:$AL$57,MATCH(Inventories!$B$1571,Parameters!$A$6:$A$57,0),MATCH(Inventories!$A1590,Parameters!$B$4:$AL$4,0))</f>
        <v>6</v>
      </c>
      <c r="C1590" t="s">
        <v>336</v>
      </c>
      <c r="D1590" s="2"/>
      <c r="E1590" s="2"/>
      <c r="F1590" s="2"/>
      <c r="G1590" s="2"/>
      <c r="H1590" s="2"/>
      <c r="I1590" s="2"/>
      <c r="J1590" s="2"/>
      <c r="K1590" s="2"/>
      <c r="L1590" s="2"/>
    </row>
    <row r="1591" spans="1:12" customFormat="1" ht="16" x14ac:dyDescent="0.2">
      <c r="A1591" t="s">
        <v>335</v>
      </c>
      <c r="B1591" s="2">
        <f>INDEX(Parameters!$B$6:$AL$57,MATCH(Inventories!$B$1571,Parameters!$A$6:$A$57,0),MATCH(Inventories!$A1591,Parameters!$B$4:$AL$4,0))</f>
        <v>12</v>
      </c>
      <c r="C1591" t="s">
        <v>336</v>
      </c>
      <c r="D1591" s="2"/>
      <c r="E1591" s="2"/>
      <c r="F1591" s="2"/>
      <c r="G1591" s="2"/>
      <c r="H1591" s="2"/>
      <c r="I1591" s="2"/>
      <c r="J1591" s="2"/>
      <c r="K1591" s="2"/>
      <c r="L1591" s="2"/>
    </row>
    <row r="1592" spans="1:12" customFormat="1" ht="16" x14ac:dyDescent="0.2">
      <c r="A1592" t="s">
        <v>344</v>
      </c>
      <c r="B1592" s="26">
        <f>INDEX(Parameters!$B$6:$AL$57,MATCH(Inventories!$B$1571,Parameters!$A$6:$A$57,0),MATCH(Inventories!$A1592,Parameters!$B$4:$AL$4,0))</f>
        <v>7.5811450000000001E-3</v>
      </c>
      <c r="C1592" t="s">
        <v>345</v>
      </c>
      <c r="D1592" s="2"/>
      <c r="E1592" s="2"/>
      <c r="F1592" s="2"/>
      <c r="G1592" s="2"/>
      <c r="H1592" s="2"/>
      <c r="I1592" s="2"/>
      <c r="J1592" s="2"/>
      <c r="K1592" s="2"/>
      <c r="L1592" s="2"/>
    </row>
    <row r="1593" spans="1:12" customFormat="1" ht="16" x14ac:dyDescent="0.2">
      <c r="A1593" t="s">
        <v>343</v>
      </c>
      <c r="B1593" s="2">
        <f>INDEX(Parameters!$B$6:$AL$57,MATCH(Inventories!$B$1571,Parameters!$A$6:$A$57,0),MATCH(Inventories!$A1593,Parameters!$B$4:$AL$4,0))</f>
        <v>5.65099E-4</v>
      </c>
      <c r="C1593" t="s">
        <v>345</v>
      </c>
      <c r="D1593" s="2"/>
      <c r="E1593" s="2"/>
      <c r="F1593" s="2"/>
      <c r="G1593" s="2"/>
      <c r="H1593" s="2"/>
      <c r="I1593" s="2"/>
      <c r="J1593" s="2"/>
      <c r="K1593" s="2"/>
      <c r="L1593" s="2"/>
    </row>
    <row r="1594" spans="1:12" customFormat="1" ht="16" x14ac:dyDescent="0.2">
      <c r="A1594" s="1" t="s">
        <v>10</v>
      </c>
      <c r="B1594" s="2"/>
      <c r="C1594" s="2"/>
      <c r="D1594" s="2"/>
      <c r="E1594" s="2"/>
      <c r="F1594" s="2"/>
      <c r="G1594" s="2"/>
      <c r="H1594" s="2"/>
      <c r="I1594" s="2"/>
      <c r="J1594" s="2"/>
      <c r="K1594" s="2"/>
      <c r="L1594" s="2"/>
    </row>
    <row r="1595" spans="1:12" x14ac:dyDescent="0.2">
      <c r="A1595" s="17" t="s">
        <v>11</v>
      </c>
      <c r="B1595" s="17" t="s">
        <v>12</v>
      </c>
      <c r="C1595" s="17" t="s">
        <v>3</v>
      </c>
      <c r="D1595" s="17" t="s">
        <v>13</v>
      </c>
      <c r="E1595" s="17" t="s">
        <v>8</v>
      </c>
      <c r="F1595" s="17" t="s">
        <v>6</v>
      </c>
      <c r="G1595" s="17" t="s">
        <v>5</v>
      </c>
      <c r="H1595" s="17" t="s">
        <v>151</v>
      </c>
      <c r="I1595" s="17" t="s">
        <v>179</v>
      </c>
      <c r="J1595" s="17" t="s">
        <v>181</v>
      </c>
      <c r="K1595" s="17" t="s">
        <v>182</v>
      </c>
      <c r="L1595" s="17" t="s">
        <v>180</v>
      </c>
    </row>
    <row r="1596" spans="1:12" customFormat="1" ht="16" x14ac:dyDescent="0.2">
      <c r="A1596" s="2" t="str">
        <f>B1571</f>
        <v>bioethanol, burned in motorcycle</v>
      </c>
      <c r="B1596" s="2">
        <v>1</v>
      </c>
      <c r="C1596" s="2" t="s">
        <v>18</v>
      </c>
      <c r="D1596" s="2"/>
      <c r="E1596" s="2" t="str">
        <f>B1576</f>
        <v>megajoule</v>
      </c>
      <c r="F1596" s="2" t="s">
        <v>19</v>
      </c>
      <c r="G1596" s="2" t="str">
        <f>B1574</f>
        <v>heat</v>
      </c>
      <c r="H1596" s="2"/>
      <c r="I1596" s="2"/>
      <c r="J1596" s="2"/>
      <c r="K1596" s="2"/>
      <c r="L1596" s="2"/>
    </row>
    <row r="1597" spans="1:12" customFormat="1" ht="16" x14ac:dyDescent="0.2">
      <c r="A1597" t="s">
        <v>259</v>
      </c>
      <c r="B1597" s="25">
        <f>1/28</f>
        <v>3.5714285714285712E-2</v>
      </c>
      <c r="C1597" t="s">
        <v>22</v>
      </c>
      <c r="E1597" t="s">
        <v>9</v>
      </c>
      <c r="F1597" t="s">
        <v>23</v>
      </c>
      <c r="G1597" t="s">
        <v>260</v>
      </c>
      <c r="I1597" s="2"/>
    </row>
    <row r="1598" spans="1:12" customFormat="1" ht="16" x14ac:dyDescent="0.2">
      <c r="A1598" s="2" t="s">
        <v>143</v>
      </c>
      <c r="B1598" s="3">
        <f>(B1586/B1580)/(B1583/1000)</f>
        <v>1.0769230769230768E-4</v>
      </c>
      <c r="C1598" t="s">
        <v>114</v>
      </c>
      <c r="E1598" t="s">
        <v>9</v>
      </c>
      <c r="F1598" t="s">
        <v>23</v>
      </c>
      <c r="G1598" t="s">
        <v>144</v>
      </c>
      <c r="H1598" s="2"/>
      <c r="I1598">
        <v>5</v>
      </c>
      <c r="J1598" s="12">
        <f>(B1587/B1582)/(B1585/1000)</f>
        <v>1.9607843137254903E-5</v>
      </c>
      <c r="K1598" s="3">
        <f>(B1588/B1581)/(B1584/1000)</f>
        <v>1.6249999999999999E-3</v>
      </c>
      <c r="L1598" s="3">
        <f>B1598</f>
        <v>1.0769230769230768E-4</v>
      </c>
    </row>
    <row r="1599" spans="1:12" customFormat="1" ht="16" x14ac:dyDescent="0.2">
      <c r="A1599" s="2" t="s">
        <v>358</v>
      </c>
      <c r="B1599" s="3">
        <f>(B1589/B1580)/(B1583/1000)</f>
        <v>7.6923076923076926E-5</v>
      </c>
      <c r="C1599" t="s">
        <v>114</v>
      </c>
      <c r="E1599" t="s">
        <v>9</v>
      </c>
      <c r="F1599" t="s">
        <v>23</v>
      </c>
      <c r="G1599" s="2" t="s">
        <v>357</v>
      </c>
      <c r="H1599" s="2" t="s">
        <v>361</v>
      </c>
      <c r="I1599">
        <v>5</v>
      </c>
      <c r="J1599" s="12">
        <f>L1599*0.8</f>
        <v>6.1538461538461549E-5</v>
      </c>
      <c r="K1599" s="3">
        <f>L1599*1.2</f>
        <v>9.2307692307692303E-5</v>
      </c>
      <c r="L1599" s="3">
        <f t="shared" ref="L1599:L1600" si="3">B1599</f>
        <v>7.6923076923076926E-5</v>
      </c>
    </row>
    <row r="1600" spans="1:12" customFormat="1" ht="16" x14ac:dyDescent="0.2">
      <c r="A1600" s="2" t="s">
        <v>359</v>
      </c>
      <c r="B1600" s="3">
        <f>(B1589/B1580)/(B1583/1000)</f>
        <v>7.6923076923076926E-5</v>
      </c>
      <c r="C1600" t="s">
        <v>114</v>
      </c>
      <c r="E1600" t="s">
        <v>9</v>
      </c>
      <c r="F1600" t="s">
        <v>23</v>
      </c>
      <c r="G1600" s="2" t="s">
        <v>360</v>
      </c>
      <c r="H1600" s="2" t="s">
        <v>361</v>
      </c>
      <c r="I1600">
        <v>5</v>
      </c>
      <c r="J1600" s="12">
        <f>J1599</f>
        <v>6.1538461538461549E-5</v>
      </c>
      <c r="K1600" s="3">
        <f>K1599</f>
        <v>9.2307692307692303E-5</v>
      </c>
      <c r="L1600" s="3">
        <f t="shared" si="3"/>
        <v>7.6923076923076926E-5</v>
      </c>
    </row>
    <row r="1601" spans="1:9" customFormat="1" ht="16" x14ac:dyDescent="0.2">
      <c r="A1601" t="s">
        <v>122</v>
      </c>
      <c r="B1601" s="3">
        <f>B1597*4.69</f>
        <v>0.16750000000000001</v>
      </c>
      <c r="D1601" t="s">
        <v>14</v>
      </c>
      <c r="E1601" t="s">
        <v>9</v>
      </c>
      <c r="F1601" t="s">
        <v>15</v>
      </c>
      <c r="H1601" s="3" t="s">
        <v>297</v>
      </c>
      <c r="I1601" s="2"/>
    </row>
    <row r="1602" spans="1:9" customFormat="1" ht="16" x14ac:dyDescent="0.2">
      <c r="A1602" t="s">
        <v>230</v>
      </c>
      <c r="B1602" s="3">
        <v>8.8450704225352119E-4</v>
      </c>
      <c r="D1602" t="s">
        <v>14</v>
      </c>
      <c r="E1602" t="s">
        <v>9</v>
      </c>
      <c r="F1602" t="s">
        <v>15</v>
      </c>
      <c r="H1602" s="3"/>
      <c r="I1602" s="2"/>
    </row>
    <row r="1603" spans="1:9" customFormat="1" ht="16" x14ac:dyDescent="0.2">
      <c r="A1603" t="s">
        <v>77</v>
      </c>
      <c r="B1603" s="3">
        <v>3.7558685446009391E-7</v>
      </c>
      <c r="D1603" t="s">
        <v>14</v>
      </c>
      <c r="E1603" t="s">
        <v>9</v>
      </c>
      <c r="F1603" t="s">
        <v>15</v>
      </c>
      <c r="H1603" s="3"/>
      <c r="I1603" s="2"/>
    </row>
    <row r="1604" spans="1:9" customFormat="1" ht="16" x14ac:dyDescent="0.2">
      <c r="A1604" t="s">
        <v>50</v>
      </c>
      <c r="B1604" s="3">
        <v>7.6234099132856199E-7</v>
      </c>
      <c r="D1604" t="s">
        <v>14</v>
      </c>
      <c r="E1604" t="s">
        <v>9</v>
      </c>
      <c r="F1604" t="s">
        <v>15</v>
      </c>
      <c r="H1604" s="3"/>
      <c r="I1604" s="2"/>
    </row>
    <row r="1605" spans="1:9" customFormat="1" ht="16" x14ac:dyDescent="0.2">
      <c r="A1605" t="s">
        <v>177</v>
      </c>
      <c r="B1605" s="3">
        <v>1.8797075715851682E-5</v>
      </c>
      <c r="D1605" t="s">
        <v>14</v>
      </c>
      <c r="E1605" t="s">
        <v>9</v>
      </c>
      <c r="F1605" t="s">
        <v>15</v>
      </c>
      <c r="H1605" s="3"/>
      <c r="I1605" s="2"/>
    </row>
    <row r="1606" spans="1:9" customFormat="1" ht="16" x14ac:dyDescent="0.2">
      <c r="A1606" t="s">
        <v>123</v>
      </c>
      <c r="B1606" s="3">
        <v>8.3455151885463482E-5</v>
      </c>
      <c r="D1606" t="s">
        <v>14</v>
      </c>
      <c r="E1606" t="s">
        <v>9</v>
      </c>
      <c r="F1606" t="s">
        <v>15</v>
      </c>
      <c r="H1606" s="3"/>
      <c r="I1606" s="2"/>
    </row>
    <row r="1607" spans="1:9" customFormat="1" ht="16" x14ac:dyDescent="0.2">
      <c r="A1607" t="s">
        <v>58</v>
      </c>
      <c r="B1607" s="3">
        <v>5.6532558543914833E-7</v>
      </c>
      <c r="D1607" t="s">
        <v>14</v>
      </c>
      <c r="E1607" t="s">
        <v>9</v>
      </c>
      <c r="F1607" t="s">
        <v>15</v>
      </c>
      <c r="H1607" s="3"/>
      <c r="I1607" s="2"/>
    </row>
    <row r="1608" spans="1:9" customFormat="1" ht="16" x14ac:dyDescent="0.2">
      <c r="A1608" t="s">
        <v>48</v>
      </c>
      <c r="B1608" s="3">
        <v>5.6532558543914833E-7</v>
      </c>
      <c r="D1608" t="s">
        <v>14</v>
      </c>
      <c r="E1608" t="s">
        <v>9</v>
      </c>
      <c r="F1608" t="s">
        <v>15</v>
      </c>
      <c r="H1608" s="3"/>
      <c r="I1608" s="2"/>
    </row>
    <row r="1609" spans="1:9" customFormat="1" ht="16" x14ac:dyDescent="0.2">
      <c r="A1609" t="s">
        <v>69</v>
      </c>
      <c r="B1609" s="3">
        <f>B1592/1000</f>
        <v>7.5811449999999999E-6</v>
      </c>
      <c r="D1609" t="s">
        <v>14</v>
      </c>
      <c r="E1609" t="s">
        <v>9</v>
      </c>
      <c r="F1609" t="s">
        <v>15</v>
      </c>
      <c r="H1609" s="3"/>
      <c r="I1609" s="2"/>
    </row>
    <row r="1610" spans="1:9" customFormat="1" ht="16" x14ac:dyDescent="0.2">
      <c r="A1610" t="s">
        <v>231</v>
      </c>
      <c r="B1610" s="3">
        <f>B1593/1000</f>
        <v>5.6509899999999997E-7</v>
      </c>
      <c r="D1610" t="s">
        <v>14</v>
      </c>
      <c r="E1610" t="s">
        <v>9</v>
      </c>
      <c r="F1610" t="s">
        <v>15</v>
      </c>
      <c r="H1610" s="3"/>
      <c r="I1610" s="2"/>
    </row>
    <row r="1611" spans="1:9" customFormat="1" ht="16" x14ac:dyDescent="0.2">
      <c r="A1611" t="s">
        <v>232</v>
      </c>
      <c r="B1611" s="3">
        <v>6.1476482081469075E-6</v>
      </c>
      <c r="D1611" t="s">
        <v>14</v>
      </c>
      <c r="E1611" t="s">
        <v>9</v>
      </c>
      <c r="F1611" t="s">
        <v>15</v>
      </c>
      <c r="H1611" s="3"/>
      <c r="I1611" s="2"/>
    </row>
    <row r="1612" spans="1:9" customFormat="1" ht="16" x14ac:dyDescent="0.2">
      <c r="A1612" t="s">
        <v>59</v>
      </c>
      <c r="B1612" s="3">
        <v>4.3348801467702544E-7</v>
      </c>
      <c r="D1612" t="s">
        <v>14</v>
      </c>
      <c r="E1612" t="s">
        <v>9</v>
      </c>
      <c r="F1612" t="s">
        <v>15</v>
      </c>
      <c r="H1612" s="3"/>
      <c r="I1612" s="2"/>
    </row>
    <row r="1613" spans="1:9" customFormat="1" ht="16" x14ac:dyDescent="0.2">
      <c r="A1613" t="s">
        <v>73</v>
      </c>
      <c r="B1613" s="3">
        <v>8.8328278852685434E-8</v>
      </c>
      <c r="D1613" t="s">
        <v>14</v>
      </c>
      <c r="E1613" t="s">
        <v>9</v>
      </c>
      <c r="F1613" t="s">
        <v>15</v>
      </c>
      <c r="H1613" s="3"/>
      <c r="I1613" s="2"/>
    </row>
    <row r="1614" spans="1:9" customFormat="1" ht="16" x14ac:dyDescent="0.2">
      <c r="A1614" t="s">
        <v>51</v>
      </c>
      <c r="B1614" s="3">
        <v>7.1206181721241788E-7</v>
      </c>
      <c r="D1614" t="s">
        <v>14</v>
      </c>
      <c r="E1614" t="s">
        <v>9</v>
      </c>
      <c r="F1614" t="s">
        <v>15</v>
      </c>
      <c r="H1614" s="3"/>
      <c r="I1614" s="2"/>
    </row>
    <row r="1615" spans="1:9" customFormat="1" ht="16" x14ac:dyDescent="0.2">
      <c r="A1615" t="s">
        <v>72</v>
      </c>
      <c r="B1615" s="3">
        <v>2.9216276851272876E-7</v>
      </c>
      <c r="D1615" t="s">
        <v>14</v>
      </c>
      <c r="E1615" t="s">
        <v>9</v>
      </c>
      <c r="F1615" t="s">
        <v>15</v>
      </c>
      <c r="H1615" s="3"/>
      <c r="I1615" s="2"/>
    </row>
    <row r="1616" spans="1:9" customFormat="1" ht="16" x14ac:dyDescent="0.2">
      <c r="A1616" t="s">
        <v>85</v>
      </c>
      <c r="B1616" s="3">
        <v>2.1878235223511317E-7</v>
      </c>
      <c r="D1616" t="s">
        <v>14</v>
      </c>
      <c r="E1616" t="s">
        <v>9</v>
      </c>
      <c r="F1616" t="s">
        <v>15</v>
      </c>
      <c r="H1616" s="3"/>
      <c r="I1616" s="2"/>
    </row>
    <row r="1617" spans="1:9" customFormat="1" ht="16" x14ac:dyDescent="0.2">
      <c r="A1617" t="s">
        <v>233</v>
      </c>
      <c r="B1617" s="3">
        <v>1.5491421214163292E-7</v>
      </c>
      <c r="D1617" t="s">
        <v>14</v>
      </c>
      <c r="E1617" t="s">
        <v>9</v>
      </c>
      <c r="F1617" t="s">
        <v>15</v>
      </c>
      <c r="H1617" s="3"/>
      <c r="I1617" s="2"/>
    </row>
    <row r="1618" spans="1:9" customFormat="1" ht="16" x14ac:dyDescent="0.2">
      <c r="A1618" t="s">
        <v>62</v>
      </c>
      <c r="B1618" s="3">
        <v>1.0055834823228804E-7</v>
      </c>
      <c r="D1618" t="s">
        <v>14</v>
      </c>
      <c r="E1618" t="s">
        <v>9</v>
      </c>
      <c r="F1618" t="s">
        <v>15</v>
      </c>
      <c r="H1618" s="3"/>
      <c r="I1618" s="2"/>
    </row>
    <row r="1619" spans="1:9" customFormat="1" ht="16" x14ac:dyDescent="0.2">
      <c r="A1619" t="s">
        <v>234</v>
      </c>
      <c r="B1619" s="3">
        <v>9.9199451634554413E-7</v>
      </c>
      <c r="D1619" t="s">
        <v>14</v>
      </c>
      <c r="E1619" t="s">
        <v>9</v>
      </c>
      <c r="F1619" t="s">
        <v>15</v>
      </c>
      <c r="H1619" s="3"/>
      <c r="I1619" s="2"/>
    </row>
    <row r="1620" spans="1:9" customFormat="1" ht="16" x14ac:dyDescent="0.2">
      <c r="A1620" t="s">
        <v>86</v>
      </c>
      <c r="B1620" s="3">
        <v>5.1909850033424364E-7</v>
      </c>
      <c r="D1620" t="s">
        <v>14</v>
      </c>
      <c r="E1620" t="s">
        <v>9</v>
      </c>
      <c r="F1620" t="s">
        <v>15</v>
      </c>
      <c r="H1620" s="3"/>
      <c r="I1620" s="2"/>
    </row>
    <row r="1621" spans="1:9" customFormat="1" ht="16" x14ac:dyDescent="0.2">
      <c r="A1621" t="s">
        <v>83</v>
      </c>
      <c r="B1621" s="3">
        <v>1.4947862575069847E-8</v>
      </c>
      <c r="D1621" t="s">
        <v>14</v>
      </c>
      <c r="E1621" t="s">
        <v>9</v>
      </c>
      <c r="F1621" t="s">
        <v>15</v>
      </c>
      <c r="H1621" s="3"/>
      <c r="I1621" s="2"/>
    </row>
    <row r="1622" spans="1:9" customFormat="1" ht="16" x14ac:dyDescent="0.2">
      <c r="A1622" t="s">
        <v>78</v>
      </c>
      <c r="B1622" s="3">
        <v>1.4920684643115172E-6</v>
      </c>
      <c r="D1622" t="s">
        <v>14</v>
      </c>
      <c r="E1622" t="s">
        <v>9</v>
      </c>
      <c r="F1622" t="s">
        <v>15</v>
      </c>
      <c r="H1622" s="3"/>
      <c r="I1622" s="2"/>
    </row>
    <row r="1623" spans="1:9" customFormat="1" ht="16" x14ac:dyDescent="0.2">
      <c r="A1623" t="s">
        <v>80</v>
      </c>
      <c r="B1623" s="3">
        <v>7.3788085256935697E-7</v>
      </c>
      <c r="D1623" t="s">
        <v>14</v>
      </c>
      <c r="E1623" t="s">
        <v>9</v>
      </c>
      <c r="F1623" t="s">
        <v>15</v>
      </c>
      <c r="H1623" s="3"/>
      <c r="I1623" s="2"/>
    </row>
    <row r="1624" spans="1:9" customFormat="1" ht="16" x14ac:dyDescent="0.2">
      <c r="A1624" t="s">
        <v>81</v>
      </c>
      <c r="B1624" s="3">
        <v>3.0711063108779858E-7</v>
      </c>
      <c r="D1624" t="s">
        <v>14</v>
      </c>
      <c r="E1624" t="s">
        <v>9</v>
      </c>
      <c r="F1624" t="s">
        <v>15</v>
      </c>
      <c r="H1624" s="3"/>
      <c r="I1624" s="2"/>
    </row>
    <row r="1625" spans="1:9" customFormat="1" ht="16" x14ac:dyDescent="0.2">
      <c r="A1625" t="s">
        <v>61</v>
      </c>
      <c r="B1625" s="3">
        <v>2.3101242161471579E-7</v>
      </c>
      <c r="D1625" t="s">
        <v>14</v>
      </c>
      <c r="E1625" t="s">
        <v>9</v>
      </c>
      <c r="F1625" t="s">
        <v>15</v>
      </c>
      <c r="H1625" s="3"/>
      <c r="I1625" s="2"/>
    </row>
    <row r="1626" spans="1:9" customFormat="1" ht="16" x14ac:dyDescent="0.2">
      <c r="A1626" t="s">
        <v>45</v>
      </c>
      <c r="B1626" s="3">
        <v>1.0191724483002165E-7</v>
      </c>
      <c r="D1626" t="s">
        <v>14</v>
      </c>
      <c r="E1626" t="s">
        <v>9</v>
      </c>
      <c r="F1626" t="s">
        <v>15</v>
      </c>
      <c r="H1626" s="3"/>
      <c r="I1626" s="2"/>
    </row>
    <row r="1627" spans="1:9" customFormat="1" ht="16" x14ac:dyDescent="0.2">
      <c r="A1627" t="s">
        <v>49</v>
      </c>
      <c r="B1627" s="3">
        <v>2.9895725150139694E-8</v>
      </c>
      <c r="D1627" t="s">
        <v>14</v>
      </c>
      <c r="E1627" t="s">
        <v>9</v>
      </c>
      <c r="F1627" t="s">
        <v>15</v>
      </c>
      <c r="H1627" s="3"/>
      <c r="I1627" s="2"/>
    </row>
    <row r="1628" spans="1:9" customFormat="1" ht="16" x14ac:dyDescent="0.2">
      <c r="A1628" t="s">
        <v>46</v>
      </c>
      <c r="B1628" s="3">
        <v>8.2892692461750966E-8</v>
      </c>
      <c r="D1628" t="s">
        <v>14</v>
      </c>
      <c r="E1628" t="s">
        <v>9</v>
      </c>
      <c r="F1628" t="s">
        <v>15</v>
      </c>
      <c r="H1628" s="3"/>
      <c r="I1628" s="2"/>
    </row>
    <row r="1629" spans="1:9" customFormat="1" ht="16" x14ac:dyDescent="0.2">
      <c r="A1629" t="s">
        <v>66</v>
      </c>
      <c r="B1629" s="3">
        <v>0</v>
      </c>
      <c r="D1629" t="s">
        <v>14</v>
      </c>
      <c r="E1629" t="s">
        <v>9</v>
      </c>
      <c r="F1629" t="s">
        <v>15</v>
      </c>
      <c r="H1629" s="3"/>
      <c r="I1629" s="2"/>
    </row>
    <row r="1630" spans="1:9" customFormat="1" ht="16" x14ac:dyDescent="0.2">
      <c r="A1630" t="s">
        <v>47</v>
      </c>
      <c r="B1630" s="3">
        <v>2.5819035356938819E-8</v>
      </c>
      <c r="D1630" t="s">
        <v>14</v>
      </c>
      <c r="E1630" t="s">
        <v>9</v>
      </c>
      <c r="F1630" t="s">
        <v>15</v>
      </c>
      <c r="H1630" s="3"/>
      <c r="I1630" s="2"/>
    </row>
    <row r="1631" spans="1:9" customFormat="1" ht="16" x14ac:dyDescent="0.2">
      <c r="A1631" t="s">
        <v>76</v>
      </c>
      <c r="B1631" s="3">
        <v>1.3724855637109585E-7</v>
      </c>
      <c r="D1631" t="s">
        <v>14</v>
      </c>
      <c r="E1631" t="s">
        <v>9</v>
      </c>
      <c r="F1631" t="s">
        <v>15</v>
      </c>
      <c r="H1631" s="3"/>
      <c r="I1631" s="2"/>
    </row>
    <row r="1632" spans="1:9" customFormat="1" ht="16" x14ac:dyDescent="0.2">
      <c r="A1632" t="s">
        <v>70</v>
      </c>
      <c r="B1632" s="3">
        <v>8.1882352941176476E-10</v>
      </c>
      <c r="D1632" t="s">
        <v>14</v>
      </c>
      <c r="E1632" t="s">
        <v>9</v>
      </c>
      <c r="F1632" t="s">
        <v>15</v>
      </c>
      <c r="H1632" s="3"/>
      <c r="I1632" s="2"/>
    </row>
    <row r="1633" spans="1:12" customFormat="1" ht="16" x14ac:dyDescent="0.2">
      <c r="A1633" t="s">
        <v>235</v>
      </c>
      <c r="B1633" s="3">
        <v>7.0588235294117658E-12</v>
      </c>
      <c r="D1633" t="s">
        <v>14</v>
      </c>
      <c r="E1633" t="s">
        <v>9</v>
      </c>
      <c r="F1633" t="s">
        <v>15</v>
      </c>
      <c r="H1633" s="3"/>
      <c r="I1633" s="2"/>
    </row>
    <row r="1634" spans="1:12" customFormat="1" ht="16" x14ac:dyDescent="0.2">
      <c r="A1634" t="s">
        <v>236</v>
      </c>
      <c r="B1634" s="3">
        <v>4.7058823529411767E-12</v>
      </c>
      <c r="D1634" t="s">
        <v>14</v>
      </c>
      <c r="E1634" t="s">
        <v>9</v>
      </c>
      <c r="F1634" t="s">
        <v>15</v>
      </c>
      <c r="H1634" s="3"/>
      <c r="I1634" s="2"/>
    </row>
    <row r="1635" spans="1:12" customFormat="1" ht="16" x14ac:dyDescent="0.2">
      <c r="A1635" t="s">
        <v>237</v>
      </c>
      <c r="B1635" s="3">
        <v>5.082352941176471E-8</v>
      </c>
      <c r="D1635" t="s">
        <v>14</v>
      </c>
      <c r="E1635" t="s">
        <v>9</v>
      </c>
      <c r="F1635" t="s">
        <v>15</v>
      </c>
      <c r="H1635" s="3"/>
      <c r="I1635" s="2"/>
    </row>
    <row r="1636" spans="1:12" customFormat="1" ht="16" x14ac:dyDescent="0.2">
      <c r="A1636" t="s">
        <v>238</v>
      </c>
      <c r="B1636" s="3">
        <v>9.8823529411764698E-10</v>
      </c>
      <c r="D1636" t="s">
        <v>14</v>
      </c>
      <c r="E1636" t="s">
        <v>9</v>
      </c>
      <c r="F1636" t="s">
        <v>15</v>
      </c>
      <c r="H1636" s="3"/>
      <c r="I1636" s="2"/>
    </row>
    <row r="1637" spans="1:12" customFormat="1" ht="16" x14ac:dyDescent="0.2">
      <c r="A1637" t="s">
        <v>239</v>
      </c>
      <c r="B1637" s="3">
        <v>3.0588235294117649E-10</v>
      </c>
      <c r="D1637" t="s">
        <v>14</v>
      </c>
      <c r="E1637" t="s">
        <v>9</v>
      </c>
      <c r="F1637" t="s">
        <v>15</v>
      </c>
      <c r="H1637" s="3"/>
      <c r="I1637" s="2"/>
    </row>
    <row r="1638" spans="1:12" customFormat="1" ht="16" x14ac:dyDescent="0.2">
      <c r="A1638" t="s">
        <v>240</v>
      </c>
      <c r="B1638" s="3">
        <v>3.7647058823529416E-10</v>
      </c>
      <c r="D1638" t="s">
        <v>14</v>
      </c>
      <c r="E1638" t="s">
        <v>9</v>
      </c>
      <c r="F1638" t="s">
        <v>15</v>
      </c>
      <c r="H1638" s="3"/>
      <c r="I1638" s="2"/>
    </row>
    <row r="1639" spans="1:12" customFormat="1" ht="16" x14ac:dyDescent="0.2">
      <c r="A1639" t="s">
        <v>56</v>
      </c>
      <c r="B1639" s="3">
        <v>7.5294117647058818E-13</v>
      </c>
      <c r="D1639" t="s">
        <v>14</v>
      </c>
      <c r="E1639" t="s">
        <v>9</v>
      </c>
      <c r="F1639" t="s">
        <v>15</v>
      </c>
      <c r="H1639" s="3"/>
      <c r="I1639" s="2"/>
    </row>
    <row r="1640" spans="1:12" customFormat="1" ht="16" x14ac:dyDescent="0.2">
      <c r="A1640" t="s">
        <v>241</v>
      </c>
      <c r="B1640" s="3">
        <v>2.0470588235294119E-10</v>
      </c>
      <c r="D1640" t="s">
        <v>14</v>
      </c>
      <c r="E1640" t="s">
        <v>9</v>
      </c>
      <c r="F1640" t="s">
        <v>15</v>
      </c>
      <c r="H1640" s="3"/>
      <c r="I1640" s="2"/>
    </row>
    <row r="1641" spans="1:12" customFormat="1" ht="16" x14ac:dyDescent="0.2">
      <c r="A1641" t="s">
        <v>242</v>
      </c>
      <c r="B1641" s="3">
        <v>2.5411764705882359E-10</v>
      </c>
      <c r="D1641" t="s">
        <v>14</v>
      </c>
      <c r="E1641" t="s">
        <v>9</v>
      </c>
      <c r="F1641" t="s">
        <v>15</v>
      </c>
      <c r="H1641" s="3"/>
      <c r="I1641" s="2"/>
    </row>
    <row r="1642" spans="1:12" customFormat="1" ht="16" x14ac:dyDescent="0.2">
      <c r="B1642" s="3"/>
    </row>
    <row r="1643" spans="1:12" x14ac:dyDescent="0.2">
      <c r="A1643" s="17" t="s">
        <v>2</v>
      </c>
      <c r="B1643" s="17" t="s">
        <v>278</v>
      </c>
    </row>
    <row r="1644" spans="1:12" customFormat="1" ht="16" x14ac:dyDescent="0.2">
      <c r="A1644" s="2" t="s">
        <v>3</v>
      </c>
      <c r="B1644" s="2" t="s">
        <v>18</v>
      </c>
      <c r="C1644" s="2"/>
      <c r="D1644" s="2"/>
      <c r="E1644" s="2"/>
      <c r="F1644" s="2"/>
      <c r="G1644" s="2"/>
      <c r="H1644" s="2"/>
      <c r="I1644" s="2"/>
      <c r="J1644" s="2"/>
      <c r="K1644" s="2"/>
      <c r="L1644" s="2"/>
    </row>
    <row r="1645" spans="1:12" customFormat="1" ht="16" x14ac:dyDescent="0.2">
      <c r="A1645" s="2" t="s">
        <v>4</v>
      </c>
      <c r="B1645" s="2">
        <v>1</v>
      </c>
      <c r="C1645" s="2"/>
      <c r="D1645" s="2"/>
      <c r="E1645" s="2"/>
      <c r="F1645" s="2"/>
      <c r="G1645" s="2"/>
      <c r="H1645" s="2"/>
      <c r="I1645" s="2"/>
      <c r="J1645" s="2"/>
      <c r="K1645" s="2"/>
      <c r="L1645" s="2"/>
    </row>
    <row r="1646" spans="1:12" customFormat="1" ht="16" x14ac:dyDescent="0.2">
      <c r="A1646" s="2" t="s">
        <v>5</v>
      </c>
      <c r="B1646" s="2" t="s">
        <v>1</v>
      </c>
      <c r="C1646" s="2"/>
      <c r="D1646" s="2"/>
      <c r="E1646" s="2"/>
      <c r="F1646" s="2"/>
      <c r="G1646" s="2"/>
      <c r="H1646" s="2"/>
      <c r="I1646" s="2"/>
      <c r="J1646" s="2"/>
    </row>
    <row r="1647" spans="1:12" customFormat="1" ht="16" x14ac:dyDescent="0.2">
      <c r="A1647" s="2" t="s">
        <v>6</v>
      </c>
      <c r="B1647" s="2" t="s">
        <v>7</v>
      </c>
      <c r="C1647" s="2"/>
      <c r="D1647" s="2"/>
      <c r="E1647" s="2"/>
      <c r="F1647" s="2"/>
      <c r="G1647" s="2"/>
      <c r="H1647" s="2"/>
      <c r="I1647" s="2"/>
      <c r="J1647" s="2"/>
      <c r="K1647" s="2"/>
      <c r="L1647" s="2"/>
    </row>
    <row r="1648" spans="1:12" customFormat="1" ht="16" x14ac:dyDescent="0.2">
      <c r="A1648" s="2" t="s">
        <v>8</v>
      </c>
      <c r="B1648" s="2" t="s">
        <v>17</v>
      </c>
      <c r="C1648" s="2"/>
      <c r="D1648" s="2"/>
      <c r="E1648" s="2"/>
      <c r="F1648" s="2"/>
      <c r="G1648" s="2"/>
      <c r="H1648" s="2"/>
      <c r="I1648" s="2"/>
      <c r="J1648" s="2"/>
      <c r="K1648" s="2"/>
      <c r="L1648" s="2"/>
    </row>
    <row r="1649" spans="1:12" customFormat="1" ht="16" x14ac:dyDescent="0.2">
      <c r="A1649" t="s">
        <v>352</v>
      </c>
      <c r="B1649" s="2">
        <f>INDEX(Parameters!$B$6:$AL$57,MATCH(Inventories!$B$1643,Parameters!$A$6:$A$57,0),MATCH(Inventories!$A1649,Parameters!$B$4:$AL$4,0))</f>
        <v>20</v>
      </c>
      <c r="C1649" t="s">
        <v>312</v>
      </c>
      <c r="D1649" s="2"/>
      <c r="E1649" s="2"/>
      <c r="F1649" s="2"/>
      <c r="G1649" s="2"/>
      <c r="H1649" s="2"/>
      <c r="I1649" s="2"/>
      <c r="J1649" s="2"/>
      <c r="K1649" s="2"/>
      <c r="L1649" s="2"/>
    </row>
    <row r="1650" spans="1:12" customFormat="1" ht="16" x14ac:dyDescent="0.2">
      <c r="A1650" t="s">
        <v>353</v>
      </c>
      <c r="B1650" s="2">
        <f>INDEX(Parameters!$B$6:$AL$57,MATCH(Inventories!$B$1643,Parameters!$A$6:$A$57,0),MATCH(Inventories!$A1650,Parameters!$B$4:$AL$4,0))</f>
        <v>9</v>
      </c>
      <c r="C1650" t="s">
        <v>312</v>
      </c>
      <c r="D1650" s="2"/>
      <c r="E1650" s="2"/>
      <c r="F1650" s="2"/>
      <c r="G1650" s="2"/>
      <c r="H1650" s="2"/>
      <c r="I1650" s="2"/>
      <c r="J1650" s="2"/>
      <c r="K1650" s="2"/>
      <c r="L1650" s="2"/>
    </row>
    <row r="1651" spans="1:12" customFormat="1" ht="16" x14ac:dyDescent="0.2">
      <c r="A1651" t="s">
        <v>354</v>
      </c>
      <c r="B1651" s="2">
        <f>INDEX(Parameters!$B$6:$AL$57,MATCH(Inventories!$B$1643,Parameters!$A$6:$A$57,0),MATCH(Inventories!$A1651,Parameters!$B$4:$AL$4,0))</f>
        <v>92</v>
      </c>
      <c r="C1651" t="s">
        <v>312</v>
      </c>
      <c r="D1651" s="2"/>
      <c r="E1651" s="2"/>
      <c r="F1651" s="2"/>
      <c r="G1651" s="2"/>
      <c r="H1651" s="2"/>
      <c r="I1651" s="2"/>
      <c r="J1651" s="2"/>
      <c r="K1651" s="2"/>
      <c r="L1651" s="2"/>
    </row>
    <row r="1652" spans="1:12" customFormat="1" ht="16" x14ac:dyDescent="0.2">
      <c r="A1652" t="s">
        <v>316</v>
      </c>
      <c r="B1652" s="24">
        <f>INDEX(Parameters!$B$6:$AL$57,MATCH(Inventories!$B$1643,Parameters!$A$6:$A$57,0),MATCH(Inventories!$A1652,Parameters!$B$4:$AL$4,0))</f>
        <v>100000</v>
      </c>
      <c r="C1652" t="s">
        <v>313</v>
      </c>
      <c r="D1652" s="2"/>
      <c r="E1652" s="2"/>
      <c r="F1652" s="2"/>
      <c r="G1652" s="2"/>
      <c r="H1652" s="2"/>
      <c r="I1652" s="2"/>
      <c r="J1652" s="2"/>
      <c r="K1652" s="2"/>
      <c r="L1652" s="2"/>
    </row>
    <row r="1653" spans="1:12" customFormat="1" ht="16" x14ac:dyDescent="0.2">
      <c r="A1653" t="s">
        <v>317</v>
      </c>
      <c r="B1653" s="24">
        <f>INDEX(Parameters!$B$6:$AL$57,MATCH(Inventories!$B$1643,Parameters!$A$6:$A$57,0),MATCH(Inventories!$A1653,Parameters!$B$4:$AL$4,0))</f>
        <v>50000</v>
      </c>
      <c r="C1653" t="s">
        <v>313</v>
      </c>
      <c r="D1653" s="2"/>
      <c r="E1653" s="2"/>
      <c r="F1653" s="2"/>
      <c r="G1653" s="2"/>
      <c r="H1653" s="2"/>
      <c r="I1653" s="2"/>
      <c r="J1653" s="2"/>
      <c r="K1653" s="2"/>
      <c r="L1653" s="2"/>
    </row>
    <row r="1654" spans="1:12" customFormat="1" ht="16" x14ac:dyDescent="0.2">
      <c r="A1654" t="s">
        <v>318</v>
      </c>
      <c r="B1654" s="24">
        <f>INDEX(Parameters!$B$6:$AL$57,MATCH(Inventories!$B$1643,Parameters!$A$6:$A$57,0),MATCH(Inventories!$A1654,Parameters!$B$4:$AL$4,0))</f>
        <v>200000</v>
      </c>
      <c r="C1654" t="s">
        <v>313</v>
      </c>
      <c r="D1654" s="2"/>
      <c r="E1654" s="2"/>
      <c r="F1654" s="2"/>
      <c r="G1654" s="2"/>
      <c r="H1654" s="2"/>
      <c r="I1654" s="2"/>
      <c r="J1654" s="2"/>
      <c r="K1654" s="2"/>
      <c r="L1654" s="2"/>
    </row>
    <row r="1655" spans="1:12" customFormat="1" ht="16" x14ac:dyDescent="0.2">
      <c r="A1655" t="s">
        <v>319</v>
      </c>
      <c r="B1655" s="2">
        <f>INDEX(Parameters!$B$6:$AL$57,MATCH(Inventories!$B$1643,Parameters!$A$6:$A$57,0),MATCH(Inventories!$A1655,Parameters!$B$4:$AL$4,0))</f>
        <v>1300</v>
      </c>
      <c r="C1655" t="s">
        <v>314</v>
      </c>
      <c r="D1655" s="2"/>
      <c r="E1655" s="2"/>
      <c r="F1655" s="2"/>
      <c r="G1655" s="2"/>
      <c r="H1655" s="2"/>
      <c r="I1655" s="2"/>
      <c r="J1655" s="2"/>
      <c r="K1655" s="2"/>
      <c r="L1655" s="2"/>
    </row>
    <row r="1656" spans="1:12" customFormat="1" ht="16" x14ac:dyDescent="0.2">
      <c r="A1656" t="s">
        <v>320</v>
      </c>
      <c r="B1656" s="2">
        <f>INDEX(Parameters!$B$6:$AL$57,MATCH(Inventories!$B$1643,Parameters!$A$6:$A$57,0),MATCH(Inventories!$A1656,Parameters!$B$4:$AL$4,0))</f>
        <v>800</v>
      </c>
      <c r="C1656" t="s">
        <v>314</v>
      </c>
      <c r="D1656" s="2"/>
      <c r="E1656" s="2"/>
      <c r="F1656" s="2"/>
      <c r="G1656" s="2"/>
      <c r="H1656" s="2"/>
      <c r="I1656" s="2"/>
      <c r="J1656" s="2"/>
      <c r="K1656" s="2"/>
      <c r="L1656" s="2"/>
    </row>
    <row r="1657" spans="1:12" customFormat="1" ht="16" x14ac:dyDescent="0.2">
      <c r="A1657" t="s">
        <v>321</v>
      </c>
      <c r="B1657" s="2">
        <f>INDEX(Parameters!$B$6:$AL$57,MATCH(Inventories!$B$1643,Parameters!$A$6:$A$57,0),MATCH(Inventories!$A1657,Parameters!$B$4:$AL$4,0))</f>
        <v>1530</v>
      </c>
      <c r="C1657" t="s">
        <v>314</v>
      </c>
      <c r="D1657" s="2"/>
      <c r="E1657" s="2"/>
      <c r="F1657" s="2"/>
      <c r="G1657" s="2"/>
      <c r="H1657" s="2"/>
      <c r="I1657" s="2"/>
      <c r="J1657" s="2"/>
      <c r="K1657" s="2"/>
      <c r="L1657" s="2"/>
    </row>
    <row r="1658" spans="1:12" customFormat="1" ht="16" x14ac:dyDescent="0.2">
      <c r="A1658" t="s">
        <v>340</v>
      </c>
      <c r="B1658" s="2">
        <f>INDEX(Parameters!$B$6:$AL$57,MATCH(Inventories!$B$1643,Parameters!$A$6:$A$57,0),MATCH(Inventories!$A1658,Parameters!$B$4:$AL$4,0))</f>
        <v>14</v>
      </c>
      <c r="C1658" t="s">
        <v>336</v>
      </c>
      <c r="D1658" s="2"/>
      <c r="E1658" s="2"/>
      <c r="F1658" s="2"/>
      <c r="G1658" s="2"/>
      <c r="H1658" s="2"/>
      <c r="I1658" s="2"/>
      <c r="J1658" s="2"/>
      <c r="K1658" s="2"/>
      <c r="L1658" s="2"/>
    </row>
    <row r="1659" spans="1:12" customFormat="1" ht="16" x14ac:dyDescent="0.2">
      <c r="A1659" t="s">
        <v>341</v>
      </c>
      <c r="B1659" s="2">
        <f>INDEX(Parameters!$B$6:$AL$57,MATCH(Inventories!$B$1643,Parameters!$A$6:$A$57,0),MATCH(Inventories!$A1659,Parameters!$B$4:$AL$4,0))</f>
        <v>6</v>
      </c>
      <c r="C1659" t="s">
        <v>336</v>
      </c>
      <c r="D1659" s="2"/>
      <c r="E1659" s="2"/>
      <c r="F1659" s="2"/>
      <c r="G1659" s="2"/>
      <c r="H1659" s="2"/>
      <c r="I1659" s="2"/>
      <c r="J1659" s="2"/>
      <c r="K1659" s="2"/>
      <c r="L1659" s="2"/>
    </row>
    <row r="1660" spans="1:12" customFormat="1" ht="16" x14ac:dyDescent="0.2">
      <c r="A1660" t="s">
        <v>342</v>
      </c>
      <c r="B1660" s="2">
        <f>INDEX(Parameters!$B$6:$AL$57,MATCH(Inventories!$B$1643,Parameters!$A$6:$A$57,0),MATCH(Inventories!$A1660,Parameters!$B$4:$AL$4,0))</f>
        <v>65</v>
      </c>
      <c r="C1660" t="s">
        <v>336</v>
      </c>
      <c r="D1660" s="2"/>
      <c r="E1660" s="2"/>
      <c r="F1660" s="2"/>
      <c r="G1660" s="2"/>
      <c r="H1660" s="2"/>
      <c r="I1660" s="2"/>
      <c r="J1660" s="2"/>
      <c r="K1660" s="2"/>
      <c r="L1660" s="2"/>
    </row>
    <row r="1661" spans="1:12" customFormat="1" ht="16" x14ac:dyDescent="0.2">
      <c r="A1661" t="s">
        <v>333</v>
      </c>
      <c r="B1661" s="2">
        <f>INDEX(Parameters!$B$6:$AL$57,MATCH(Inventories!$B$1643,Parameters!$A$6:$A$57,0),MATCH(Inventories!$A1661,Parameters!$B$4:$AL$4,0))</f>
        <v>10</v>
      </c>
      <c r="C1661" t="s">
        <v>336</v>
      </c>
      <c r="D1661" s="2"/>
      <c r="E1661" s="2"/>
      <c r="F1661" s="2"/>
      <c r="G1661" s="2"/>
      <c r="H1661" s="2"/>
      <c r="I1661" s="2"/>
      <c r="J1661" s="2"/>
      <c r="K1661" s="2"/>
      <c r="L1661" s="2"/>
    </row>
    <row r="1662" spans="1:12" customFormat="1" ht="16" x14ac:dyDescent="0.2">
      <c r="A1662" t="s">
        <v>334</v>
      </c>
      <c r="B1662" s="2">
        <f>INDEX(Parameters!$B$6:$AL$57,MATCH(Inventories!$B$1643,Parameters!$A$6:$A$57,0),MATCH(Inventories!$A1662,Parameters!$B$4:$AL$4,0))</f>
        <v>6</v>
      </c>
      <c r="C1662" t="s">
        <v>336</v>
      </c>
      <c r="D1662" s="2"/>
      <c r="E1662" s="2"/>
      <c r="F1662" s="2"/>
      <c r="G1662" s="2"/>
      <c r="H1662" s="2"/>
      <c r="I1662" s="2"/>
      <c r="J1662" s="2"/>
      <c r="K1662" s="2"/>
      <c r="L1662" s="2"/>
    </row>
    <row r="1663" spans="1:12" customFormat="1" ht="16" x14ac:dyDescent="0.2">
      <c r="A1663" t="s">
        <v>335</v>
      </c>
      <c r="B1663" s="2">
        <f>INDEX(Parameters!$B$6:$AL$57,MATCH(Inventories!$B$1643,Parameters!$A$6:$A$57,0),MATCH(Inventories!$A1663,Parameters!$B$4:$AL$4,0))</f>
        <v>12</v>
      </c>
      <c r="C1663" t="s">
        <v>336</v>
      </c>
      <c r="D1663" s="2"/>
      <c r="E1663" s="2"/>
      <c r="F1663" s="2"/>
      <c r="G1663" s="2"/>
      <c r="H1663" s="2"/>
      <c r="I1663" s="2"/>
      <c r="J1663" s="2"/>
      <c r="K1663" s="2"/>
      <c r="L1663" s="2"/>
    </row>
    <row r="1664" spans="1:12" customFormat="1" ht="16" x14ac:dyDescent="0.2">
      <c r="A1664" t="s">
        <v>344</v>
      </c>
      <c r="B1664" s="26">
        <f>INDEX(Parameters!$B$6:$AL$57,MATCH(Inventories!$B$1643,Parameters!$A$6:$A$57,0),MATCH(Inventories!$A1664,Parameters!$B$4:$AL$4,0))</f>
        <v>7.5811450000000001E-3</v>
      </c>
      <c r="C1664" t="s">
        <v>345</v>
      </c>
      <c r="D1664" s="2"/>
      <c r="E1664" s="2"/>
      <c r="F1664" s="2"/>
      <c r="G1664" s="2"/>
      <c r="H1664" s="2"/>
      <c r="I1664" s="2"/>
      <c r="J1664" s="2"/>
      <c r="K1664" s="2"/>
      <c r="L1664" s="2"/>
    </row>
    <row r="1665" spans="1:13" customFormat="1" ht="16" x14ac:dyDescent="0.2">
      <c r="A1665" t="s">
        <v>343</v>
      </c>
      <c r="B1665" s="2">
        <f>INDEX(Parameters!$B$6:$AL$57,MATCH(Inventories!$B$1643,Parameters!$A$6:$A$57,0),MATCH(Inventories!$A1665,Parameters!$B$4:$AL$4,0))</f>
        <v>5.65099E-4</v>
      </c>
      <c r="C1665" t="s">
        <v>345</v>
      </c>
      <c r="D1665" s="2"/>
      <c r="E1665" s="2"/>
      <c r="F1665" s="2"/>
      <c r="G1665" s="2"/>
      <c r="H1665" s="2"/>
      <c r="I1665" s="2"/>
      <c r="J1665" s="2"/>
      <c r="K1665" s="2"/>
      <c r="L1665" s="2"/>
    </row>
    <row r="1666" spans="1:13" customFormat="1" ht="16" x14ac:dyDescent="0.2">
      <c r="A1666" s="1" t="s">
        <v>10</v>
      </c>
      <c r="B1666" s="2"/>
      <c r="C1666" s="2"/>
      <c r="D1666" s="2"/>
      <c r="E1666" s="2"/>
      <c r="F1666" s="2"/>
      <c r="G1666" s="2"/>
      <c r="H1666" s="2"/>
      <c r="I1666" s="2"/>
      <c r="J1666" s="2"/>
      <c r="K1666" s="2"/>
      <c r="L1666" s="2"/>
    </row>
    <row r="1667" spans="1:13" x14ac:dyDescent="0.2">
      <c r="A1667" s="17" t="s">
        <v>11</v>
      </c>
      <c r="B1667" s="17" t="s">
        <v>12</v>
      </c>
      <c r="C1667" s="17" t="s">
        <v>3</v>
      </c>
      <c r="D1667" s="17" t="s">
        <v>13</v>
      </c>
      <c r="E1667" s="17" t="s">
        <v>8</v>
      </c>
      <c r="F1667" s="17" t="s">
        <v>6</v>
      </c>
      <c r="G1667" s="17" t="s">
        <v>5</v>
      </c>
      <c r="H1667" s="17" t="s">
        <v>151</v>
      </c>
      <c r="I1667" s="17" t="s">
        <v>179</v>
      </c>
      <c r="J1667" s="17" t="s">
        <v>181</v>
      </c>
      <c r="K1667" s="17" t="s">
        <v>182</v>
      </c>
      <c r="L1667" s="17" t="s">
        <v>180</v>
      </c>
    </row>
    <row r="1668" spans="1:13" customFormat="1" ht="16" x14ac:dyDescent="0.2">
      <c r="A1668" s="2" t="str">
        <f>B1643</f>
        <v>petrol, synthetic, burned in motorcycle</v>
      </c>
      <c r="B1668" s="2">
        <v>1</v>
      </c>
      <c r="C1668" s="2" t="s">
        <v>18</v>
      </c>
      <c r="D1668" s="2"/>
      <c r="E1668" s="2" t="str">
        <f>B1648</f>
        <v>megajoule</v>
      </c>
      <c r="F1668" s="2" t="s">
        <v>19</v>
      </c>
      <c r="G1668" s="2" t="str">
        <f>B1646</f>
        <v>heat</v>
      </c>
      <c r="H1668" s="2"/>
      <c r="I1668" s="2"/>
      <c r="J1668" s="2"/>
      <c r="K1668" s="2"/>
      <c r="L1668" s="2"/>
      <c r="M1668" s="2"/>
    </row>
    <row r="1669" spans="1:13" customFormat="1" ht="16" x14ac:dyDescent="0.2">
      <c r="A1669" t="s">
        <v>279</v>
      </c>
      <c r="B1669">
        <f>1/43</f>
        <v>2.3255813953488372E-2</v>
      </c>
      <c r="C1669" t="s">
        <v>18</v>
      </c>
      <c r="E1669" t="s">
        <v>9</v>
      </c>
      <c r="F1669" t="s">
        <v>23</v>
      </c>
      <c r="G1669" t="s">
        <v>280</v>
      </c>
      <c r="I1669" s="2"/>
      <c r="J1669" s="2"/>
      <c r="K1669" s="2"/>
      <c r="L1669" s="2"/>
      <c r="M1669" s="2"/>
    </row>
    <row r="1670" spans="1:13" customFormat="1" ht="16" x14ac:dyDescent="0.2">
      <c r="A1670" s="2" t="s">
        <v>143</v>
      </c>
      <c r="B1670" s="3">
        <f>(B1658/B1652)/(B1655/1000)</f>
        <v>1.0769230769230768E-4</v>
      </c>
      <c r="C1670" t="s">
        <v>114</v>
      </c>
      <c r="E1670" t="s">
        <v>9</v>
      </c>
      <c r="F1670" t="s">
        <v>23</v>
      </c>
      <c r="G1670" t="s">
        <v>144</v>
      </c>
      <c r="H1670" s="2"/>
      <c r="I1670">
        <v>5</v>
      </c>
      <c r="J1670" s="12">
        <f>(B1659/B1654)/(B1657/1000)</f>
        <v>1.9607843137254903E-5</v>
      </c>
      <c r="K1670" s="3">
        <f>(B1660/B1653)/(B1656/1000)</f>
        <v>1.6249999999999999E-3</v>
      </c>
      <c r="L1670" s="3">
        <f>B1670</f>
        <v>1.0769230769230768E-4</v>
      </c>
    </row>
    <row r="1671" spans="1:13" customFormat="1" ht="16" x14ac:dyDescent="0.2">
      <c r="A1671" s="2" t="s">
        <v>358</v>
      </c>
      <c r="B1671" s="3">
        <f>(B1661/B1652)/(B1655/1000)</f>
        <v>7.6923076923076926E-5</v>
      </c>
      <c r="C1671" t="s">
        <v>114</v>
      </c>
      <c r="E1671" t="s">
        <v>9</v>
      </c>
      <c r="F1671" t="s">
        <v>23</v>
      </c>
      <c r="G1671" s="2" t="s">
        <v>357</v>
      </c>
      <c r="H1671" s="2" t="s">
        <v>361</v>
      </c>
      <c r="I1671">
        <v>5</v>
      </c>
      <c r="J1671" s="12">
        <f>L1671*0.8</f>
        <v>6.1538461538461549E-5</v>
      </c>
      <c r="K1671" s="3">
        <f>L1671*1.2</f>
        <v>9.2307692307692303E-5</v>
      </c>
      <c r="L1671" s="3">
        <f t="shared" ref="L1671:L1672" si="4">B1671</f>
        <v>7.6923076923076926E-5</v>
      </c>
    </row>
    <row r="1672" spans="1:13" customFormat="1" ht="16" x14ac:dyDescent="0.2">
      <c r="A1672" s="2" t="s">
        <v>359</v>
      </c>
      <c r="B1672" s="3">
        <f>(B1661/B1652)/(B1655/1000)</f>
        <v>7.6923076923076926E-5</v>
      </c>
      <c r="C1672" t="s">
        <v>114</v>
      </c>
      <c r="E1672" t="s">
        <v>9</v>
      </c>
      <c r="F1672" t="s">
        <v>23</v>
      </c>
      <c r="G1672" s="2" t="s">
        <v>360</v>
      </c>
      <c r="H1672" s="2" t="s">
        <v>361</v>
      </c>
      <c r="I1672">
        <v>5</v>
      </c>
      <c r="J1672" s="12">
        <f>J1671</f>
        <v>6.1538461538461549E-5</v>
      </c>
      <c r="K1672" s="3">
        <f>K1671</f>
        <v>9.2307692307692303E-5</v>
      </c>
      <c r="L1672" s="3">
        <f t="shared" si="4"/>
        <v>7.6923076923076926E-5</v>
      </c>
    </row>
    <row r="1673" spans="1:13" customFormat="1" ht="16" x14ac:dyDescent="0.2">
      <c r="A1673" t="s">
        <v>122</v>
      </c>
      <c r="B1673" s="3">
        <f>B1669*3.15</f>
        <v>7.3255813953488375E-2</v>
      </c>
      <c r="D1673" t="s">
        <v>14</v>
      </c>
      <c r="E1673" t="s">
        <v>9</v>
      </c>
      <c r="F1673" t="s">
        <v>15</v>
      </c>
      <c r="H1673" s="3" t="s">
        <v>298</v>
      </c>
      <c r="I1673" s="2"/>
      <c r="J1673" s="2"/>
      <c r="K1673" s="2"/>
      <c r="L1673" s="2"/>
      <c r="M1673" s="2"/>
    </row>
    <row r="1674" spans="1:13" customFormat="1" ht="16" x14ac:dyDescent="0.2">
      <c r="A1674" t="s">
        <v>230</v>
      </c>
      <c r="B1674" s="3">
        <v>8.8450704225352119E-4</v>
      </c>
      <c r="D1674" t="s">
        <v>14</v>
      </c>
      <c r="E1674" t="s">
        <v>9</v>
      </c>
      <c r="F1674" t="s">
        <v>15</v>
      </c>
      <c r="H1674" s="3"/>
      <c r="I1674" s="2"/>
      <c r="J1674" s="2"/>
      <c r="K1674" s="2"/>
      <c r="L1674" s="2"/>
      <c r="M1674" s="2"/>
    </row>
    <row r="1675" spans="1:13" customFormat="1" ht="16" x14ac:dyDescent="0.2">
      <c r="A1675" t="s">
        <v>77</v>
      </c>
      <c r="B1675" s="3">
        <v>3.7558685446009391E-7</v>
      </c>
      <c r="D1675" t="s">
        <v>14</v>
      </c>
      <c r="E1675" t="s">
        <v>9</v>
      </c>
      <c r="F1675" t="s">
        <v>15</v>
      </c>
      <c r="H1675" s="3"/>
      <c r="I1675" s="2"/>
      <c r="J1675" s="2"/>
      <c r="K1675" s="2"/>
      <c r="L1675" s="2"/>
      <c r="M1675" s="2"/>
    </row>
    <row r="1676" spans="1:13" customFormat="1" ht="16" x14ac:dyDescent="0.2">
      <c r="A1676" t="s">
        <v>50</v>
      </c>
      <c r="B1676" s="3">
        <v>7.6234099132856199E-7</v>
      </c>
      <c r="D1676" t="s">
        <v>14</v>
      </c>
      <c r="E1676" t="s">
        <v>9</v>
      </c>
      <c r="F1676" t="s">
        <v>15</v>
      </c>
      <c r="H1676" s="3"/>
      <c r="I1676" s="2"/>
      <c r="J1676" s="2"/>
      <c r="K1676" s="2"/>
      <c r="L1676" s="2"/>
      <c r="M1676" s="2"/>
    </row>
    <row r="1677" spans="1:13" customFormat="1" ht="16" x14ac:dyDescent="0.2">
      <c r="A1677" t="s">
        <v>177</v>
      </c>
      <c r="B1677" s="3">
        <v>1.8797075715851682E-5</v>
      </c>
      <c r="D1677" t="s">
        <v>14</v>
      </c>
      <c r="E1677" t="s">
        <v>9</v>
      </c>
      <c r="F1677" t="s">
        <v>15</v>
      </c>
      <c r="H1677" s="3"/>
      <c r="I1677" s="2"/>
      <c r="J1677" s="2"/>
      <c r="K1677" s="2"/>
      <c r="L1677" s="2"/>
      <c r="M1677" s="2"/>
    </row>
    <row r="1678" spans="1:13" customFormat="1" ht="16" x14ac:dyDescent="0.2">
      <c r="A1678" t="s">
        <v>123</v>
      </c>
      <c r="B1678" s="3">
        <v>8.3455151885463482E-5</v>
      </c>
      <c r="D1678" t="s">
        <v>14</v>
      </c>
      <c r="E1678" t="s">
        <v>9</v>
      </c>
      <c r="F1678" t="s">
        <v>15</v>
      </c>
      <c r="H1678" s="3"/>
      <c r="I1678" s="2"/>
      <c r="J1678" s="2"/>
      <c r="K1678" s="2"/>
      <c r="L1678" s="2"/>
      <c r="M1678" s="2"/>
    </row>
    <row r="1679" spans="1:13" customFormat="1" ht="16" x14ac:dyDescent="0.2">
      <c r="A1679" t="s">
        <v>58</v>
      </c>
      <c r="B1679" s="3">
        <v>5.6532558543914833E-7</v>
      </c>
      <c r="D1679" t="s">
        <v>14</v>
      </c>
      <c r="E1679" t="s">
        <v>9</v>
      </c>
      <c r="F1679" t="s">
        <v>15</v>
      </c>
      <c r="H1679" s="3"/>
      <c r="I1679" s="2"/>
      <c r="J1679" s="2"/>
      <c r="K1679" s="2"/>
      <c r="L1679" s="2"/>
      <c r="M1679" s="2"/>
    </row>
    <row r="1680" spans="1:13" customFormat="1" ht="16" x14ac:dyDescent="0.2">
      <c r="A1680" t="s">
        <v>48</v>
      </c>
      <c r="B1680" s="3">
        <v>5.6532558543914833E-7</v>
      </c>
      <c r="D1680" t="s">
        <v>14</v>
      </c>
      <c r="E1680" t="s">
        <v>9</v>
      </c>
      <c r="F1680" t="s">
        <v>15</v>
      </c>
      <c r="H1680" s="3"/>
      <c r="I1680" s="2"/>
      <c r="J1680" s="2"/>
      <c r="K1680" s="2"/>
      <c r="L1680" s="2"/>
      <c r="M1680" s="2"/>
    </row>
    <row r="1681" spans="1:13" customFormat="1" ht="16" x14ac:dyDescent="0.2">
      <c r="A1681" t="s">
        <v>69</v>
      </c>
      <c r="B1681" s="3">
        <f>B1664/1000</f>
        <v>7.5811449999999999E-6</v>
      </c>
      <c r="D1681" t="s">
        <v>14</v>
      </c>
      <c r="E1681" t="s">
        <v>9</v>
      </c>
      <c r="F1681" t="s">
        <v>15</v>
      </c>
      <c r="H1681" s="3"/>
      <c r="I1681" s="2"/>
      <c r="J1681" s="2"/>
      <c r="K1681" s="2"/>
      <c r="L1681" s="2"/>
      <c r="M1681" s="2"/>
    </row>
    <row r="1682" spans="1:13" customFormat="1" ht="16" x14ac:dyDescent="0.2">
      <c r="A1682" t="s">
        <v>231</v>
      </c>
      <c r="B1682" s="3">
        <f>B1665/1000</f>
        <v>5.6509899999999997E-7</v>
      </c>
      <c r="D1682" t="s">
        <v>14</v>
      </c>
      <c r="E1682" t="s">
        <v>9</v>
      </c>
      <c r="F1682" t="s">
        <v>15</v>
      </c>
      <c r="H1682" s="3"/>
      <c r="I1682" s="2"/>
      <c r="J1682" s="2"/>
      <c r="K1682" s="2"/>
      <c r="L1682" s="2"/>
      <c r="M1682" s="2"/>
    </row>
    <row r="1683" spans="1:13" customFormat="1" ht="16" x14ac:dyDescent="0.2">
      <c r="A1683" t="s">
        <v>232</v>
      </c>
      <c r="B1683" s="3">
        <v>6.1476482081469075E-6</v>
      </c>
      <c r="D1683" t="s">
        <v>14</v>
      </c>
      <c r="E1683" t="s">
        <v>9</v>
      </c>
      <c r="F1683" t="s">
        <v>15</v>
      </c>
      <c r="H1683" s="3"/>
      <c r="I1683" s="2"/>
      <c r="J1683" s="2"/>
      <c r="K1683" s="2"/>
      <c r="L1683" s="2"/>
      <c r="M1683" s="2"/>
    </row>
    <row r="1684" spans="1:13" customFormat="1" ht="16" x14ac:dyDescent="0.2">
      <c r="A1684" t="s">
        <v>59</v>
      </c>
      <c r="B1684" s="3">
        <v>4.3348801467702544E-7</v>
      </c>
      <c r="D1684" t="s">
        <v>14</v>
      </c>
      <c r="E1684" t="s">
        <v>9</v>
      </c>
      <c r="F1684" t="s">
        <v>15</v>
      </c>
      <c r="H1684" s="3"/>
      <c r="I1684" s="2"/>
      <c r="J1684" s="2"/>
      <c r="K1684" s="2"/>
      <c r="L1684" s="2"/>
      <c r="M1684" s="2"/>
    </row>
    <row r="1685" spans="1:13" customFormat="1" ht="16" x14ac:dyDescent="0.2">
      <c r="A1685" t="s">
        <v>73</v>
      </c>
      <c r="B1685" s="3">
        <v>8.8328278852685434E-8</v>
      </c>
      <c r="D1685" t="s">
        <v>14</v>
      </c>
      <c r="E1685" t="s">
        <v>9</v>
      </c>
      <c r="F1685" t="s">
        <v>15</v>
      </c>
      <c r="H1685" s="3"/>
      <c r="I1685" s="2"/>
      <c r="J1685" s="2"/>
      <c r="K1685" s="2"/>
      <c r="L1685" s="2"/>
      <c r="M1685" s="2"/>
    </row>
    <row r="1686" spans="1:13" customFormat="1" ht="16" x14ac:dyDescent="0.2">
      <c r="A1686" t="s">
        <v>51</v>
      </c>
      <c r="B1686" s="3">
        <v>7.1206181721241788E-7</v>
      </c>
      <c r="D1686" t="s">
        <v>14</v>
      </c>
      <c r="E1686" t="s">
        <v>9</v>
      </c>
      <c r="F1686" t="s">
        <v>15</v>
      </c>
      <c r="H1686" s="3"/>
      <c r="I1686" s="2"/>
      <c r="J1686" s="2"/>
      <c r="K1686" s="2"/>
      <c r="L1686" s="2"/>
      <c r="M1686" s="2"/>
    </row>
    <row r="1687" spans="1:13" customFormat="1" ht="16" x14ac:dyDescent="0.2">
      <c r="A1687" t="s">
        <v>72</v>
      </c>
      <c r="B1687" s="3">
        <v>2.9216276851272876E-7</v>
      </c>
      <c r="D1687" t="s">
        <v>14</v>
      </c>
      <c r="E1687" t="s">
        <v>9</v>
      </c>
      <c r="F1687" t="s">
        <v>15</v>
      </c>
      <c r="H1687" s="3"/>
      <c r="I1687" s="2"/>
      <c r="J1687" s="2"/>
      <c r="K1687" s="2"/>
      <c r="L1687" s="2"/>
      <c r="M1687" s="2"/>
    </row>
    <row r="1688" spans="1:13" customFormat="1" ht="16" x14ac:dyDescent="0.2">
      <c r="A1688" t="s">
        <v>85</v>
      </c>
      <c r="B1688" s="3">
        <v>2.1878235223511317E-7</v>
      </c>
      <c r="D1688" t="s">
        <v>14</v>
      </c>
      <c r="E1688" t="s">
        <v>9</v>
      </c>
      <c r="F1688" t="s">
        <v>15</v>
      </c>
      <c r="H1688" s="3"/>
      <c r="I1688" s="2"/>
      <c r="J1688" s="2"/>
      <c r="K1688" s="2"/>
      <c r="L1688" s="2"/>
      <c r="M1688" s="2"/>
    </row>
    <row r="1689" spans="1:13" customFormat="1" ht="16" x14ac:dyDescent="0.2">
      <c r="A1689" t="s">
        <v>233</v>
      </c>
      <c r="B1689" s="3">
        <v>1.5491421214163292E-7</v>
      </c>
      <c r="D1689" t="s">
        <v>14</v>
      </c>
      <c r="E1689" t="s">
        <v>9</v>
      </c>
      <c r="F1689" t="s">
        <v>15</v>
      </c>
      <c r="H1689" s="3"/>
      <c r="I1689" s="2"/>
      <c r="J1689" s="2"/>
      <c r="K1689" s="2"/>
      <c r="L1689" s="2"/>
      <c r="M1689" s="2"/>
    </row>
    <row r="1690" spans="1:13" customFormat="1" ht="16" x14ac:dyDescent="0.2">
      <c r="A1690" t="s">
        <v>62</v>
      </c>
      <c r="B1690" s="3">
        <v>1.0055834823228804E-7</v>
      </c>
      <c r="D1690" t="s">
        <v>14</v>
      </c>
      <c r="E1690" t="s">
        <v>9</v>
      </c>
      <c r="F1690" t="s">
        <v>15</v>
      </c>
      <c r="H1690" s="3"/>
      <c r="I1690" s="2"/>
      <c r="J1690" s="2"/>
      <c r="K1690" s="2"/>
      <c r="L1690" s="2"/>
      <c r="M1690" s="2"/>
    </row>
    <row r="1691" spans="1:13" customFormat="1" ht="16" x14ac:dyDescent="0.2">
      <c r="A1691" t="s">
        <v>234</v>
      </c>
      <c r="B1691" s="3">
        <v>9.9199451634554413E-7</v>
      </c>
      <c r="D1691" t="s">
        <v>14</v>
      </c>
      <c r="E1691" t="s">
        <v>9</v>
      </c>
      <c r="F1691" t="s">
        <v>15</v>
      </c>
      <c r="H1691" s="3"/>
      <c r="I1691" s="2"/>
      <c r="J1691" s="2"/>
      <c r="K1691" s="2"/>
      <c r="L1691" s="2"/>
      <c r="M1691" s="2"/>
    </row>
    <row r="1692" spans="1:13" customFormat="1" ht="16" x14ac:dyDescent="0.2">
      <c r="A1692" t="s">
        <v>86</v>
      </c>
      <c r="B1692" s="3">
        <v>5.1909850033424364E-7</v>
      </c>
      <c r="D1692" t="s">
        <v>14</v>
      </c>
      <c r="E1692" t="s">
        <v>9</v>
      </c>
      <c r="F1692" t="s">
        <v>15</v>
      </c>
      <c r="H1692" s="3"/>
      <c r="I1692" s="2"/>
      <c r="J1692" s="2"/>
      <c r="K1692" s="2"/>
      <c r="L1692" s="2"/>
      <c r="M1692" s="2"/>
    </row>
    <row r="1693" spans="1:13" customFormat="1" ht="16" x14ac:dyDescent="0.2">
      <c r="A1693" t="s">
        <v>83</v>
      </c>
      <c r="B1693" s="3">
        <v>1.4947862575069847E-8</v>
      </c>
      <c r="D1693" t="s">
        <v>14</v>
      </c>
      <c r="E1693" t="s">
        <v>9</v>
      </c>
      <c r="F1693" t="s">
        <v>15</v>
      </c>
      <c r="H1693" s="3"/>
      <c r="I1693" s="2"/>
      <c r="J1693" s="2"/>
      <c r="K1693" s="2"/>
      <c r="L1693" s="2"/>
      <c r="M1693" s="2"/>
    </row>
    <row r="1694" spans="1:13" customFormat="1" ht="16" x14ac:dyDescent="0.2">
      <c r="A1694" t="s">
        <v>78</v>
      </c>
      <c r="B1694" s="3">
        <v>1.4920684643115172E-6</v>
      </c>
      <c r="D1694" t="s">
        <v>14</v>
      </c>
      <c r="E1694" t="s">
        <v>9</v>
      </c>
      <c r="F1694" t="s">
        <v>15</v>
      </c>
      <c r="H1694" s="3"/>
      <c r="I1694" s="2"/>
      <c r="J1694" s="2"/>
      <c r="K1694" s="2"/>
      <c r="L1694" s="2"/>
      <c r="M1694" s="2"/>
    </row>
    <row r="1695" spans="1:13" customFormat="1" ht="16" x14ac:dyDescent="0.2">
      <c r="A1695" t="s">
        <v>80</v>
      </c>
      <c r="B1695" s="3">
        <v>7.3788085256935697E-7</v>
      </c>
      <c r="D1695" t="s">
        <v>14</v>
      </c>
      <c r="E1695" t="s">
        <v>9</v>
      </c>
      <c r="F1695" t="s">
        <v>15</v>
      </c>
      <c r="H1695" s="3"/>
      <c r="I1695" s="2"/>
      <c r="J1695" s="2"/>
      <c r="K1695" s="2"/>
      <c r="L1695" s="2"/>
      <c r="M1695" s="2"/>
    </row>
    <row r="1696" spans="1:13" customFormat="1" ht="16" x14ac:dyDescent="0.2">
      <c r="A1696" t="s">
        <v>81</v>
      </c>
      <c r="B1696" s="3">
        <v>3.0711063108779858E-7</v>
      </c>
      <c r="D1696" t="s">
        <v>14</v>
      </c>
      <c r="E1696" t="s">
        <v>9</v>
      </c>
      <c r="F1696" t="s">
        <v>15</v>
      </c>
      <c r="H1696" s="3"/>
      <c r="I1696" s="2"/>
      <c r="J1696" s="2"/>
      <c r="K1696" s="2"/>
      <c r="L1696" s="2"/>
      <c r="M1696" s="2"/>
    </row>
    <row r="1697" spans="1:13" customFormat="1" ht="16" x14ac:dyDescent="0.2">
      <c r="A1697" t="s">
        <v>61</v>
      </c>
      <c r="B1697" s="3">
        <v>2.3101242161471579E-7</v>
      </c>
      <c r="D1697" t="s">
        <v>14</v>
      </c>
      <c r="E1697" t="s">
        <v>9</v>
      </c>
      <c r="F1697" t="s">
        <v>15</v>
      </c>
      <c r="H1697" s="3"/>
      <c r="I1697" s="2"/>
      <c r="J1697" s="2"/>
      <c r="K1697" s="2"/>
      <c r="L1697" s="2"/>
      <c r="M1697" s="2"/>
    </row>
    <row r="1698" spans="1:13" customFormat="1" ht="16" x14ac:dyDescent="0.2">
      <c r="A1698" t="s">
        <v>45</v>
      </c>
      <c r="B1698" s="3">
        <v>1.0191724483002165E-7</v>
      </c>
      <c r="D1698" t="s">
        <v>14</v>
      </c>
      <c r="E1698" t="s">
        <v>9</v>
      </c>
      <c r="F1698" t="s">
        <v>15</v>
      </c>
      <c r="H1698" s="3"/>
      <c r="I1698" s="2"/>
      <c r="J1698" s="2"/>
      <c r="K1698" s="2"/>
      <c r="L1698" s="2"/>
      <c r="M1698" s="2"/>
    </row>
    <row r="1699" spans="1:13" customFormat="1" ht="16" x14ac:dyDescent="0.2">
      <c r="A1699" t="s">
        <v>49</v>
      </c>
      <c r="B1699" s="3">
        <v>2.9895725150139694E-8</v>
      </c>
      <c r="D1699" t="s">
        <v>14</v>
      </c>
      <c r="E1699" t="s">
        <v>9</v>
      </c>
      <c r="F1699" t="s">
        <v>15</v>
      </c>
      <c r="H1699" s="3"/>
      <c r="I1699" s="2"/>
      <c r="J1699" s="2"/>
      <c r="K1699" s="2"/>
      <c r="L1699" s="2"/>
      <c r="M1699" s="2"/>
    </row>
    <row r="1700" spans="1:13" customFormat="1" ht="16" x14ac:dyDescent="0.2">
      <c r="A1700" t="s">
        <v>46</v>
      </c>
      <c r="B1700" s="3">
        <v>8.2892692461750966E-8</v>
      </c>
      <c r="D1700" t="s">
        <v>14</v>
      </c>
      <c r="E1700" t="s">
        <v>9</v>
      </c>
      <c r="F1700" t="s">
        <v>15</v>
      </c>
      <c r="H1700" s="3"/>
      <c r="I1700" s="2"/>
      <c r="J1700" s="2"/>
      <c r="K1700" s="2"/>
      <c r="L1700" s="2"/>
      <c r="M1700" s="2"/>
    </row>
    <row r="1701" spans="1:13" customFormat="1" ht="16" x14ac:dyDescent="0.2">
      <c r="A1701" t="s">
        <v>66</v>
      </c>
      <c r="B1701" s="3">
        <v>0</v>
      </c>
      <c r="D1701" t="s">
        <v>14</v>
      </c>
      <c r="E1701" t="s">
        <v>9</v>
      </c>
      <c r="F1701" t="s">
        <v>15</v>
      </c>
      <c r="H1701" s="3"/>
      <c r="I1701" s="2"/>
      <c r="J1701" s="2"/>
      <c r="K1701" s="2"/>
      <c r="L1701" s="2"/>
      <c r="M1701" s="2"/>
    </row>
    <row r="1702" spans="1:13" customFormat="1" ht="16" x14ac:dyDescent="0.2">
      <c r="A1702" t="s">
        <v>47</v>
      </c>
      <c r="B1702" s="3">
        <v>2.5819035356938819E-8</v>
      </c>
      <c r="D1702" t="s">
        <v>14</v>
      </c>
      <c r="E1702" t="s">
        <v>9</v>
      </c>
      <c r="F1702" t="s">
        <v>15</v>
      </c>
      <c r="H1702" s="3"/>
      <c r="I1702" s="2"/>
      <c r="J1702" s="2"/>
      <c r="K1702" s="2"/>
      <c r="L1702" s="2"/>
      <c r="M1702" s="2"/>
    </row>
    <row r="1703" spans="1:13" customFormat="1" ht="16" x14ac:dyDescent="0.2">
      <c r="A1703" t="s">
        <v>76</v>
      </c>
      <c r="B1703" s="3">
        <v>1.3724855637109585E-7</v>
      </c>
      <c r="D1703" t="s">
        <v>14</v>
      </c>
      <c r="E1703" t="s">
        <v>9</v>
      </c>
      <c r="F1703" t="s">
        <v>15</v>
      </c>
      <c r="H1703" s="3"/>
      <c r="I1703" s="2"/>
      <c r="J1703" s="2"/>
      <c r="K1703" s="2"/>
      <c r="L1703" s="2"/>
      <c r="M1703" s="2"/>
    </row>
    <row r="1704" spans="1:13" customFormat="1" ht="16" x14ac:dyDescent="0.2">
      <c r="A1704" t="s">
        <v>70</v>
      </c>
      <c r="B1704" s="3">
        <v>8.1882352941176476E-10</v>
      </c>
      <c r="D1704" t="s">
        <v>14</v>
      </c>
      <c r="E1704" t="s">
        <v>9</v>
      </c>
      <c r="F1704" t="s">
        <v>15</v>
      </c>
      <c r="H1704" s="3"/>
      <c r="I1704" s="2"/>
      <c r="J1704" s="2"/>
      <c r="K1704" s="2"/>
      <c r="L1704" s="2"/>
      <c r="M1704" s="2"/>
    </row>
    <row r="1705" spans="1:13" customFormat="1" ht="16" x14ac:dyDescent="0.2">
      <c r="A1705" t="s">
        <v>235</v>
      </c>
      <c r="B1705" s="3">
        <v>7.0588235294117658E-12</v>
      </c>
      <c r="D1705" t="s">
        <v>14</v>
      </c>
      <c r="E1705" t="s">
        <v>9</v>
      </c>
      <c r="F1705" t="s">
        <v>15</v>
      </c>
      <c r="H1705" s="3"/>
      <c r="I1705" s="2"/>
      <c r="J1705" s="2"/>
      <c r="K1705" s="2"/>
      <c r="L1705" s="2"/>
      <c r="M1705" s="2"/>
    </row>
    <row r="1706" spans="1:13" customFormat="1" ht="16" x14ac:dyDescent="0.2">
      <c r="A1706" t="s">
        <v>236</v>
      </c>
      <c r="B1706" s="3">
        <v>4.7058823529411767E-12</v>
      </c>
      <c r="D1706" t="s">
        <v>14</v>
      </c>
      <c r="E1706" t="s">
        <v>9</v>
      </c>
      <c r="F1706" t="s">
        <v>15</v>
      </c>
      <c r="H1706" s="3"/>
      <c r="I1706" s="2"/>
      <c r="J1706" s="2"/>
      <c r="K1706" s="2"/>
      <c r="L1706" s="2"/>
      <c r="M1706" s="2"/>
    </row>
    <row r="1707" spans="1:13" customFormat="1" ht="16" x14ac:dyDescent="0.2">
      <c r="A1707" t="s">
        <v>237</v>
      </c>
      <c r="B1707" s="3">
        <v>5.082352941176471E-8</v>
      </c>
      <c r="D1707" t="s">
        <v>14</v>
      </c>
      <c r="E1707" t="s">
        <v>9</v>
      </c>
      <c r="F1707" t="s">
        <v>15</v>
      </c>
      <c r="H1707" s="3"/>
      <c r="I1707" s="2"/>
      <c r="J1707" s="2"/>
      <c r="K1707" s="2"/>
      <c r="L1707" s="2"/>
      <c r="M1707" s="2"/>
    </row>
    <row r="1708" spans="1:13" customFormat="1" ht="16" x14ac:dyDescent="0.2">
      <c r="A1708" t="s">
        <v>238</v>
      </c>
      <c r="B1708" s="3">
        <v>9.8823529411764698E-10</v>
      </c>
      <c r="D1708" t="s">
        <v>14</v>
      </c>
      <c r="E1708" t="s">
        <v>9</v>
      </c>
      <c r="F1708" t="s">
        <v>15</v>
      </c>
      <c r="H1708" s="3"/>
      <c r="I1708" s="2"/>
      <c r="J1708" s="2"/>
      <c r="K1708" s="2"/>
      <c r="L1708" s="2"/>
      <c r="M1708" s="2"/>
    </row>
    <row r="1709" spans="1:13" customFormat="1" ht="16" x14ac:dyDescent="0.2">
      <c r="A1709" t="s">
        <v>239</v>
      </c>
      <c r="B1709" s="3">
        <v>3.0588235294117649E-10</v>
      </c>
      <c r="D1709" t="s">
        <v>14</v>
      </c>
      <c r="E1709" t="s">
        <v>9</v>
      </c>
      <c r="F1709" t="s">
        <v>15</v>
      </c>
      <c r="H1709" s="3"/>
      <c r="I1709" s="2"/>
      <c r="J1709" s="2"/>
      <c r="K1709" s="2"/>
      <c r="L1709" s="2"/>
      <c r="M1709" s="2"/>
    </row>
    <row r="1710" spans="1:13" customFormat="1" ht="16" x14ac:dyDescent="0.2">
      <c r="A1710" t="s">
        <v>240</v>
      </c>
      <c r="B1710" s="3">
        <v>3.7647058823529416E-10</v>
      </c>
      <c r="D1710" t="s">
        <v>14</v>
      </c>
      <c r="E1710" t="s">
        <v>9</v>
      </c>
      <c r="F1710" t="s">
        <v>15</v>
      </c>
      <c r="H1710" s="3"/>
      <c r="I1710" s="2"/>
      <c r="J1710" s="2"/>
      <c r="K1710" s="2"/>
      <c r="L1710" s="2"/>
      <c r="M1710" s="2"/>
    </row>
    <row r="1711" spans="1:13" customFormat="1" ht="16" x14ac:dyDescent="0.2">
      <c r="A1711" t="s">
        <v>56</v>
      </c>
      <c r="B1711" s="3">
        <v>7.5294117647058818E-13</v>
      </c>
      <c r="D1711" t="s">
        <v>14</v>
      </c>
      <c r="E1711" t="s">
        <v>9</v>
      </c>
      <c r="F1711" t="s">
        <v>15</v>
      </c>
      <c r="H1711" s="3"/>
      <c r="I1711" s="2"/>
      <c r="J1711" s="2"/>
      <c r="K1711" s="2"/>
      <c r="L1711" s="2"/>
      <c r="M1711" s="2"/>
    </row>
    <row r="1712" spans="1:13" customFormat="1" ht="16" x14ac:dyDescent="0.2">
      <c r="A1712" t="s">
        <v>241</v>
      </c>
      <c r="B1712" s="3">
        <v>2.0470588235294119E-10</v>
      </c>
      <c r="D1712" t="s">
        <v>14</v>
      </c>
      <c r="E1712" t="s">
        <v>9</v>
      </c>
      <c r="F1712" t="s">
        <v>15</v>
      </c>
      <c r="H1712" s="3"/>
      <c r="I1712" s="2"/>
      <c r="J1712" s="2"/>
      <c r="K1712" s="2"/>
      <c r="L1712" s="2"/>
      <c r="M1712" s="2"/>
    </row>
    <row r="1713" spans="1:13" customFormat="1" ht="16" x14ac:dyDescent="0.2">
      <c r="A1713" t="s">
        <v>242</v>
      </c>
      <c r="B1713" s="3">
        <v>2.5411764705882359E-10</v>
      </c>
      <c r="D1713" t="s">
        <v>14</v>
      </c>
      <c r="E1713" t="s">
        <v>9</v>
      </c>
      <c r="F1713" t="s">
        <v>15</v>
      </c>
      <c r="H1713" s="3"/>
      <c r="I1713" s="2"/>
      <c r="J1713" s="2"/>
      <c r="K1713" s="2"/>
      <c r="L1713" s="2"/>
      <c r="M1713" s="2"/>
    </row>
    <row r="1714" spans="1:13" customFormat="1" ht="16" x14ac:dyDescent="0.2">
      <c r="B1714" s="3"/>
    </row>
    <row r="1715" spans="1:13" x14ac:dyDescent="0.2">
      <c r="A1715" s="17" t="s">
        <v>2</v>
      </c>
      <c r="B1715" s="17" t="s">
        <v>89</v>
      </c>
    </row>
    <row r="1716" spans="1:13" customFormat="1" ht="16" x14ac:dyDescent="0.2">
      <c r="A1716" t="s">
        <v>3</v>
      </c>
      <c r="B1716" t="s">
        <v>18</v>
      </c>
    </row>
    <row r="1717" spans="1:13" customFormat="1" ht="16" x14ac:dyDescent="0.2">
      <c r="A1717" t="s">
        <v>4</v>
      </c>
      <c r="B1717">
        <v>1</v>
      </c>
    </row>
    <row r="1718" spans="1:13" customFormat="1" ht="16" x14ac:dyDescent="0.2">
      <c r="A1718" t="s">
        <v>5</v>
      </c>
      <c r="B1718" t="s">
        <v>1</v>
      </c>
    </row>
    <row r="1719" spans="1:13" customFormat="1" ht="16" x14ac:dyDescent="0.2">
      <c r="A1719" t="s">
        <v>6</v>
      </c>
      <c r="B1719" t="s">
        <v>7</v>
      </c>
    </row>
    <row r="1720" spans="1:13" customFormat="1" ht="16" x14ac:dyDescent="0.2">
      <c r="A1720" t="s">
        <v>8</v>
      </c>
      <c r="B1720" t="s">
        <v>17</v>
      </c>
    </row>
    <row r="1721" spans="1:13" customFormat="1" ht="16" x14ac:dyDescent="0.2">
      <c r="A1721" t="s">
        <v>204</v>
      </c>
      <c r="B1721" t="s">
        <v>205</v>
      </c>
    </row>
    <row r="1722" spans="1:13" customFormat="1" ht="16" x14ac:dyDescent="0.2">
      <c r="A1722" t="s">
        <v>198</v>
      </c>
      <c r="B1722" t="s">
        <v>243</v>
      </c>
    </row>
    <row r="1723" spans="1:13" customFormat="1" ht="16" x14ac:dyDescent="0.2">
      <c r="A1723" t="s">
        <v>151</v>
      </c>
      <c r="B1723" t="s">
        <v>244</v>
      </c>
    </row>
    <row r="1724" spans="1:13" customFormat="1" ht="16" x14ac:dyDescent="0.2">
      <c r="A1724" t="s">
        <v>352</v>
      </c>
      <c r="B1724" s="2">
        <f>INDEX(Parameters!$B$6:$AL$57,MATCH(Inventories!$B$1715,Parameters!$A$6:$A$57,0),MATCH(Inventories!$A1724,Parameters!$B$4:$AL$4,0))</f>
        <v>300</v>
      </c>
      <c r="C1724" t="s">
        <v>312</v>
      </c>
      <c r="D1724" s="2"/>
      <c r="E1724" s="2"/>
      <c r="F1724" s="2"/>
      <c r="G1724" s="2"/>
      <c r="H1724" s="2"/>
      <c r="I1724" s="2"/>
      <c r="J1724" s="2"/>
      <c r="K1724" s="2"/>
      <c r="L1724" s="2"/>
    </row>
    <row r="1725" spans="1:13" customFormat="1" ht="16" x14ac:dyDescent="0.2">
      <c r="A1725" t="s">
        <v>353</v>
      </c>
      <c r="B1725" s="2">
        <f>INDEX(Parameters!$B$6:$AL$57,MATCH(Inventories!$B$1715,Parameters!$A$6:$A$57,0),MATCH(Inventories!$A1725,Parameters!$B$4:$AL$4,0))</f>
        <v>135</v>
      </c>
      <c r="C1725" t="s">
        <v>312</v>
      </c>
      <c r="D1725" s="2"/>
      <c r="E1725" s="2"/>
      <c r="F1725" s="2"/>
      <c r="G1725" s="2"/>
      <c r="H1725" s="2"/>
      <c r="I1725" s="2"/>
      <c r="J1725" s="2"/>
      <c r="K1725" s="2"/>
      <c r="L1725" s="2"/>
    </row>
    <row r="1726" spans="1:13" customFormat="1" ht="16" x14ac:dyDescent="0.2">
      <c r="A1726" t="s">
        <v>354</v>
      </c>
      <c r="B1726" s="2">
        <f>INDEX(Parameters!$B$6:$AL$57,MATCH(Inventories!$B$1715,Parameters!$A$6:$A$57,0),MATCH(Inventories!$A1726,Parameters!$B$4:$AL$4,0))</f>
        <v>480</v>
      </c>
      <c r="C1726" t="s">
        <v>312</v>
      </c>
      <c r="D1726" s="2"/>
      <c r="E1726" s="2"/>
      <c r="F1726" s="2"/>
      <c r="G1726" s="2"/>
      <c r="H1726" s="2"/>
      <c r="I1726" s="2"/>
      <c r="J1726" s="2"/>
      <c r="K1726" s="2"/>
      <c r="L1726" s="2"/>
    </row>
    <row r="1727" spans="1:13" customFormat="1" ht="16" x14ac:dyDescent="0.2">
      <c r="A1727" t="s">
        <v>316</v>
      </c>
      <c r="B1727" s="24">
        <f>INDEX(Parameters!$B$6:$AL$57,MATCH(Inventories!$B$1715,Parameters!$A$6:$A$57,0),MATCH(Inventories!$A1727,Parameters!$B$4:$AL$4,0))</f>
        <v>1000000</v>
      </c>
      <c r="C1727" t="s">
        <v>313</v>
      </c>
      <c r="D1727" s="2"/>
      <c r="E1727" s="2"/>
      <c r="F1727" s="2"/>
      <c r="G1727" s="2"/>
      <c r="H1727" s="2"/>
      <c r="I1727" s="2"/>
      <c r="J1727" s="2"/>
      <c r="K1727" s="2"/>
      <c r="L1727" s="2"/>
    </row>
    <row r="1728" spans="1:13" customFormat="1" ht="16" x14ac:dyDescent="0.2">
      <c r="A1728" t="s">
        <v>317</v>
      </c>
      <c r="B1728" s="24">
        <f>INDEX(Parameters!$B$6:$AL$57,MATCH(Inventories!$B$1715,Parameters!$A$6:$A$57,0),MATCH(Inventories!$A1728,Parameters!$B$4:$AL$4,0))</f>
        <v>500000</v>
      </c>
      <c r="C1728" t="s">
        <v>313</v>
      </c>
      <c r="D1728" s="2"/>
      <c r="E1728" s="2"/>
      <c r="F1728" s="2"/>
      <c r="G1728" s="2"/>
      <c r="H1728" s="2"/>
      <c r="I1728" s="2"/>
      <c r="J1728" s="2"/>
      <c r="K1728" s="2"/>
      <c r="L1728" s="2"/>
    </row>
    <row r="1729" spans="1:12" customFormat="1" ht="16" x14ac:dyDescent="0.2">
      <c r="A1729" t="s">
        <v>318</v>
      </c>
      <c r="B1729" s="24">
        <f>INDEX(Parameters!$B$6:$AL$57,MATCH(Inventories!$B$1715,Parameters!$A$6:$A$57,0),MATCH(Inventories!$A1729,Parameters!$B$4:$AL$4,0))</f>
        <v>1200000</v>
      </c>
      <c r="C1729" t="s">
        <v>313</v>
      </c>
      <c r="D1729" s="2"/>
      <c r="E1729" s="2"/>
      <c r="F1729" s="2"/>
      <c r="G1729" s="2"/>
      <c r="H1729" s="2"/>
      <c r="I1729" s="2"/>
      <c r="J1729" s="2"/>
      <c r="K1729" s="2"/>
      <c r="L1729" s="2"/>
    </row>
    <row r="1730" spans="1:12" customFormat="1" ht="16" x14ac:dyDescent="0.2">
      <c r="A1730" t="s">
        <v>319</v>
      </c>
      <c r="B1730" s="2">
        <f>INDEX(Parameters!$B$6:$AL$57,MATCH(Inventories!$B$1715,Parameters!$A$6:$A$57,0),MATCH(Inventories!$A1730,Parameters!$B$4:$AL$4,0))</f>
        <v>7500</v>
      </c>
      <c r="C1730" t="s">
        <v>314</v>
      </c>
      <c r="D1730" s="2"/>
      <c r="E1730" s="2"/>
      <c r="F1730" s="2"/>
      <c r="G1730" s="2"/>
      <c r="H1730" s="2"/>
      <c r="I1730" s="2"/>
      <c r="J1730" s="2"/>
      <c r="K1730" s="2"/>
      <c r="L1730" s="2"/>
    </row>
    <row r="1731" spans="1:12" customFormat="1" ht="16" x14ac:dyDescent="0.2">
      <c r="A1731" t="s">
        <v>320</v>
      </c>
      <c r="B1731" s="2">
        <f>INDEX(Parameters!$B$6:$AL$57,MATCH(Inventories!$B$1715,Parameters!$A$6:$A$57,0),MATCH(Inventories!$A1731,Parameters!$B$4:$AL$4,0))</f>
        <v>3570</v>
      </c>
      <c r="C1731" t="s">
        <v>314</v>
      </c>
      <c r="D1731" s="2"/>
      <c r="E1731" s="2"/>
      <c r="F1731" s="2"/>
      <c r="G1731" s="2"/>
      <c r="H1731" s="2"/>
      <c r="I1731" s="2"/>
      <c r="J1731" s="2"/>
      <c r="K1731" s="2"/>
      <c r="L1731" s="2"/>
    </row>
    <row r="1732" spans="1:12" customFormat="1" ht="16" x14ac:dyDescent="0.2">
      <c r="A1732" t="s">
        <v>321</v>
      </c>
      <c r="B1732" s="2">
        <f>INDEX(Parameters!$B$6:$AL$57,MATCH(Inventories!$B$1715,Parameters!$A$6:$A$57,0),MATCH(Inventories!$A1732,Parameters!$B$4:$AL$4,0))</f>
        <v>10165</v>
      </c>
      <c r="C1732" t="s">
        <v>314</v>
      </c>
      <c r="D1732" s="2"/>
      <c r="E1732" s="2"/>
      <c r="F1732" s="2"/>
      <c r="G1732" s="2"/>
      <c r="H1732" s="2"/>
      <c r="I1732" s="2"/>
      <c r="J1732" s="2"/>
      <c r="K1732" s="2"/>
      <c r="L1732" s="2"/>
    </row>
    <row r="1733" spans="1:12" customFormat="1" ht="16" x14ac:dyDescent="0.2">
      <c r="A1733" t="s">
        <v>337</v>
      </c>
      <c r="B1733" s="2">
        <f>INDEX(Parameters!$B$6:$AL$57,MATCH(Inventories!$B$1715,Parameters!$A$6:$A$57,0),MATCH(Inventories!$A1733,Parameters!$B$4:$AL$4,0))</f>
        <v>0</v>
      </c>
      <c r="C1733" t="s">
        <v>336</v>
      </c>
      <c r="D1733" s="2"/>
      <c r="E1733" s="2"/>
      <c r="F1733" s="2"/>
      <c r="G1733" s="2"/>
      <c r="H1733" s="2"/>
      <c r="I1733" s="2"/>
      <c r="J1733" s="2"/>
      <c r="K1733" s="2"/>
      <c r="L1733" s="2"/>
    </row>
    <row r="1734" spans="1:12" customFormat="1" ht="16" x14ac:dyDescent="0.2">
      <c r="A1734" t="s">
        <v>338</v>
      </c>
      <c r="B1734" s="2">
        <f>INDEX(Parameters!$B$6:$AL$57,MATCH(Inventories!$B$1715,Parameters!$A$6:$A$57,0),MATCH(Inventories!$A1734,Parameters!$B$4:$AL$4,0))</f>
        <v>0</v>
      </c>
      <c r="C1734" t="s">
        <v>336</v>
      </c>
      <c r="D1734" s="2"/>
      <c r="E1734" s="2"/>
      <c r="F1734" s="2"/>
      <c r="G1734" s="2"/>
      <c r="H1734" s="2"/>
      <c r="I1734" s="2"/>
      <c r="J1734" s="2"/>
      <c r="K1734" s="2"/>
      <c r="L1734" s="2"/>
    </row>
    <row r="1735" spans="1:12" customFormat="1" ht="16" x14ac:dyDescent="0.2">
      <c r="A1735" t="s">
        <v>339</v>
      </c>
      <c r="B1735" s="2">
        <f>INDEX(Parameters!$B$6:$AL$57,MATCH(Inventories!$B$1715,Parameters!$A$6:$A$57,0),MATCH(Inventories!$A1735,Parameters!$B$4:$AL$4,0))</f>
        <v>0</v>
      </c>
      <c r="C1735" t="s">
        <v>336</v>
      </c>
      <c r="D1735" s="2"/>
      <c r="E1735" s="2"/>
      <c r="F1735" s="2"/>
      <c r="G1735" s="2"/>
      <c r="H1735" s="2"/>
      <c r="I1735" s="2"/>
      <c r="J1735" s="2"/>
      <c r="K1735" s="2"/>
      <c r="L1735" s="2"/>
    </row>
    <row r="1736" spans="1:12" customFormat="1" ht="16" x14ac:dyDescent="0.2">
      <c r="A1736" t="s">
        <v>340</v>
      </c>
      <c r="B1736" s="2">
        <f>INDEX(Parameters!$B$6:$AL$57,MATCH(Inventories!$B$1715,Parameters!$A$6:$A$57,0),MATCH(Inventories!$A1736,Parameters!$B$4:$AL$4,0))</f>
        <v>880</v>
      </c>
      <c r="C1736" t="s">
        <v>336</v>
      </c>
      <c r="D1736" s="2"/>
      <c r="E1736" s="2"/>
      <c r="F1736" s="2"/>
      <c r="G1736" s="2"/>
      <c r="H1736" s="2"/>
      <c r="I1736" s="2"/>
      <c r="J1736" s="2"/>
      <c r="K1736" s="2"/>
      <c r="L1736" s="2"/>
    </row>
    <row r="1737" spans="1:12" customFormat="1" ht="16" x14ac:dyDescent="0.2">
      <c r="A1737" t="s">
        <v>341</v>
      </c>
      <c r="B1737" s="2">
        <f>INDEX(Parameters!$B$6:$AL$57,MATCH(Inventories!$B$1715,Parameters!$A$6:$A$57,0),MATCH(Inventories!$A1737,Parameters!$B$4:$AL$4,0))</f>
        <v>470</v>
      </c>
      <c r="C1737" t="s">
        <v>336</v>
      </c>
      <c r="D1737" s="2"/>
      <c r="E1737" s="2"/>
      <c r="F1737" s="2"/>
      <c r="G1737" s="2"/>
      <c r="H1737" s="2"/>
      <c r="I1737" s="2"/>
      <c r="J1737" s="2"/>
      <c r="K1737" s="2"/>
      <c r="L1737" s="2"/>
    </row>
    <row r="1738" spans="1:12" customFormat="1" ht="16" x14ac:dyDescent="0.2">
      <c r="A1738" t="s">
        <v>342</v>
      </c>
      <c r="B1738" s="2">
        <f>INDEX(Parameters!$B$6:$AL$57,MATCH(Inventories!$B$1715,Parameters!$A$6:$A$57,0),MATCH(Inventories!$A1738,Parameters!$B$4:$AL$4,0))</f>
        <v>1000</v>
      </c>
      <c r="C1738" t="s">
        <v>336</v>
      </c>
      <c r="D1738" s="2"/>
      <c r="E1738" s="2"/>
      <c r="F1738" s="2"/>
      <c r="G1738" s="2"/>
      <c r="H1738" s="2"/>
      <c r="I1738" s="2"/>
      <c r="J1738" s="2"/>
      <c r="K1738" s="2"/>
      <c r="L1738" s="2"/>
    </row>
    <row r="1739" spans="1:12" customFormat="1" ht="16" x14ac:dyDescent="0.2">
      <c r="A1739" t="s">
        <v>333</v>
      </c>
      <c r="B1739" s="2">
        <f>INDEX(Parameters!$B$6:$AL$57,MATCH(Inventories!$B$1715,Parameters!$A$6:$A$57,0),MATCH(Inventories!$A1739,Parameters!$B$4:$AL$4,0))</f>
        <v>44</v>
      </c>
      <c r="C1739" t="s">
        <v>336</v>
      </c>
      <c r="D1739" s="2"/>
      <c r="E1739" s="2"/>
      <c r="F1739" s="2"/>
      <c r="G1739" s="2"/>
      <c r="H1739" s="2"/>
      <c r="I1739" s="2"/>
      <c r="J1739" s="2"/>
      <c r="K1739" s="2"/>
      <c r="L1739" s="2"/>
    </row>
    <row r="1740" spans="1:12" customFormat="1" ht="16" x14ac:dyDescent="0.2">
      <c r="A1740" t="s">
        <v>334</v>
      </c>
      <c r="B1740" s="2">
        <f>INDEX(Parameters!$B$6:$AL$57,MATCH(Inventories!$B$1715,Parameters!$A$6:$A$57,0),MATCH(Inventories!$A1740,Parameters!$B$4:$AL$4,0))</f>
        <v>33</v>
      </c>
      <c r="C1740" t="s">
        <v>336</v>
      </c>
      <c r="D1740" s="2"/>
      <c r="E1740" s="2"/>
      <c r="F1740" s="2"/>
      <c r="G1740" s="2"/>
      <c r="H1740" s="2"/>
      <c r="I1740" s="2"/>
      <c r="J1740" s="2"/>
      <c r="K1740" s="2"/>
      <c r="L1740" s="2"/>
    </row>
    <row r="1741" spans="1:12" customFormat="1" ht="16" x14ac:dyDescent="0.2">
      <c r="A1741" t="s">
        <v>335</v>
      </c>
      <c r="B1741" s="2">
        <f>INDEX(Parameters!$B$6:$AL$57,MATCH(Inventories!$B$1715,Parameters!$A$6:$A$57,0),MATCH(Inventories!$A1741,Parameters!$B$4:$AL$4,0))</f>
        <v>51</v>
      </c>
      <c r="C1741" t="s">
        <v>336</v>
      </c>
      <c r="D1741" s="2"/>
      <c r="E1741" s="2"/>
      <c r="F1741" s="2"/>
      <c r="G1741" s="2"/>
      <c r="H1741" s="2"/>
      <c r="I1741" s="2"/>
      <c r="J1741" s="2"/>
      <c r="K1741" s="2"/>
      <c r="L1741" s="2"/>
    </row>
    <row r="1742" spans="1:12" customFormat="1" ht="16" x14ac:dyDescent="0.2">
      <c r="A1742" t="s">
        <v>322</v>
      </c>
      <c r="B1742" s="2">
        <f>INDEX(Parameters!$B$6:$AL$57,MATCH(Inventories!$B$1715,Parameters!$A$6:$A$57,0),MATCH(Inventories!$A1742,Parameters!$B$4:$AL$4,0))</f>
        <v>0</v>
      </c>
      <c r="C1742" t="s">
        <v>315</v>
      </c>
      <c r="D1742" s="2"/>
      <c r="E1742" s="2"/>
      <c r="F1742" s="2"/>
      <c r="G1742" s="2"/>
      <c r="H1742" s="2"/>
      <c r="I1742" s="2"/>
      <c r="J1742" s="2"/>
      <c r="K1742" s="2"/>
      <c r="L1742" s="2"/>
    </row>
    <row r="1743" spans="1:12" customFormat="1" ht="16" x14ac:dyDescent="0.2">
      <c r="A1743" t="s">
        <v>323</v>
      </c>
      <c r="B1743" s="2">
        <f>INDEX(Parameters!$B$6:$AL$57,MATCH(Inventories!$B$1715,Parameters!$A$6:$A$57,0),MATCH(Inventories!$A1743,Parameters!$B$4:$AL$4,0))</f>
        <v>0</v>
      </c>
      <c r="C1743" t="s">
        <v>315</v>
      </c>
      <c r="D1743" s="2"/>
      <c r="E1743" s="2"/>
      <c r="F1743" s="2"/>
      <c r="G1743" s="2"/>
      <c r="H1743" s="2"/>
      <c r="I1743" s="2"/>
      <c r="J1743" s="2"/>
      <c r="K1743" s="2"/>
      <c r="L1743" s="2"/>
    </row>
    <row r="1744" spans="1:12" customFormat="1" ht="16" x14ac:dyDescent="0.2">
      <c r="A1744" t="s">
        <v>324</v>
      </c>
      <c r="B1744" s="2">
        <f>INDEX(Parameters!$B$6:$AL$57,MATCH(Inventories!$B$1715,Parameters!$A$6:$A$57,0),MATCH(Inventories!$A1744,Parameters!$B$4:$AL$4,0))</f>
        <v>0</v>
      </c>
      <c r="C1744" t="s">
        <v>315</v>
      </c>
      <c r="D1744" s="2"/>
      <c r="E1744" s="2"/>
      <c r="F1744" s="2"/>
      <c r="G1744" s="2"/>
      <c r="H1744" s="2"/>
      <c r="I1744" s="2"/>
      <c r="J1744" s="2"/>
      <c r="K1744" s="2"/>
      <c r="L1744" s="2"/>
    </row>
    <row r="1745" spans="1:12" customFormat="1" ht="16" x14ac:dyDescent="0.2">
      <c r="A1745" t="s">
        <v>330</v>
      </c>
      <c r="B1745" s="2">
        <f>INDEX(Parameters!$B$6:$AL$57,MATCH(Inventories!$B$1715,Parameters!$A$6:$A$57,0),MATCH(Inventories!$A1745,Parameters!$B$4:$AL$4,0))</f>
        <v>0</v>
      </c>
      <c r="C1745" t="s">
        <v>8</v>
      </c>
      <c r="D1745" s="2"/>
      <c r="E1745" s="2"/>
      <c r="F1745" s="2"/>
      <c r="G1745" s="2"/>
      <c r="H1745" s="2"/>
      <c r="I1745" s="2"/>
      <c r="J1745" s="2"/>
      <c r="K1745" s="2"/>
      <c r="L1745" s="2"/>
    </row>
    <row r="1746" spans="1:12" customFormat="1" ht="16" x14ac:dyDescent="0.2">
      <c r="A1746" t="s">
        <v>331</v>
      </c>
      <c r="B1746" s="2">
        <f>INDEX(Parameters!$B$6:$AL$57,MATCH(Inventories!$B$1715,Parameters!$A$6:$A$57,0),MATCH(Inventories!$A1746,Parameters!$B$4:$AL$4,0))</f>
        <v>0</v>
      </c>
      <c r="C1746" t="s">
        <v>8</v>
      </c>
      <c r="D1746" s="2"/>
      <c r="E1746" s="2"/>
      <c r="F1746" s="2"/>
      <c r="G1746" s="2"/>
      <c r="H1746" s="2"/>
      <c r="I1746" s="2"/>
      <c r="J1746" s="2"/>
      <c r="K1746" s="2"/>
      <c r="L1746" s="2"/>
    </row>
    <row r="1747" spans="1:12" customFormat="1" ht="16" x14ac:dyDescent="0.2">
      <c r="A1747" t="s">
        <v>332</v>
      </c>
      <c r="B1747" s="2">
        <f>INDEX(Parameters!$B$6:$AL$57,MATCH(Inventories!$B$1715,Parameters!$A$6:$A$57,0),MATCH(Inventories!$A1747,Parameters!$B$4:$AL$4,0))</f>
        <v>0</v>
      </c>
      <c r="C1747" t="s">
        <v>8</v>
      </c>
      <c r="D1747" s="2"/>
      <c r="E1747" s="2"/>
      <c r="F1747" s="2"/>
      <c r="G1747" s="2"/>
      <c r="H1747" s="2"/>
      <c r="I1747" s="2"/>
      <c r="J1747" s="2"/>
      <c r="K1747" s="2"/>
      <c r="L1747" s="2"/>
    </row>
    <row r="1748" spans="1:12" customFormat="1" ht="16" x14ac:dyDescent="0.2">
      <c r="A1748" t="s">
        <v>346</v>
      </c>
      <c r="B1748" s="2">
        <f>INDEX(Parameters!$B$6:$AL$57,MATCH(Inventories!$B$1715,Parameters!$A$6:$A$57,0),MATCH(Inventories!$A1748,Parameters!$B$4:$AL$4,0))</f>
        <v>0</v>
      </c>
      <c r="C1748" t="s">
        <v>312</v>
      </c>
      <c r="D1748" s="2"/>
      <c r="E1748" s="2"/>
      <c r="F1748" s="2"/>
      <c r="G1748" s="2"/>
      <c r="H1748" s="2"/>
      <c r="I1748" s="2"/>
      <c r="J1748" s="2"/>
      <c r="K1748" s="2"/>
      <c r="L1748" s="2"/>
    </row>
    <row r="1749" spans="1:12" customFormat="1" ht="16" x14ac:dyDescent="0.2">
      <c r="A1749" t="s">
        <v>347</v>
      </c>
      <c r="B1749" s="2">
        <f>INDEX(Parameters!$B$6:$AL$57,MATCH(Inventories!$B$1715,Parameters!$A$6:$A$57,0),MATCH(Inventories!$A1749,Parameters!$B$4:$AL$4,0))</f>
        <v>0</v>
      </c>
      <c r="C1749" t="s">
        <v>312</v>
      </c>
      <c r="D1749" s="2"/>
      <c r="E1749" s="12"/>
      <c r="F1749" s="2"/>
      <c r="G1749" s="2"/>
      <c r="H1749" s="2"/>
      <c r="I1749" s="2"/>
      <c r="J1749" s="2"/>
      <c r="K1749" s="2"/>
      <c r="L1749" s="2"/>
    </row>
    <row r="1750" spans="1:12" customFormat="1" ht="16" x14ac:dyDescent="0.2">
      <c r="A1750" t="s">
        <v>348</v>
      </c>
      <c r="B1750" s="2">
        <f>INDEX(Parameters!$B$6:$AL$57,MATCH(Inventories!$B$1715,Parameters!$A$6:$A$57,0),MATCH(Inventories!$A1750,Parameters!$B$4:$AL$4,0))</f>
        <v>0</v>
      </c>
      <c r="C1750" t="s">
        <v>312</v>
      </c>
      <c r="D1750" s="2"/>
      <c r="E1750" s="2"/>
      <c r="F1750" s="2"/>
      <c r="G1750" s="2"/>
      <c r="H1750" s="2"/>
      <c r="I1750" s="2"/>
      <c r="J1750" s="2"/>
      <c r="K1750" s="2"/>
      <c r="L1750" s="2"/>
    </row>
    <row r="1751" spans="1:12" customFormat="1" ht="16" x14ac:dyDescent="0.2">
      <c r="A1751" t="s">
        <v>349</v>
      </c>
      <c r="B1751" s="2">
        <f>INDEX(Parameters!$B$6:$AL$57,MATCH(Inventories!$B$1715,Parameters!$A$6:$A$57,0),MATCH(Inventories!$A1751,Parameters!$B$4:$AL$4,0))</f>
        <v>0</v>
      </c>
      <c r="C1751" t="s">
        <v>8</v>
      </c>
      <c r="D1751" s="2"/>
      <c r="E1751" s="2"/>
      <c r="F1751" s="2"/>
      <c r="G1751" s="2"/>
      <c r="H1751" s="2"/>
      <c r="I1751" s="2"/>
      <c r="J1751" s="2"/>
      <c r="K1751" s="2"/>
      <c r="L1751" s="2"/>
    </row>
    <row r="1752" spans="1:12" customFormat="1" ht="16" x14ac:dyDescent="0.2">
      <c r="A1752" t="s">
        <v>350</v>
      </c>
      <c r="B1752" s="2">
        <f>INDEX(Parameters!$B$6:$AL$57,MATCH(Inventories!$B$1715,Parameters!$A$6:$A$57,0),MATCH(Inventories!$A1752,Parameters!$B$4:$AL$4,0))</f>
        <v>0</v>
      </c>
      <c r="C1752" t="s">
        <v>8</v>
      </c>
      <c r="D1752" s="2"/>
      <c r="E1752" s="2"/>
      <c r="F1752" s="2"/>
      <c r="G1752" s="2"/>
      <c r="H1752" s="2"/>
      <c r="I1752" s="2"/>
      <c r="J1752" s="2"/>
      <c r="K1752" s="2"/>
      <c r="L1752" s="2"/>
    </row>
    <row r="1753" spans="1:12" customFormat="1" ht="16" x14ac:dyDescent="0.2">
      <c r="A1753" t="s">
        <v>351</v>
      </c>
      <c r="B1753" s="2">
        <f>INDEX(Parameters!$B$6:$AL$57,MATCH(Inventories!$B$1715,Parameters!$A$6:$A$57,0),MATCH(Inventories!$A1753,Parameters!$B$4:$AL$4,0))</f>
        <v>0</v>
      </c>
      <c r="C1753" t="s">
        <v>8</v>
      </c>
      <c r="D1753" s="2"/>
      <c r="E1753" s="2"/>
      <c r="F1753" s="2"/>
      <c r="G1753" s="2"/>
      <c r="H1753" s="2"/>
      <c r="I1753" s="2"/>
      <c r="J1753" s="2"/>
      <c r="K1753" s="2"/>
      <c r="L1753" s="2"/>
    </row>
    <row r="1754" spans="1:12" customFormat="1" ht="16" x14ac:dyDescent="0.2">
      <c r="A1754" t="s">
        <v>365</v>
      </c>
      <c r="B1754" s="2">
        <f>INDEX(Parameters!$B$6:$AL$57,MATCH(Inventories!$B$1715,Parameters!$A$6:$A$57,0),MATCH(Inventories!$A1754,Parameters!$B$4:$AL$4,0))</f>
        <v>0</v>
      </c>
      <c r="C1754" t="s">
        <v>336</v>
      </c>
      <c r="D1754" s="2"/>
      <c r="E1754" s="2"/>
      <c r="F1754" s="2"/>
      <c r="G1754" s="2"/>
      <c r="H1754" s="2"/>
      <c r="I1754" s="2"/>
      <c r="J1754" s="2"/>
      <c r="K1754" s="2"/>
      <c r="L1754" s="2"/>
    </row>
    <row r="1755" spans="1:12" customFormat="1" ht="16" x14ac:dyDescent="0.2">
      <c r="A1755" t="s">
        <v>366</v>
      </c>
      <c r="B1755" s="2">
        <f>INDEX(Parameters!$B$6:$AL$57,MATCH(Inventories!$B$1715,Parameters!$A$6:$A$57,0),MATCH(Inventories!$A1755,Parameters!$B$4:$AL$4,0))</f>
        <v>0</v>
      </c>
      <c r="C1755" t="s">
        <v>336</v>
      </c>
      <c r="D1755" s="2"/>
      <c r="E1755" s="2"/>
      <c r="F1755" s="2"/>
      <c r="G1755" s="2"/>
      <c r="H1755" s="2"/>
      <c r="I1755" s="2"/>
      <c r="J1755" s="2"/>
      <c r="K1755" s="2"/>
      <c r="L1755" s="2"/>
    </row>
    <row r="1756" spans="1:12" customFormat="1" ht="16" x14ac:dyDescent="0.2">
      <c r="A1756" t="s">
        <v>367</v>
      </c>
      <c r="B1756" s="2">
        <f>INDEX(Parameters!$B$6:$AL$57,MATCH(Inventories!$B$1715,Parameters!$A$6:$A$57,0),MATCH(Inventories!$A1756,Parameters!$B$4:$AL$4,0))</f>
        <v>0</v>
      </c>
      <c r="C1756" t="s">
        <v>336</v>
      </c>
      <c r="D1756" s="2"/>
      <c r="E1756" s="2"/>
      <c r="F1756" s="2"/>
      <c r="G1756" s="2"/>
      <c r="H1756" s="2"/>
      <c r="I1756" s="2"/>
      <c r="J1756" s="2"/>
      <c r="K1756" s="2"/>
      <c r="L1756" s="2"/>
    </row>
    <row r="1757" spans="1:12" customFormat="1" ht="16" x14ac:dyDescent="0.2">
      <c r="A1757" t="s">
        <v>368</v>
      </c>
      <c r="B1757" s="2">
        <f>INDEX(Parameters!$B$6:$AL$57,MATCH(Inventories!$B$1715,Parameters!$A$6:$A$57,0),MATCH(Inventories!$A1757,Parameters!$B$4:$AL$4,0))</f>
        <v>0</v>
      </c>
      <c r="C1757" t="s">
        <v>336</v>
      </c>
      <c r="D1757" s="2"/>
      <c r="E1757" s="2"/>
      <c r="F1757" s="2"/>
      <c r="G1757" s="2"/>
      <c r="H1757" s="2"/>
      <c r="I1757" s="2"/>
      <c r="J1757" s="2"/>
      <c r="K1757" s="2"/>
      <c r="L1757" s="2"/>
    </row>
    <row r="1758" spans="1:12" customFormat="1" ht="16" x14ac:dyDescent="0.2">
      <c r="A1758" t="s">
        <v>369</v>
      </c>
      <c r="B1758" s="2">
        <f>INDEX(Parameters!$B$6:$AL$57,MATCH(Inventories!$B$1715,Parameters!$A$6:$A$57,0),MATCH(Inventories!$A1758,Parameters!$B$4:$AL$4,0))</f>
        <v>0</v>
      </c>
      <c r="C1758" t="s">
        <v>336</v>
      </c>
      <c r="D1758" s="2"/>
      <c r="E1758" s="2"/>
      <c r="F1758" s="2"/>
      <c r="G1758" s="2"/>
      <c r="H1758" s="2"/>
      <c r="I1758" s="2"/>
      <c r="J1758" s="2"/>
      <c r="K1758" s="2"/>
      <c r="L1758" s="2"/>
    </row>
    <row r="1759" spans="1:12" customFormat="1" ht="16" x14ac:dyDescent="0.2">
      <c r="A1759" t="s">
        <v>344</v>
      </c>
      <c r="B1759" s="32">
        <f>INDEX(Parameters!$B$6:$AL$57,MATCH(Inventories!$B$1715,Parameters!$A$6:$A$57,0),MATCH(Inventories!$A1759,Parameters!$B$4:$AL$4,0))</f>
        <v>0.15823489199999999</v>
      </c>
      <c r="C1759" t="s">
        <v>345</v>
      </c>
      <c r="D1759" s="2"/>
      <c r="E1759" s="2"/>
      <c r="F1759" s="2"/>
      <c r="G1759" s="2"/>
      <c r="H1759" s="2"/>
      <c r="I1759" s="2"/>
      <c r="J1759" s="2"/>
      <c r="K1759" s="2"/>
      <c r="L1759" s="2"/>
    </row>
    <row r="1760" spans="1:12" customFormat="1" ht="16" x14ac:dyDescent="0.2">
      <c r="A1760" t="s">
        <v>343</v>
      </c>
      <c r="B1760" s="32">
        <f>INDEX(Parameters!$B$6:$AL$57,MATCH(Inventories!$B$1715,Parameters!$A$6:$A$57,0),MATCH(Inventories!$A1760,Parameters!$B$4:$AL$4,0))</f>
        <v>2.13184E-4</v>
      </c>
      <c r="C1760" t="s">
        <v>345</v>
      </c>
      <c r="D1760" s="2"/>
      <c r="E1760" s="2"/>
      <c r="F1760" s="2"/>
      <c r="G1760" s="2"/>
      <c r="H1760" s="2"/>
      <c r="I1760" s="2"/>
      <c r="J1760" s="2"/>
      <c r="K1760" s="2"/>
      <c r="L1760" s="2"/>
    </row>
    <row r="1761" spans="1:12" customFormat="1" ht="16" x14ac:dyDescent="0.2">
      <c r="A1761" s="1" t="s">
        <v>10</v>
      </c>
    </row>
    <row r="1762" spans="1:12" x14ac:dyDescent="0.2">
      <c r="A1762" s="17" t="s">
        <v>11</v>
      </c>
      <c r="B1762" s="17" t="s">
        <v>12</v>
      </c>
      <c r="C1762" s="17" t="s">
        <v>3</v>
      </c>
      <c r="D1762" s="17" t="s">
        <v>13</v>
      </c>
      <c r="E1762" s="17" t="s">
        <v>8</v>
      </c>
      <c r="F1762" s="17" t="s">
        <v>6</v>
      </c>
      <c r="G1762" s="17" t="s">
        <v>5</v>
      </c>
      <c r="H1762" s="17" t="s">
        <v>151</v>
      </c>
      <c r="I1762" s="17" t="s">
        <v>179</v>
      </c>
      <c r="J1762" s="17" t="s">
        <v>180</v>
      </c>
      <c r="K1762" s="17" t="s">
        <v>181</v>
      </c>
      <c r="L1762" s="17" t="s">
        <v>182</v>
      </c>
    </row>
    <row r="1763" spans="1:12" customFormat="1" ht="16" x14ac:dyDescent="0.2">
      <c r="A1763" s="22" t="s">
        <v>89</v>
      </c>
      <c r="B1763">
        <v>1</v>
      </c>
      <c r="C1763" t="s">
        <v>18</v>
      </c>
      <c r="D1763" t="s">
        <v>211</v>
      </c>
      <c r="E1763" t="s">
        <v>17</v>
      </c>
      <c r="F1763" t="s">
        <v>19</v>
      </c>
      <c r="G1763" t="s">
        <v>1</v>
      </c>
      <c r="H1763" s="2"/>
    </row>
    <row r="1764" spans="1:12" customFormat="1" ht="16" x14ac:dyDescent="0.2">
      <c r="A1764" t="s">
        <v>145</v>
      </c>
      <c r="B1764" s="3">
        <f>(B1736/B1727)/(B1730/1000)</f>
        <v>1.1733333333333334E-4</v>
      </c>
      <c r="C1764" t="s">
        <v>18</v>
      </c>
      <c r="D1764" t="s">
        <v>211</v>
      </c>
      <c r="E1764" t="s">
        <v>9</v>
      </c>
      <c r="F1764" t="s">
        <v>23</v>
      </c>
      <c r="G1764" t="s">
        <v>145</v>
      </c>
      <c r="H1764" s="2"/>
      <c r="I1764">
        <v>5</v>
      </c>
      <c r="J1764" s="3">
        <f>B1764</f>
        <v>1.1733333333333334E-4</v>
      </c>
      <c r="K1764" s="3">
        <f>(B1737/B1729)/(B1732/1000)</f>
        <v>3.8530906706017381E-5</v>
      </c>
      <c r="L1764" s="3">
        <f>(B1738/B1728)/(B1731/1000)</f>
        <v>5.6022408963585441E-4</v>
      </c>
    </row>
    <row r="1765" spans="1:12" customFormat="1" ht="16" x14ac:dyDescent="0.2">
      <c r="A1765" t="s">
        <v>200</v>
      </c>
      <c r="B1765" s="3">
        <f>(B1739/B1727)/(B1730/1000)</f>
        <v>5.8666666666666667E-6</v>
      </c>
      <c r="C1765" t="s">
        <v>18</v>
      </c>
      <c r="D1765" t="s">
        <v>211</v>
      </c>
      <c r="E1765" t="s">
        <v>9</v>
      </c>
      <c r="F1765" t="s">
        <v>23</v>
      </c>
      <c r="G1765" t="s">
        <v>201</v>
      </c>
      <c r="H1765" s="2"/>
      <c r="I1765">
        <v>5</v>
      </c>
      <c r="J1765" s="3">
        <f>B1765</f>
        <v>5.8666666666666667E-6</v>
      </c>
      <c r="K1765" s="3">
        <f>(B1740/B1729)/(B1732/1000)</f>
        <v>2.7053615346778165E-6</v>
      </c>
      <c r="L1765" s="3">
        <f>(B1741/B1728)/(B1731/1000)</f>
        <v>2.8571428571428571E-5</v>
      </c>
    </row>
    <row r="1766" spans="1:12" customFormat="1" ht="16" x14ac:dyDescent="0.2">
      <c r="A1766" s="2" t="s">
        <v>119</v>
      </c>
      <c r="B1766" s="30">
        <f>1/43</f>
        <v>2.3255813953488372E-2</v>
      </c>
      <c r="C1766" t="s">
        <v>27</v>
      </c>
      <c r="E1766" t="s">
        <v>9</v>
      </c>
      <c r="F1766" t="s">
        <v>23</v>
      </c>
      <c r="G1766" t="s">
        <v>44</v>
      </c>
      <c r="H1766" s="2"/>
    </row>
    <row r="1767" spans="1:12" customFormat="1" ht="16" x14ac:dyDescent="0.2">
      <c r="A1767" t="s">
        <v>59</v>
      </c>
      <c r="B1767">
        <v>1.1906151495612746E-9</v>
      </c>
      <c r="D1767" t="s">
        <v>14</v>
      </c>
      <c r="E1767" t="s">
        <v>9</v>
      </c>
      <c r="F1767" t="s">
        <v>15</v>
      </c>
      <c r="H1767" s="2"/>
    </row>
    <row r="1768" spans="1:12" customFormat="1" ht="16" x14ac:dyDescent="0.2">
      <c r="A1768" t="s">
        <v>245</v>
      </c>
      <c r="B1768">
        <v>8.8352086295850824E-8</v>
      </c>
      <c r="D1768" t="s">
        <v>116</v>
      </c>
      <c r="E1768" t="s">
        <v>9</v>
      </c>
      <c r="F1768" t="s">
        <v>15</v>
      </c>
      <c r="H1768" s="2"/>
    </row>
    <row r="1769" spans="1:12" customFormat="1" ht="16" x14ac:dyDescent="0.2">
      <c r="A1769" t="s">
        <v>80</v>
      </c>
      <c r="B1769">
        <v>3.8893428219001639E-8</v>
      </c>
      <c r="D1769" t="s">
        <v>14</v>
      </c>
      <c r="E1769" t="s">
        <v>9</v>
      </c>
      <c r="F1769" t="s">
        <v>15</v>
      </c>
      <c r="H1769" s="2"/>
    </row>
    <row r="1770" spans="1:12" customFormat="1" ht="16" x14ac:dyDescent="0.2">
      <c r="A1770" t="s">
        <v>49</v>
      </c>
      <c r="B1770">
        <v>5.4371425163298209E-8</v>
      </c>
      <c r="D1770" t="s">
        <v>14</v>
      </c>
      <c r="E1770" t="s">
        <v>9</v>
      </c>
      <c r="F1770" t="s">
        <v>15</v>
      </c>
      <c r="H1770" s="2"/>
    </row>
    <row r="1771" spans="1:12" customFormat="1" ht="16" x14ac:dyDescent="0.2">
      <c r="A1771" t="s">
        <v>48</v>
      </c>
      <c r="B1771">
        <v>1.240062968043404E-6</v>
      </c>
      <c r="D1771" t="s">
        <v>14</v>
      </c>
      <c r="E1771" t="s">
        <v>9</v>
      </c>
      <c r="F1771" t="s">
        <v>15</v>
      </c>
      <c r="H1771" s="2"/>
    </row>
    <row r="1772" spans="1:12" customFormat="1" ht="16" x14ac:dyDescent="0.2">
      <c r="A1772" t="s">
        <v>47</v>
      </c>
      <c r="B1772">
        <v>7.024629382411521E-8</v>
      </c>
      <c r="D1772" t="s">
        <v>14</v>
      </c>
      <c r="E1772" t="s">
        <v>9</v>
      </c>
      <c r="F1772" t="s">
        <v>15</v>
      </c>
      <c r="H1772" s="2"/>
    </row>
    <row r="1773" spans="1:12" customFormat="1" ht="16" x14ac:dyDescent="0.2">
      <c r="A1773" t="s">
        <v>77</v>
      </c>
      <c r="B1773">
        <v>4.6511627906976743E-7</v>
      </c>
      <c r="D1773" t="s">
        <v>116</v>
      </c>
      <c r="E1773" t="s">
        <v>9</v>
      </c>
      <c r="F1773" t="s">
        <v>15</v>
      </c>
      <c r="H1773" s="2"/>
    </row>
    <row r="1774" spans="1:12" customFormat="1" ht="16" x14ac:dyDescent="0.2">
      <c r="A1774" t="s">
        <v>65</v>
      </c>
      <c r="B1774">
        <v>7.9664689206792323E-8</v>
      </c>
      <c r="D1774" t="s">
        <v>14</v>
      </c>
      <c r="E1774" t="s">
        <v>9</v>
      </c>
      <c r="F1774" t="s">
        <v>15</v>
      </c>
      <c r="H1774" s="2"/>
    </row>
    <row r="1775" spans="1:12" customFormat="1" ht="16" x14ac:dyDescent="0.2">
      <c r="A1775" t="s">
        <v>76</v>
      </c>
      <c r="B1775">
        <v>2.2224816125143791E-8</v>
      </c>
      <c r="D1775" t="s">
        <v>14</v>
      </c>
      <c r="E1775" t="s">
        <v>9</v>
      </c>
      <c r="F1775" t="s">
        <v>15</v>
      </c>
      <c r="H1775" s="2"/>
    </row>
    <row r="1776" spans="1:12" customFormat="1" ht="16" x14ac:dyDescent="0.2">
      <c r="A1776" t="s">
        <v>58</v>
      </c>
      <c r="B1776">
        <v>3.9687171652042503E-6</v>
      </c>
      <c r="D1776" t="s">
        <v>14</v>
      </c>
      <c r="E1776" t="s">
        <v>9</v>
      </c>
      <c r="F1776" t="s">
        <v>15</v>
      </c>
      <c r="H1776" s="2"/>
    </row>
    <row r="1777" spans="1:8" customFormat="1" ht="16" x14ac:dyDescent="0.2">
      <c r="A1777" t="s">
        <v>232</v>
      </c>
      <c r="B1777">
        <v>2.6338739709305827E-6</v>
      </c>
      <c r="D1777" t="s">
        <v>14</v>
      </c>
      <c r="E1777" t="s">
        <v>9</v>
      </c>
      <c r="F1777" t="s">
        <v>15</v>
      </c>
      <c r="H1777" s="2"/>
    </row>
    <row r="1778" spans="1:8" customFormat="1" ht="16" x14ac:dyDescent="0.2">
      <c r="A1778" t="s">
        <v>61</v>
      </c>
      <c r="B1778">
        <v>3.3337224187715699E-7</v>
      </c>
      <c r="D1778" t="s">
        <v>14</v>
      </c>
      <c r="E1778" t="s">
        <v>9</v>
      </c>
      <c r="F1778" t="s">
        <v>15</v>
      </c>
      <c r="H1778" s="2"/>
    </row>
    <row r="1779" spans="1:8" customFormat="1" ht="16" x14ac:dyDescent="0.2">
      <c r="A1779" t="s">
        <v>241</v>
      </c>
      <c r="B1779">
        <v>1.229967209887436E-10</v>
      </c>
      <c r="D1779" t="s">
        <v>14</v>
      </c>
      <c r="E1779" t="s">
        <v>9</v>
      </c>
      <c r="F1779" t="s">
        <v>15</v>
      </c>
      <c r="H1779" s="2"/>
    </row>
    <row r="1780" spans="1:8" customFormat="1" ht="16" x14ac:dyDescent="0.2">
      <c r="A1780" t="s">
        <v>239</v>
      </c>
      <c r="B1780">
        <v>2.0499453498123931E-10</v>
      </c>
      <c r="D1780" t="s">
        <v>14</v>
      </c>
      <c r="E1780" t="s">
        <v>9</v>
      </c>
      <c r="F1780" t="s">
        <v>15</v>
      </c>
      <c r="H1780" s="2"/>
    </row>
    <row r="1781" spans="1:8" customFormat="1" ht="16" x14ac:dyDescent="0.2">
      <c r="A1781" t="s">
        <v>231</v>
      </c>
      <c r="B1781">
        <f>B1760/1000</f>
        <v>2.1318399999999999E-7</v>
      </c>
      <c r="D1781" t="s">
        <v>14</v>
      </c>
      <c r="E1781" t="s">
        <v>9</v>
      </c>
      <c r="F1781" t="s">
        <v>15</v>
      </c>
      <c r="H1781" s="2"/>
    </row>
    <row r="1782" spans="1:8" customFormat="1" ht="16" x14ac:dyDescent="0.2">
      <c r="A1782" t="s">
        <v>53</v>
      </c>
      <c r="B1782">
        <f>B1766*3.15</f>
        <v>7.3255813953488375E-2</v>
      </c>
      <c r="D1782" t="s">
        <v>116</v>
      </c>
      <c r="E1782" t="s">
        <v>9</v>
      </c>
      <c r="F1782" t="s">
        <v>15</v>
      </c>
      <c r="H1782" s="2"/>
    </row>
    <row r="1783" spans="1:8" customFormat="1" ht="16" x14ac:dyDescent="0.2">
      <c r="A1783" t="s">
        <v>235</v>
      </c>
      <c r="B1783">
        <v>2.3299378853965246E-12</v>
      </c>
      <c r="D1783" t="s">
        <v>14</v>
      </c>
      <c r="E1783" t="s">
        <v>9</v>
      </c>
      <c r="F1783" t="s">
        <v>15</v>
      </c>
      <c r="H1783" s="2"/>
    </row>
    <row r="1784" spans="1:8" customFormat="1" ht="16" x14ac:dyDescent="0.2">
      <c r="A1784" t="s">
        <v>69</v>
      </c>
      <c r="B1784">
        <f>B1759/1000</f>
        <v>1.5823489199999998E-4</v>
      </c>
      <c r="D1784" t="s">
        <v>14</v>
      </c>
      <c r="E1784" t="s">
        <v>9</v>
      </c>
      <c r="F1784" t="s">
        <v>15</v>
      </c>
      <c r="H1784" s="2"/>
    </row>
    <row r="1785" spans="1:8" customFormat="1" ht="16" x14ac:dyDescent="0.2">
      <c r="A1785" t="s">
        <v>242</v>
      </c>
      <c r="B1785">
        <v>2.0199461495712361E-10</v>
      </c>
      <c r="D1785" t="s">
        <v>14</v>
      </c>
      <c r="E1785" t="s">
        <v>9</v>
      </c>
      <c r="F1785" t="s">
        <v>15</v>
      </c>
      <c r="H1785" s="2"/>
    </row>
    <row r="1786" spans="1:8" customFormat="1" ht="16" x14ac:dyDescent="0.2">
      <c r="A1786" t="s">
        <v>81</v>
      </c>
      <c r="B1786">
        <v>1.5874868660816998E-8</v>
      </c>
      <c r="D1786" t="s">
        <v>14</v>
      </c>
      <c r="E1786" t="s">
        <v>9</v>
      </c>
      <c r="F1786" t="s">
        <v>15</v>
      </c>
      <c r="H1786" s="2"/>
    </row>
    <row r="1787" spans="1:8" customFormat="1" ht="16" x14ac:dyDescent="0.2">
      <c r="A1787" t="s">
        <v>56</v>
      </c>
      <c r="B1787">
        <v>1.3999626779206586E-12</v>
      </c>
      <c r="D1787" t="s">
        <v>14</v>
      </c>
      <c r="E1787" t="s">
        <v>9</v>
      </c>
      <c r="F1787" t="s">
        <v>15</v>
      </c>
      <c r="H1787" s="2"/>
    </row>
    <row r="1788" spans="1:8" customFormat="1" ht="16" x14ac:dyDescent="0.2">
      <c r="A1788" t="s">
        <v>246</v>
      </c>
      <c r="B1788">
        <v>3.3193620217056908E-6</v>
      </c>
      <c r="D1788" t="s">
        <v>14</v>
      </c>
      <c r="E1788" t="s">
        <v>9</v>
      </c>
      <c r="F1788" t="s">
        <v>15</v>
      </c>
      <c r="H1788" s="2"/>
    </row>
    <row r="1789" spans="1:8" customFormat="1" ht="16" x14ac:dyDescent="0.2">
      <c r="A1789" t="s">
        <v>72</v>
      </c>
      <c r="B1789">
        <v>2.3812302991225493E-9</v>
      </c>
      <c r="D1789" t="s">
        <v>14</v>
      </c>
      <c r="E1789" t="s">
        <v>9</v>
      </c>
      <c r="F1789" t="s">
        <v>15</v>
      </c>
      <c r="H1789" s="2"/>
    </row>
    <row r="1790" spans="1:8" customFormat="1" ht="16" x14ac:dyDescent="0.2">
      <c r="A1790" t="s">
        <v>236</v>
      </c>
      <c r="B1790">
        <v>2.3299378853965246E-12</v>
      </c>
      <c r="D1790" t="s">
        <v>14</v>
      </c>
      <c r="E1790" t="s">
        <v>9</v>
      </c>
      <c r="F1790" t="s">
        <v>15</v>
      </c>
      <c r="H1790" s="2"/>
    </row>
    <row r="1791" spans="1:8" customFormat="1" ht="16" x14ac:dyDescent="0.2">
      <c r="A1791" t="s">
        <v>78</v>
      </c>
      <c r="B1791">
        <v>3.968717165204249E-10</v>
      </c>
      <c r="D1791" t="s">
        <v>14</v>
      </c>
      <c r="E1791" t="s">
        <v>9</v>
      </c>
      <c r="F1791" t="s">
        <v>15</v>
      </c>
      <c r="H1791" s="2"/>
    </row>
    <row r="1792" spans="1:8" customFormat="1" ht="16" x14ac:dyDescent="0.2">
      <c r="A1792" t="s">
        <v>62</v>
      </c>
      <c r="B1792">
        <v>1.1906151495612748E-8</v>
      </c>
      <c r="D1792" t="s">
        <v>14</v>
      </c>
      <c r="E1792" t="s">
        <v>9</v>
      </c>
      <c r="F1792" t="s">
        <v>15</v>
      </c>
      <c r="H1792" s="2"/>
    </row>
    <row r="1793" spans="1:8" customFormat="1" ht="16" x14ac:dyDescent="0.2">
      <c r="A1793" t="s">
        <v>51</v>
      </c>
      <c r="B1793">
        <v>5.9530757478063763E-9</v>
      </c>
      <c r="D1793" t="s">
        <v>14</v>
      </c>
      <c r="E1793" t="s">
        <v>9</v>
      </c>
      <c r="F1793" t="s">
        <v>15</v>
      </c>
      <c r="H1793" s="2"/>
    </row>
    <row r="1794" spans="1:8" customFormat="1" ht="16" x14ac:dyDescent="0.2">
      <c r="A1794" t="s">
        <v>54</v>
      </c>
      <c r="B1794">
        <v>2.879508180308284E-5</v>
      </c>
      <c r="D1794" t="s">
        <v>14</v>
      </c>
      <c r="E1794" t="s">
        <v>9</v>
      </c>
      <c r="F1794" t="s">
        <v>15</v>
      </c>
      <c r="H1794" s="2"/>
    </row>
    <row r="1795" spans="1:8" customFormat="1" ht="16" x14ac:dyDescent="0.2">
      <c r="A1795" t="s">
        <v>237</v>
      </c>
      <c r="B1795">
        <v>4.0498920325561916E-8</v>
      </c>
      <c r="D1795" t="s">
        <v>14</v>
      </c>
      <c r="E1795" t="s">
        <v>9</v>
      </c>
      <c r="F1795" t="s">
        <v>15</v>
      </c>
      <c r="H1795" s="2"/>
    </row>
    <row r="1796" spans="1:8" customFormat="1" ht="16" x14ac:dyDescent="0.2">
      <c r="A1796" t="s">
        <v>50</v>
      </c>
      <c r="B1796">
        <v>5.543334554775583E-8</v>
      </c>
      <c r="D1796" t="s">
        <v>14</v>
      </c>
      <c r="E1796" t="s">
        <v>9</v>
      </c>
      <c r="F1796" t="s">
        <v>15</v>
      </c>
      <c r="H1796" s="2"/>
    </row>
    <row r="1797" spans="1:8" customFormat="1" ht="16" x14ac:dyDescent="0.2">
      <c r="A1797" t="s">
        <v>73</v>
      </c>
      <c r="B1797">
        <v>3.9687171652042487E-9</v>
      </c>
      <c r="D1797" t="s">
        <v>14</v>
      </c>
      <c r="E1797" t="s">
        <v>9</v>
      </c>
      <c r="F1797" t="s">
        <v>15</v>
      </c>
      <c r="H1797" s="2"/>
    </row>
    <row r="1798" spans="1:8" customFormat="1" ht="16" x14ac:dyDescent="0.2">
      <c r="A1798" t="s">
        <v>240</v>
      </c>
      <c r="B1798">
        <v>6.9798139227758525E-10</v>
      </c>
      <c r="D1798" t="s">
        <v>14</v>
      </c>
      <c r="E1798" t="s">
        <v>9</v>
      </c>
      <c r="F1798" t="s">
        <v>15</v>
      </c>
      <c r="H1798" s="2"/>
    </row>
    <row r="1799" spans="1:8" customFormat="1" ht="16" x14ac:dyDescent="0.2">
      <c r="A1799" t="s">
        <v>70</v>
      </c>
      <c r="B1799">
        <v>1.8199514812968563E-9</v>
      </c>
      <c r="D1799" t="s">
        <v>14</v>
      </c>
      <c r="E1799" t="s">
        <v>9</v>
      </c>
      <c r="F1799" t="s">
        <v>15</v>
      </c>
      <c r="H1799" s="2"/>
    </row>
    <row r="1800" spans="1:8" customFormat="1" ht="16" x14ac:dyDescent="0.2">
      <c r="A1800" t="s">
        <v>238</v>
      </c>
      <c r="B1800">
        <v>4.9298685729634615E-10</v>
      </c>
      <c r="D1800" t="s">
        <v>14</v>
      </c>
      <c r="E1800" t="s">
        <v>9</v>
      </c>
      <c r="F1800" t="s">
        <v>15</v>
      </c>
      <c r="H1800" s="2"/>
    </row>
    <row r="1801" spans="1:8" customFormat="1" ht="16" x14ac:dyDescent="0.2">
      <c r="A1801" t="s">
        <v>45</v>
      </c>
      <c r="B1801">
        <v>1.8137037444983413E-7</v>
      </c>
      <c r="D1801" t="s">
        <v>14</v>
      </c>
      <c r="E1801" t="s">
        <v>9</v>
      </c>
      <c r="F1801" t="s">
        <v>15</v>
      </c>
      <c r="H1801" s="2"/>
    </row>
    <row r="1802" spans="1:8" customFormat="1" ht="16" x14ac:dyDescent="0.2">
      <c r="B1802" s="3"/>
      <c r="H1802" s="2"/>
    </row>
    <row r="1803" spans="1:8" x14ac:dyDescent="0.2">
      <c r="A1803" s="17" t="s">
        <v>2</v>
      </c>
      <c r="B1803" s="17" t="s">
        <v>272</v>
      </c>
    </row>
    <row r="1804" spans="1:8" customFormat="1" ht="16" x14ac:dyDescent="0.2">
      <c r="A1804" t="s">
        <v>3</v>
      </c>
      <c r="B1804" t="s">
        <v>18</v>
      </c>
      <c r="H1804" s="2"/>
    </row>
    <row r="1805" spans="1:8" customFormat="1" ht="16" x14ac:dyDescent="0.2">
      <c r="A1805" t="s">
        <v>4</v>
      </c>
      <c r="B1805">
        <v>1</v>
      </c>
      <c r="H1805" s="2"/>
    </row>
    <row r="1806" spans="1:8" customFormat="1" ht="16" x14ac:dyDescent="0.2">
      <c r="A1806" t="s">
        <v>5</v>
      </c>
      <c r="B1806" t="s">
        <v>1</v>
      </c>
      <c r="H1806" s="2"/>
    </row>
    <row r="1807" spans="1:8" customFormat="1" ht="16" x14ac:dyDescent="0.2">
      <c r="A1807" t="s">
        <v>6</v>
      </c>
      <c r="B1807" t="s">
        <v>7</v>
      </c>
      <c r="H1807" s="2"/>
    </row>
    <row r="1808" spans="1:8" customFormat="1" ht="16" x14ac:dyDescent="0.2">
      <c r="A1808" t="s">
        <v>8</v>
      </c>
      <c r="B1808" t="s">
        <v>17</v>
      </c>
      <c r="H1808" s="2"/>
    </row>
    <row r="1809" spans="1:12" customFormat="1" ht="16" x14ac:dyDescent="0.2">
      <c r="A1809" t="s">
        <v>204</v>
      </c>
      <c r="B1809" t="s">
        <v>205</v>
      </c>
      <c r="H1809" s="2"/>
    </row>
    <row r="1810" spans="1:12" customFormat="1" ht="16" x14ac:dyDescent="0.2">
      <c r="A1810" t="s">
        <v>198</v>
      </c>
      <c r="B1810" t="s">
        <v>243</v>
      </c>
      <c r="H1810" s="2"/>
    </row>
    <row r="1811" spans="1:12" customFormat="1" ht="16" x14ac:dyDescent="0.2">
      <c r="A1811" t="s">
        <v>151</v>
      </c>
      <c r="B1811" t="s">
        <v>244</v>
      </c>
      <c r="H1811" s="2"/>
    </row>
    <row r="1812" spans="1:12" customFormat="1" ht="16" x14ac:dyDescent="0.2">
      <c r="A1812" t="s">
        <v>352</v>
      </c>
      <c r="B1812" s="2">
        <f>INDEX(Parameters!$B$6:$AL$57,MATCH(Inventories!$B$1803,Parameters!$A$6:$A$57,0),MATCH(Inventories!$A1812,Parameters!$B$4:$AL$4,0))</f>
        <v>300</v>
      </c>
      <c r="C1812" t="s">
        <v>312</v>
      </c>
      <c r="D1812" s="2"/>
      <c r="E1812" s="2"/>
      <c r="F1812" s="2"/>
      <c r="G1812" s="2"/>
      <c r="H1812" s="2"/>
      <c r="I1812" s="2"/>
      <c r="J1812" s="2"/>
      <c r="K1812" s="2"/>
      <c r="L1812" s="2"/>
    </row>
    <row r="1813" spans="1:12" customFormat="1" ht="16" x14ac:dyDescent="0.2">
      <c r="A1813" t="s">
        <v>353</v>
      </c>
      <c r="B1813" s="2">
        <f>INDEX(Parameters!$B$6:$AL$57,MATCH(Inventories!$B$1803,Parameters!$A$6:$A$57,0),MATCH(Inventories!$A1813,Parameters!$B$4:$AL$4,0))</f>
        <v>135</v>
      </c>
      <c r="C1813" t="s">
        <v>312</v>
      </c>
      <c r="D1813" s="2"/>
      <c r="E1813" s="2"/>
      <c r="F1813" s="2"/>
      <c r="G1813" s="2"/>
      <c r="H1813" s="2"/>
      <c r="I1813" s="2"/>
      <c r="J1813" s="2"/>
      <c r="K1813" s="2"/>
      <c r="L1813" s="2"/>
    </row>
    <row r="1814" spans="1:12" customFormat="1" ht="16" x14ac:dyDescent="0.2">
      <c r="A1814" t="s">
        <v>354</v>
      </c>
      <c r="B1814" s="2">
        <f>INDEX(Parameters!$B$6:$AL$57,MATCH(Inventories!$B$1803,Parameters!$A$6:$A$57,0),MATCH(Inventories!$A1814,Parameters!$B$4:$AL$4,0))</f>
        <v>480</v>
      </c>
      <c r="C1814" t="s">
        <v>312</v>
      </c>
      <c r="D1814" s="2"/>
      <c r="E1814" s="2"/>
      <c r="F1814" s="2"/>
      <c r="G1814" s="2"/>
      <c r="H1814" s="2"/>
      <c r="I1814" s="2"/>
      <c r="J1814" s="2"/>
      <c r="K1814" s="2"/>
      <c r="L1814" s="2"/>
    </row>
    <row r="1815" spans="1:12" customFormat="1" ht="16" x14ac:dyDescent="0.2">
      <c r="A1815" t="s">
        <v>316</v>
      </c>
      <c r="B1815" s="24">
        <f>INDEX(Parameters!$B$6:$AL$57,MATCH(Inventories!$B$1803,Parameters!$A$6:$A$57,0),MATCH(Inventories!$A1815,Parameters!$B$4:$AL$4,0))</f>
        <v>1000000</v>
      </c>
      <c r="C1815" t="s">
        <v>313</v>
      </c>
      <c r="D1815" s="2"/>
      <c r="E1815" s="2"/>
      <c r="F1815" s="2"/>
      <c r="G1815" s="2"/>
      <c r="H1815" s="2"/>
      <c r="I1815" s="2"/>
      <c r="J1815" s="2"/>
      <c r="K1815" s="2"/>
      <c r="L1815" s="2"/>
    </row>
    <row r="1816" spans="1:12" customFormat="1" ht="16" x14ac:dyDescent="0.2">
      <c r="A1816" t="s">
        <v>317</v>
      </c>
      <c r="B1816" s="24">
        <f>INDEX(Parameters!$B$6:$AL$57,MATCH(Inventories!$B$1803,Parameters!$A$6:$A$57,0),MATCH(Inventories!$A1816,Parameters!$B$4:$AL$4,0))</f>
        <v>500000</v>
      </c>
      <c r="C1816" t="s">
        <v>313</v>
      </c>
      <c r="D1816" s="2"/>
      <c r="E1816" s="2"/>
      <c r="F1816" s="2"/>
      <c r="G1816" s="2"/>
      <c r="H1816" s="2"/>
      <c r="I1816" s="2"/>
      <c r="J1816" s="2"/>
      <c r="K1816" s="2"/>
      <c r="L1816" s="2"/>
    </row>
    <row r="1817" spans="1:12" customFormat="1" ht="16" x14ac:dyDescent="0.2">
      <c r="A1817" t="s">
        <v>318</v>
      </c>
      <c r="B1817" s="24">
        <f>INDEX(Parameters!$B$6:$AL$57,MATCH(Inventories!$B$1803,Parameters!$A$6:$A$57,0),MATCH(Inventories!$A1817,Parameters!$B$4:$AL$4,0))</f>
        <v>1200000</v>
      </c>
      <c r="C1817" t="s">
        <v>313</v>
      </c>
      <c r="D1817" s="2"/>
      <c r="E1817" s="2"/>
      <c r="F1817" s="2"/>
      <c r="G1817" s="2"/>
      <c r="H1817" s="2"/>
      <c r="I1817" s="2"/>
      <c r="J1817" s="2"/>
      <c r="K1817" s="2"/>
      <c r="L1817" s="2"/>
    </row>
    <row r="1818" spans="1:12" customFormat="1" ht="16" x14ac:dyDescent="0.2">
      <c r="A1818" t="s">
        <v>319</v>
      </c>
      <c r="B1818" s="2">
        <f>INDEX(Parameters!$B$6:$AL$57,MATCH(Inventories!$B$1803,Parameters!$A$6:$A$57,0),MATCH(Inventories!$A1818,Parameters!$B$4:$AL$4,0))</f>
        <v>7500</v>
      </c>
      <c r="C1818" t="s">
        <v>314</v>
      </c>
      <c r="D1818" s="2"/>
      <c r="E1818" s="2"/>
      <c r="F1818" s="2"/>
      <c r="G1818" s="2"/>
      <c r="H1818" s="2"/>
      <c r="I1818" s="2"/>
      <c r="J1818" s="2"/>
      <c r="K1818" s="2"/>
      <c r="L1818" s="2"/>
    </row>
    <row r="1819" spans="1:12" customFormat="1" ht="16" x14ac:dyDescent="0.2">
      <c r="A1819" t="s">
        <v>320</v>
      </c>
      <c r="B1819" s="2">
        <f>INDEX(Parameters!$B$6:$AL$57,MATCH(Inventories!$B$1803,Parameters!$A$6:$A$57,0),MATCH(Inventories!$A1819,Parameters!$B$4:$AL$4,0))</f>
        <v>3570</v>
      </c>
      <c r="C1819" t="s">
        <v>314</v>
      </c>
      <c r="D1819" s="2"/>
      <c r="E1819" s="2"/>
      <c r="F1819" s="2"/>
      <c r="G1819" s="2"/>
      <c r="H1819" s="2"/>
      <c r="I1819" s="2"/>
      <c r="J1819" s="2"/>
      <c r="K1819" s="2"/>
      <c r="L1819" s="2"/>
    </row>
    <row r="1820" spans="1:12" customFormat="1" ht="16" x14ac:dyDescent="0.2">
      <c r="A1820" t="s">
        <v>321</v>
      </c>
      <c r="B1820" s="2">
        <f>INDEX(Parameters!$B$6:$AL$57,MATCH(Inventories!$B$1803,Parameters!$A$6:$A$57,0),MATCH(Inventories!$A1820,Parameters!$B$4:$AL$4,0))</f>
        <v>10165</v>
      </c>
      <c r="C1820" t="s">
        <v>314</v>
      </c>
      <c r="D1820" s="2"/>
      <c r="E1820" s="2"/>
      <c r="F1820" s="2"/>
      <c r="G1820" s="2"/>
      <c r="H1820" s="2"/>
      <c r="I1820" s="2"/>
      <c r="J1820" s="2"/>
      <c r="K1820" s="2"/>
      <c r="L1820" s="2"/>
    </row>
    <row r="1821" spans="1:12" customFormat="1" ht="16" x14ac:dyDescent="0.2">
      <c r="A1821" t="s">
        <v>337</v>
      </c>
      <c r="B1821" s="2">
        <f>INDEX(Parameters!$B$6:$AL$57,MATCH(Inventories!$B$1803,Parameters!$A$6:$A$57,0),MATCH(Inventories!$A1821,Parameters!$B$4:$AL$4,0))</f>
        <v>0</v>
      </c>
      <c r="C1821" t="s">
        <v>336</v>
      </c>
      <c r="D1821" s="2"/>
      <c r="E1821" s="2"/>
      <c r="F1821" s="2"/>
      <c r="G1821" s="2"/>
      <c r="H1821" s="2"/>
      <c r="I1821" s="2"/>
      <c r="J1821" s="2"/>
      <c r="K1821" s="2"/>
      <c r="L1821" s="2"/>
    </row>
    <row r="1822" spans="1:12" customFormat="1" ht="16" x14ac:dyDescent="0.2">
      <c r="A1822" t="s">
        <v>338</v>
      </c>
      <c r="B1822" s="2">
        <f>INDEX(Parameters!$B$6:$AL$57,MATCH(Inventories!$B$1803,Parameters!$A$6:$A$57,0),MATCH(Inventories!$A1822,Parameters!$B$4:$AL$4,0))</f>
        <v>0</v>
      </c>
      <c r="C1822" t="s">
        <v>336</v>
      </c>
      <c r="D1822" s="2"/>
      <c r="E1822" s="2"/>
      <c r="F1822" s="2"/>
      <c r="G1822" s="2"/>
      <c r="H1822" s="2"/>
      <c r="I1822" s="2"/>
      <c r="J1822" s="2"/>
      <c r="K1822" s="2"/>
      <c r="L1822" s="2"/>
    </row>
    <row r="1823" spans="1:12" customFormat="1" ht="16" x14ac:dyDescent="0.2">
      <c r="A1823" t="s">
        <v>339</v>
      </c>
      <c r="B1823" s="2">
        <f>INDEX(Parameters!$B$6:$AL$57,MATCH(Inventories!$B$1803,Parameters!$A$6:$A$57,0),MATCH(Inventories!$A1823,Parameters!$B$4:$AL$4,0))</f>
        <v>0</v>
      </c>
      <c r="C1823" t="s">
        <v>336</v>
      </c>
      <c r="D1823" s="2"/>
      <c r="E1823" s="2"/>
      <c r="F1823" s="2"/>
      <c r="G1823" s="2"/>
      <c r="H1823" s="2"/>
      <c r="I1823" s="2"/>
      <c r="J1823" s="2"/>
      <c r="K1823" s="2"/>
      <c r="L1823" s="2"/>
    </row>
    <row r="1824" spans="1:12" customFormat="1" ht="16" x14ac:dyDescent="0.2">
      <c r="A1824" t="s">
        <v>340</v>
      </c>
      <c r="B1824" s="2">
        <f>INDEX(Parameters!$B$6:$AL$57,MATCH(Inventories!$B$1803,Parameters!$A$6:$A$57,0),MATCH(Inventories!$A1824,Parameters!$B$4:$AL$4,0))</f>
        <v>880</v>
      </c>
      <c r="C1824" t="s">
        <v>336</v>
      </c>
      <c r="D1824" s="2"/>
      <c r="E1824" s="2"/>
      <c r="F1824" s="2"/>
      <c r="G1824" s="2"/>
      <c r="H1824" s="2"/>
      <c r="I1824" s="2"/>
      <c r="J1824" s="2"/>
      <c r="K1824" s="2"/>
      <c r="L1824" s="2"/>
    </row>
    <row r="1825" spans="1:12" customFormat="1" ht="16" x14ac:dyDescent="0.2">
      <c r="A1825" t="s">
        <v>341</v>
      </c>
      <c r="B1825" s="2">
        <f>INDEX(Parameters!$B$6:$AL$57,MATCH(Inventories!$B$1803,Parameters!$A$6:$A$57,0),MATCH(Inventories!$A1825,Parameters!$B$4:$AL$4,0))</f>
        <v>470</v>
      </c>
      <c r="C1825" t="s">
        <v>336</v>
      </c>
      <c r="D1825" s="2"/>
      <c r="E1825" s="2"/>
      <c r="F1825" s="2"/>
      <c r="G1825" s="2"/>
      <c r="H1825" s="2"/>
      <c r="I1825" s="2"/>
      <c r="J1825" s="2"/>
      <c r="K1825" s="2"/>
      <c r="L1825" s="2"/>
    </row>
    <row r="1826" spans="1:12" customFormat="1" ht="16" x14ac:dyDescent="0.2">
      <c r="A1826" t="s">
        <v>342</v>
      </c>
      <c r="B1826" s="2">
        <f>INDEX(Parameters!$B$6:$AL$57,MATCH(Inventories!$B$1803,Parameters!$A$6:$A$57,0),MATCH(Inventories!$A1826,Parameters!$B$4:$AL$4,0))</f>
        <v>1000</v>
      </c>
      <c r="C1826" t="s">
        <v>336</v>
      </c>
      <c r="D1826" s="2"/>
      <c r="E1826" s="2"/>
      <c r="F1826" s="2"/>
      <c r="G1826" s="2"/>
      <c r="H1826" s="2"/>
      <c r="I1826" s="2"/>
      <c r="J1826" s="2"/>
      <c r="K1826" s="2"/>
      <c r="L1826" s="2"/>
    </row>
    <row r="1827" spans="1:12" customFormat="1" ht="16" x14ac:dyDescent="0.2">
      <c r="A1827" t="s">
        <v>333</v>
      </c>
      <c r="B1827" s="2">
        <f>INDEX(Parameters!$B$6:$AL$57,MATCH(Inventories!$B$1803,Parameters!$A$6:$A$57,0),MATCH(Inventories!$A1827,Parameters!$B$4:$AL$4,0))</f>
        <v>44</v>
      </c>
      <c r="C1827" t="s">
        <v>336</v>
      </c>
      <c r="D1827" s="2"/>
      <c r="E1827" s="2"/>
      <c r="F1827" s="2"/>
      <c r="G1827" s="2"/>
      <c r="H1827" s="2"/>
      <c r="I1827" s="2"/>
      <c r="J1827" s="2"/>
      <c r="K1827" s="2"/>
      <c r="L1827" s="2"/>
    </row>
    <row r="1828" spans="1:12" customFormat="1" ht="16" x14ac:dyDescent="0.2">
      <c r="A1828" t="s">
        <v>334</v>
      </c>
      <c r="B1828" s="2">
        <f>INDEX(Parameters!$B$6:$AL$57,MATCH(Inventories!$B$1803,Parameters!$A$6:$A$57,0),MATCH(Inventories!$A1828,Parameters!$B$4:$AL$4,0))</f>
        <v>33</v>
      </c>
      <c r="C1828" t="s">
        <v>336</v>
      </c>
      <c r="D1828" s="2"/>
      <c r="E1828" s="2"/>
      <c r="F1828" s="2"/>
      <c r="G1828" s="2"/>
      <c r="H1828" s="2"/>
      <c r="I1828" s="2"/>
      <c r="J1828" s="2"/>
      <c r="K1828" s="2"/>
      <c r="L1828" s="2"/>
    </row>
    <row r="1829" spans="1:12" customFormat="1" ht="16" x14ac:dyDescent="0.2">
      <c r="A1829" t="s">
        <v>335</v>
      </c>
      <c r="B1829" s="2">
        <f>INDEX(Parameters!$B$6:$AL$57,MATCH(Inventories!$B$1803,Parameters!$A$6:$A$57,0),MATCH(Inventories!$A1829,Parameters!$B$4:$AL$4,0))</f>
        <v>51</v>
      </c>
      <c r="C1829" t="s">
        <v>336</v>
      </c>
      <c r="D1829" s="2"/>
      <c r="E1829" s="2"/>
      <c r="F1829" s="2"/>
      <c r="G1829" s="2"/>
      <c r="H1829" s="2"/>
      <c r="I1829" s="2"/>
      <c r="J1829" s="2"/>
      <c r="K1829" s="2"/>
      <c r="L1829" s="2"/>
    </row>
    <row r="1830" spans="1:12" customFormat="1" ht="16" x14ac:dyDescent="0.2">
      <c r="A1830" t="s">
        <v>322</v>
      </c>
      <c r="B1830" s="2">
        <f>INDEX(Parameters!$B$6:$AL$57,MATCH(Inventories!$B$1803,Parameters!$A$6:$A$57,0),MATCH(Inventories!$A1830,Parameters!$B$4:$AL$4,0))</f>
        <v>0</v>
      </c>
      <c r="C1830" t="s">
        <v>315</v>
      </c>
      <c r="D1830" s="2"/>
      <c r="E1830" s="2"/>
      <c r="F1830" s="2"/>
      <c r="G1830" s="2"/>
      <c r="H1830" s="2"/>
      <c r="I1830" s="2"/>
      <c r="J1830" s="2"/>
      <c r="K1830" s="2"/>
      <c r="L1830" s="2"/>
    </row>
    <row r="1831" spans="1:12" customFormat="1" ht="16" x14ac:dyDescent="0.2">
      <c r="A1831" t="s">
        <v>323</v>
      </c>
      <c r="B1831" s="2">
        <f>INDEX(Parameters!$B$6:$AL$57,MATCH(Inventories!$B$1803,Parameters!$A$6:$A$57,0),MATCH(Inventories!$A1831,Parameters!$B$4:$AL$4,0))</f>
        <v>0</v>
      </c>
      <c r="C1831" t="s">
        <v>315</v>
      </c>
      <c r="D1831" s="2"/>
      <c r="E1831" s="2"/>
      <c r="F1831" s="2"/>
      <c r="G1831" s="2"/>
      <c r="H1831" s="2"/>
      <c r="I1831" s="2"/>
      <c r="J1831" s="2"/>
      <c r="K1831" s="2"/>
      <c r="L1831" s="2"/>
    </row>
    <row r="1832" spans="1:12" customFormat="1" ht="16" x14ac:dyDescent="0.2">
      <c r="A1832" t="s">
        <v>324</v>
      </c>
      <c r="B1832" s="2">
        <f>INDEX(Parameters!$B$6:$AL$57,MATCH(Inventories!$B$1803,Parameters!$A$6:$A$57,0),MATCH(Inventories!$A1832,Parameters!$B$4:$AL$4,0))</f>
        <v>0</v>
      </c>
      <c r="C1832" t="s">
        <v>315</v>
      </c>
      <c r="D1832" s="2"/>
      <c r="E1832" s="2"/>
      <c r="F1832" s="2"/>
      <c r="G1832" s="2"/>
      <c r="H1832" s="2"/>
      <c r="I1832" s="2"/>
      <c r="J1832" s="2"/>
      <c r="K1832" s="2"/>
      <c r="L1832" s="2"/>
    </row>
    <row r="1833" spans="1:12" customFormat="1" ht="16" x14ac:dyDescent="0.2">
      <c r="A1833" t="s">
        <v>330</v>
      </c>
      <c r="B1833" s="2">
        <f>INDEX(Parameters!$B$6:$AL$57,MATCH(Inventories!$B$1803,Parameters!$A$6:$A$57,0),MATCH(Inventories!$A1833,Parameters!$B$4:$AL$4,0))</f>
        <v>0</v>
      </c>
      <c r="C1833" t="s">
        <v>8</v>
      </c>
      <c r="D1833" s="2"/>
      <c r="E1833" s="2"/>
      <c r="F1833" s="2"/>
      <c r="G1833" s="2"/>
      <c r="H1833" s="2"/>
      <c r="I1833" s="2"/>
      <c r="J1833" s="2"/>
      <c r="K1833" s="2"/>
      <c r="L1833" s="2"/>
    </row>
    <row r="1834" spans="1:12" customFormat="1" ht="16" x14ac:dyDescent="0.2">
      <c r="A1834" t="s">
        <v>331</v>
      </c>
      <c r="B1834" s="2">
        <f>INDEX(Parameters!$B$6:$AL$57,MATCH(Inventories!$B$1803,Parameters!$A$6:$A$57,0),MATCH(Inventories!$A1834,Parameters!$B$4:$AL$4,0))</f>
        <v>0</v>
      </c>
      <c r="C1834" t="s">
        <v>8</v>
      </c>
      <c r="D1834" s="2"/>
      <c r="E1834" s="2"/>
      <c r="F1834" s="2"/>
      <c r="G1834" s="2"/>
      <c r="H1834" s="2"/>
      <c r="I1834" s="2"/>
      <c r="J1834" s="2"/>
      <c r="K1834" s="2"/>
      <c r="L1834" s="2"/>
    </row>
    <row r="1835" spans="1:12" customFormat="1" ht="16" x14ac:dyDescent="0.2">
      <c r="A1835" t="s">
        <v>332</v>
      </c>
      <c r="B1835" s="2">
        <f>INDEX(Parameters!$B$6:$AL$57,MATCH(Inventories!$B$1803,Parameters!$A$6:$A$57,0),MATCH(Inventories!$A1835,Parameters!$B$4:$AL$4,0))</f>
        <v>0</v>
      </c>
      <c r="C1835" t="s">
        <v>8</v>
      </c>
      <c r="D1835" s="2"/>
      <c r="E1835" s="2"/>
      <c r="F1835" s="2"/>
      <c r="G1835" s="2"/>
      <c r="H1835" s="2"/>
      <c r="I1835" s="2"/>
      <c r="J1835" s="2"/>
      <c r="K1835" s="2"/>
      <c r="L1835" s="2"/>
    </row>
    <row r="1836" spans="1:12" customFormat="1" ht="16" x14ac:dyDescent="0.2">
      <c r="A1836" t="s">
        <v>346</v>
      </c>
      <c r="B1836" s="2">
        <f>INDEX(Parameters!$B$6:$AL$57,MATCH(Inventories!$B$1803,Parameters!$A$6:$A$57,0),MATCH(Inventories!$A1836,Parameters!$B$4:$AL$4,0))</f>
        <v>0</v>
      </c>
      <c r="C1836" t="s">
        <v>312</v>
      </c>
      <c r="D1836" s="2"/>
      <c r="E1836" s="2"/>
      <c r="F1836" s="2"/>
      <c r="G1836" s="2"/>
      <c r="H1836" s="2"/>
      <c r="I1836" s="2"/>
      <c r="J1836" s="2"/>
      <c r="K1836" s="2"/>
      <c r="L1836" s="2"/>
    </row>
    <row r="1837" spans="1:12" customFormat="1" ht="16" x14ac:dyDescent="0.2">
      <c r="A1837" t="s">
        <v>347</v>
      </c>
      <c r="B1837" s="2">
        <f>INDEX(Parameters!$B$6:$AL$57,MATCH(Inventories!$B$1803,Parameters!$A$6:$A$57,0),MATCH(Inventories!$A1837,Parameters!$B$4:$AL$4,0))</f>
        <v>0</v>
      </c>
      <c r="C1837" t="s">
        <v>312</v>
      </c>
      <c r="D1837" s="2"/>
      <c r="E1837" s="12"/>
      <c r="F1837" s="2"/>
      <c r="G1837" s="2"/>
      <c r="H1837" s="2"/>
      <c r="I1837" s="2"/>
      <c r="J1837" s="2"/>
      <c r="K1837" s="2"/>
      <c r="L1837" s="2"/>
    </row>
    <row r="1838" spans="1:12" customFormat="1" ht="16" x14ac:dyDescent="0.2">
      <c r="A1838" t="s">
        <v>348</v>
      </c>
      <c r="B1838" s="2">
        <f>INDEX(Parameters!$B$6:$AL$57,MATCH(Inventories!$B$1803,Parameters!$A$6:$A$57,0),MATCH(Inventories!$A1838,Parameters!$B$4:$AL$4,0))</f>
        <v>0</v>
      </c>
      <c r="C1838" t="s">
        <v>312</v>
      </c>
      <c r="D1838" s="2"/>
      <c r="E1838" s="2"/>
      <c r="F1838" s="2"/>
      <c r="G1838" s="2"/>
      <c r="H1838" s="2"/>
      <c r="I1838" s="2"/>
      <c r="J1838" s="2"/>
      <c r="K1838" s="2"/>
      <c r="L1838" s="2"/>
    </row>
    <row r="1839" spans="1:12" customFormat="1" ht="16" x14ac:dyDescent="0.2">
      <c r="A1839" t="s">
        <v>349</v>
      </c>
      <c r="B1839" s="2">
        <f>INDEX(Parameters!$B$6:$AL$57,MATCH(Inventories!$B$1803,Parameters!$A$6:$A$57,0),MATCH(Inventories!$A1839,Parameters!$B$4:$AL$4,0))</f>
        <v>0</v>
      </c>
      <c r="C1839" t="s">
        <v>8</v>
      </c>
      <c r="D1839" s="2"/>
      <c r="E1839" s="2"/>
      <c r="F1839" s="2"/>
      <c r="G1839" s="2"/>
      <c r="H1839" s="2"/>
      <c r="I1839" s="2"/>
      <c r="J1839" s="2"/>
      <c r="K1839" s="2"/>
      <c r="L1839" s="2"/>
    </row>
    <row r="1840" spans="1:12" customFormat="1" ht="16" x14ac:dyDescent="0.2">
      <c r="A1840" t="s">
        <v>350</v>
      </c>
      <c r="B1840" s="2">
        <f>INDEX(Parameters!$B$6:$AL$57,MATCH(Inventories!$B$1803,Parameters!$A$6:$A$57,0),MATCH(Inventories!$A1840,Parameters!$B$4:$AL$4,0))</f>
        <v>0</v>
      </c>
      <c r="C1840" t="s">
        <v>8</v>
      </c>
      <c r="D1840" s="2"/>
      <c r="E1840" s="2"/>
      <c r="F1840" s="2"/>
      <c r="G1840" s="2"/>
      <c r="H1840" s="2"/>
      <c r="I1840" s="2"/>
      <c r="J1840" s="2"/>
      <c r="K1840" s="2"/>
      <c r="L1840" s="2"/>
    </row>
    <row r="1841" spans="1:12" customFormat="1" ht="16" x14ac:dyDescent="0.2">
      <c r="A1841" t="s">
        <v>351</v>
      </c>
      <c r="B1841" s="2">
        <f>INDEX(Parameters!$B$6:$AL$57,MATCH(Inventories!$B$1803,Parameters!$A$6:$A$57,0),MATCH(Inventories!$A1841,Parameters!$B$4:$AL$4,0))</f>
        <v>0</v>
      </c>
      <c r="C1841" t="s">
        <v>8</v>
      </c>
      <c r="D1841" s="2"/>
      <c r="E1841" s="2"/>
      <c r="F1841" s="2"/>
      <c r="G1841" s="2"/>
      <c r="H1841" s="2"/>
      <c r="I1841" s="2"/>
      <c r="J1841" s="2"/>
      <c r="K1841" s="2"/>
      <c r="L1841" s="2"/>
    </row>
    <row r="1842" spans="1:12" customFormat="1" ht="16" x14ac:dyDescent="0.2">
      <c r="A1842" t="s">
        <v>365</v>
      </c>
      <c r="B1842" s="2">
        <f>INDEX(Parameters!$B$6:$AL$57,MATCH(Inventories!$B$1803,Parameters!$A$6:$A$57,0),MATCH(Inventories!$A1842,Parameters!$B$4:$AL$4,0))</f>
        <v>0</v>
      </c>
      <c r="C1842" t="s">
        <v>336</v>
      </c>
      <c r="D1842" s="2"/>
      <c r="E1842" s="2"/>
      <c r="F1842" s="2"/>
      <c r="G1842" s="2"/>
      <c r="H1842" s="2"/>
      <c r="I1842" s="2"/>
      <c r="J1842" s="2"/>
      <c r="K1842" s="2"/>
      <c r="L1842" s="2"/>
    </row>
    <row r="1843" spans="1:12" customFormat="1" ht="16" x14ac:dyDescent="0.2">
      <c r="A1843" t="s">
        <v>366</v>
      </c>
      <c r="B1843" s="2">
        <f>INDEX(Parameters!$B$6:$AL$57,MATCH(Inventories!$B$1803,Parameters!$A$6:$A$57,0),MATCH(Inventories!$A1843,Parameters!$B$4:$AL$4,0))</f>
        <v>0</v>
      </c>
      <c r="C1843" t="s">
        <v>336</v>
      </c>
      <c r="D1843" s="2"/>
      <c r="E1843" s="2"/>
      <c r="F1843" s="2"/>
      <c r="G1843" s="2"/>
      <c r="H1843" s="2"/>
      <c r="I1843" s="2"/>
      <c r="J1843" s="2"/>
      <c r="K1843" s="2"/>
      <c r="L1843" s="2"/>
    </row>
    <row r="1844" spans="1:12" customFormat="1" ht="16" x14ac:dyDescent="0.2">
      <c r="A1844" t="s">
        <v>367</v>
      </c>
      <c r="B1844" s="2">
        <f>INDEX(Parameters!$B$6:$AL$57,MATCH(Inventories!$B$1803,Parameters!$A$6:$A$57,0),MATCH(Inventories!$A1844,Parameters!$B$4:$AL$4,0))</f>
        <v>0</v>
      </c>
      <c r="C1844" t="s">
        <v>336</v>
      </c>
      <c r="D1844" s="2"/>
      <c r="E1844" s="2"/>
      <c r="F1844" s="2"/>
      <c r="G1844" s="2"/>
      <c r="H1844" s="2"/>
      <c r="I1844" s="2"/>
      <c r="J1844" s="2"/>
      <c r="K1844" s="2"/>
      <c r="L1844" s="2"/>
    </row>
    <row r="1845" spans="1:12" customFormat="1" ht="16" x14ac:dyDescent="0.2">
      <c r="A1845" t="s">
        <v>368</v>
      </c>
      <c r="B1845" s="2">
        <f>INDEX(Parameters!$B$6:$AL$57,MATCH(Inventories!$B$1803,Parameters!$A$6:$A$57,0),MATCH(Inventories!$A1845,Parameters!$B$4:$AL$4,0))</f>
        <v>0</v>
      </c>
      <c r="C1845" t="s">
        <v>336</v>
      </c>
      <c r="D1845" s="2"/>
      <c r="E1845" s="2"/>
      <c r="F1845" s="2"/>
      <c r="G1845" s="2"/>
      <c r="H1845" s="2"/>
      <c r="I1845" s="2"/>
      <c r="J1845" s="2"/>
      <c r="K1845" s="2"/>
      <c r="L1845" s="2"/>
    </row>
    <row r="1846" spans="1:12" customFormat="1" ht="16" x14ac:dyDescent="0.2">
      <c r="A1846" t="s">
        <v>369</v>
      </c>
      <c r="B1846" s="2">
        <f>INDEX(Parameters!$B$6:$AL$57,MATCH(Inventories!$B$1803,Parameters!$A$6:$A$57,0),MATCH(Inventories!$A1846,Parameters!$B$4:$AL$4,0))</f>
        <v>0</v>
      </c>
      <c r="C1846" t="s">
        <v>336</v>
      </c>
      <c r="D1846" s="2"/>
      <c r="E1846" s="2"/>
      <c r="F1846" s="2"/>
      <c r="G1846" s="2"/>
      <c r="H1846" s="2"/>
      <c r="I1846" s="2"/>
      <c r="J1846" s="2"/>
      <c r="K1846" s="2"/>
      <c r="L1846" s="2"/>
    </row>
    <row r="1847" spans="1:12" customFormat="1" ht="16" x14ac:dyDescent="0.2">
      <c r="A1847" t="s">
        <v>344</v>
      </c>
      <c r="B1847" s="32">
        <f>INDEX(Parameters!$B$6:$AL$57,MATCH(Inventories!$B$1803,Parameters!$A$6:$A$57,0),MATCH(Inventories!$A1847,Parameters!$B$4:$AL$4,0))</f>
        <v>0.15823489199999999</v>
      </c>
      <c r="C1847" t="s">
        <v>345</v>
      </c>
      <c r="D1847" s="2"/>
      <c r="E1847" s="2"/>
      <c r="F1847" s="2"/>
      <c r="G1847" s="2"/>
      <c r="H1847" s="2"/>
      <c r="I1847" s="2"/>
      <c r="J1847" s="2"/>
      <c r="K1847" s="2"/>
      <c r="L1847" s="2"/>
    </row>
    <row r="1848" spans="1:12" customFormat="1" ht="16" x14ac:dyDescent="0.2">
      <c r="A1848" t="s">
        <v>343</v>
      </c>
      <c r="B1848" s="32">
        <f>INDEX(Parameters!$B$6:$AL$57,MATCH(Inventories!$B$1803,Parameters!$A$6:$A$57,0),MATCH(Inventories!$A1848,Parameters!$B$4:$AL$4,0))</f>
        <v>2.13184E-4</v>
      </c>
      <c r="C1848" t="s">
        <v>345</v>
      </c>
      <c r="D1848" s="2"/>
      <c r="E1848" s="2"/>
      <c r="F1848" s="2"/>
      <c r="G1848" s="2"/>
      <c r="H1848" s="2"/>
      <c r="I1848" s="2"/>
      <c r="J1848" s="2"/>
      <c r="K1848" s="2"/>
      <c r="L1848" s="2"/>
    </row>
    <row r="1849" spans="1:12" customFormat="1" ht="16" x14ac:dyDescent="0.2">
      <c r="A1849" s="1" t="s">
        <v>10</v>
      </c>
      <c r="H1849" s="2"/>
    </row>
    <row r="1850" spans="1:12" x14ac:dyDescent="0.2">
      <c r="A1850" s="17" t="s">
        <v>11</v>
      </c>
      <c r="B1850" s="17" t="s">
        <v>12</v>
      </c>
      <c r="C1850" s="17" t="s">
        <v>3</v>
      </c>
      <c r="D1850" s="17" t="s">
        <v>13</v>
      </c>
      <c r="E1850" s="17" t="s">
        <v>8</v>
      </c>
      <c r="F1850" s="17" t="s">
        <v>6</v>
      </c>
      <c r="G1850" s="17" t="s">
        <v>5</v>
      </c>
      <c r="H1850" s="17" t="s">
        <v>151</v>
      </c>
      <c r="I1850" s="17" t="s">
        <v>179</v>
      </c>
      <c r="J1850" s="17" t="s">
        <v>180</v>
      </c>
      <c r="K1850" s="17" t="s">
        <v>181</v>
      </c>
      <c r="L1850" s="17" t="s">
        <v>182</v>
      </c>
    </row>
    <row r="1851" spans="1:12" customFormat="1" ht="16" x14ac:dyDescent="0.2">
      <c r="A1851" s="22" t="s">
        <v>272</v>
      </c>
      <c r="B1851">
        <v>1</v>
      </c>
      <c r="C1851" t="s">
        <v>18</v>
      </c>
      <c r="D1851" t="s">
        <v>211</v>
      </c>
      <c r="E1851" t="s">
        <v>17</v>
      </c>
      <c r="F1851" t="s">
        <v>19</v>
      </c>
      <c r="G1851" t="s">
        <v>1</v>
      </c>
      <c r="H1851" s="2"/>
    </row>
    <row r="1852" spans="1:12" customFormat="1" ht="16" x14ac:dyDescent="0.2">
      <c r="A1852" t="s">
        <v>145</v>
      </c>
      <c r="B1852" s="3">
        <f>(B1824/B1815)/(B1818/1000)</f>
        <v>1.1733333333333334E-4</v>
      </c>
      <c r="C1852" t="s">
        <v>18</v>
      </c>
      <c r="D1852" t="s">
        <v>211</v>
      </c>
      <c r="E1852" t="s">
        <v>9</v>
      </c>
      <c r="F1852" t="s">
        <v>23</v>
      </c>
      <c r="G1852" t="s">
        <v>145</v>
      </c>
      <c r="H1852" s="2"/>
      <c r="I1852">
        <v>5</v>
      </c>
      <c r="J1852" s="3">
        <f>B1852</f>
        <v>1.1733333333333334E-4</v>
      </c>
      <c r="K1852" s="3">
        <f>(B1825/B1817)/(B1820/1000)</f>
        <v>3.8530906706017381E-5</v>
      </c>
      <c r="L1852" s="3">
        <f>(B1826/B1816)/(B1819/1000)</f>
        <v>5.6022408963585441E-4</v>
      </c>
    </row>
    <row r="1853" spans="1:12" customFormat="1" ht="16" x14ac:dyDescent="0.2">
      <c r="A1853" t="s">
        <v>200</v>
      </c>
      <c r="B1853" s="3">
        <f>(B1827/B1815)/(B1818/1000)</f>
        <v>5.8666666666666667E-6</v>
      </c>
      <c r="C1853" t="s">
        <v>18</v>
      </c>
      <c r="D1853" t="s">
        <v>211</v>
      </c>
      <c r="E1853" t="s">
        <v>9</v>
      </c>
      <c r="F1853" t="s">
        <v>23</v>
      </c>
      <c r="G1853" t="s">
        <v>201</v>
      </c>
      <c r="H1853" s="2"/>
      <c r="I1853">
        <v>5</v>
      </c>
      <c r="J1853" s="3">
        <f>B1853</f>
        <v>5.8666666666666667E-6</v>
      </c>
      <c r="K1853" s="3">
        <f>(B1828/B1817)/(B1820/1000)</f>
        <v>2.7053615346778165E-6</v>
      </c>
      <c r="L1853" s="3">
        <f>(B1829/B1816)/(B1819/1000)</f>
        <v>2.8571428571428571E-5</v>
      </c>
    </row>
    <row r="1854" spans="1:12" customFormat="1" ht="16" x14ac:dyDescent="0.2">
      <c r="A1854" t="s">
        <v>273</v>
      </c>
      <c r="B1854">
        <f>1/43</f>
        <v>2.3255813953488372E-2</v>
      </c>
      <c r="C1854" t="s">
        <v>18</v>
      </c>
      <c r="E1854" t="s">
        <v>9</v>
      </c>
      <c r="F1854" t="s">
        <v>23</v>
      </c>
      <c r="G1854" t="s">
        <v>274</v>
      </c>
      <c r="H1854" s="2"/>
    </row>
    <row r="1855" spans="1:12" customFormat="1" ht="16" x14ac:dyDescent="0.2">
      <c r="A1855" t="s">
        <v>59</v>
      </c>
      <c r="B1855">
        <v>1.1906151495612746E-9</v>
      </c>
      <c r="D1855" t="s">
        <v>14</v>
      </c>
      <c r="E1855" t="s">
        <v>9</v>
      </c>
      <c r="F1855" t="s">
        <v>15</v>
      </c>
      <c r="H1855" s="2"/>
    </row>
    <row r="1856" spans="1:12" customFormat="1" ht="16" x14ac:dyDescent="0.2">
      <c r="A1856" t="s">
        <v>245</v>
      </c>
      <c r="B1856">
        <v>8.8352086295850824E-8</v>
      </c>
      <c r="D1856" t="s">
        <v>116</v>
      </c>
      <c r="E1856" t="s">
        <v>9</v>
      </c>
      <c r="F1856" t="s">
        <v>15</v>
      </c>
      <c r="H1856" s="2"/>
    </row>
    <row r="1857" spans="1:8" customFormat="1" ht="16" x14ac:dyDescent="0.2">
      <c r="A1857" t="s">
        <v>80</v>
      </c>
      <c r="B1857">
        <v>3.8893428219001639E-8</v>
      </c>
      <c r="D1857" t="s">
        <v>14</v>
      </c>
      <c r="E1857" t="s">
        <v>9</v>
      </c>
      <c r="F1857" t="s">
        <v>15</v>
      </c>
      <c r="H1857" s="2"/>
    </row>
    <row r="1858" spans="1:8" customFormat="1" ht="16" x14ac:dyDescent="0.2">
      <c r="A1858" t="s">
        <v>49</v>
      </c>
      <c r="B1858">
        <v>5.4371425163298209E-8</v>
      </c>
      <c r="D1858" t="s">
        <v>14</v>
      </c>
      <c r="E1858" t="s">
        <v>9</v>
      </c>
      <c r="F1858" t="s">
        <v>15</v>
      </c>
      <c r="H1858" s="2"/>
    </row>
    <row r="1859" spans="1:8" customFormat="1" ht="16" x14ac:dyDescent="0.2">
      <c r="A1859" t="s">
        <v>48</v>
      </c>
      <c r="B1859">
        <v>1.240062968043404E-6</v>
      </c>
      <c r="D1859" t="s">
        <v>14</v>
      </c>
      <c r="E1859" t="s">
        <v>9</v>
      </c>
      <c r="F1859" t="s">
        <v>15</v>
      </c>
      <c r="H1859" s="2"/>
    </row>
    <row r="1860" spans="1:8" customFormat="1" ht="16" x14ac:dyDescent="0.2">
      <c r="A1860" t="s">
        <v>47</v>
      </c>
      <c r="B1860">
        <v>7.024629382411521E-8</v>
      </c>
      <c r="D1860" t="s">
        <v>14</v>
      </c>
      <c r="E1860" t="s">
        <v>9</v>
      </c>
      <c r="F1860" t="s">
        <v>15</v>
      </c>
      <c r="H1860" s="2"/>
    </row>
    <row r="1861" spans="1:8" customFormat="1" ht="16" x14ac:dyDescent="0.2">
      <c r="A1861" t="s">
        <v>77</v>
      </c>
      <c r="B1861">
        <v>4.6511627906976743E-7</v>
      </c>
      <c r="D1861" t="s">
        <v>116</v>
      </c>
      <c r="E1861" t="s">
        <v>9</v>
      </c>
      <c r="F1861" t="s">
        <v>15</v>
      </c>
      <c r="H1861" s="2"/>
    </row>
    <row r="1862" spans="1:8" customFormat="1" ht="16" x14ac:dyDescent="0.2">
      <c r="A1862" t="s">
        <v>177</v>
      </c>
      <c r="B1862">
        <v>7.9664689206792323E-8</v>
      </c>
      <c r="D1862" t="s">
        <v>14</v>
      </c>
      <c r="E1862" t="s">
        <v>9</v>
      </c>
      <c r="F1862" t="s">
        <v>15</v>
      </c>
      <c r="H1862" s="2"/>
    </row>
    <row r="1863" spans="1:8" customFormat="1" ht="16" x14ac:dyDescent="0.2">
      <c r="A1863" t="s">
        <v>76</v>
      </c>
      <c r="B1863">
        <v>2.2224816125143791E-8</v>
      </c>
      <c r="D1863" t="s">
        <v>14</v>
      </c>
      <c r="E1863" t="s">
        <v>9</v>
      </c>
      <c r="F1863" t="s">
        <v>15</v>
      </c>
      <c r="H1863" s="2"/>
    </row>
    <row r="1864" spans="1:8" customFormat="1" ht="16" x14ac:dyDescent="0.2">
      <c r="A1864" t="s">
        <v>58</v>
      </c>
      <c r="B1864">
        <v>3.9687171652042503E-6</v>
      </c>
      <c r="D1864" t="s">
        <v>14</v>
      </c>
      <c r="E1864" t="s">
        <v>9</v>
      </c>
      <c r="F1864" t="s">
        <v>15</v>
      </c>
      <c r="H1864" s="2"/>
    </row>
    <row r="1865" spans="1:8" customFormat="1" ht="16" x14ac:dyDescent="0.2">
      <c r="A1865" t="s">
        <v>232</v>
      </c>
      <c r="B1865">
        <v>2.6338739709305827E-6</v>
      </c>
      <c r="D1865" t="s">
        <v>14</v>
      </c>
      <c r="E1865" t="s">
        <v>9</v>
      </c>
      <c r="F1865" t="s">
        <v>15</v>
      </c>
      <c r="H1865" s="2"/>
    </row>
    <row r="1866" spans="1:8" customFormat="1" ht="16" x14ac:dyDescent="0.2">
      <c r="A1866" t="s">
        <v>61</v>
      </c>
      <c r="B1866">
        <v>3.3337224187715699E-7</v>
      </c>
      <c r="D1866" t="s">
        <v>14</v>
      </c>
      <c r="E1866" t="s">
        <v>9</v>
      </c>
      <c r="F1866" t="s">
        <v>15</v>
      </c>
      <c r="H1866" s="2"/>
    </row>
    <row r="1867" spans="1:8" customFormat="1" ht="16" x14ac:dyDescent="0.2">
      <c r="A1867" t="s">
        <v>241</v>
      </c>
      <c r="B1867">
        <v>1.229967209887436E-10</v>
      </c>
      <c r="D1867" t="s">
        <v>14</v>
      </c>
      <c r="E1867" t="s">
        <v>9</v>
      </c>
      <c r="F1867" t="s">
        <v>15</v>
      </c>
      <c r="H1867" s="2"/>
    </row>
    <row r="1868" spans="1:8" customFormat="1" ht="16" x14ac:dyDescent="0.2">
      <c r="A1868" t="s">
        <v>239</v>
      </c>
      <c r="B1868">
        <v>2.0499453498123931E-10</v>
      </c>
      <c r="D1868" t="s">
        <v>14</v>
      </c>
      <c r="E1868" t="s">
        <v>9</v>
      </c>
      <c r="F1868" t="s">
        <v>15</v>
      </c>
      <c r="H1868" s="2"/>
    </row>
    <row r="1869" spans="1:8" customFormat="1" ht="16" x14ac:dyDescent="0.2">
      <c r="A1869" t="s">
        <v>231</v>
      </c>
      <c r="B1869">
        <f>B1848/1000</f>
        <v>2.1318399999999999E-7</v>
      </c>
      <c r="D1869" t="s">
        <v>14</v>
      </c>
      <c r="E1869" t="s">
        <v>9</v>
      </c>
      <c r="F1869" t="s">
        <v>15</v>
      </c>
      <c r="H1869" s="2"/>
    </row>
    <row r="1870" spans="1:8" customFormat="1" ht="16" x14ac:dyDescent="0.2">
      <c r="A1870" t="s">
        <v>122</v>
      </c>
      <c r="B1870">
        <f>B1854*3.15</f>
        <v>7.3255813953488375E-2</v>
      </c>
      <c r="D1870" t="s">
        <v>116</v>
      </c>
      <c r="E1870" t="s">
        <v>9</v>
      </c>
      <c r="F1870" t="s">
        <v>15</v>
      </c>
      <c r="H1870" s="2"/>
    </row>
    <row r="1871" spans="1:8" customFormat="1" ht="16" x14ac:dyDescent="0.2">
      <c r="A1871" t="s">
        <v>235</v>
      </c>
      <c r="B1871">
        <v>2.3299378853965246E-12</v>
      </c>
      <c r="D1871" t="s">
        <v>14</v>
      </c>
      <c r="E1871" t="s">
        <v>9</v>
      </c>
      <c r="F1871" t="s">
        <v>15</v>
      </c>
      <c r="H1871" s="2"/>
    </row>
    <row r="1872" spans="1:8" customFormat="1" ht="16" x14ac:dyDescent="0.2">
      <c r="A1872" t="s">
        <v>69</v>
      </c>
      <c r="B1872">
        <f>B1847/1000</f>
        <v>1.5823489199999998E-4</v>
      </c>
      <c r="D1872" t="s">
        <v>14</v>
      </c>
      <c r="E1872" t="s">
        <v>9</v>
      </c>
      <c r="F1872" t="s">
        <v>15</v>
      </c>
      <c r="H1872" s="2"/>
    </row>
    <row r="1873" spans="1:8" customFormat="1" ht="16" x14ac:dyDescent="0.2">
      <c r="A1873" t="s">
        <v>242</v>
      </c>
      <c r="B1873">
        <v>2.0199461495712361E-10</v>
      </c>
      <c r="D1873" t="s">
        <v>14</v>
      </c>
      <c r="E1873" t="s">
        <v>9</v>
      </c>
      <c r="F1873" t="s">
        <v>15</v>
      </c>
      <c r="H1873" s="2"/>
    </row>
    <row r="1874" spans="1:8" customFormat="1" ht="16" x14ac:dyDescent="0.2">
      <c r="A1874" t="s">
        <v>81</v>
      </c>
      <c r="B1874">
        <v>1.5874868660816998E-8</v>
      </c>
      <c r="D1874" t="s">
        <v>14</v>
      </c>
      <c r="E1874" t="s">
        <v>9</v>
      </c>
      <c r="F1874" t="s">
        <v>15</v>
      </c>
      <c r="H1874" s="2"/>
    </row>
    <row r="1875" spans="1:8" customFormat="1" ht="16" x14ac:dyDescent="0.2">
      <c r="A1875" t="s">
        <v>56</v>
      </c>
      <c r="B1875">
        <v>1.3999626779206586E-12</v>
      </c>
      <c r="D1875" t="s">
        <v>14</v>
      </c>
      <c r="E1875" t="s">
        <v>9</v>
      </c>
      <c r="F1875" t="s">
        <v>15</v>
      </c>
      <c r="H1875" s="2"/>
    </row>
    <row r="1876" spans="1:8" customFormat="1" ht="16" x14ac:dyDescent="0.2">
      <c r="A1876" t="s">
        <v>246</v>
      </c>
      <c r="B1876">
        <v>3.3193620217056908E-6</v>
      </c>
      <c r="D1876" t="s">
        <v>14</v>
      </c>
      <c r="E1876" t="s">
        <v>9</v>
      </c>
      <c r="F1876" t="s">
        <v>15</v>
      </c>
      <c r="H1876" s="2"/>
    </row>
    <row r="1877" spans="1:8" customFormat="1" ht="16" x14ac:dyDescent="0.2">
      <c r="A1877" t="s">
        <v>72</v>
      </c>
      <c r="B1877">
        <v>2.3812302991225493E-9</v>
      </c>
      <c r="D1877" t="s">
        <v>14</v>
      </c>
      <c r="E1877" t="s">
        <v>9</v>
      </c>
      <c r="F1877" t="s">
        <v>15</v>
      </c>
      <c r="H1877" s="2"/>
    </row>
    <row r="1878" spans="1:8" customFormat="1" ht="16" x14ac:dyDescent="0.2">
      <c r="A1878" t="s">
        <v>236</v>
      </c>
      <c r="B1878">
        <v>2.3299378853965246E-12</v>
      </c>
      <c r="D1878" t="s">
        <v>14</v>
      </c>
      <c r="E1878" t="s">
        <v>9</v>
      </c>
      <c r="F1878" t="s">
        <v>15</v>
      </c>
      <c r="H1878" s="2"/>
    </row>
    <row r="1879" spans="1:8" customFormat="1" ht="16" x14ac:dyDescent="0.2">
      <c r="A1879" t="s">
        <v>78</v>
      </c>
      <c r="B1879">
        <v>3.968717165204249E-10</v>
      </c>
      <c r="D1879" t="s">
        <v>14</v>
      </c>
      <c r="E1879" t="s">
        <v>9</v>
      </c>
      <c r="F1879" t="s">
        <v>15</v>
      </c>
      <c r="H1879" s="2"/>
    </row>
    <row r="1880" spans="1:8" customFormat="1" ht="16" x14ac:dyDescent="0.2">
      <c r="A1880" t="s">
        <v>62</v>
      </c>
      <c r="B1880">
        <v>1.1906151495612748E-8</v>
      </c>
      <c r="D1880" t="s">
        <v>14</v>
      </c>
      <c r="E1880" t="s">
        <v>9</v>
      </c>
      <c r="F1880" t="s">
        <v>15</v>
      </c>
      <c r="H1880" s="2"/>
    </row>
    <row r="1881" spans="1:8" customFormat="1" ht="16" x14ac:dyDescent="0.2">
      <c r="A1881" t="s">
        <v>51</v>
      </c>
      <c r="B1881">
        <v>5.9530757478063763E-9</v>
      </c>
      <c r="D1881" t="s">
        <v>14</v>
      </c>
      <c r="E1881" t="s">
        <v>9</v>
      </c>
      <c r="F1881" t="s">
        <v>15</v>
      </c>
      <c r="H1881" s="2"/>
    </row>
    <row r="1882" spans="1:8" customFormat="1" ht="16" x14ac:dyDescent="0.2">
      <c r="A1882" t="s">
        <v>123</v>
      </c>
      <c r="B1882">
        <v>2.879508180308284E-5</v>
      </c>
      <c r="D1882" t="s">
        <v>14</v>
      </c>
      <c r="E1882" t="s">
        <v>9</v>
      </c>
      <c r="F1882" t="s">
        <v>15</v>
      </c>
      <c r="H1882" s="2"/>
    </row>
    <row r="1883" spans="1:8" customFormat="1" ht="16" x14ac:dyDescent="0.2">
      <c r="A1883" t="s">
        <v>237</v>
      </c>
      <c r="B1883">
        <v>4.0498920325561916E-8</v>
      </c>
      <c r="D1883" t="s">
        <v>14</v>
      </c>
      <c r="E1883" t="s">
        <v>9</v>
      </c>
      <c r="F1883" t="s">
        <v>15</v>
      </c>
      <c r="H1883" s="2"/>
    </row>
    <row r="1884" spans="1:8" customFormat="1" ht="16" x14ac:dyDescent="0.2">
      <c r="A1884" t="s">
        <v>50</v>
      </c>
      <c r="B1884">
        <v>5.543334554775583E-8</v>
      </c>
      <c r="D1884" t="s">
        <v>14</v>
      </c>
      <c r="E1884" t="s">
        <v>9</v>
      </c>
      <c r="F1884" t="s">
        <v>15</v>
      </c>
      <c r="H1884" s="2"/>
    </row>
    <row r="1885" spans="1:8" customFormat="1" ht="16" x14ac:dyDescent="0.2">
      <c r="A1885" t="s">
        <v>73</v>
      </c>
      <c r="B1885">
        <v>3.9687171652042487E-9</v>
      </c>
      <c r="D1885" t="s">
        <v>14</v>
      </c>
      <c r="E1885" t="s">
        <v>9</v>
      </c>
      <c r="F1885" t="s">
        <v>15</v>
      </c>
      <c r="H1885" s="2"/>
    </row>
    <row r="1886" spans="1:8" customFormat="1" ht="16" x14ac:dyDescent="0.2">
      <c r="A1886" t="s">
        <v>240</v>
      </c>
      <c r="B1886">
        <v>6.9798139227758525E-10</v>
      </c>
      <c r="D1886" t="s">
        <v>14</v>
      </c>
      <c r="E1886" t="s">
        <v>9</v>
      </c>
      <c r="F1886" t="s">
        <v>15</v>
      </c>
      <c r="H1886" s="2"/>
    </row>
    <row r="1887" spans="1:8" customFormat="1" ht="16" x14ac:dyDescent="0.2">
      <c r="A1887" t="s">
        <v>240</v>
      </c>
      <c r="B1887">
        <v>1.8199514812968563E-9</v>
      </c>
      <c r="D1887" t="s">
        <v>14</v>
      </c>
      <c r="E1887" t="s">
        <v>9</v>
      </c>
      <c r="F1887" t="s">
        <v>15</v>
      </c>
      <c r="H1887" s="2"/>
    </row>
    <row r="1888" spans="1:8" customFormat="1" ht="16" x14ac:dyDescent="0.2">
      <c r="A1888" t="s">
        <v>238</v>
      </c>
      <c r="B1888">
        <v>4.9298685729634615E-10</v>
      </c>
      <c r="D1888" t="s">
        <v>14</v>
      </c>
      <c r="E1888" t="s">
        <v>9</v>
      </c>
      <c r="F1888" t="s">
        <v>15</v>
      </c>
      <c r="H1888" s="2"/>
    </row>
    <row r="1889" spans="1:12" customFormat="1" ht="16" x14ac:dyDescent="0.2">
      <c r="A1889" t="s">
        <v>45</v>
      </c>
      <c r="B1889">
        <v>1.8137037444983413E-7</v>
      </c>
      <c r="D1889" t="s">
        <v>14</v>
      </c>
      <c r="E1889" t="s">
        <v>9</v>
      </c>
      <c r="F1889" t="s">
        <v>15</v>
      </c>
      <c r="H1889" s="2"/>
    </row>
    <row r="1890" spans="1:12" customFormat="1" ht="16" x14ac:dyDescent="0.2">
      <c r="B1890" s="3"/>
      <c r="H1890" s="2"/>
    </row>
    <row r="1891" spans="1:12" customFormat="1" ht="16" x14ac:dyDescent="0.2">
      <c r="B1891" s="3"/>
      <c r="H1891" s="2"/>
    </row>
    <row r="1892" spans="1:12" x14ac:dyDescent="0.2">
      <c r="A1892" s="17" t="s">
        <v>2</v>
      </c>
      <c r="B1892" s="17" t="s">
        <v>305</v>
      </c>
    </row>
    <row r="1893" spans="1:12" customFormat="1" ht="16" x14ac:dyDescent="0.2">
      <c r="A1893" t="s">
        <v>3</v>
      </c>
      <c r="B1893" t="s">
        <v>18</v>
      </c>
      <c r="H1893" s="2"/>
    </row>
    <row r="1894" spans="1:12" customFormat="1" ht="16" x14ac:dyDescent="0.2">
      <c r="A1894" t="s">
        <v>4</v>
      </c>
      <c r="B1894">
        <v>1</v>
      </c>
      <c r="H1894" s="2"/>
    </row>
    <row r="1895" spans="1:12" customFormat="1" ht="16" x14ac:dyDescent="0.2">
      <c r="A1895" t="s">
        <v>5</v>
      </c>
      <c r="B1895" t="s">
        <v>142</v>
      </c>
      <c r="H1895" s="2"/>
    </row>
    <row r="1896" spans="1:12" customFormat="1" ht="16" x14ac:dyDescent="0.2">
      <c r="A1896" t="s">
        <v>6</v>
      </c>
      <c r="B1896" t="s">
        <v>7</v>
      </c>
      <c r="H1896" s="2"/>
    </row>
    <row r="1897" spans="1:12" customFormat="1" ht="16" x14ac:dyDescent="0.2">
      <c r="A1897" t="s">
        <v>8</v>
      </c>
      <c r="B1897" t="s">
        <v>17</v>
      </c>
      <c r="H1897" s="2"/>
    </row>
    <row r="1898" spans="1:12" customFormat="1" ht="16" x14ac:dyDescent="0.2">
      <c r="A1898" t="s">
        <v>204</v>
      </c>
      <c r="B1898" t="s">
        <v>205</v>
      </c>
      <c r="H1898" s="2"/>
    </row>
    <row r="1899" spans="1:12" customFormat="1" ht="16" x14ac:dyDescent="0.2">
      <c r="A1899" t="s">
        <v>198</v>
      </c>
      <c r="B1899" t="s">
        <v>243</v>
      </c>
      <c r="H1899" s="2"/>
    </row>
    <row r="1900" spans="1:12" customFormat="1" ht="16" x14ac:dyDescent="0.2">
      <c r="A1900" t="s">
        <v>151</v>
      </c>
      <c r="B1900" t="s">
        <v>247</v>
      </c>
      <c r="H1900" s="2"/>
    </row>
    <row r="1901" spans="1:12" customFormat="1" ht="16" x14ac:dyDescent="0.2">
      <c r="A1901" t="s">
        <v>352</v>
      </c>
      <c r="B1901" s="2">
        <f>INDEX(Parameters!$B$6:$AL$57,MATCH(Inventories!$B$1892,Parameters!$A$6:$A$57,0),MATCH(Inventories!$A1901,Parameters!$B$4:$AL$4,0))</f>
        <v>323</v>
      </c>
      <c r="C1901" t="s">
        <v>312</v>
      </c>
      <c r="D1901" s="2"/>
      <c r="E1901" s="2"/>
      <c r="F1901" s="2"/>
      <c r="G1901" s="2"/>
      <c r="H1901" s="2"/>
      <c r="I1901" s="2"/>
      <c r="J1901" s="2"/>
      <c r="K1901" s="2"/>
      <c r="L1901" s="2"/>
    </row>
    <row r="1902" spans="1:12" customFormat="1" ht="16" x14ac:dyDescent="0.2">
      <c r="A1902" t="s">
        <v>353</v>
      </c>
      <c r="B1902" s="2">
        <f>INDEX(Parameters!$B$6:$AL$57,MATCH(Inventories!$B$1892,Parameters!$A$6:$A$57,0),MATCH(Inventories!$A1902,Parameters!$B$4:$AL$4,0))</f>
        <v>130</v>
      </c>
      <c r="C1902" t="s">
        <v>312</v>
      </c>
      <c r="D1902" s="2"/>
      <c r="E1902" s="2"/>
      <c r="F1902" s="2"/>
      <c r="G1902" s="2"/>
      <c r="H1902" s="2"/>
      <c r="I1902" s="2"/>
      <c r="J1902" s="2"/>
      <c r="K1902" s="2"/>
      <c r="L1902" s="2"/>
    </row>
    <row r="1903" spans="1:12" customFormat="1" ht="16" x14ac:dyDescent="0.2">
      <c r="A1903" t="s">
        <v>354</v>
      </c>
      <c r="B1903" s="2">
        <f>INDEX(Parameters!$B$6:$AL$57,MATCH(Inventories!$B$1892,Parameters!$A$6:$A$57,0),MATCH(Inventories!$A1903,Parameters!$B$4:$AL$4,0))</f>
        <v>460</v>
      </c>
      <c r="C1903" t="s">
        <v>312</v>
      </c>
      <c r="D1903" s="2"/>
      <c r="E1903" s="2"/>
      <c r="F1903" s="2"/>
      <c r="G1903" s="2"/>
      <c r="H1903" s="2"/>
      <c r="I1903" s="2"/>
      <c r="J1903" s="2"/>
      <c r="K1903" s="2"/>
      <c r="L1903" s="2"/>
    </row>
    <row r="1904" spans="1:12" customFormat="1" ht="16" x14ac:dyDescent="0.2">
      <c r="A1904" t="s">
        <v>316</v>
      </c>
      <c r="B1904" s="24">
        <f>INDEX(Parameters!$B$6:$AL$57,MATCH(Inventories!$B$1892,Parameters!$A$6:$A$57,0),MATCH(Inventories!$A1904,Parameters!$B$4:$AL$4,0))</f>
        <v>1000000</v>
      </c>
      <c r="C1904" t="s">
        <v>313</v>
      </c>
      <c r="D1904" s="2"/>
      <c r="E1904" s="2"/>
      <c r="F1904" s="2"/>
      <c r="G1904" s="2"/>
      <c r="H1904" s="2"/>
      <c r="I1904" s="2"/>
      <c r="J1904" s="2"/>
      <c r="K1904" s="2"/>
      <c r="L1904" s="2"/>
    </row>
    <row r="1905" spans="1:12" customFormat="1" ht="16" x14ac:dyDescent="0.2">
      <c r="A1905" t="s">
        <v>317</v>
      </c>
      <c r="B1905" s="24">
        <f>INDEX(Parameters!$B$6:$AL$57,MATCH(Inventories!$B$1892,Parameters!$A$6:$A$57,0),MATCH(Inventories!$A1905,Parameters!$B$4:$AL$4,0))</f>
        <v>500000</v>
      </c>
      <c r="C1905" t="s">
        <v>313</v>
      </c>
      <c r="D1905" s="2"/>
      <c r="E1905" s="2"/>
      <c r="F1905" s="2"/>
      <c r="G1905" s="2"/>
      <c r="H1905" s="2"/>
      <c r="I1905" s="2"/>
      <c r="J1905" s="2"/>
      <c r="K1905" s="2"/>
      <c r="L1905" s="2"/>
    </row>
    <row r="1906" spans="1:12" customFormat="1" ht="16" x14ac:dyDescent="0.2">
      <c r="A1906" t="s">
        <v>318</v>
      </c>
      <c r="B1906" s="24">
        <f>INDEX(Parameters!$B$6:$AL$57,MATCH(Inventories!$B$1892,Parameters!$A$6:$A$57,0),MATCH(Inventories!$A1906,Parameters!$B$4:$AL$4,0))</f>
        <v>1200000</v>
      </c>
      <c r="C1906" t="s">
        <v>313</v>
      </c>
      <c r="D1906" s="2"/>
      <c r="E1906" s="2"/>
      <c r="F1906" s="2"/>
      <c r="G1906" s="2"/>
      <c r="H1906" s="2"/>
      <c r="I1906" s="2"/>
      <c r="J1906" s="2"/>
      <c r="K1906" s="2"/>
      <c r="L1906" s="2"/>
    </row>
    <row r="1907" spans="1:12" customFormat="1" ht="16" x14ac:dyDescent="0.2">
      <c r="A1907" t="s">
        <v>319</v>
      </c>
      <c r="B1907" s="2">
        <f>INDEX(Parameters!$B$6:$AL$57,MATCH(Inventories!$B$1892,Parameters!$A$6:$A$57,0),MATCH(Inventories!$A1907,Parameters!$B$4:$AL$4,0))</f>
        <v>3440</v>
      </c>
      <c r="C1907" t="s">
        <v>314</v>
      </c>
      <c r="D1907" s="2"/>
      <c r="E1907" s="2"/>
      <c r="F1907" s="2"/>
      <c r="G1907" s="2"/>
      <c r="H1907" s="2"/>
      <c r="I1907" s="2"/>
      <c r="J1907" s="2"/>
      <c r="K1907" s="2"/>
      <c r="L1907" s="2"/>
    </row>
    <row r="1908" spans="1:12" customFormat="1" ht="16" x14ac:dyDescent="0.2">
      <c r="A1908" t="s">
        <v>320</v>
      </c>
      <c r="B1908" s="2">
        <f>INDEX(Parameters!$B$6:$AL$57,MATCH(Inventories!$B$1892,Parameters!$A$6:$A$57,0),MATCH(Inventories!$A1908,Parameters!$B$4:$AL$4,0))</f>
        <v>1730</v>
      </c>
      <c r="C1908" t="s">
        <v>314</v>
      </c>
      <c r="D1908" s="2"/>
      <c r="E1908" s="2"/>
      <c r="F1908" s="2"/>
      <c r="G1908" s="2"/>
      <c r="H1908" s="2"/>
      <c r="I1908" s="2"/>
      <c r="J1908" s="2"/>
      <c r="K1908" s="2"/>
      <c r="L1908" s="2"/>
    </row>
    <row r="1909" spans="1:12" customFormat="1" ht="16" x14ac:dyDescent="0.2">
      <c r="A1909" t="s">
        <v>321</v>
      </c>
      <c r="B1909" s="2">
        <f>INDEX(Parameters!$B$6:$AL$57,MATCH(Inventories!$B$1892,Parameters!$A$6:$A$57,0),MATCH(Inventories!$A1909,Parameters!$B$4:$AL$4,0))</f>
        <v>4720</v>
      </c>
      <c r="C1909" t="s">
        <v>314</v>
      </c>
      <c r="D1909" s="2"/>
      <c r="E1909" s="2"/>
      <c r="F1909" s="2"/>
      <c r="G1909" s="2"/>
      <c r="H1909" s="2"/>
      <c r="I1909" s="2"/>
      <c r="J1909" s="2"/>
      <c r="K1909" s="2"/>
      <c r="L1909" s="2"/>
    </row>
    <row r="1910" spans="1:12" customFormat="1" ht="16" x14ac:dyDescent="0.2">
      <c r="A1910" t="s">
        <v>337</v>
      </c>
      <c r="B1910" s="2">
        <f>INDEX(Parameters!$B$6:$AL$57,MATCH(Inventories!$B$1892,Parameters!$A$6:$A$57,0),MATCH(Inventories!$A1910,Parameters!$B$4:$AL$4,0))</f>
        <v>360</v>
      </c>
      <c r="C1910" t="s">
        <v>336</v>
      </c>
      <c r="D1910" s="2"/>
      <c r="E1910" s="2"/>
      <c r="F1910" s="2"/>
      <c r="G1910" s="2"/>
      <c r="H1910" s="2"/>
      <c r="I1910" s="2"/>
      <c r="J1910" s="2"/>
      <c r="K1910" s="2"/>
      <c r="L1910" s="2"/>
    </row>
    <row r="1911" spans="1:12" customFormat="1" ht="16" x14ac:dyDescent="0.2">
      <c r="A1911" t="s">
        <v>338</v>
      </c>
      <c r="B1911" s="2">
        <f>INDEX(Parameters!$B$6:$AL$57,MATCH(Inventories!$B$1892,Parameters!$A$6:$A$57,0),MATCH(Inventories!$A1911,Parameters!$B$4:$AL$4,0))</f>
        <v>66</v>
      </c>
      <c r="C1911" t="s">
        <v>336</v>
      </c>
      <c r="D1911" s="2"/>
      <c r="E1911" s="2"/>
      <c r="F1911" s="2"/>
      <c r="G1911" s="2"/>
      <c r="H1911" s="2"/>
      <c r="I1911" s="2"/>
      <c r="J1911" s="2"/>
      <c r="K1911" s="2"/>
      <c r="L1911" s="2"/>
    </row>
    <row r="1912" spans="1:12" customFormat="1" ht="16" x14ac:dyDescent="0.2">
      <c r="A1912" t="s">
        <v>339</v>
      </c>
      <c r="B1912" s="2">
        <f>INDEX(Parameters!$B$6:$AL$57,MATCH(Inventories!$B$1892,Parameters!$A$6:$A$57,0),MATCH(Inventories!$A1912,Parameters!$B$4:$AL$4,0))</f>
        <v>350</v>
      </c>
      <c r="C1912" t="s">
        <v>336</v>
      </c>
      <c r="D1912" s="2"/>
      <c r="E1912" s="2"/>
      <c r="F1912" s="2"/>
      <c r="G1912" s="2"/>
      <c r="H1912" s="2"/>
      <c r="I1912" s="2"/>
      <c r="J1912" s="2"/>
      <c r="K1912" s="2"/>
      <c r="L1912" s="2"/>
    </row>
    <row r="1913" spans="1:12" customFormat="1" ht="16" x14ac:dyDescent="0.2">
      <c r="A1913" t="s">
        <v>340</v>
      </c>
      <c r="B1913" s="2">
        <f>INDEX(Parameters!$B$6:$AL$57,MATCH(Inventories!$B$1892,Parameters!$A$6:$A$57,0),MATCH(Inventories!$A1913,Parameters!$B$4:$AL$4,0))</f>
        <v>0</v>
      </c>
      <c r="C1913" t="s">
        <v>336</v>
      </c>
      <c r="D1913" s="2"/>
      <c r="E1913" s="2"/>
      <c r="F1913" s="2"/>
      <c r="G1913" s="2"/>
      <c r="H1913" s="2"/>
      <c r="I1913" s="2"/>
      <c r="J1913" s="2"/>
      <c r="K1913" s="2"/>
      <c r="L1913" s="2"/>
    </row>
    <row r="1914" spans="1:12" customFormat="1" ht="16" x14ac:dyDescent="0.2">
      <c r="A1914" t="s">
        <v>341</v>
      </c>
      <c r="B1914" s="2">
        <f>INDEX(Parameters!$B$6:$AL$57,MATCH(Inventories!$B$1892,Parameters!$A$6:$A$57,0),MATCH(Inventories!$A1914,Parameters!$B$4:$AL$4,0))</f>
        <v>0</v>
      </c>
      <c r="C1914" t="s">
        <v>336</v>
      </c>
      <c r="D1914" s="2"/>
      <c r="E1914" s="2"/>
      <c r="F1914" s="2"/>
      <c r="G1914" s="2"/>
      <c r="H1914" s="2"/>
      <c r="I1914" s="2"/>
      <c r="J1914" s="2"/>
      <c r="K1914" s="2"/>
      <c r="L1914" s="2"/>
    </row>
    <row r="1915" spans="1:12" customFormat="1" ht="16" x14ac:dyDescent="0.2">
      <c r="A1915" t="s">
        <v>342</v>
      </c>
      <c r="B1915" s="2">
        <f>INDEX(Parameters!$B$6:$AL$57,MATCH(Inventories!$B$1892,Parameters!$A$6:$A$57,0),MATCH(Inventories!$A1915,Parameters!$B$4:$AL$4,0))</f>
        <v>0</v>
      </c>
      <c r="C1915" t="s">
        <v>336</v>
      </c>
      <c r="D1915" s="2"/>
      <c r="E1915" s="2"/>
      <c r="F1915" s="2"/>
      <c r="G1915" s="2"/>
      <c r="H1915" s="2"/>
      <c r="I1915" s="2"/>
      <c r="J1915" s="2"/>
      <c r="K1915" s="2"/>
      <c r="L1915" s="2"/>
    </row>
    <row r="1916" spans="1:12" customFormat="1" ht="16" x14ac:dyDescent="0.2">
      <c r="A1916" t="s">
        <v>333</v>
      </c>
      <c r="B1916" s="2">
        <f>INDEX(Parameters!$B$6:$AL$57,MATCH(Inventories!$B$1892,Parameters!$A$6:$A$57,0),MATCH(Inventories!$A1916,Parameters!$B$4:$AL$4,0))</f>
        <v>0</v>
      </c>
      <c r="C1916" t="s">
        <v>336</v>
      </c>
      <c r="D1916" s="2"/>
      <c r="E1916" s="2"/>
      <c r="F1916" s="2"/>
      <c r="G1916" s="2"/>
      <c r="H1916" s="2"/>
      <c r="I1916" s="2"/>
      <c r="J1916" s="2"/>
      <c r="K1916" s="2"/>
      <c r="L1916" s="2"/>
    </row>
    <row r="1917" spans="1:12" customFormat="1" ht="16" x14ac:dyDescent="0.2">
      <c r="A1917" t="s">
        <v>334</v>
      </c>
      <c r="B1917" s="2">
        <f>INDEX(Parameters!$B$6:$AL$57,MATCH(Inventories!$B$1892,Parameters!$A$6:$A$57,0),MATCH(Inventories!$A1917,Parameters!$B$4:$AL$4,0))</f>
        <v>0</v>
      </c>
      <c r="C1917" t="s">
        <v>336</v>
      </c>
      <c r="D1917" s="2"/>
      <c r="E1917" s="2"/>
      <c r="F1917" s="2"/>
      <c r="G1917" s="2"/>
      <c r="H1917" s="2"/>
      <c r="I1917" s="2"/>
      <c r="J1917" s="2"/>
      <c r="K1917" s="2"/>
      <c r="L1917" s="2"/>
    </row>
    <row r="1918" spans="1:12" customFormat="1" ht="16" x14ac:dyDescent="0.2">
      <c r="A1918" t="s">
        <v>335</v>
      </c>
      <c r="B1918" s="2">
        <f>INDEX(Parameters!$B$6:$AL$57,MATCH(Inventories!$B$1892,Parameters!$A$6:$A$57,0),MATCH(Inventories!$A1918,Parameters!$B$4:$AL$4,0))</f>
        <v>0</v>
      </c>
      <c r="C1918" t="s">
        <v>336</v>
      </c>
      <c r="D1918" s="2"/>
      <c r="E1918" s="2"/>
      <c r="F1918" s="2"/>
      <c r="G1918" s="2"/>
      <c r="H1918" s="2"/>
      <c r="I1918" s="2"/>
      <c r="J1918" s="2"/>
      <c r="K1918" s="2"/>
      <c r="L1918" s="2"/>
    </row>
    <row r="1919" spans="1:12" customFormat="1" ht="16" x14ac:dyDescent="0.2">
      <c r="A1919" t="s">
        <v>322</v>
      </c>
      <c r="B1919" s="2">
        <f>INDEX(Parameters!$B$6:$AL$57,MATCH(Inventories!$B$1892,Parameters!$A$6:$A$57,0),MATCH(Inventories!$A1919,Parameters!$B$4:$AL$4,0))</f>
        <v>480</v>
      </c>
      <c r="C1919" t="s">
        <v>315</v>
      </c>
      <c r="D1919" s="2"/>
      <c r="E1919" s="2"/>
      <c r="F1919" s="2"/>
      <c r="G1919" s="2"/>
      <c r="H1919" s="2"/>
      <c r="I1919" s="2"/>
      <c r="J1919" s="2"/>
      <c r="K1919" s="2"/>
      <c r="L1919" s="2"/>
    </row>
    <row r="1920" spans="1:12" customFormat="1" ht="16" x14ac:dyDescent="0.2">
      <c r="A1920" t="s">
        <v>323</v>
      </c>
      <c r="B1920" s="2">
        <f>INDEX(Parameters!$B$6:$AL$57,MATCH(Inventories!$B$1892,Parameters!$A$6:$A$57,0),MATCH(Inventories!$A1920,Parameters!$B$4:$AL$4,0))</f>
        <v>240</v>
      </c>
      <c r="C1920" t="s">
        <v>315</v>
      </c>
      <c r="D1920" s="2"/>
      <c r="E1920" s="2"/>
      <c r="F1920" s="2"/>
      <c r="G1920" s="2"/>
      <c r="H1920" s="2"/>
      <c r="I1920" s="2"/>
      <c r="J1920" s="2"/>
      <c r="K1920" s="2"/>
      <c r="L1920" s="2"/>
    </row>
    <row r="1921" spans="1:12" customFormat="1" ht="16" x14ac:dyDescent="0.2">
      <c r="A1921" t="s">
        <v>324</v>
      </c>
      <c r="B1921" s="2">
        <f>INDEX(Parameters!$B$6:$AL$57,MATCH(Inventories!$B$1892,Parameters!$A$6:$A$57,0),MATCH(Inventories!$A1921,Parameters!$B$4:$AL$4,0))</f>
        <v>655</v>
      </c>
      <c r="C1921" t="s">
        <v>315</v>
      </c>
      <c r="D1921" s="2"/>
      <c r="E1921" s="2"/>
      <c r="F1921" s="2"/>
      <c r="G1921" s="2"/>
      <c r="H1921" s="2"/>
      <c r="I1921" s="2"/>
      <c r="J1921" s="2"/>
      <c r="K1921" s="2"/>
      <c r="L1921" s="2"/>
    </row>
    <row r="1922" spans="1:12" customFormat="1" ht="16" x14ac:dyDescent="0.2">
      <c r="A1922" t="s">
        <v>330</v>
      </c>
      <c r="B1922" s="2">
        <f>INDEX(Parameters!$B$6:$AL$57,MATCH(Inventories!$B$1892,Parameters!$A$6:$A$57,0),MATCH(Inventories!$A1922,Parameters!$B$4:$AL$4,0))</f>
        <v>0</v>
      </c>
      <c r="C1922" t="s">
        <v>8</v>
      </c>
      <c r="D1922" s="2"/>
      <c r="E1922" s="2"/>
      <c r="F1922" s="2"/>
      <c r="G1922" s="2"/>
      <c r="H1922" s="2"/>
      <c r="I1922" s="2"/>
      <c r="J1922" s="2"/>
      <c r="K1922" s="2"/>
      <c r="L1922" s="2"/>
    </row>
    <row r="1923" spans="1:12" customFormat="1" ht="16" x14ac:dyDescent="0.2">
      <c r="A1923" t="s">
        <v>331</v>
      </c>
      <c r="B1923" s="2">
        <f>INDEX(Parameters!$B$6:$AL$57,MATCH(Inventories!$B$1892,Parameters!$A$6:$A$57,0),MATCH(Inventories!$A1923,Parameters!$B$4:$AL$4,0))</f>
        <v>0</v>
      </c>
      <c r="C1923" t="s">
        <v>8</v>
      </c>
      <c r="D1923" s="2"/>
      <c r="E1923" s="2"/>
      <c r="F1923" s="2"/>
      <c r="G1923" s="2"/>
      <c r="H1923" s="2"/>
      <c r="I1923" s="2"/>
      <c r="J1923" s="2"/>
      <c r="K1923" s="2"/>
      <c r="L1923" s="2"/>
    </row>
    <row r="1924" spans="1:12" customFormat="1" ht="16" x14ac:dyDescent="0.2">
      <c r="A1924" t="s">
        <v>332</v>
      </c>
      <c r="B1924" s="2">
        <f>INDEX(Parameters!$B$6:$AL$57,MATCH(Inventories!$B$1892,Parameters!$A$6:$A$57,0),MATCH(Inventories!$A1924,Parameters!$B$4:$AL$4,0))</f>
        <v>0</v>
      </c>
      <c r="C1924" t="s">
        <v>8</v>
      </c>
      <c r="D1924" s="2"/>
      <c r="E1924" s="2"/>
      <c r="F1924" s="2"/>
      <c r="G1924" s="2"/>
      <c r="H1924" s="2"/>
      <c r="I1924" s="2"/>
      <c r="J1924" s="2"/>
      <c r="K1924" s="2"/>
      <c r="L1924" s="2"/>
    </row>
    <row r="1925" spans="1:12" customFormat="1" ht="16" x14ac:dyDescent="0.2">
      <c r="A1925" t="s">
        <v>346</v>
      </c>
      <c r="B1925" s="2">
        <f>INDEX(Parameters!$B$6:$AL$57,MATCH(Inventories!$B$1892,Parameters!$A$6:$A$57,0),MATCH(Inventories!$A1925,Parameters!$B$4:$AL$4,0))</f>
        <v>0</v>
      </c>
      <c r="C1925" t="s">
        <v>312</v>
      </c>
      <c r="D1925" s="2"/>
      <c r="E1925" s="2"/>
      <c r="F1925" s="2"/>
      <c r="G1925" s="2"/>
      <c r="H1925" s="2"/>
      <c r="I1925" s="2"/>
      <c r="J1925" s="2"/>
      <c r="K1925" s="2"/>
      <c r="L1925" s="2"/>
    </row>
    <row r="1926" spans="1:12" customFormat="1" ht="16" x14ac:dyDescent="0.2">
      <c r="A1926" t="s">
        <v>347</v>
      </c>
      <c r="B1926" s="2">
        <f>INDEX(Parameters!$B$6:$AL$57,MATCH(Inventories!$B$1892,Parameters!$A$6:$A$57,0),MATCH(Inventories!$A1926,Parameters!$B$4:$AL$4,0))</f>
        <v>0</v>
      </c>
      <c r="C1926" t="s">
        <v>312</v>
      </c>
      <c r="D1926" s="2"/>
      <c r="E1926" s="12"/>
      <c r="F1926" s="2"/>
      <c r="G1926" s="2"/>
      <c r="H1926" s="2"/>
      <c r="I1926" s="2"/>
      <c r="J1926" s="2"/>
      <c r="K1926" s="2"/>
      <c r="L1926" s="2"/>
    </row>
    <row r="1927" spans="1:12" customFormat="1" ht="16" x14ac:dyDescent="0.2">
      <c r="A1927" t="s">
        <v>348</v>
      </c>
      <c r="B1927" s="2">
        <f>INDEX(Parameters!$B$6:$AL$57,MATCH(Inventories!$B$1892,Parameters!$A$6:$A$57,0),MATCH(Inventories!$A1927,Parameters!$B$4:$AL$4,0))</f>
        <v>0</v>
      </c>
      <c r="C1927" t="s">
        <v>312</v>
      </c>
      <c r="D1927" s="2"/>
      <c r="E1927" s="2"/>
      <c r="F1927" s="2"/>
      <c r="G1927" s="2"/>
      <c r="H1927" s="2"/>
      <c r="I1927" s="2"/>
      <c r="J1927" s="2"/>
      <c r="K1927" s="2"/>
      <c r="L1927" s="2"/>
    </row>
    <row r="1928" spans="1:12" customFormat="1" ht="16" x14ac:dyDescent="0.2">
      <c r="A1928" t="s">
        <v>349</v>
      </c>
      <c r="B1928" s="2">
        <f>INDEX(Parameters!$B$6:$AL$57,MATCH(Inventories!$B$1892,Parameters!$A$6:$A$57,0),MATCH(Inventories!$A1928,Parameters!$B$4:$AL$4,0))</f>
        <v>0</v>
      </c>
      <c r="C1928" t="s">
        <v>8</v>
      </c>
      <c r="D1928" s="2"/>
      <c r="E1928" s="2"/>
      <c r="F1928" s="2"/>
      <c r="G1928" s="2"/>
      <c r="H1928" s="2"/>
      <c r="I1928" s="2"/>
      <c r="J1928" s="2"/>
      <c r="K1928" s="2"/>
      <c r="L1928" s="2"/>
    </row>
    <row r="1929" spans="1:12" customFormat="1" ht="16" x14ac:dyDescent="0.2">
      <c r="A1929" t="s">
        <v>350</v>
      </c>
      <c r="B1929" s="2">
        <f>INDEX(Parameters!$B$6:$AL$57,MATCH(Inventories!$B$1892,Parameters!$A$6:$A$57,0),MATCH(Inventories!$A1929,Parameters!$B$4:$AL$4,0))</f>
        <v>0</v>
      </c>
      <c r="C1929" t="s">
        <v>8</v>
      </c>
      <c r="D1929" s="2"/>
      <c r="E1929" s="2"/>
      <c r="F1929" s="2"/>
      <c r="G1929" s="2"/>
      <c r="H1929" s="2"/>
      <c r="I1929" s="2"/>
      <c r="J1929" s="2"/>
      <c r="K1929" s="2"/>
      <c r="L1929" s="2"/>
    </row>
    <row r="1930" spans="1:12" customFormat="1" ht="16" x14ac:dyDescent="0.2">
      <c r="A1930" t="s">
        <v>351</v>
      </c>
      <c r="B1930" s="2">
        <f>INDEX(Parameters!$B$6:$AL$57,MATCH(Inventories!$B$1892,Parameters!$A$6:$A$57,0),MATCH(Inventories!$A1930,Parameters!$B$4:$AL$4,0))</f>
        <v>0</v>
      </c>
      <c r="C1930" t="s">
        <v>8</v>
      </c>
      <c r="D1930" s="2"/>
      <c r="E1930" s="2"/>
      <c r="F1930" s="2"/>
      <c r="G1930" s="2"/>
      <c r="H1930" s="2"/>
      <c r="I1930" s="2"/>
      <c r="J1930" s="2"/>
      <c r="K1930" s="2"/>
      <c r="L1930" s="2"/>
    </row>
    <row r="1931" spans="1:12" customFormat="1" ht="16" x14ac:dyDescent="0.2">
      <c r="A1931" t="s">
        <v>365</v>
      </c>
      <c r="B1931" s="2">
        <f>INDEX(Parameters!$B$6:$AL$57,MATCH(Inventories!$B$1892,Parameters!$A$6:$A$57,0),MATCH(Inventories!$A1931,Parameters!$B$4:$AL$4,0))</f>
        <v>0</v>
      </c>
      <c r="C1931" t="s">
        <v>336</v>
      </c>
      <c r="D1931" s="2"/>
      <c r="E1931" s="2"/>
      <c r="F1931" s="2"/>
      <c r="G1931" s="2"/>
      <c r="H1931" s="2"/>
      <c r="I1931" s="2"/>
      <c r="J1931" s="2"/>
      <c r="K1931" s="2"/>
      <c r="L1931" s="2"/>
    </row>
    <row r="1932" spans="1:12" customFormat="1" ht="16" x14ac:dyDescent="0.2">
      <c r="A1932" t="s">
        <v>366</v>
      </c>
      <c r="B1932" s="2">
        <f>INDEX(Parameters!$B$6:$AL$57,MATCH(Inventories!$B$1892,Parameters!$A$6:$A$57,0),MATCH(Inventories!$A1932,Parameters!$B$4:$AL$4,0))</f>
        <v>0</v>
      </c>
      <c r="C1932" t="s">
        <v>336</v>
      </c>
      <c r="D1932" s="2"/>
      <c r="E1932" s="2"/>
      <c r="F1932" s="2"/>
      <c r="G1932" s="2"/>
      <c r="H1932" s="2"/>
      <c r="I1932" s="2"/>
      <c r="J1932" s="2"/>
      <c r="K1932" s="2"/>
      <c r="L1932" s="2"/>
    </row>
    <row r="1933" spans="1:12" customFormat="1" ht="16" x14ac:dyDescent="0.2">
      <c r="A1933" t="s">
        <v>367</v>
      </c>
      <c r="B1933" s="2">
        <f>INDEX(Parameters!$B$6:$AL$57,MATCH(Inventories!$B$1892,Parameters!$A$6:$A$57,0),MATCH(Inventories!$A1933,Parameters!$B$4:$AL$4,0))</f>
        <v>25</v>
      </c>
      <c r="C1933" t="s">
        <v>336</v>
      </c>
      <c r="D1933" s="2"/>
      <c r="E1933" s="2"/>
      <c r="F1933" s="2"/>
      <c r="G1933" s="2"/>
      <c r="H1933" s="2"/>
      <c r="I1933" s="2"/>
      <c r="J1933" s="2"/>
      <c r="K1933" s="2"/>
      <c r="L1933" s="2"/>
    </row>
    <row r="1934" spans="1:12" customFormat="1" ht="16" x14ac:dyDescent="0.2">
      <c r="A1934" t="s">
        <v>368</v>
      </c>
      <c r="B1934" s="2">
        <f>INDEX(Parameters!$B$6:$AL$57,MATCH(Inventories!$B$1892,Parameters!$A$6:$A$57,0),MATCH(Inventories!$A1934,Parameters!$B$4:$AL$4,0))</f>
        <v>166</v>
      </c>
      <c r="C1934" t="s">
        <v>336</v>
      </c>
      <c r="D1934" s="2"/>
      <c r="E1934" s="2"/>
      <c r="F1934" s="2"/>
      <c r="G1934" s="2"/>
      <c r="H1934" s="2"/>
      <c r="I1934" s="2"/>
      <c r="J1934" s="2"/>
      <c r="K1934" s="2"/>
      <c r="L1934" s="2"/>
    </row>
    <row r="1935" spans="1:12" customFormat="1" ht="16" x14ac:dyDescent="0.2">
      <c r="A1935" t="s">
        <v>369</v>
      </c>
      <c r="B1935" s="2">
        <f>INDEX(Parameters!$B$6:$AL$57,MATCH(Inventories!$B$1892,Parameters!$A$6:$A$57,0),MATCH(Inventories!$A1935,Parameters!$B$4:$AL$4,0))</f>
        <v>15</v>
      </c>
      <c r="C1935" t="s">
        <v>336</v>
      </c>
      <c r="D1935" s="2"/>
      <c r="E1935" s="2"/>
      <c r="F1935" s="2"/>
      <c r="G1935" s="2"/>
      <c r="H1935" s="2"/>
      <c r="I1935" s="2"/>
      <c r="J1935" s="2"/>
      <c r="K1935" s="2"/>
      <c r="L1935" s="2"/>
    </row>
    <row r="1936" spans="1:12" customFormat="1" ht="16" x14ac:dyDescent="0.2">
      <c r="A1936" t="s">
        <v>344</v>
      </c>
      <c r="B1936" s="32">
        <f>INDEX(Parameters!$B$6:$AL$57,MATCH(Inventories!$B$1892,Parameters!$A$6:$A$57,0),MATCH(Inventories!$A1936,Parameters!$B$4:$AL$4,0))</f>
        <v>0</v>
      </c>
      <c r="C1936" t="s">
        <v>345</v>
      </c>
      <c r="D1936" s="2"/>
      <c r="E1936" s="2"/>
      <c r="F1936" s="2"/>
      <c r="G1936" s="2"/>
      <c r="H1936" s="2"/>
      <c r="I1936" s="2"/>
      <c r="J1936" s="2"/>
      <c r="K1936" s="2"/>
      <c r="L1936" s="2"/>
    </row>
    <row r="1937" spans="1:12" customFormat="1" ht="16" x14ac:dyDescent="0.2">
      <c r="A1937" t="s">
        <v>343</v>
      </c>
      <c r="B1937" s="32">
        <f>INDEX(Parameters!$B$6:$AL$57,MATCH(Inventories!$B$1892,Parameters!$A$6:$A$57,0),MATCH(Inventories!$A1937,Parameters!$B$4:$AL$4,0))</f>
        <v>0</v>
      </c>
      <c r="C1937" t="s">
        <v>345</v>
      </c>
      <c r="D1937" s="2"/>
      <c r="E1937" s="2"/>
      <c r="F1937" s="2"/>
      <c r="G1937" s="2"/>
      <c r="H1937" s="2"/>
      <c r="I1937" s="2"/>
      <c r="J1937" s="2"/>
      <c r="K1937" s="2"/>
      <c r="L1937" s="2"/>
    </row>
    <row r="1938" spans="1:12" customFormat="1" ht="16" x14ac:dyDescent="0.2">
      <c r="A1938" s="1" t="s">
        <v>10</v>
      </c>
      <c r="H1938" s="2"/>
    </row>
    <row r="1939" spans="1:12" x14ac:dyDescent="0.2">
      <c r="A1939" s="17" t="s">
        <v>11</v>
      </c>
      <c r="B1939" s="17" t="s">
        <v>12</v>
      </c>
      <c r="C1939" s="17" t="s">
        <v>3</v>
      </c>
      <c r="D1939" s="17" t="s">
        <v>13</v>
      </c>
      <c r="E1939" s="17" t="s">
        <v>8</v>
      </c>
      <c r="F1939" s="17" t="s">
        <v>6</v>
      </c>
      <c r="G1939" s="17" t="s">
        <v>5</v>
      </c>
      <c r="H1939" s="17" t="s">
        <v>151</v>
      </c>
      <c r="I1939" s="17" t="s">
        <v>179</v>
      </c>
      <c r="J1939" s="17" t="s">
        <v>180</v>
      </c>
      <c r="K1939" s="17" t="s">
        <v>181</v>
      </c>
      <c r="L1939" s="17" t="s">
        <v>182</v>
      </c>
    </row>
    <row r="1940" spans="1:12" customFormat="1" ht="16" x14ac:dyDescent="0.2">
      <c r="A1940" s="22" t="s">
        <v>305</v>
      </c>
      <c r="B1940">
        <v>1</v>
      </c>
      <c r="C1940" t="s">
        <v>18</v>
      </c>
      <c r="D1940" t="s">
        <v>211</v>
      </c>
      <c r="E1940" t="s">
        <v>17</v>
      </c>
      <c r="F1940" t="s">
        <v>19</v>
      </c>
      <c r="G1940" t="s">
        <v>142</v>
      </c>
      <c r="H1940" s="2"/>
    </row>
    <row r="1941" spans="1:12" customFormat="1" ht="16" x14ac:dyDescent="0.2">
      <c r="A1941" t="s">
        <v>140</v>
      </c>
      <c r="B1941" s="33">
        <f>1/3.6</f>
        <v>0.27777777777777779</v>
      </c>
      <c r="C1941" t="s">
        <v>18</v>
      </c>
      <c r="E1941" t="s">
        <v>141</v>
      </c>
      <c r="F1941" t="s">
        <v>23</v>
      </c>
      <c r="G1941" t="s">
        <v>142</v>
      </c>
      <c r="H1941" s="2"/>
      <c r="I1941" s="2"/>
    </row>
    <row r="1942" spans="1:12" customFormat="1" ht="16" x14ac:dyDescent="0.2">
      <c r="A1942" t="s">
        <v>187</v>
      </c>
      <c r="B1942" s="3">
        <f>(B1934/B1904)/(B1907/1000)</f>
        <v>4.8255813953488368E-5</v>
      </c>
      <c r="C1942" t="s">
        <v>114</v>
      </c>
      <c r="D1942" t="s">
        <v>211</v>
      </c>
      <c r="E1942" t="s">
        <v>9</v>
      </c>
      <c r="F1942" t="s">
        <v>23</v>
      </c>
      <c r="G1942" t="s">
        <v>188</v>
      </c>
      <c r="H1942" s="2"/>
    </row>
    <row r="1943" spans="1:12" customFormat="1" ht="16" x14ac:dyDescent="0.2">
      <c r="A1943" t="s">
        <v>183</v>
      </c>
      <c r="B1943" s="3">
        <f>(B1933/B1904)/(B1907/1000)</f>
        <v>7.2674418604651167E-6</v>
      </c>
      <c r="C1943" t="s">
        <v>114</v>
      </c>
      <c r="D1943" t="s">
        <v>211</v>
      </c>
      <c r="E1943" t="s">
        <v>9</v>
      </c>
      <c r="F1943" t="s">
        <v>23</v>
      </c>
      <c r="G1943" t="s">
        <v>184</v>
      </c>
      <c r="H1943" s="2"/>
    </row>
    <row r="1944" spans="1:12" customFormat="1" ht="16" x14ac:dyDescent="0.2">
      <c r="A1944" t="s">
        <v>185</v>
      </c>
      <c r="B1944" s="3">
        <f>(B1935/B1904)/(B1907/1000)</f>
        <v>4.3604651162790704E-6</v>
      </c>
      <c r="C1944" t="s">
        <v>114</v>
      </c>
      <c r="D1944" t="s">
        <v>211</v>
      </c>
      <c r="E1944" t="s">
        <v>9</v>
      </c>
      <c r="F1944" t="s">
        <v>23</v>
      </c>
      <c r="G1944" t="s">
        <v>186</v>
      </c>
      <c r="H1944" s="2"/>
    </row>
    <row r="1945" spans="1:12" customFormat="1" ht="16" x14ac:dyDescent="0.2">
      <c r="A1945" t="s">
        <v>146</v>
      </c>
      <c r="B1945" s="3">
        <f>(B1910/B1904)/(B1907/1000)</f>
        <v>1.0465116279069768E-4</v>
      </c>
      <c r="C1945" t="s">
        <v>114</v>
      </c>
      <c r="D1945" t="s">
        <v>211</v>
      </c>
      <c r="E1945" t="s">
        <v>9</v>
      </c>
      <c r="F1945" t="s">
        <v>23</v>
      </c>
      <c r="G1945" t="s">
        <v>147</v>
      </c>
      <c r="H1945" s="2"/>
      <c r="I1945">
        <v>5</v>
      </c>
      <c r="J1945">
        <f>B1945</f>
        <v>1.0465116279069768E-4</v>
      </c>
      <c r="K1945" s="3">
        <f>(B1911/B1906)/(B1909/1000)</f>
        <v>1.1652542372881356E-5</v>
      </c>
      <c r="L1945" s="3">
        <f>(B1912/B1905)/(B1908/1000)</f>
        <v>4.0462427745664741E-4</v>
      </c>
    </row>
    <row r="1946" spans="1:12" customFormat="1" ht="16" x14ac:dyDescent="0.2">
      <c r="A1946" t="s">
        <v>189</v>
      </c>
      <c r="B1946" s="3">
        <f>(B1919/B1904)/(B1907/1000)</f>
        <v>1.3953488372093025E-4</v>
      </c>
      <c r="C1946" s="2" t="s">
        <v>114</v>
      </c>
      <c r="E1946" t="s">
        <v>141</v>
      </c>
      <c r="F1946" t="s">
        <v>23</v>
      </c>
      <c r="G1946" t="s">
        <v>190</v>
      </c>
      <c r="H1946" s="2"/>
      <c r="I1946">
        <v>5</v>
      </c>
      <c r="J1946">
        <f>B1946</f>
        <v>1.3953488372093025E-4</v>
      </c>
      <c r="K1946" s="3">
        <f>(B1920/B1906)/(B1909/1000)</f>
        <v>4.2372881355932206E-5</v>
      </c>
      <c r="L1946" s="3">
        <f>(B1921/B1905)/(B1908/1000)</f>
        <v>7.5722543352601157E-4</v>
      </c>
    </row>
    <row r="1947" spans="1:12" customFormat="1" ht="16" x14ac:dyDescent="0.2">
      <c r="H1947" s="2"/>
    </row>
    <row r="1948" spans="1:12" x14ac:dyDescent="0.2">
      <c r="A1948" s="17" t="s">
        <v>2</v>
      </c>
      <c r="B1948" s="17" t="s">
        <v>301</v>
      </c>
    </row>
    <row r="1949" spans="1:12" customFormat="1" ht="16" x14ac:dyDescent="0.2">
      <c r="A1949" t="s">
        <v>3</v>
      </c>
      <c r="B1949" t="s">
        <v>18</v>
      </c>
      <c r="H1949" s="2"/>
    </row>
    <row r="1950" spans="1:12" customFormat="1" ht="16" x14ac:dyDescent="0.2">
      <c r="A1950" t="s">
        <v>4</v>
      </c>
      <c r="B1950">
        <v>1</v>
      </c>
      <c r="H1950" s="2"/>
    </row>
    <row r="1951" spans="1:12" customFormat="1" ht="16" x14ac:dyDescent="0.2">
      <c r="A1951" t="s">
        <v>5</v>
      </c>
      <c r="B1951" t="s">
        <v>1</v>
      </c>
      <c r="H1951" s="2"/>
    </row>
    <row r="1952" spans="1:12" customFormat="1" ht="16" x14ac:dyDescent="0.2">
      <c r="A1952" t="s">
        <v>6</v>
      </c>
      <c r="B1952" t="s">
        <v>7</v>
      </c>
      <c r="H1952" s="2"/>
    </row>
    <row r="1953" spans="1:12" customFormat="1" ht="16" x14ac:dyDescent="0.2">
      <c r="A1953" t="s">
        <v>8</v>
      </c>
      <c r="B1953" t="s">
        <v>17</v>
      </c>
      <c r="H1953" s="2"/>
    </row>
    <row r="1954" spans="1:12" customFormat="1" ht="16" x14ac:dyDescent="0.2">
      <c r="A1954" t="s">
        <v>204</v>
      </c>
      <c r="B1954" t="s">
        <v>205</v>
      </c>
      <c r="H1954" s="2"/>
    </row>
    <row r="1955" spans="1:12" customFormat="1" ht="16" x14ac:dyDescent="0.2">
      <c r="A1955" t="s">
        <v>198</v>
      </c>
      <c r="B1955" t="s">
        <v>243</v>
      </c>
      <c r="H1955" s="2"/>
    </row>
    <row r="1956" spans="1:12" customFormat="1" ht="16" x14ac:dyDescent="0.2">
      <c r="A1956" t="s">
        <v>151</v>
      </c>
      <c r="B1956" t="s">
        <v>248</v>
      </c>
      <c r="H1956" s="2"/>
    </row>
    <row r="1957" spans="1:12" customFormat="1" ht="16" x14ac:dyDescent="0.2">
      <c r="A1957" t="s">
        <v>352</v>
      </c>
      <c r="B1957" s="2">
        <f>INDEX(Parameters!$B$6:$AL$57,MATCH(Inventories!$B$1948,Parameters!$A$6:$A$57,0),MATCH(Inventories!$A1957,Parameters!$B$4:$AL$4,0))</f>
        <v>220</v>
      </c>
      <c r="C1957" t="s">
        <v>312</v>
      </c>
      <c r="D1957" s="2"/>
      <c r="E1957" s="2"/>
      <c r="F1957" s="2"/>
      <c r="G1957" s="2"/>
      <c r="H1957" s="2"/>
      <c r="I1957" s="2"/>
      <c r="J1957" s="2"/>
      <c r="K1957" s="2"/>
      <c r="L1957" s="2"/>
    </row>
    <row r="1958" spans="1:12" customFormat="1" ht="16" x14ac:dyDescent="0.2">
      <c r="A1958" t="s">
        <v>353</v>
      </c>
      <c r="B1958" s="2">
        <f>INDEX(Parameters!$B$6:$AL$57,MATCH(Inventories!$B$1948,Parameters!$A$6:$A$57,0),MATCH(Inventories!$A1958,Parameters!$B$4:$AL$4,0))</f>
        <v>100</v>
      </c>
      <c r="C1958" t="s">
        <v>312</v>
      </c>
      <c r="D1958" s="2"/>
      <c r="E1958" s="2"/>
      <c r="F1958" s="2"/>
      <c r="G1958" s="2"/>
      <c r="H1958" s="2"/>
      <c r="I1958" s="2"/>
      <c r="J1958" s="2"/>
      <c r="K1958" s="2"/>
      <c r="L1958" s="2"/>
    </row>
    <row r="1959" spans="1:12" customFormat="1" ht="16" x14ac:dyDescent="0.2">
      <c r="A1959" t="s">
        <v>354</v>
      </c>
      <c r="B1959" s="2">
        <f>INDEX(Parameters!$B$6:$AL$57,MATCH(Inventories!$B$1948,Parameters!$A$6:$A$57,0),MATCH(Inventories!$A1959,Parameters!$B$4:$AL$4,0))</f>
        <v>290</v>
      </c>
      <c r="C1959" t="s">
        <v>312</v>
      </c>
      <c r="D1959" s="2"/>
      <c r="E1959" s="2"/>
      <c r="F1959" s="2"/>
      <c r="G1959" s="2"/>
      <c r="H1959" s="2"/>
      <c r="I1959" s="2"/>
      <c r="J1959" s="2"/>
      <c r="K1959" s="2"/>
      <c r="L1959" s="2"/>
    </row>
    <row r="1960" spans="1:12" customFormat="1" ht="16" x14ac:dyDescent="0.2">
      <c r="A1960" t="s">
        <v>316</v>
      </c>
      <c r="B1960" s="24">
        <f>INDEX(Parameters!$B$6:$AL$57,MATCH(Inventories!$B$1948,Parameters!$A$6:$A$57,0),MATCH(Inventories!$A1960,Parameters!$B$4:$AL$4,0))</f>
        <v>1000000</v>
      </c>
      <c r="C1960" t="s">
        <v>313</v>
      </c>
      <c r="D1960" s="2"/>
      <c r="E1960" s="2"/>
      <c r="F1960" s="2"/>
      <c r="G1960" s="2"/>
      <c r="H1960" s="2"/>
      <c r="I1960" s="2"/>
      <c r="J1960" s="2"/>
      <c r="K1960" s="2"/>
      <c r="L1960" s="2"/>
    </row>
    <row r="1961" spans="1:12" customFormat="1" ht="16" x14ac:dyDescent="0.2">
      <c r="A1961" t="s">
        <v>317</v>
      </c>
      <c r="B1961" s="24">
        <f>INDEX(Parameters!$B$6:$AL$57,MATCH(Inventories!$B$1948,Parameters!$A$6:$A$57,0),MATCH(Inventories!$A1961,Parameters!$B$4:$AL$4,0))</f>
        <v>500000</v>
      </c>
      <c r="C1961" t="s">
        <v>313</v>
      </c>
      <c r="D1961" s="2"/>
      <c r="E1961" s="2"/>
      <c r="F1961" s="2"/>
      <c r="G1961" s="2"/>
      <c r="H1961" s="2"/>
      <c r="I1961" s="2"/>
      <c r="J1961" s="2"/>
      <c r="K1961" s="2"/>
      <c r="L1961" s="2"/>
    </row>
    <row r="1962" spans="1:12" customFormat="1" ht="16" x14ac:dyDescent="0.2">
      <c r="A1962" t="s">
        <v>318</v>
      </c>
      <c r="B1962" s="24">
        <f>INDEX(Parameters!$B$6:$AL$57,MATCH(Inventories!$B$1948,Parameters!$A$6:$A$57,0),MATCH(Inventories!$A1962,Parameters!$B$4:$AL$4,0))</f>
        <v>1200000</v>
      </c>
      <c r="C1962" t="s">
        <v>313</v>
      </c>
      <c r="D1962" s="2"/>
      <c r="E1962" s="2"/>
      <c r="F1962" s="2"/>
      <c r="G1962" s="2"/>
      <c r="H1962" s="2"/>
      <c r="I1962" s="2"/>
      <c r="J1962" s="2"/>
      <c r="K1962" s="2"/>
      <c r="L1962" s="2"/>
    </row>
    <row r="1963" spans="1:12" customFormat="1" ht="16" x14ac:dyDescent="0.2">
      <c r="A1963" t="s">
        <v>319</v>
      </c>
      <c r="B1963" s="2">
        <f>INDEX(Parameters!$B$6:$AL$57,MATCH(Inventories!$B$1948,Parameters!$A$6:$A$57,0),MATCH(Inventories!$A1963,Parameters!$B$4:$AL$4,0))</f>
        <v>4930</v>
      </c>
      <c r="C1963" t="s">
        <v>314</v>
      </c>
      <c r="D1963" s="2"/>
      <c r="E1963" s="2"/>
      <c r="F1963" s="2"/>
      <c r="G1963" s="2"/>
      <c r="H1963" s="2"/>
      <c r="I1963" s="2"/>
      <c r="J1963" s="2"/>
      <c r="K1963" s="2"/>
      <c r="L1963" s="2"/>
    </row>
    <row r="1964" spans="1:12" customFormat="1" ht="16" x14ac:dyDescent="0.2">
      <c r="A1964" t="s">
        <v>320</v>
      </c>
      <c r="B1964" s="2">
        <f>INDEX(Parameters!$B$6:$AL$57,MATCH(Inventories!$B$1948,Parameters!$A$6:$A$57,0),MATCH(Inventories!$A1964,Parameters!$B$4:$AL$4,0))</f>
        <v>2360</v>
      </c>
      <c r="C1964" t="s">
        <v>314</v>
      </c>
      <c r="D1964" s="2"/>
      <c r="E1964" s="2"/>
      <c r="F1964" s="2"/>
      <c r="G1964" s="2"/>
      <c r="H1964" s="2"/>
      <c r="I1964" s="2"/>
      <c r="J1964" s="2"/>
      <c r="K1964" s="2"/>
      <c r="L1964" s="2"/>
    </row>
    <row r="1965" spans="1:12" customFormat="1" ht="16" x14ac:dyDescent="0.2">
      <c r="A1965" t="s">
        <v>321</v>
      </c>
      <c r="B1965" s="2">
        <f>INDEX(Parameters!$B$6:$AL$57,MATCH(Inventories!$B$1948,Parameters!$A$6:$A$57,0),MATCH(Inventories!$A1965,Parameters!$B$4:$AL$4,0))</f>
        <v>6500</v>
      </c>
      <c r="C1965" t="s">
        <v>314</v>
      </c>
      <c r="D1965" s="2"/>
      <c r="E1965" s="2"/>
      <c r="F1965" s="2"/>
      <c r="G1965" s="2"/>
      <c r="H1965" s="2"/>
      <c r="I1965" s="2"/>
      <c r="J1965" s="2"/>
      <c r="K1965" s="2"/>
      <c r="L1965" s="2"/>
    </row>
    <row r="1966" spans="1:12" customFormat="1" ht="16" x14ac:dyDescent="0.2">
      <c r="A1966" t="s">
        <v>337</v>
      </c>
      <c r="B1966" s="2">
        <f>INDEX(Parameters!$B$6:$AL$57,MATCH(Inventories!$B$1948,Parameters!$A$6:$A$57,0),MATCH(Inventories!$A1966,Parameters!$B$4:$AL$4,0))</f>
        <v>150</v>
      </c>
      <c r="C1966" t="s">
        <v>336</v>
      </c>
      <c r="D1966" s="2"/>
      <c r="E1966" s="2"/>
      <c r="F1966" s="2"/>
      <c r="G1966" s="2"/>
      <c r="H1966" s="2"/>
      <c r="I1966" s="2"/>
      <c r="J1966" s="2"/>
      <c r="K1966" s="2"/>
      <c r="L1966" s="2"/>
    </row>
    <row r="1967" spans="1:12" customFormat="1" ht="16" x14ac:dyDescent="0.2">
      <c r="A1967" t="s">
        <v>338</v>
      </c>
      <c r="B1967" s="2">
        <f>INDEX(Parameters!$B$6:$AL$57,MATCH(Inventories!$B$1948,Parameters!$A$6:$A$57,0),MATCH(Inventories!$A1967,Parameters!$B$4:$AL$4,0))</f>
        <v>50</v>
      </c>
      <c r="C1967" t="s">
        <v>336</v>
      </c>
      <c r="D1967" s="2"/>
      <c r="E1967" s="2"/>
      <c r="F1967" s="2"/>
      <c r="G1967" s="2"/>
      <c r="H1967" s="2"/>
      <c r="I1967" s="2"/>
      <c r="J1967" s="2"/>
      <c r="K1967" s="2"/>
      <c r="L1967" s="2"/>
    </row>
    <row r="1968" spans="1:12" customFormat="1" ht="16" x14ac:dyDescent="0.2">
      <c r="A1968" t="s">
        <v>339</v>
      </c>
      <c r="B1968" s="2">
        <f>INDEX(Parameters!$B$6:$AL$57,MATCH(Inventories!$B$1948,Parameters!$A$6:$A$57,0),MATCH(Inventories!$A1968,Parameters!$B$4:$AL$4,0))</f>
        <v>240</v>
      </c>
      <c r="C1968" t="s">
        <v>336</v>
      </c>
      <c r="D1968" s="2"/>
      <c r="E1968" s="2"/>
      <c r="F1968" s="2"/>
      <c r="G1968" s="2"/>
      <c r="H1968" s="2"/>
      <c r="I1968" s="2"/>
      <c r="J1968" s="2"/>
      <c r="K1968" s="2"/>
      <c r="L1968" s="2"/>
    </row>
    <row r="1969" spans="1:12" customFormat="1" ht="16" x14ac:dyDescent="0.2">
      <c r="A1969" t="s">
        <v>340</v>
      </c>
      <c r="B1969" s="2">
        <f>INDEX(Parameters!$B$6:$AL$57,MATCH(Inventories!$B$1948,Parameters!$A$6:$A$57,0),MATCH(Inventories!$A1969,Parameters!$B$4:$AL$4,0))</f>
        <v>0</v>
      </c>
      <c r="C1969" t="s">
        <v>336</v>
      </c>
      <c r="D1969" s="2"/>
      <c r="E1969" s="2"/>
      <c r="F1969" s="2"/>
      <c r="G1969" s="2"/>
      <c r="H1969" s="2"/>
      <c r="I1969" s="2"/>
      <c r="J1969" s="2"/>
      <c r="K1969" s="2"/>
      <c r="L1969" s="2"/>
    </row>
    <row r="1970" spans="1:12" customFormat="1" ht="16" x14ac:dyDescent="0.2">
      <c r="A1970" t="s">
        <v>341</v>
      </c>
      <c r="B1970" s="2">
        <f>INDEX(Parameters!$B$6:$AL$57,MATCH(Inventories!$B$1948,Parameters!$A$6:$A$57,0),MATCH(Inventories!$A1970,Parameters!$B$4:$AL$4,0))</f>
        <v>0</v>
      </c>
      <c r="C1970" t="s">
        <v>336</v>
      </c>
      <c r="D1970" s="2"/>
      <c r="E1970" s="2"/>
      <c r="F1970" s="2"/>
      <c r="G1970" s="2"/>
      <c r="H1970" s="2"/>
      <c r="I1970" s="2"/>
      <c r="J1970" s="2"/>
      <c r="K1970" s="2"/>
      <c r="L1970" s="2"/>
    </row>
    <row r="1971" spans="1:12" customFormat="1" ht="16" x14ac:dyDescent="0.2">
      <c r="A1971" t="s">
        <v>342</v>
      </c>
      <c r="B1971" s="2">
        <f>INDEX(Parameters!$B$6:$AL$57,MATCH(Inventories!$B$1948,Parameters!$A$6:$A$57,0),MATCH(Inventories!$A1971,Parameters!$B$4:$AL$4,0))</f>
        <v>0</v>
      </c>
      <c r="C1971" t="s">
        <v>336</v>
      </c>
      <c r="D1971" s="2"/>
      <c r="E1971" s="2"/>
      <c r="F1971" s="2"/>
      <c r="G1971" s="2"/>
      <c r="H1971" s="2"/>
      <c r="I1971" s="2"/>
      <c r="J1971" s="2"/>
      <c r="K1971" s="2"/>
      <c r="L1971" s="2"/>
    </row>
    <row r="1972" spans="1:12" customFormat="1" ht="16" x14ac:dyDescent="0.2">
      <c r="A1972" t="s">
        <v>333</v>
      </c>
      <c r="B1972" s="2">
        <f>INDEX(Parameters!$B$6:$AL$57,MATCH(Inventories!$B$1948,Parameters!$A$6:$A$57,0),MATCH(Inventories!$A1972,Parameters!$B$4:$AL$4,0))</f>
        <v>326</v>
      </c>
      <c r="C1972" t="s">
        <v>336</v>
      </c>
      <c r="D1972" s="2"/>
      <c r="E1972" s="2"/>
      <c r="F1972" s="2"/>
      <c r="G1972" s="2"/>
      <c r="H1972" s="2"/>
      <c r="I1972" s="2"/>
      <c r="J1972" s="2"/>
      <c r="K1972" s="2"/>
      <c r="L1972" s="2"/>
    </row>
    <row r="1973" spans="1:12" customFormat="1" ht="16" x14ac:dyDescent="0.2">
      <c r="A1973" t="s">
        <v>334</v>
      </c>
      <c r="B1973" s="2">
        <f>INDEX(Parameters!$B$6:$AL$57,MATCH(Inventories!$B$1948,Parameters!$A$6:$A$57,0),MATCH(Inventories!$A1973,Parameters!$B$4:$AL$4,0))</f>
        <v>180</v>
      </c>
      <c r="C1973" t="s">
        <v>336</v>
      </c>
      <c r="D1973" s="2"/>
      <c r="E1973" s="2"/>
      <c r="F1973" s="2"/>
      <c r="G1973" s="2"/>
      <c r="H1973" s="2"/>
      <c r="I1973" s="2"/>
      <c r="J1973" s="2"/>
      <c r="K1973" s="2"/>
      <c r="L1973" s="2"/>
    </row>
    <row r="1974" spans="1:12" customFormat="1" ht="16" x14ac:dyDescent="0.2">
      <c r="A1974" t="s">
        <v>335</v>
      </c>
      <c r="B1974" s="2">
        <f>INDEX(Parameters!$B$6:$AL$57,MATCH(Inventories!$B$1948,Parameters!$A$6:$A$57,0),MATCH(Inventories!$A1974,Parameters!$B$4:$AL$4,0))</f>
        <v>360</v>
      </c>
      <c r="C1974" t="s">
        <v>336</v>
      </c>
      <c r="D1974" s="2"/>
      <c r="E1974" s="2"/>
      <c r="F1974" s="2"/>
      <c r="G1974" s="2"/>
      <c r="H1974" s="2"/>
      <c r="I1974" s="2"/>
      <c r="J1974" s="2"/>
      <c r="K1974" s="2"/>
      <c r="L1974" s="2"/>
    </row>
    <row r="1975" spans="1:12" customFormat="1" ht="16" x14ac:dyDescent="0.2">
      <c r="A1975" t="s">
        <v>322</v>
      </c>
      <c r="B1975" s="2">
        <f>INDEX(Parameters!$B$6:$AL$57,MATCH(Inventories!$B$1948,Parameters!$A$6:$A$57,0),MATCH(Inventories!$A1975,Parameters!$B$4:$AL$4,0))</f>
        <v>52</v>
      </c>
      <c r="C1975" t="s">
        <v>315</v>
      </c>
      <c r="D1975" s="2"/>
      <c r="E1975" s="2"/>
      <c r="F1975" s="2"/>
      <c r="G1975" s="2"/>
      <c r="H1975" s="2"/>
      <c r="I1975" s="2"/>
      <c r="J1975" s="2"/>
      <c r="K1975" s="2"/>
      <c r="L1975" s="2"/>
    </row>
    <row r="1976" spans="1:12" customFormat="1" ht="16" x14ac:dyDescent="0.2">
      <c r="A1976" t="s">
        <v>323</v>
      </c>
      <c r="B1976" s="2">
        <f>INDEX(Parameters!$B$6:$AL$57,MATCH(Inventories!$B$1948,Parameters!$A$6:$A$57,0),MATCH(Inventories!$A1976,Parameters!$B$4:$AL$4,0))</f>
        <v>35</v>
      </c>
      <c r="C1976" t="s">
        <v>315</v>
      </c>
      <c r="D1976" s="2"/>
      <c r="E1976" s="2"/>
      <c r="F1976" s="2"/>
      <c r="G1976" s="2"/>
      <c r="H1976" s="2"/>
      <c r="I1976" s="2"/>
      <c r="J1976" s="2"/>
      <c r="K1976" s="2"/>
      <c r="L1976" s="2"/>
    </row>
    <row r="1977" spans="1:12" customFormat="1" ht="16" x14ac:dyDescent="0.2">
      <c r="A1977" t="s">
        <v>324</v>
      </c>
      <c r="B1977" s="2">
        <f>INDEX(Parameters!$B$6:$AL$57,MATCH(Inventories!$B$1948,Parameters!$A$6:$A$57,0),MATCH(Inventories!$A1977,Parameters!$B$4:$AL$4,0))</f>
        <v>63</v>
      </c>
      <c r="C1977" t="s">
        <v>315</v>
      </c>
      <c r="D1977" s="2"/>
      <c r="E1977" s="2"/>
      <c r="F1977" s="2"/>
      <c r="G1977" s="2"/>
      <c r="H1977" s="2"/>
      <c r="I1977" s="2"/>
      <c r="J1977" s="2"/>
      <c r="K1977" s="2"/>
      <c r="L1977" s="2"/>
    </row>
    <row r="1978" spans="1:12" customFormat="1" ht="16" x14ac:dyDescent="0.2">
      <c r="A1978" t="s">
        <v>330</v>
      </c>
      <c r="B1978" s="2">
        <f>INDEX(Parameters!$B$6:$AL$57,MATCH(Inventories!$B$1948,Parameters!$A$6:$A$57,0),MATCH(Inventories!$A1978,Parameters!$B$4:$AL$4,0))</f>
        <v>0</v>
      </c>
      <c r="C1978" t="s">
        <v>8</v>
      </c>
      <c r="D1978" s="2"/>
      <c r="E1978" s="2"/>
      <c r="F1978" s="2"/>
      <c r="G1978" s="2"/>
      <c r="H1978" s="2"/>
      <c r="I1978" s="2"/>
      <c r="J1978" s="2"/>
      <c r="K1978" s="2"/>
      <c r="L1978" s="2"/>
    </row>
    <row r="1979" spans="1:12" customFormat="1" ht="16" x14ac:dyDescent="0.2">
      <c r="A1979" t="s">
        <v>331</v>
      </c>
      <c r="B1979" s="2">
        <f>INDEX(Parameters!$B$6:$AL$57,MATCH(Inventories!$B$1948,Parameters!$A$6:$A$57,0),MATCH(Inventories!$A1979,Parameters!$B$4:$AL$4,0))</f>
        <v>0</v>
      </c>
      <c r="C1979" t="s">
        <v>8</v>
      </c>
      <c r="D1979" s="2"/>
      <c r="E1979" s="2"/>
      <c r="F1979" s="2"/>
      <c r="G1979" s="2"/>
      <c r="H1979" s="2"/>
      <c r="I1979" s="2"/>
      <c r="J1979" s="2"/>
      <c r="K1979" s="2"/>
      <c r="L1979" s="2"/>
    </row>
    <row r="1980" spans="1:12" customFormat="1" ht="16" x14ac:dyDescent="0.2">
      <c r="A1980" t="s">
        <v>332</v>
      </c>
      <c r="B1980" s="2">
        <f>INDEX(Parameters!$B$6:$AL$57,MATCH(Inventories!$B$1948,Parameters!$A$6:$A$57,0),MATCH(Inventories!$A1980,Parameters!$B$4:$AL$4,0))</f>
        <v>0</v>
      </c>
      <c r="C1980" t="s">
        <v>8</v>
      </c>
      <c r="D1980" s="2"/>
      <c r="E1980" s="2"/>
      <c r="F1980" s="2"/>
      <c r="G1980" s="2"/>
      <c r="H1980" s="2"/>
      <c r="I1980" s="2"/>
      <c r="J1980" s="2"/>
      <c r="K1980" s="2"/>
      <c r="L1980" s="2"/>
    </row>
    <row r="1981" spans="1:12" customFormat="1" ht="16" x14ac:dyDescent="0.2">
      <c r="A1981" t="s">
        <v>346</v>
      </c>
      <c r="B1981" s="2">
        <f>INDEX(Parameters!$B$6:$AL$57,MATCH(Inventories!$B$1948,Parameters!$A$6:$A$57,0),MATCH(Inventories!$A1981,Parameters!$B$4:$AL$4,0))</f>
        <v>60</v>
      </c>
      <c r="C1981" t="s">
        <v>312</v>
      </c>
      <c r="D1981" s="2"/>
      <c r="E1981" s="2"/>
      <c r="F1981" s="2"/>
      <c r="G1981" s="2"/>
      <c r="H1981" s="2"/>
      <c r="I1981" s="2"/>
      <c r="J1981" s="2"/>
      <c r="K1981" s="2"/>
      <c r="L1981" s="2"/>
    </row>
    <row r="1982" spans="1:12" customFormat="1" ht="16" x14ac:dyDescent="0.2">
      <c r="A1982" t="s">
        <v>347</v>
      </c>
      <c r="B1982" s="2">
        <f>INDEX(Parameters!$B$6:$AL$57,MATCH(Inventories!$B$1948,Parameters!$A$6:$A$57,0),MATCH(Inventories!$A1982,Parameters!$B$4:$AL$4,0))</f>
        <v>20</v>
      </c>
      <c r="C1982" t="s">
        <v>312</v>
      </c>
      <c r="D1982" s="2"/>
      <c r="E1982" s="12"/>
      <c r="F1982" s="2"/>
      <c r="G1982" s="2"/>
      <c r="H1982" s="2"/>
      <c r="I1982" s="2"/>
      <c r="J1982" s="2"/>
      <c r="K1982" s="2"/>
      <c r="L1982" s="2"/>
    </row>
    <row r="1983" spans="1:12" customFormat="1" ht="16" x14ac:dyDescent="0.2">
      <c r="A1983" t="s">
        <v>348</v>
      </c>
      <c r="B1983" s="2">
        <f>INDEX(Parameters!$B$6:$AL$57,MATCH(Inventories!$B$1948,Parameters!$A$6:$A$57,0),MATCH(Inventories!$A1983,Parameters!$B$4:$AL$4,0))</f>
        <v>85</v>
      </c>
      <c r="C1983" t="s">
        <v>312</v>
      </c>
      <c r="D1983" s="2"/>
      <c r="E1983" s="2"/>
      <c r="F1983" s="2"/>
      <c r="G1983" s="2"/>
      <c r="H1983" s="2"/>
      <c r="I1983" s="2"/>
      <c r="J1983" s="2"/>
      <c r="K1983" s="2"/>
      <c r="L1983" s="2"/>
    </row>
    <row r="1984" spans="1:12" customFormat="1" ht="16" x14ac:dyDescent="0.2">
      <c r="A1984" t="s">
        <v>349</v>
      </c>
      <c r="B1984" s="2">
        <f>INDEX(Parameters!$B$6:$AL$57,MATCH(Inventories!$B$1948,Parameters!$A$6:$A$57,0),MATCH(Inventories!$A1984,Parameters!$B$4:$AL$4,0))</f>
        <v>0</v>
      </c>
      <c r="C1984" t="s">
        <v>8</v>
      </c>
      <c r="D1984" s="2"/>
      <c r="E1984" s="2"/>
      <c r="F1984" s="2"/>
      <c r="G1984" s="2"/>
      <c r="H1984" s="2"/>
      <c r="I1984" s="2"/>
      <c r="J1984" s="2"/>
      <c r="K1984" s="2"/>
      <c r="L1984" s="2"/>
    </row>
    <row r="1985" spans="1:12" customFormat="1" ht="16" x14ac:dyDescent="0.2">
      <c r="A1985" t="s">
        <v>350</v>
      </c>
      <c r="B1985" s="2">
        <f>INDEX(Parameters!$B$6:$AL$57,MATCH(Inventories!$B$1948,Parameters!$A$6:$A$57,0),MATCH(Inventories!$A1985,Parameters!$B$4:$AL$4,0))</f>
        <v>0</v>
      </c>
      <c r="C1985" t="s">
        <v>8</v>
      </c>
      <c r="D1985" s="2"/>
      <c r="E1985" s="2"/>
      <c r="F1985" s="2"/>
      <c r="G1985" s="2"/>
      <c r="H1985" s="2"/>
      <c r="I1985" s="2"/>
      <c r="J1985" s="2"/>
      <c r="K1985" s="2"/>
      <c r="L1985" s="2"/>
    </row>
    <row r="1986" spans="1:12" customFormat="1" ht="16" x14ac:dyDescent="0.2">
      <c r="A1986" t="s">
        <v>351</v>
      </c>
      <c r="B1986" s="2">
        <f>INDEX(Parameters!$B$6:$AL$57,MATCH(Inventories!$B$1948,Parameters!$A$6:$A$57,0),MATCH(Inventories!$A1986,Parameters!$B$4:$AL$4,0))</f>
        <v>0</v>
      </c>
      <c r="C1986" t="s">
        <v>8</v>
      </c>
      <c r="D1986" s="2"/>
      <c r="E1986" s="2"/>
      <c r="F1986" s="2"/>
      <c r="G1986" s="2"/>
      <c r="H1986" s="2"/>
      <c r="I1986" s="2"/>
      <c r="J1986" s="2"/>
      <c r="K1986" s="2"/>
      <c r="L1986" s="2"/>
    </row>
    <row r="1987" spans="1:12" customFormat="1" ht="16" x14ac:dyDescent="0.2">
      <c r="A1987" t="s">
        <v>365</v>
      </c>
      <c r="B1987" s="2">
        <f>INDEX(Parameters!$B$6:$AL$57,MATCH(Inventories!$B$1948,Parameters!$A$6:$A$57,0),MATCH(Inventories!$A1987,Parameters!$B$4:$AL$4,0))</f>
        <v>0</v>
      </c>
      <c r="C1987" t="s">
        <v>336</v>
      </c>
      <c r="D1987" s="2"/>
      <c r="E1987" s="2"/>
      <c r="F1987" s="2"/>
      <c r="G1987" s="2"/>
      <c r="H1987" s="2"/>
      <c r="I1987" s="2"/>
      <c r="J1987" s="2"/>
      <c r="K1987" s="2"/>
      <c r="L1987" s="2"/>
    </row>
    <row r="1988" spans="1:12" customFormat="1" ht="16" x14ac:dyDescent="0.2">
      <c r="A1988" t="s">
        <v>366</v>
      </c>
      <c r="B1988" s="2">
        <f>INDEX(Parameters!$B$6:$AL$57,MATCH(Inventories!$B$1948,Parameters!$A$6:$A$57,0),MATCH(Inventories!$A1988,Parameters!$B$4:$AL$4,0))</f>
        <v>0</v>
      </c>
      <c r="C1988" t="s">
        <v>336</v>
      </c>
      <c r="D1988" s="2"/>
      <c r="E1988" s="2"/>
      <c r="F1988" s="2"/>
      <c r="G1988" s="2"/>
      <c r="H1988" s="2"/>
      <c r="I1988" s="2"/>
      <c r="J1988" s="2"/>
      <c r="K1988" s="2"/>
      <c r="L1988" s="2"/>
    </row>
    <row r="1989" spans="1:12" customFormat="1" ht="16" x14ac:dyDescent="0.2">
      <c r="A1989" t="s">
        <v>367</v>
      </c>
      <c r="B1989" s="2">
        <f>INDEX(Parameters!$B$6:$AL$57,MATCH(Inventories!$B$1948,Parameters!$A$6:$A$57,0),MATCH(Inventories!$A1989,Parameters!$B$4:$AL$4,0))</f>
        <v>25</v>
      </c>
      <c r="C1989" t="s">
        <v>336</v>
      </c>
      <c r="D1989" s="2"/>
      <c r="E1989" s="2"/>
      <c r="F1989" s="2"/>
      <c r="G1989" s="2"/>
      <c r="H1989" s="2"/>
      <c r="I1989" s="2"/>
      <c r="J1989" s="2"/>
      <c r="K1989" s="2"/>
      <c r="L1989" s="2"/>
    </row>
    <row r="1990" spans="1:12" customFormat="1" ht="16" x14ac:dyDescent="0.2">
      <c r="A1990" t="s">
        <v>368</v>
      </c>
      <c r="B1990" s="2">
        <f>INDEX(Parameters!$B$6:$AL$57,MATCH(Inventories!$B$1948,Parameters!$A$6:$A$57,0),MATCH(Inventories!$A1990,Parameters!$B$4:$AL$4,0))</f>
        <v>166</v>
      </c>
      <c r="C1990" t="s">
        <v>336</v>
      </c>
      <c r="D1990" s="2"/>
      <c r="E1990" s="2"/>
      <c r="F1990" s="2"/>
      <c r="G1990" s="2"/>
      <c r="H1990" s="2"/>
      <c r="I1990" s="2"/>
      <c r="J1990" s="2"/>
      <c r="K1990" s="2"/>
      <c r="L1990" s="2"/>
    </row>
    <row r="1991" spans="1:12" customFormat="1" ht="16" x14ac:dyDescent="0.2">
      <c r="A1991" t="s">
        <v>369</v>
      </c>
      <c r="B1991" s="2">
        <f>INDEX(Parameters!$B$6:$AL$57,MATCH(Inventories!$B$1948,Parameters!$A$6:$A$57,0),MATCH(Inventories!$A1991,Parameters!$B$4:$AL$4,0))</f>
        <v>15</v>
      </c>
      <c r="C1991" t="s">
        <v>336</v>
      </c>
      <c r="D1991" s="2"/>
      <c r="E1991" s="2"/>
      <c r="F1991" s="2"/>
      <c r="G1991" s="2"/>
      <c r="H1991" s="2"/>
      <c r="I1991" s="2"/>
      <c r="J1991" s="2"/>
      <c r="K1991" s="2"/>
      <c r="L1991" s="2"/>
    </row>
    <row r="1992" spans="1:12" customFormat="1" ht="16" x14ac:dyDescent="0.2">
      <c r="A1992" t="s">
        <v>344</v>
      </c>
      <c r="B1992" s="32">
        <f>INDEX(Parameters!$B$6:$AL$57,MATCH(Inventories!$B$1948,Parameters!$A$6:$A$57,0),MATCH(Inventories!$A1992,Parameters!$B$4:$AL$4,0))</f>
        <v>0</v>
      </c>
      <c r="C1992" t="s">
        <v>345</v>
      </c>
      <c r="D1992" s="2"/>
      <c r="E1992" s="2"/>
      <c r="F1992" s="2"/>
      <c r="G1992" s="2"/>
      <c r="H1992" s="2"/>
      <c r="I1992" s="2"/>
      <c r="J1992" s="2"/>
      <c r="K1992" s="2"/>
      <c r="L1992" s="2"/>
    </row>
    <row r="1993" spans="1:12" customFormat="1" ht="16" x14ac:dyDescent="0.2">
      <c r="A1993" t="s">
        <v>343</v>
      </c>
      <c r="B1993" s="32">
        <f>INDEX(Parameters!$B$6:$AL$57,MATCH(Inventories!$B$1948,Parameters!$A$6:$A$57,0),MATCH(Inventories!$A1993,Parameters!$B$4:$AL$4,0))</f>
        <v>0</v>
      </c>
      <c r="C1993" t="s">
        <v>345</v>
      </c>
      <c r="D1993" s="2"/>
      <c r="E1993" s="2"/>
      <c r="F1993" s="2"/>
      <c r="G1993" s="2"/>
      <c r="H1993" s="2"/>
      <c r="I1993" s="2"/>
      <c r="J1993" s="2"/>
      <c r="K1993" s="2"/>
      <c r="L1993" s="2"/>
    </row>
    <row r="1994" spans="1:12" customFormat="1" ht="16" x14ac:dyDescent="0.2">
      <c r="A1994" s="1" t="s">
        <v>10</v>
      </c>
      <c r="H1994" s="2"/>
    </row>
    <row r="1995" spans="1:12" x14ac:dyDescent="0.2">
      <c r="A1995" s="17" t="s">
        <v>11</v>
      </c>
      <c r="B1995" s="17" t="s">
        <v>12</v>
      </c>
      <c r="C1995" s="17" t="s">
        <v>3</v>
      </c>
      <c r="D1995" s="17" t="s">
        <v>13</v>
      </c>
      <c r="E1995" s="17" t="s">
        <v>8</v>
      </c>
      <c r="F1995" s="17" t="s">
        <v>6</v>
      </c>
      <c r="G1995" s="17" t="s">
        <v>5</v>
      </c>
      <c r="H1995" s="17" t="s">
        <v>151</v>
      </c>
      <c r="I1995" s="17" t="s">
        <v>179</v>
      </c>
      <c r="J1995" s="17" t="s">
        <v>180</v>
      </c>
      <c r="K1995" s="17" t="s">
        <v>181</v>
      </c>
      <c r="L1995" s="17" t="s">
        <v>182</v>
      </c>
    </row>
    <row r="1996" spans="1:12" customFormat="1" ht="16" x14ac:dyDescent="0.2">
      <c r="A1996" s="22" t="s">
        <v>301</v>
      </c>
      <c r="B1996">
        <v>1</v>
      </c>
      <c r="C1996" t="s">
        <v>18</v>
      </c>
      <c r="D1996" t="s">
        <v>211</v>
      </c>
      <c r="E1996" t="s">
        <v>17</v>
      </c>
      <c r="F1996" t="s">
        <v>19</v>
      </c>
      <c r="G1996" t="s">
        <v>1</v>
      </c>
      <c r="H1996" s="2"/>
    </row>
    <row r="1997" spans="1:12" customFormat="1" ht="16" x14ac:dyDescent="0.2">
      <c r="A1997" s="2" t="s">
        <v>158</v>
      </c>
      <c r="B1997" s="19">
        <f>1/120</f>
        <v>8.3333333333333332E-3</v>
      </c>
      <c r="C1997" s="4" t="s">
        <v>18</v>
      </c>
      <c r="E1997" s="4" t="s">
        <v>9</v>
      </c>
      <c r="F1997" s="4" t="s">
        <v>23</v>
      </c>
      <c r="G1997" s="2" t="s">
        <v>159</v>
      </c>
      <c r="H1997" s="2"/>
    </row>
    <row r="1998" spans="1:12" customFormat="1" ht="16" x14ac:dyDescent="0.2">
      <c r="A1998" t="s">
        <v>187</v>
      </c>
      <c r="B1998" s="3">
        <f>(B1990/B1960)/(B1963/1000)</f>
        <v>3.3671399594320486E-5</v>
      </c>
      <c r="C1998" t="s">
        <v>114</v>
      </c>
      <c r="E1998" t="s">
        <v>9</v>
      </c>
      <c r="F1998" t="s">
        <v>23</v>
      </c>
      <c r="G1998" t="s">
        <v>188</v>
      </c>
      <c r="H1998" s="2"/>
    </row>
    <row r="1999" spans="1:12" customFormat="1" ht="16" x14ac:dyDescent="0.2">
      <c r="A1999" t="s">
        <v>183</v>
      </c>
      <c r="B1999" s="3">
        <f>(B1989/B1960)/(B1963/1000)</f>
        <v>5.0709939148073028E-6</v>
      </c>
      <c r="C1999" t="s">
        <v>114</v>
      </c>
      <c r="E1999" t="s">
        <v>9</v>
      </c>
      <c r="F1999" t="s">
        <v>23</v>
      </c>
      <c r="G1999" t="s">
        <v>184</v>
      </c>
      <c r="H1999" s="2"/>
    </row>
    <row r="2000" spans="1:12" customFormat="1" ht="16" x14ac:dyDescent="0.2">
      <c r="A2000" t="s">
        <v>185</v>
      </c>
      <c r="B2000" s="3">
        <f>(B1991/B1960)/(B1963/1000)</f>
        <v>3.0425963488843818E-6</v>
      </c>
      <c r="C2000" t="s">
        <v>114</v>
      </c>
      <c r="E2000" t="s">
        <v>9</v>
      </c>
      <c r="F2000" t="s">
        <v>23</v>
      </c>
      <c r="G2000" t="s">
        <v>186</v>
      </c>
      <c r="H2000" s="2"/>
    </row>
    <row r="2001" spans="1:12" customFormat="1" ht="16" x14ac:dyDescent="0.2">
      <c r="A2001" t="s">
        <v>194</v>
      </c>
      <c r="B2001" s="3">
        <f>(B1972/B1960)/(B1963/1000)</f>
        <v>6.6125760649087223E-5</v>
      </c>
      <c r="C2001" t="s">
        <v>18</v>
      </c>
      <c r="E2001" t="s">
        <v>9</v>
      </c>
      <c r="F2001" t="s">
        <v>23</v>
      </c>
      <c r="G2001" t="s">
        <v>195</v>
      </c>
      <c r="H2001" s="2"/>
      <c r="I2001">
        <v>5</v>
      </c>
      <c r="J2001">
        <f t="shared" ref="J2001:J2004" si="5">B2001</f>
        <v>6.6125760649087223E-5</v>
      </c>
      <c r="K2001" s="3">
        <f>(B1973/B1962)/(B1965/1000)</f>
        <v>2.3076923076923076E-5</v>
      </c>
      <c r="L2001" s="3">
        <f>(B1974/B1961)/(B1964/1000)</f>
        <v>3.050847457627119E-4</v>
      </c>
    </row>
    <row r="2002" spans="1:12" customFormat="1" ht="16" x14ac:dyDescent="0.2">
      <c r="A2002" t="s">
        <v>146</v>
      </c>
      <c r="B2002" s="3">
        <f>(B1966/B1960)/(B1963/1000)</f>
        <v>3.0425963488843814E-5</v>
      </c>
      <c r="C2002" t="s">
        <v>114</v>
      </c>
      <c r="E2002" t="s">
        <v>9</v>
      </c>
      <c r="F2002" t="s">
        <v>23</v>
      </c>
      <c r="G2002" t="s">
        <v>147</v>
      </c>
      <c r="H2002" s="2"/>
      <c r="I2002">
        <v>5</v>
      </c>
      <c r="J2002">
        <f t="shared" si="5"/>
        <v>3.0425963488843814E-5</v>
      </c>
      <c r="K2002" s="3">
        <f>(B1967/B1962)/(B1965/1000)</f>
        <v>6.4102564102564099E-6</v>
      </c>
      <c r="L2002" s="3">
        <f>(B1968/B1961)/(B1964/1000)</f>
        <v>2.033898305084746E-4</v>
      </c>
    </row>
    <row r="2003" spans="1:12" customFormat="1" ht="16" x14ac:dyDescent="0.2">
      <c r="A2003" t="s">
        <v>113</v>
      </c>
      <c r="B2003" s="3">
        <f>(B1981/B1960)/(B1963/1000)</f>
        <v>1.2170385395537527E-5</v>
      </c>
      <c r="C2003" t="s">
        <v>114</v>
      </c>
      <c r="E2003" t="s">
        <v>8</v>
      </c>
      <c r="F2003" t="s">
        <v>23</v>
      </c>
      <c r="G2003" t="s">
        <v>115</v>
      </c>
      <c r="H2003" s="2"/>
      <c r="I2003">
        <v>5</v>
      </c>
      <c r="J2003">
        <f t="shared" si="5"/>
        <v>1.2170385395537527E-5</v>
      </c>
      <c r="K2003" s="3">
        <f>(B1982/B1962)/(B1965/1000)</f>
        <v>2.5641025641025644E-6</v>
      </c>
      <c r="L2003" s="3">
        <f>(B1983/B1961)/(B1964/1000)</f>
        <v>7.2033898305084757E-5</v>
      </c>
    </row>
    <row r="2004" spans="1:12" customFormat="1" ht="16" x14ac:dyDescent="0.2">
      <c r="A2004" t="s">
        <v>189</v>
      </c>
      <c r="B2004" s="3">
        <f>(B1975/B1960)/(B1963/1000)</f>
        <v>1.0547667342799189E-5</v>
      </c>
      <c r="C2004" s="2" t="s">
        <v>114</v>
      </c>
      <c r="E2004" t="s">
        <v>141</v>
      </c>
      <c r="F2004" t="s">
        <v>23</v>
      </c>
      <c r="G2004" t="s">
        <v>190</v>
      </c>
      <c r="H2004" s="2"/>
      <c r="I2004">
        <v>5</v>
      </c>
      <c r="J2004">
        <f t="shared" si="5"/>
        <v>1.0547667342799189E-5</v>
      </c>
      <c r="K2004" s="3">
        <f>(B1976/B1962)/(B1965/1000)</f>
        <v>4.4871794871794869E-6</v>
      </c>
      <c r="L2004" s="3">
        <f>(B1977/B1961)/(B1964/1000)</f>
        <v>5.338983050847458E-5</v>
      </c>
    </row>
    <row r="2005" spans="1:12" customFormat="1" ht="16" x14ac:dyDescent="0.2">
      <c r="H2005" s="2"/>
    </row>
    <row r="2006" spans="1:12" x14ac:dyDescent="0.2">
      <c r="A2006" s="17" t="s">
        <v>2</v>
      </c>
      <c r="B2006" s="17" t="s">
        <v>271</v>
      </c>
    </row>
    <row r="2007" spans="1:12" customFormat="1" ht="16" x14ac:dyDescent="0.2">
      <c r="A2007" t="s">
        <v>151</v>
      </c>
      <c r="B2007" t="s">
        <v>250</v>
      </c>
      <c r="H2007" s="2"/>
    </row>
    <row r="2008" spans="1:12" customFormat="1" ht="16" x14ac:dyDescent="0.2">
      <c r="A2008" t="s">
        <v>198</v>
      </c>
      <c r="B2008" t="s">
        <v>199</v>
      </c>
      <c r="H2008" s="2"/>
    </row>
    <row r="2009" spans="1:12" customFormat="1" ht="16" x14ac:dyDescent="0.2">
      <c r="A2009" t="s">
        <v>3</v>
      </c>
      <c r="B2009" t="s">
        <v>18</v>
      </c>
      <c r="H2009" s="2"/>
    </row>
    <row r="2010" spans="1:12" customFormat="1" ht="16" x14ac:dyDescent="0.2">
      <c r="A2010" t="s">
        <v>4</v>
      </c>
      <c r="B2010">
        <v>1</v>
      </c>
      <c r="H2010" s="2"/>
    </row>
    <row r="2011" spans="1:12" customFormat="1" ht="16" x14ac:dyDescent="0.2">
      <c r="A2011" t="s">
        <v>5</v>
      </c>
      <c r="B2011" t="s">
        <v>1</v>
      </c>
      <c r="H2011" s="2"/>
    </row>
    <row r="2012" spans="1:12" customFormat="1" ht="16" x14ac:dyDescent="0.2">
      <c r="A2012" t="s">
        <v>204</v>
      </c>
      <c r="B2012" t="s">
        <v>205</v>
      </c>
      <c r="H2012" s="2"/>
    </row>
    <row r="2013" spans="1:12" customFormat="1" ht="16" x14ac:dyDescent="0.2">
      <c r="A2013" t="s">
        <v>6</v>
      </c>
      <c r="B2013" t="s">
        <v>7</v>
      </c>
      <c r="H2013" s="2"/>
    </row>
    <row r="2014" spans="1:12" customFormat="1" ht="16" x14ac:dyDescent="0.2">
      <c r="A2014" t="s">
        <v>8</v>
      </c>
      <c r="B2014" t="s">
        <v>17</v>
      </c>
      <c r="H2014" s="2"/>
    </row>
    <row r="2015" spans="1:12" customFormat="1" ht="16" x14ac:dyDescent="0.2">
      <c r="A2015" t="s">
        <v>352</v>
      </c>
      <c r="B2015" s="2">
        <f>INDEX(Parameters!$B$6:$AL$57,MATCH(Inventories!$B$2006,Parameters!$A$6:$A$57,0),MATCH(Inventories!$A2015,Parameters!$B$4:$AL$4,0))</f>
        <v>308</v>
      </c>
      <c r="C2015" t="s">
        <v>312</v>
      </c>
      <c r="D2015" s="2"/>
      <c r="E2015" s="2"/>
      <c r="F2015" s="2"/>
      <c r="G2015" s="2"/>
      <c r="H2015" s="2"/>
      <c r="I2015" s="2"/>
      <c r="J2015" s="2"/>
      <c r="K2015" s="2"/>
      <c r="L2015" s="2"/>
    </row>
    <row r="2016" spans="1:12" customFormat="1" ht="16" x14ac:dyDescent="0.2">
      <c r="A2016" t="s">
        <v>353</v>
      </c>
      <c r="B2016" s="2">
        <f>INDEX(Parameters!$B$6:$AL$57,MATCH(Inventories!$B$2006,Parameters!$A$6:$A$57,0),MATCH(Inventories!$A2016,Parameters!$B$4:$AL$4,0))</f>
        <v>155</v>
      </c>
      <c r="C2016" t="s">
        <v>312</v>
      </c>
      <c r="D2016" s="2"/>
      <c r="E2016" s="2"/>
      <c r="F2016" s="2"/>
      <c r="G2016" s="2"/>
      <c r="H2016" s="2"/>
      <c r="I2016" s="2"/>
      <c r="J2016" s="2"/>
      <c r="K2016" s="2"/>
      <c r="L2016" s="2"/>
    </row>
    <row r="2017" spans="1:12" customFormat="1" ht="16" x14ac:dyDescent="0.2">
      <c r="A2017" t="s">
        <v>354</v>
      </c>
      <c r="B2017" s="2">
        <f>INDEX(Parameters!$B$6:$AL$57,MATCH(Inventories!$B$2006,Parameters!$A$6:$A$57,0),MATCH(Inventories!$A2017,Parameters!$B$4:$AL$4,0))</f>
        <v>485</v>
      </c>
      <c r="C2017" t="s">
        <v>312</v>
      </c>
      <c r="D2017" s="2"/>
      <c r="E2017" s="2"/>
      <c r="F2017" s="2"/>
      <c r="G2017" s="2"/>
      <c r="H2017" s="2"/>
      <c r="I2017" s="2"/>
      <c r="J2017" s="2"/>
      <c r="K2017" s="2"/>
      <c r="L2017" s="2"/>
    </row>
    <row r="2018" spans="1:12" customFormat="1" ht="16" x14ac:dyDescent="0.2">
      <c r="A2018" t="s">
        <v>316</v>
      </c>
      <c r="B2018" s="24">
        <f>INDEX(Parameters!$B$6:$AL$57,MATCH(Inventories!$B$2006,Parameters!$A$6:$A$57,0),MATCH(Inventories!$A2018,Parameters!$B$4:$AL$4,0))</f>
        <v>1000000</v>
      </c>
      <c r="C2018" t="s">
        <v>313</v>
      </c>
      <c r="D2018" s="2"/>
      <c r="E2018" s="2"/>
      <c r="F2018" s="2"/>
      <c r="G2018" s="2"/>
      <c r="H2018" s="2"/>
      <c r="I2018" s="2"/>
      <c r="J2018" s="2"/>
      <c r="K2018" s="2"/>
      <c r="L2018" s="2"/>
    </row>
    <row r="2019" spans="1:12" customFormat="1" ht="16" x14ac:dyDescent="0.2">
      <c r="A2019" t="s">
        <v>317</v>
      </c>
      <c r="B2019" s="24">
        <f>INDEX(Parameters!$B$6:$AL$57,MATCH(Inventories!$B$2006,Parameters!$A$6:$A$57,0),MATCH(Inventories!$A2019,Parameters!$B$4:$AL$4,0))</f>
        <v>500000</v>
      </c>
      <c r="C2019" t="s">
        <v>313</v>
      </c>
      <c r="D2019" s="2"/>
      <c r="E2019" s="2"/>
      <c r="F2019" s="2"/>
      <c r="G2019" s="2"/>
      <c r="H2019" s="2"/>
      <c r="I2019" s="2"/>
      <c r="J2019" s="2"/>
      <c r="K2019" s="2"/>
      <c r="L2019" s="2"/>
    </row>
    <row r="2020" spans="1:12" customFormat="1" ht="16" x14ac:dyDescent="0.2">
      <c r="A2020" t="s">
        <v>318</v>
      </c>
      <c r="B2020" s="24">
        <f>INDEX(Parameters!$B$6:$AL$57,MATCH(Inventories!$B$2006,Parameters!$A$6:$A$57,0),MATCH(Inventories!$A2020,Parameters!$B$4:$AL$4,0))</f>
        <v>1200000</v>
      </c>
      <c r="C2020" t="s">
        <v>313</v>
      </c>
      <c r="D2020" s="2"/>
      <c r="E2020" s="2"/>
      <c r="F2020" s="2"/>
      <c r="G2020" s="2"/>
      <c r="H2020" s="2"/>
      <c r="I2020" s="2"/>
      <c r="J2020" s="2"/>
      <c r="K2020" s="2"/>
      <c r="L2020" s="2"/>
    </row>
    <row r="2021" spans="1:12" customFormat="1" ht="16" x14ac:dyDescent="0.2">
      <c r="A2021" t="s">
        <v>319</v>
      </c>
      <c r="B2021" s="2">
        <f>INDEX(Parameters!$B$6:$AL$57,MATCH(Inventories!$B$2006,Parameters!$A$6:$A$57,0),MATCH(Inventories!$A2021,Parameters!$B$4:$AL$4,0))</f>
        <v>7530</v>
      </c>
      <c r="C2021" t="s">
        <v>314</v>
      </c>
      <c r="D2021" s="2"/>
      <c r="E2021" s="2"/>
      <c r="F2021" s="2"/>
      <c r="G2021" s="2"/>
      <c r="H2021" s="2"/>
      <c r="I2021" s="2"/>
      <c r="J2021" s="2"/>
      <c r="K2021" s="2"/>
      <c r="L2021" s="2"/>
    </row>
    <row r="2022" spans="1:12" customFormat="1" ht="16" x14ac:dyDescent="0.2">
      <c r="A2022" t="s">
        <v>320</v>
      </c>
      <c r="B2022" s="2">
        <f>INDEX(Parameters!$B$6:$AL$57,MATCH(Inventories!$B$2006,Parameters!$A$6:$A$57,0),MATCH(Inventories!$A2022,Parameters!$B$4:$AL$4,0))</f>
        <v>3600</v>
      </c>
      <c r="C2022" t="s">
        <v>314</v>
      </c>
      <c r="D2022" s="2"/>
      <c r="E2022" s="2"/>
      <c r="F2022" s="2"/>
      <c r="G2022" s="2"/>
      <c r="H2022" s="2"/>
      <c r="I2022" s="2"/>
      <c r="J2022" s="2"/>
      <c r="K2022" s="2"/>
      <c r="L2022" s="2"/>
    </row>
    <row r="2023" spans="1:12" customFormat="1" ht="16" x14ac:dyDescent="0.2">
      <c r="A2023" t="s">
        <v>321</v>
      </c>
      <c r="B2023" s="2">
        <f>INDEX(Parameters!$B$6:$AL$57,MATCH(Inventories!$B$2006,Parameters!$A$6:$A$57,0),MATCH(Inventories!$A2023,Parameters!$B$4:$AL$4,0))</f>
        <v>10315</v>
      </c>
      <c r="C2023" t="s">
        <v>314</v>
      </c>
      <c r="D2023" s="2"/>
      <c r="E2023" s="2"/>
      <c r="F2023" s="2"/>
      <c r="G2023" s="2"/>
      <c r="H2023" s="2"/>
      <c r="I2023" s="2"/>
      <c r="J2023" s="2"/>
      <c r="K2023" s="2"/>
      <c r="L2023" s="2"/>
    </row>
    <row r="2024" spans="1:12" customFormat="1" ht="16" x14ac:dyDescent="0.2">
      <c r="A2024" t="s">
        <v>337</v>
      </c>
      <c r="B2024" s="2">
        <f>INDEX(Parameters!$B$6:$AL$57,MATCH(Inventories!$B$2006,Parameters!$A$6:$A$57,0),MATCH(Inventories!$A2024,Parameters!$B$4:$AL$4,0))</f>
        <v>0</v>
      </c>
      <c r="C2024" t="s">
        <v>336</v>
      </c>
      <c r="D2024" s="2"/>
      <c r="E2024" s="2"/>
      <c r="F2024" s="2"/>
      <c r="G2024" s="2"/>
      <c r="H2024" s="2"/>
      <c r="I2024" s="2"/>
      <c r="J2024" s="2"/>
      <c r="K2024" s="2"/>
      <c r="L2024" s="2"/>
    </row>
    <row r="2025" spans="1:12" customFormat="1" ht="16" x14ac:dyDescent="0.2">
      <c r="A2025" t="s">
        <v>338</v>
      </c>
      <c r="B2025" s="2">
        <f>INDEX(Parameters!$B$6:$AL$57,MATCH(Inventories!$B$2006,Parameters!$A$6:$A$57,0),MATCH(Inventories!$A2025,Parameters!$B$4:$AL$4,0))</f>
        <v>0</v>
      </c>
      <c r="C2025" t="s">
        <v>336</v>
      </c>
      <c r="D2025" s="2"/>
      <c r="E2025" s="2"/>
      <c r="F2025" s="2"/>
      <c r="G2025" s="2"/>
      <c r="H2025" s="2"/>
      <c r="I2025" s="2"/>
      <c r="J2025" s="2"/>
      <c r="K2025" s="2"/>
      <c r="L2025" s="2"/>
    </row>
    <row r="2026" spans="1:12" customFormat="1" ht="16" x14ac:dyDescent="0.2">
      <c r="A2026" t="s">
        <v>339</v>
      </c>
      <c r="B2026" s="2">
        <f>INDEX(Parameters!$B$6:$AL$57,MATCH(Inventories!$B$2006,Parameters!$A$6:$A$57,0),MATCH(Inventories!$A2026,Parameters!$B$4:$AL$4,0))</f>
        <v>0</v>
      </c>
      <c r="C2026" t="s">
        <v>336</v>
      </c>
      <c r="D2026" s="2"/>
      <c r="E2026" s="2"/>
      <c r="F2026" s="2"/>
      <c r="G2026" s="2"/>
      <c r="H2026" s="2"/>
      <c r="I2026" s="2"/>
      <c r="J2026" s="2"/>
      <c r="K2026" s="2"/>
      <c r="L2026" s="2"/>
    </row>
    <row r="2027" spans="1:12" customFormat="1" ht="16" x14ac:dyDescent="0.2">
      <c r="A2027" t="s">
        <v>340</v>
      </c>
      <c r="B2027" s="2">
        <f>INDEX(Parameters!$B$6:$AL$57,MATCH(Inventories!$B$2006,Parameters!$A$6:$A$57,0),MATCH(Inventories!$A2027,Parameters!$B$4:$AL$4,0))</f>
        <v>1040</v>
      </c>
      <c r="C2027" t="s">
        <v>336</v>
      </c>
      <c r="D2027" s="2"/>
      <c r="E2027" s="2"/>
      <c r="F2027" s="2"/>
      <c r="G2027" s="2"/>
      <c r="H2027" s="2"/>
      <c r="I2027" s="2"/>
      <c r="J2027" s="2"/>
      <c r="K2027" s="2"/>
      <c r="L2027" s="2"/>
    </row>
    <row r="2028" spans="1:12" customFormat="1" ht="16" x14ac:dyDescent="0.2">
      <c r="A2028" t="s">
        <v>341</v>
      </c>
      <c r="B2028" s="2">
        <f>INDEX(Parameters!$B$6:$AL$57,MATCH(Inventories!$B$2006,Parameters!$A$6:$A$57,0),MATCH(Inventories!$A2028,Parameters!$B$4:$AL$4,0))</f>
        <v>610</v>
      </c>
      <c r="C2028" t="s">
        <v>336</v>
      </c>
      <c r="D2028" s="2"/>
      <c r="E2028" s="2"/>
      <c r="F2028" s="2"/>
      <c r="G2028" s="2"/>
      <c r="H2028" s="2"/>
      <c r="I2028" s="2"/>
      <c r="J2028" s="2"/>
      <c r="K2028" s="2"/>
      <c r="L2028" s="2"/>
    </row>
    <row r="2029" spans="1:12" customFormat="1" ht="16" x14ac:dyDescent="0.2">
      <c r="A2029" t="s">
        <v>342</v>
      </c>
      <c r="B2029" s="2">
        <f>INDEX(Parameters!$B$6:$AL$57,MATCH(Inventories!$B$2006,Parameters!$A$6:$A$57,0),MATCH(Inventories!$A2029,Parameters!$B$4:$AL$4,0))</f>
        <v>1230</v>
      </c>
      <c r="C2029" t="s">
        <v>336</v>
      </c>
      <c r="D2029" s="2"/>
      <c r="E2029" s="2"/>
      <c r="F2029" s="2"/>
      <c r="G2029" s="2"/>
      <c r="H2029" s="2"/>
      <c r="I2029" s="2"/>
      <c r="J2029" s="2"/>
      <c r="K2029" s="2"/>
      <c r="L2029" s="2"/>
    </row>
    <row r="2030" spans="1:12" customFormat="1" ht="16" x14ac:dyDescent="0.2">
      <c r="A2030" t="s">
        <v>333</v>
      </c>
      <c r="B2030" s="2">
        <f>INDEX(Parameters!$B$6:$AL$57,MATCH(Inventories!$B$2006,Parameters!$A$6:$A$57,0),MATCH(Inventories!$A2030,Parameters!$B$4:$AL$4,0))</f>
        <v>123</v>
      </c>
      <c r="C2030" t="s">
        <v>336</v>
      </c>
      <c r="D2030" s="2"/>
      <c r="E2030" s="2"/>
      <c r="F2030" s="2"/>
      <c r="G2030" s="2"/>
      <c r="H2030" s="2"/>
      <c r="I2030" s="2"/>
      <c r="J2030" s="2"/>
      <c r="K2030" s="2"/>
      <c r="L2030" s="2"/>
    </row>
    <row r="2031" spans="1:12" customFormat="1" ht="16" x14ac:dyDescent="0.2">
      <c r="A2031" t="s">
        <v>334</v>
      </c>
      <c r="B2031" s="2">
        <f>INDEX(Parameters!$B$6:$AL$57,MATCH(Inventories!$B$2006,Parameters!$A$6:$A$57,0),MATCH(Inventories!$A2031,Parameters!$B$4:$AL$4,0))</f>
        <v>77</v>
      </c>
      <c r="C2031" t="s">
        <v>336</v>
      </c>
      <c r="D2031" s="2"/>
      <c r="E2031" s="2"/>
      <c r="F2031" s="2"/>
      <c r="G2031" s="2"/>
      <c r="H2031" s="2"/>
      <c r="I2031" s="2"/>
      <c r="J2031" s="2"/>
      <c r="K2031" s="2"/>
      <c r="L2031" s="2"/>
    </row>
    <row r="2032" spans="1:12" customFormat="1" ht="16" x14ac:dyDescent="0.2">
      <c r="A2032" t="s">
        <v>335</v>
      </c>
      <c r="B2032" s="2">
        <f>INDEX(Parameters!$B$6:$AL$57,MATCH(Inventories!$B$2006,Parameters!$A$6:$A$57,0),MATCH(Inventories!$A2032,Parameters!$B$4:$AL$4,0))</f>
        <v>155</v>
      </c>
      <c r="C2032" t="s">
        <v>336</v>
      </c>
      <c r="D2032" s="2"/>
      <c r="E2032" s="2"/>
      <c r="F2032" s="2"/>
      <c r="G2032" s="2"/>
      <c r="H2032" s="2"/>
      <c r="I2032" s="2"/>
      <c r="J2032" s="2"/>
      <c r="K2032" s="2"/>
      <c r="L2032" s="2"/>
    </row>
    <row r="2033" spans="1:12" customFormat="1" ht="16" x14ac:dyDescent="0.2">
      <c r="A2033" t="s">
        <v>322</v>
      </c>
      <c r="B2033" s="2">
        <f>INDEX(Parameters!$B$6:$AL$57,MATCH(Inventories!$B$2006,Parameters!$A$6:$A$57,0),MATCH(Inventories!$A2033,Parameters!$B$4:$AL$4,0))</f>
        <v>0</v>
      </c>
      <c r="C2033" t="s">
        <v>315</v>
      </c>
      <c r="D2033" s="2"/>
      <c r="E2033" s="2"/>
      <c r="F2033" s="2"/>
      <c r="G2033" s="2"/>
      <c r="H2033" s="2"/>
      <c r="I2033" s="2"/>
      <c r="J2033" s="2"/>
      <c r="K2033" s="2"/>
      <c r="L2033" s="2"/>
    </row>
    <row r="2034" spans="1:12" customFormat="1" ht="16" x14ac:dyDescent="0.2">
      <c r="A2034" t="s">
        <v>323</v>
      </c>
      <c r="B2034" s="2">
        <f>INDEX(Parameters!$B$6:$AL$57,MATCH(Inventories!$B$2006,Parameters!$A$6:$A$57,0),MATCH(Inventories!$A2034,Parameters!$B$4:$AL$4,0))</f>
        <v>0</v>
      </c>
      <c r="C2034" t="s">
        <v>315</v>
      </c>
      <c r="D2034" s="2"/>
      <c r="E2034" s="2"/>
      <c r="F2034" s="2"/>
      <c r="G2034" s="2"/>
      <c r="H2034" s="2"/>
      <c r="I2034" s="2"/>
      <c r="J2034" s="2"/>
      <c r="K2034" s="2"/>
      <c r="L2034" s="2"/>
    </row>
    <row r="2035" spans="1:12" customFormat="1" ht="16" x14ac:dyDescent="0.2">
      <c r="A2035" t="s">
        <v>324</v>
      </c>
      <c r="B2035" s="2">
        <f>INDEX(Parameters!$B$6:$AL$57,MATCH(Inventories!$B$2006,Parameters!$A$6:$A$57,0),MATCH(Inventories!$A2035,Parameters!$B$4:$AL$4,0))</f>
        <v>0</v>
      </c>
      <c r="C2035" t="s">
        <v>315</v>
      </c>
      <c r="D2035" s="2"/>
      <c r="E2035" s="2"/>
      <c r="F2035" s="2"/>
      <c r="G2035" s="2"/>
      <c r="H2035" s="2"/>
      <c r="I2035" s="2"/>
      <c r="J2035" s="2"/>
      <c r="K2035" s="2"/>
      <c r="L2035" s="2"/>
    </row>
    <row r="2036" spans="1:12" customFormat="1" ht="16" x14ac:dyDescent="0.2">
      <c r="A2036" t="s">
        <v>330</v>
      </c>
      <c r="B2036" s="2">
        <f>INDEX(Parameters!$B$6:$AL$57,MATCH(Inventories!$B$2006,Parameters!$A$6:$A$57,0),MATCH(Inventories!$A2036,Parameters!$B$4:$AL$4,0))</f>
        <v>0</v>
      </c>
      <c r="C2036" t="s">
        <v>8</v>
      </c>
      <c r="D2036" s="2"/>
      <c r="E2036" s="2"/>
      <c r="F2036" s="2"/>
      <c r="G2036" s="2"/>
      <c r="H2036" s="2"/>
      <c r="I2036" s="2"/>
      <c r="J2036" s="2"/>
      <c r="K2036" s="2"/>
      <c r="L2036" s="2"/>
    </row>
    <row r="2037" spans="1:12" customFormat="1" ht="16" x14ac:dyDescent="0.2">
      <c r="A2037" t="s">
        <v>331</v>
      </c>
      <c r="B2037" s="2">
        <f>INDEX(Parameters!$B$6:$AL$57,MATCH(Inventories!$B$2006,Parameters!$A$6:$A$57,0),MATCH(Inventories!$A2037,Parameters!$B$4:$AL$4,0))</f>
        <v>0</v>
      </c>
      <c r="C2037" t="s">
        <v>8</v>
      </c>
      <c r="D2037" s="2"/>
      <c r="E2037" s="2"/>
      <c r="F2037" s="2"/>
      <c r="G2037" s="2"/>
      <c r="H2037" s="2"/>
      <c r="I2037" s="2"/>
      <c r="J2037" s="2"/>
      <c r="K2037" s="2"/>
      <c r="L2037" s="2"/>
    </row>
    <row r="2038" spans="1:12" customFormat="1" ht="16" x14ac:dyDescent="0.2">
      <c r="A2038" t="s">
        <v>332</v>
      </c>
      <c r="B2038" s="2">
        <f>INDEX(Parameters!$B$6:$AL$57,MATCH(Inventories!$B$2006,Parameters!$A$6:$A$57,0),MATCH(Inventories!$A2038,Parameters!$B$4:$AL$4,0))</f>
        <v>0</v>
      </c>
      <c r="C2038" t="s">
        <v>8</v>
      </c>
      <c r="D2038" s="2"/>
      <c r="E2038" s="2"/>
      <c r="F2038" s="2"/>
      <c r="G2038" s="2"/>
      <c r="H2038" s="2"/>
      <c r="I2038" s="2"/>
      <c r="J2038" s="2"/>
      <c r="K2038" s="2"/>
      <c r="L2038" s="2"/>
    </row>
    <row r="2039" spans="1:12" customFormat="1" ht="16" x14ac:dyDescent="0.2">
      <c r="A2039" t="s">
        <v>346</v>
      </c>
      <c r="B2039" s="2">
        <f>INDEX(Parameters!$B$6:$AL$57,MATCH(Inventories!$B$2006,Parameters!$A$6:$A$57,0),MATCH(Inventories!$A2039,Parameters!$B$4:$AL$4,0))</f>
        <v>0</v>
      </c>
      <c r="C2039" t="s">
        <v>312</v>
      </c>
      <c r="D2039" s="2"/>
      <c r="E2039" s="2"/>
      <c r="F2039" s="2"/>
      <c r="G2039" s="2"/>
      <c r="H2039" s="2"/>
      <c r="I2039" s="2"/>
      <c r="J2039" s="2"/>
      <c r="K2039" s="2"/>
      <c r="L2039" s="2"/>
    </row>
    <row r="2040" spans="1:12" customFormat="1" ht="16" x14ac:dyDescent="0.2">
      <c r="A2040" t="s">
        <v>347</v>
      </c>
      <c r="B2040" s="2">
        <f>INDEX(Parameters!$B$6:$AL$57,MATCH(Inventories!$B$2006,Parameters!$A$6:$A$57,0),MATCH(Inventories!$A2040,Parameters!$B$4:$AL$4,0))</f>
        <v>0</v>
      </c>
      <c r="C2040" t="s">
        <v>312</v>
      </c>
      <c r="D2040" s="2"/>
      <c r="E2040" s="12"/>
      <c r="F2040" s="2"/>
      <c r="G2040" s="2"/>
      <c r="H2040" s="2"/>
      <c r="I2040" s="2"/>
      <c r="J2040" s="2"/>
      <c r="K2040" s="2"/>
      <c r="L2040" s="2"/>
    </row>
    <row r="2041" spans="1:12" customFormat="1" ht="16" x14ac:dyDescent="0.2">
      <c r="A2041" t="s">
        <v>348</v>
      </c>
      <c r="B2041" s="2">
        <f>INDEX(Parameters!$B$6:$AL$57,MATCH(Inventories!$B$2006,Parameters!$A$6:$A$57,0),MATCH(Inventories!$A2041,Parameters!$B$4:$AL$4,0))</f>
        <v>0</v>
      </c>
      <c r="C2041" t="s">
        <v>312</v>
      </c>
      <c r="D2041" s="2"/>
      <c r="E2041" s="2"/>
      <c r="F2041" s="2"/>
      <c r="G2041" s="2"/>
      <c r="H2041" s="2"/>
      <c r="I2041" s="2"/>
      <c r="J2041" s="2"/>
      <c r="K2041" s="2"/>
      <c r="L2041" s="2"/>
    </row>
    <row r="2042" spans="1:12" customFormat="1" ht="16" x14ac:dyDescent="0.2">
      <c r="A2042" t="s">
        <v>349</v>
      </c>
      <c r="B2042" s="2">
        <f>INDEX(Parameters!$B$6:$AL$57,MATCH(Inventories!$B$2006,Parameters!$A$6:$A$57,0),MATCH(Inventories!$A2042,Parameters!$B$4:$AL$4,0))</f>
        <v>0</v>
      </c>
      <c r="C2042" t="s">
        <v>8</v>
      </c>
      <c r="D2042" s="2"/>
      <c r="E2042" s="2"/>
      <c r="F2042" s="2"/>
      <c r="G2042" s="2"/>
      <c r="H2042" s="2"/>
      <c r="I2042" s="2"/>
      <c r="J2042" s="2"/>
      <c r="K2042" s="2"/>
      <c r="L2042" s="2"/>
    </row>
    <row r="2043" spans="1:12" customFormat="1" ht="16" x14ac:dyDescent="0.2">
      <c r="A2043" t="s">
        <v>350</v>
      </c>
      <c r="B2043" s="2">
        <f>INDEX(Parameters!$B$6:$AL$57,MATCH(Inventories!$B$2006,Parameters!$A$6:$A$57,0),MATCH(Inventories!$A2043,Parameters!$B$4:$AL$4,0))</f>
        <v>0</v>
      </c>
      <c r="C2043" t="s">
        <v>8</v>
      </c>
      <c r="D2043" s="2"/>
      <c r="E2043" s="2"/>
      <c r="F2043" s="2"/>
      <c r="G2043" s="2"/>
      <c r="H2043" s="2"/>
      <c r="I2043" s="2"/>
      <c r="J2043" s="2"/>
      <c r="K2043" s="2"/>
      <c r="L2043" s="2"/>
    </row>
    <row r="2044" spans="1:12" customFormat="1" ht="16" x14ac:dyDescent="0.2">
      <c r="A2044" t="s">
        <v>351</v>
      </c>
      <c r="B2044" s="2">
        <f>INDEX(Parameters!$B$6:$AL$57,MATCH(Inventories!$B$2006,Parameters!$A$6:$A$57,0),MATCH(Inventories!$A2044,Parameters!$B$4:$AL$4,0))</f>
        <v>0</v>
      </c>
      <c r="C2044" t="s">
        <v>8</v>
      </c>
      <c r="D2044" s="2"/>
      <c r="E2044" s="2"/>
      <c r="F2044" s="2"/>
      <c r="G2044" s="2"/>
      <c r="H2044" s="2"/>
      <c r="I2044" s="2"/>
      <c r="J2044" s="2"/>
      <c r="K2044" s="2"/>
      <c r="L2044" s="2"/>
    </row>
    <row r="2045" spans="1:12" customFormat="1" ht="16" x14ac:dyDescent="0.2">
      <c r="A2045" t="s">
        <v>365</v>
      </c>
      <c r="B2045" s="2">
        <f>INDEX(Parameters!$B$6:$AL$57,MATCH(Inventories!$B$2006,Parameters!$A$6:$A$57,0),MATCH(Inventories!$A2045,Parameters!$B$4:$AL$4,0))</f>
        <v>0</v>
      </c>
      <c r="C2045" t="s">
        <v>336</v>
      </c>
      <c r="D2045" s="2"/>
      <c r="E2045" s="2"/>
      <c r="F2045" s="2"/>
      <c r="G2045" s="2"/>
      <c r="H2045" s="2"/>
      <c r="I2045" s="2"/>
      <c r="J2045" s="2"/>
      <c r="K2045" s="2"/>
      <c r="L2045" s="2"/>
    </row>
    <row r="2046" spans="1:12" customFormat="1" ht="16" x14ac:dyDescent="0.2">
      <c r="A2046" t="s">
        <v>366</v>
      </c>
      <c r="B2046" s="2">
        <f>INDEX(Parameters!$B$6:$AL$57,MATCH(Inventories!$B$2006,Parameters!$A$6:$A$57,0),MATCH(Inventories!$A2046,Parameters!$B$4:$AL$4,0))</f>
        <v>0</v>
      </c>
      <c r="C2046" t="s">
        <v>336</v>
      </c>
      <c r="D2046" s="2"/>
      <c r="E2046" s="2"/>
      <c r="F2046" s="2"/>
      <c r="G2046" s="2"/>
      <c r="H2046" s="2"/>
      <c r="I2046" s="2"/>
      <c r="J2046" s="2"/>
      <c r="K2046" s="2"/>
      <c r="L2046" s="2"/>
    </row>
    <row r="2047" spans="1:12" customFormat="1" ht="16" x14ac:dyDescent="0.2">
      <c r="A2047" t="s">
        <v>367</v>
      </c>
      <c r="B2047" s="2">
        <f>INDEX(Parameters!$B$6:$AL$57,MATCH(Inventories!$B$2006,Parameters!$A$6:$A$57,0),MATCH(Inventories!$A2047,Parameters!$B$4:$AL$4,0))</f>
        <v>0</v>
      </c>
      <c r="C2047" t="s">
        <v>336</v>
      </c>
      <c r="D2047" s="2"/>
      <c r="E2047" s="2"/>
      <c r="F2047" s="2"/>
      <c r="G2047" s="2"/>
      <c r="H2047" s="2"/>
      <c r="I2047" s="2"/>
      <c r="J2047" s="2"/>
      <c r="K2047" s="2"/>
      <c r="L2047" s="2"/>
    </row>
    <row r="2048" spans="1:12" customFormat="1" ht="16" x14ac:dyDescent="0.2">
      <c r="A2048" t="s">
        <v>368</v>
      </c>
      <c r="B2048" s="2">
        <f>INDEX(Parameters!$B$6:$AL$57,MATCH(Inventories!$B$2006,Parameters!$A$6:$A$57,0),MATCH(Inventories!$A2048,Parameters!$B$4:$AL$4,0))</f>
        <v>0</v>
      </c>
      <c r="C2048" t="s">
        <v>336</v>
      </c>
      <c r="D2048" s="2"/>
      <c r="E2048" s="2"/>
      <c r="F2048" s="2"/>
      <c r="G2048" s="2"/>
      <c r="H2048" s="2"/>
      <c r="I2048" s="2"/>
      <c r="J2048" s="2"/>
      <c r="K2048" s="2"/>
      <c r="L2048" s="2"/>
    </row>
    <row r="2049" spans="1:12" customFormat="1" ht="16" x14ac:dyDescent="0.2">
      <c r="A2049" t="s">
        <v>369</v>
      </c>
      <c r="B2049" s="2">
        <f>INDEX(Parameters!$B$6:$AL$57,MATCH(Inventories!$B$2006,Parameters!$A$6:$A$57,0),MATCH(Inventories!$A2049,Parameters!$B$4:$AL$4,0))</f>
        <v>0</v>
      </c>
      <c r="C2049" t="s">
        <v>336</v>
      </c>
      <c r="D2049" s="2"/>
      <c r="E2049" s="2"/>
      <c r="F2049" s="2"/>
      <c r="G2049" s="2"/>
      <c r="H2049" s="2"/>
      <c r="I2049" s="2"/>
      <c r="J2049" s="2"/>
      <c r="K2049" s="2"/>
      <c r="L2049" s="2"/>
    </row>
    <row r="2050" spans="1:12" customFormat="1" ht="16" x14ac:dyDescent="0.2">
      <c r="A2050" t="s">
        <v>344</v>
      </c>
      <c r="B2050" s="32">
        <f>INDEX(Parameters!$B$6:$AL$57,MATCH(Inventories!$B$2006,Parameters!$A$6:$A$57,0),MATCH(Inventories!$A2050,Parameters!$B$4:$AL$4,0))</f>
        <v>3.0144679000000001E-2</v>
      </c>
      <c r="C2050" t="s">
        <v>345</v>
      </c>
      <c r="D2050" s="2"/>
      <c r="E2050" s="2"/>
      <c r="F2050" s="2"/>
      <c r="G2050" s="2"/>
      <c r="H2050" s="2"/>
      <c r="I2050" s="2"/>
      <c r="J2050" s="2"/>
      <c r="K2050" s="2"/>
      <c r="L2050" s="2"/>
    </row>
    <row r="2051" spans="1:12" customFormat="1" ht="16" x14ac:dyDescent="0.2">
      <c r="A2051" t="s">
        <v>343</v>
      </c>
      <c r="B2051" s="32">
        <f>INDEX(Parameters!$B$6:$AL$57,MATCH(Inventories!$B$2006,Parameters!$A$6:$A$57,0),MATCH(Inventories!$A2051,Parameters!$B$4:$AL$4,0))</f>
        <v>4.0642500000000003E-4</v>
      </c>
      <c r="C2051" t="s">
        <v>345</v>
      </c>
      <c r="D2051" s="2"/>
      <c r="E2051" s="2"/>
      <c r="F2051" s="2"/>
      <c r="G2051" s="2"/>
      <c r="H2051" s="2"/>
      <c r="I2051" s="2"/>
      <c r="J2051" s="2"/>
      <c r="K2051" s="2"/>
      <c r="L2051" s="2"/>
    </row>
    <row r="2052" spans="1:12" customFormat="1" ht="16" x14ac:dyDescent="0.2">
      <c r="A2052" s="1" t="s">
        <v>10</v>
      </c>
      <c r="H2052" s="2"/>
    </row>
    <row r="2053" spans="1:12" x14ac:dyDescent="0.2">
      <c r="A2053" s="17" t="s">
        <v>11</v>
      </c>
      <c r="B2053" s="17" t="s">
        <v>12</v>
      </c>
      <c r="C2053" s="17" t="s">
        <v>3</v>
      </c>
      <c r="D2053" s="17" t="s">
        <v>13</v>
      </c>
      <c r="E2053" s="17" t="s">
        <v>8</v>
      </c>
      <c r="F2053" s="17" t="s">
        <v>6</v>
      </c>
      <c r="G2053" s="17" t="s">
        <v>5</v>
      </c>
      <c r="H2053" s="17" t="s">
        <v>151</v>
      </c>
      <c r="I2053" s="17" t="s">
        <v>179</v>
      </c>
      <c r="J2053" s="17" t="s">
        <v>180</v>
      </c>
      <c r="K2053" s="17" t="s">
        <v>181</v>
      </c>
      <c r="L2053" s="17" t="s">
        <v>182</v>
      </c>
    </row>
    <row r="2054" spans="1:12" customFormat="1" ht="16" x14ac:dyDescent="0.2">
      <c r="A2054" s="22" t="s">
        <v>271</v>
      </c>
      <c r="B2054">
        <v>1</v>
      </c>
      <c r="C2054" t="s">
        <v>18</v>
      </c>
      <c r="E2054" t="s">
        <v>17</v>
      </c>
      <c r="F2054" t="s">
        <v>19</v>
      </c>
      <c r="G2054" t="s">
        <v>1</v>
      </c>
      <c r="H2054" s="2"/>
    </row>
    <row r="2055" spans="1:12" customFormat="1" ht="16" x14ac:dyDescent="0.2">
      <c r="A2055" t="s">
        <v>254</v>
      </c>
      <c r="B2055">
        <f>1/47.5</f>
        <v>2.1052631578947368E-2</v>
      </c>
      <c r="C2055" t="s">
        <v>18</v>
      </c>
      <c r="E2055" t="s">
        <v>9</v>
      </c>
      <c r="F2055" t="s">
        <v>23</v>
      </c>
      <c r="G2055" t="s">
        <v>255</v>
      </c>
      <c r="H2055" s="2"/>
    </row>
    <row r="2056" spans="1:12" customFormat="1" ht="16" x14ac:dyDescent="0.2">
      <c r="A2056" t="s">
        <v>145</v>
      </c>
      <c r="B2056" s="3">
        <f>(B2027/B2018)/(B2021/1000)</f>
        <v>1.3811420982735723E-4</v>
      </c>
      <c r="C2056" t="s">
        <v>18</v>
      </c>
      <c r="E2056" t="s">
        <v>9</v>
      </c>
      <c r="F2056" t="s">
        <v>23</v>
      </c>
      <c r="G2056" t="s">
        <v>145</v>
      </c>
      <c r="H2056" s="2"/>
      <c r="I2056">
        <v>5</v>
      </c>
      <c r="J2056">
        <f>B2056</f>
        <v>1.3811420982735723E-4</v>
      </c>
      <c r="K2056" s="3">
        <f>(B2028/B2020)/(B2023/1000)</f>
        <v>4.928098238810793E-5</v>
      </c>
      <c r="L2056" s="3">
        <f>(B2029/B2019)/(B2022/1000)</f>
        <v>6.8333333333333332E-4</v>
      </c>
    </row>
    <row r="2057" spans="1:12" customFormat="1" ht="16" x14ac:dyDescent="0.2">
      <c r="A2057" t="s">
        <v>206</v>
      </c>
      <c r="B2057" s="3">
        <f>(B2030/B2018)/(B2021/1000)</f>
        <v>1.6334661354581674E-5</v>
      </c>
      <c r="C2057" t="s">
        <v>18</v>
      </c>
      <c r="E2057" t="s">
        <v>9</v>
      </c>
      <c r="F2057" t="s">
        <v>23</v>
      </c>
      <c r="G2057" t="s">
        <v>207</v>
      </c>
      <c r="H2057" s="2"/>
      <c r="I2057">
        <v>5</v>
      </c>
      <c r="J2057">
        <f>B2057</f>
        <v>1.6334661354581674E-5</v>
      </c>
      <c r="K2057" s="3">
        <f>(B2031/B2020)/(B2023/1000)</f>
        <v>6.2207141703021493E-6</v>
      </c>
      <c r="L2057" s="3">
        <f>(B2032/B2019)/(B2022/1000)</f>
        <v>8.6111111111111105E-5</v>
      </c>
    </row>
    <row r="2058" spans="1:12" customFormat="1" ht="16" x14ac:dyDescent="0.2">
      <c r="A2058" t="s">
        <v>59</v>
      </c>
      <c r="B2058">
        <v>8.6651209802368515E-11</v>
      </c>
      <c r="D2058" t="s">
        <v>14</v>
      </c>
      <c r="E2058" t="s">
        <v>9</v>
      </c>
      <c r="F2058" t="s">
        <v>15</v>
      </c>
      <c r="H2058" s="2"/>
    </row>
    <row r="2059" spans="1:12" customFormat="1" ht="16" x14ac:dyDescent="0.2">
      <c r="A2059" t="s">
        <v>245</v>
      </c>
      <c r="B2059">
        <v>7.891795688303974E-8</v>
      </c>
      <c r="D2059" t="s">
        <v>116</v>
      </c>
      <c r="E2059" t="s">
        <v>9</v>
      </c>
      <c r="F2059" t="s">
        <v>15</v>
      </c>
      <c r="H2059" s="2"/>
    </row>
    <row r="2060" spans="1:12" customFormat="1" ht="16" x14ac:dyDescent="0.2">
      <c r="A2060" t="s">
        <v>80</v>
      </c>
      <c r="B2060">
        <v>2.8306061868773727E-9</v>
      </c>
      <c r="D2060" t="s">
        <v>14</v>
      </c>
      <c r="E2060" t="s">
        <v>9</v>
      </c>
      <c r="F2060" t="s">
        <v>15</v>
      </c>
      <c r="H2060" s="2"/>
    </row>
    <row r="2061" spans="1:12" customFormat="1" ht="16" x14ac:dyDescent="0.2">
      <c r="A2061" t="s">
        <v>49</v>
      </c>
      <c r="B2061">
        <v>3.9570719143081625E-9</v>
      </c>
      <c r="D2061" t="s">
        <v>14</v>
      </c>
      <c r="E2061" t="s">
        <v>9</v>
      </c>
      <c r="F2061" t="s">
        <v>15</v>
      </c>
      <c r="H2061" s="2"/>
    </row>
    <row r="2062" spans="1:12" customFormat="1" ht="16" x14ac:dyDescent="0.2">
      <c r="A2062" t="s">
        <v>48</v>
      </c>
      <c r="B2062">
        <v>7.9273222551331606E-6</v>
      </c>
      <c r="D2062" t="s">
        <v>14</v>
      </c>
      <c r="E2062" t="s">
        <v>9</v>
      </c>
      <c r="F2062" t="s">
        <v>15</v>
      </c>
      <c r="H2062" s="2"/>
    </row>
    <row r="2063" spans="1:12" customFormat="1" ht="16" x14ac:dyDescent="0.2">
      <c r="A2063" t="s">
        <v>47</v>
      </c>
      <c r="B2063">
        <v>5.1124213783397438E-9</v>
      </c>
      <c r="D2063" t="s">
        <v>14</v>
      </c>
      <c r="E2063" t="s">
        <v>9</v>
      </c>
      <c r="F2063" t="s">
        <v>15</v>
      </c>
      <c r="H2063" s="2"/>
    </row>
    <row r="2064" spans="1:12" customFormat="1" ht="16" x14ac:dyDescent="0.2">
      <c r="A2064" t="s">
        <v>177</v>
      </c>
      <c r="B2064">
        <v>8.3875030178923751E-5</v>
      </c>
      <c r="D2064" t="s">
        <v>116</v>
      </c>
      <c r="E2064" t="s">
        <v>9</v>
      </c>
      <c r="F2064" t="s">
        <v>15</v>
      </c>
      <c r="H2064" s="2"/>
    </row>
    <row r="2065" spans="1:8" customFormat="1" ht="16" x14ac:dyDescent="0.2">
      <c r="A2065" t="s">
        <v>177</v>
      </c>
      <c r="B2065">
        <v>1.0801510989610235E-5</v>
      </c>
      <c r="D2065" t="s">
        <v>14</v>
      </c>
      <c r="E2065" t="s">
        <v>9</v>
      </c>
      <c r="F2065" t="s">
        <v>15</v>
      </c>
      <c r="H2065" s="2"/>
    </row>
    <row r="2066" spans="1:8" customFormat="1" ht="16" x14ac:dyDescent="0.2">
      <c r="A2066" t="s">
        <v>76</v>
      </c>
      <c r="B2066">
        <v>1.6174892496442126E-9</v>
      </c>
      <c r="D2066" t="s">
        <v>14</v>
      </c>
      <c r="E2066" t="s">
        <v>9</v>
      </c>
      <c r="F2066" t="s">
        <v>15</v>
      </c>
      <c r="H2066" s="2"/>
    </row>
    <row r="2067" spans="1:8" customFormat="1" ht="16" x14ac:dyDescent="0.2">
      <c r="A2067" t="s">
        <v>58</v>
      </c>
      <c r="B2067">
        <v>2.888373660078951E-7</v>
      </c>
      <c r="D2067" t="s">
        <v>14</v>
      </c>
      <c r="E2067" t="s">
        <v>9</v>
      </c>
      <c r="F2067" t="s">
        <v>15</v>
      </c>
      <c r="H2067" s="2"/>
    </row>
    <row r="2068" spans="1:8" customFormat="1" ht="16" x14ac:dyDescent="0.2">
      <c r="A2068" t="s">
        <v>232</v>
      </c>
      <c r="B2068">
        <v>7.63619826432997E-7</v>
      </c>
      <c r="D2068" t="s">
        <v>14</v>
      </c>
      <c r="E2068" t="s">
        <v>9</v>
      </c>
      <c r="F2068" t="s">
        <v>15</v>
      </c>
      <c r="H2068" s="2"/>
    </row>
    <row r="2069" spans="1:8" customFormat="1" ht="16" x14ac:dyDescent="0.2">
      <c r="A2069" t="s">
        <v>61</v>
      </c>
      <c r="B2069">
        <v>2.4262338744663193E-8</v>
      </c>
      <c r="D2069" t="s">
        <v>14</v>
      </c>
      <c r="E2069" t="s">
        <v>9</v>
      </c>
      <c r="F2069" t="s">
        <v>15</v>
      </c>
      <c r="H2069" s="2"/>
    </row>
    <row r="2070" spans="1:8" customFormat="1" ht="16" x14ac:dyDescent="0.2">
      <c r="A2070" t="s">
        <v>231</v>
      </c>
      <c r="B2070">
        <f>B2051/1000</f>
        <v>4.0642500000000004E-7</v>
      </c>
      <c r="D2070" t="s">
        <v>14</v>
      </c>
      <c r="E2070" t="s">
        <v>9</v>
      </c>
      <c r="F2070" t="s">
        <v>15</v>
      </c>
      <c r="H2070" s="2"/>
    </row>
    <row r="2071" spans="1:8" customFormat="1" ht="16" x14ac:dyDescent="0.2">
      <c r="A2071" t="s">
        <v>122</v>
      </c>
      <c r="B2071">
        <f>2.74*B2055</f>
        <v>5.7684210526315789E-2</v>
      </c>
      <c r="D2071" t="s">
        <v>116</v>
      </c>
      <c r="E2071" t="s">
        <v>9</v>
      </c>
      <c r="F2071" t="s">
        <v>15</v>
      </c>
      <c r="H2071" s="2"/>
    </row>
    <row r="2072" spans="1:8" customFormat="1" ht="16" x14ac:dyDescent="0.2">
      <c r="A2072" t="s">
        <v>69</v>
      </c>
      <c r="B2072">
        <f>B2050/1000</f>
        <v>3.0144679000000002E-5</v>
      </c>
      <c r="D2072" t="s">
        <v>14</v>
      </c>
      <c r="E2072" t="s">
        <v>9</v>
      </c>
      <c r="F2072" t="s">
        <v>15</v>
      </c>
      <c r="H2072" s="2"/>
    </row>
    <row r="2073" spans="1:8" customFormat="1" ht="16" x14ac:dyDescent="0.2">
      <c r="A2073" t="s">
        <v>81</v>
      </c>
      <c r="B2073">
        <v>1.1553494640315805E-9</v>
      </c>
      <c r="D2073" t="s">
        <v>14</v>
      </c>
      <c r="E2073" t="s">
        <v>9</v>
      </c>
      <c r="F2073" t="s">
        <v>15</v>
      </c>
      <c r="H2073" s="2"/>
    </row>
    <row r="2074" spans="1:8" customFormat="1" ht="16" x14ac:dyDescent="0.2">
      <c r="A2074" t="s">
        <v>246</v>
      </c>
      <c r="B2074">
        <v>1.1740772587352886E-5</v>
      </c>
      <c r="D2074" t="s">
        <v>14</v>
      </c>
      <c r="E2074" t="s">
        <v>9</v>
      </c>
      <c r="F2074" t="s">
        <v>15</v>
      </c>
      <c r="H2074" s="2"/>
    </row>
    <row r="2075" spans="1:8" customFormat="1" ht="16" x14ac:dyDescent="0.2">
      <c r="A2075" t="s">
        <v>72</v>
      </c>
      <c r="B2075">
        <v>1.7330241960473703E-10</v>
      </c>
      <c r="D2075" t="s">
        <v>14</v>
      </c>
      <c r="E2075" t="s">
        <v>9</v>
      </c>
      <c r="F2075" t="s">
        <v>15</v>
      </c>
      <c r="H2075" s="2"/>
    </row>
    <row r="2076" spans="1:8" customFormat="1" ht="16" x14ac:dyDescent="0.2">
      <c r="A2076" t="s">
        <v>78</v>
      </c>
      <c r="B2076">
        <v>2.8883736600789512E-11</v>
      </c>
      <c r="D2076" t="s">
        <v>14</v>
      </c>
      <c r="E2076" t="s">
        <v>9</v>
      </c>
      <c r="F2076" t="s">
        <v>15</v>
      </c>
      <c r="H2076" s="2"/>
    </row>
    <row r="2077" spans="1:8" customFormat="1" ht="16" x14ac:dyDescent="0.2">
      <c r="A2077" t="s">
        <v>62</v>
      </c>
      <c r="B2077">
        <v>8.6651209802368528E-10</v>
      </c>
      <c r="D2077" t="s">
        <v>14</v>
      </c>
      <c r="E2077" t="s">
        <v>9</v>
      </c>
      <c r="F2077" t="s">
        <v>15</v>
      </c>
      <c r="H2077" s="2"/>
    </row>
    <row r="2078" spans="1:8" customFormat="1" ht="16" x14ac:dyDescent="0.2">
      <c r="A2078" t="s">
        <v>51</v>
      </c>
      <c r="B2078">
        <v>4.3325604901184269E-10</v>
      </c>
      <c r="D2078" t="s">
        <v>14</v>
      </c>
      <c r="E2078" t="s">
        <v>9</v>
      </c>
      <c r="F2078" t="s">
        <v>15</v>
      </c>
      <c r="H2078" s="2"/>
    </row>
    <row r="2079" spans="1:8" customFormat="1" ht="16" x14ac:dyDescent="0.2">
      <c r="A2079" t="s">
        <v>123</v>
      </c>
      <c r="B2079">
        <v>4.4309095397735818E-5</v>
      </c>
      <c r="D2079" t="s">
        <v>14</v>
      </c>
      <c r="E2079" t="s">
        <v>9</v>
      </c>
      <c r="F2079" t="s">
        <v>15</v>
      </c>
      <c r="H2079" s="2"/>
    </row>
    <row r="2080" spans="1:8" customFormat="1" ht="16" x14ac:dyDescent="0.2">
      <c r="A2080" t="s">
        <v>73</v>
      </c>
      <c r="B2080">
        <v>2.8883736600789513E-10</v>
      </c>
      <c r="D2080" t="s">
        <v>14</v>
      </c>
      <c r="E2080" t="s">
        <v>9</v>
      </c>
      <c r="F2080" t="s">
        <v>15</v>
      </c>
      <c r="H2080" s="2"/>
    </row>
    <row r="2081" spans="1:12" customFormat="1" ht="16" x14ac:dyDescent="0.2">
      <c r="A2081" t="s">
        <v>45</v>
      </c>
      <c r="B2081">
        <v>1.3199867626560807E-8</v>
      </c>
      <c r="D2081" t="s">
        <v>14</v>
      </c>
      <c r="E2081" t="s">
        <v>9</v>
      </c>
      <c r="F2081" t="s">
        <v>15</v>
      </c>
      <c r="H2081" s="2"/>
    </row>
    <row r="2082" spans="1:12" customFormat="1" ht="16" x14ac:dyDescent="0.2">
      <c r="B2082" s="3"/>
      <c r="H2082" s="2"/>
    </row>
    <row r="2083" spans="1:12" customFormat="1" ht="16" x14ac:dyDescent="0.2">
      <c r="B2083" s="3"/>
      <c r="H2083" s="2"/>
    </row>
    <row r="2084" spans="1:12" x14ac:dyDescent="0.2">
      <c r="A2084" s="17" t="s">
        <v>2</v>
      </c>
      <c r="B2084" s="17" t="s">
        <v>249</v>
      </c>
    </row>
    <row r="2085" spans="1:12" customFormat="1" ht="16" x14ac:dyDescent="0.2">
      <c r="A2085" t="s">
        <v>151</v>
      </c>
      <c r="B2085" t="s">
        <v>250</v>
      </c>
      <c r="H2085" s="2"/>
    </row>
    <row r="2086" spans="1:12" customFormat="1" ht="16" x14ac:dyDescent="0.2">
      <c r="A2086" t="s">
        <v>198</v>
      </c>
      <c r="B2086" t="s">
        <v>199</v>
      </c>
      <c r="H2086" s="2"/>
    </row>
    <row r="2087" spans="1:12" customFormat="1" ht="16" x14ac:dyDescent="0.2">
      <c r="A2087" t="s">
        <v>3</v>
      </c>
      <c r="B2087" t="s">
        <v>18</v>
      </c>
      <c r="H2087" s="2"/>
    </row>
    <row r="2088" spans="1:12" customFormat="1" ht="16" x14ac:dyDescent="0.2">
      <c r="A2088" t="s">
        <v>4</v>
      </c>
      <c r="B2088">
        <v>1</v>
      </c>
      <c r="H2088" s="2"/>
    </row>
    <row r="2089" spans="1:12" customFormat="1" ht="16" x14ac:dyDescent="0.2">
      <c r="A2089" t="s">
        <v>5</v>
      </c>
      <c r="B2089" t="s">
        <v>1</v>
      </c>
      <c r="H2089" s="2"/>
    </row>
    <row r="2090" spans="1:12" customFormat="1" ht="16" x14ac:dyDescent="0.2">
      <c r="A2090" t="s">
        <v>204</v>
      </c>
      <c r="B2090" t="s">
        <v>205</v>
      </c>
      <c r="H2090" s="2"/>
    </row>
    <row r="2091" spans="1:12" customFormat="1" ht="16" x14ac:dyDescent="0.2">
      <c r="A2091" t="s">
        <v>6</v>
      </c>
      <c r="B2091" t="s">
        <v>7</v>
      </c>
      <c r="H2091" s="2"/>
    </row>
    <row r="2092" spans="1:12" customFormat="1" ht="16" x14ac:dyDescent="0.2">
      <c r="A2092" t="s">
        <v>8</v>
      </c>
      <c r="B2092" t="s">
        <v>17</v>
      </c>
      <c r="H2092" s="2"/>
    </row>
    <row r="2093" spans="1:12" customFormat="1" ht="16" x14ac:dyDescent="0.2">
      <c r="A2093" t="s">
        <v>352</v>
      </c>
      <c r="B2093" s="2">
        <f>INDEX(Parameters!$B$6:$AL$57,MATCH(Inventories!$B$2084,Parameters!$A$6:$A$57,0),MATCH(Inventories!$A2093,Parameters!$B$4:$AL$4,0))</f>
        <v>308</v>
      </c>
      <c r="C2093" t="s">
        <v>312</v>
      </c>
      <c r="D2093" s="2"/>
      <c r="E2093" s="2"/>
      <c r="F2093" s="2"/>
      <c r="G2093" s="2"/>
      <c r="H2093" s="2"/>
      <c r="I2093" s="2"/>
      <c r="J2093" s="2"/>
      <c r="K2093" s="2"/>
      <c r="L2093" s="2"/>
    </row>
    <row r="2094" spans="1:12" customFormat="1" ht="16" x14ac:dyDescent="0.2">
      <c r="A2094" t="s">
        <v>353</v>
      </c>
      <c r="B2094" s="2">
        <f>INDEX(Parameters!$B$6:$AL$57,MATCH(Inventories!$B$2084,Parameters!$A$6:$A$57,0),MATCH(Inventories!$A2094,Parameters!$B$4:$AL$4,0))</f>
        <v>155</v>
      </c>
      <c r="C2094" t="s">
        <v>312</v>
      </c>
      <c r="D2094" s="2"/>
      <c r="E2094" s="2"/>
      <c r="F2094" s="2"/>
      <c r="G2094" s="2"/>
      <c r="H2094" s="2"/>
      <c r="I2094" s="2"/>
      <c r="J2094" s="2"/>
      <c r="K2094" s="2"/>
      <c r="L2094" s="2"/>
    </row>
    <row r="2095" spans="1:12" customFormat="1" ht="16" x14ac:dyDescent="0.2">
      <c r="A2095" t="s">
        <v>354</v>
      </c>
      <c r="B2095" s="2">
        <f>INDEX(Parameters!$B$6:$AL$57,MATCH(Inventories!$B$2084,Parameters!$A$6:$A$57,0),MATCH(Inventories!$A2095,Parameters!$B$4:$AL$4,0))</f>
        <v>485</v>
      </c>
      <c r="C2095" t="s">
        <v>312</v>
      </c>
      <c r="D2095" s="2"/>
      <c r="E2095" s="2"/>
      <c r="F2095" s="2"/>
      <c r="G2095" s="2"/>
      <c r="H2095" s="2"/>
      <c r="I2095" s="2"/>
      <c r="J2095" s="2"/>
      <c r="K2095" s="2"/>
      <c r="L2095" s="2"/>
    </row>
    <row r="2096" spans="1:12" customFormat="1" ht="16" x14ac:dyDescent="0.2">
      <c r="A2096" t="s">
        <v>316</v>
      </c>
      <c r="B2096" s="24">
        <f>INDEX(Parameters!$B$6:$AL$57,MATCH(Inventories!$B$2084,Parameters!$A$6:$A$57,0),MATCH(Inventories!$A2096,Parameters!$B$4:$AL$4,0))</f>
        <v>1000000</v>
      </c>
      <c r="C2096" t="s">
        <v>313</v>
      </c>
      <c r="D2096" s="2"/>
      <c r="E2096" s="2"/>
      <c r="F2096" s="2"/>
      <c r="G2096" s="2"/>
      <c r="H2096" s="2"/>
      <c r="I2096" s="2"/>
      <c r="J2096" s="2"/>
      <c r="K2096" s="2"/>
      <c r="L2096" s="2"/>
    </row>
    <row r="2097" spans="1:12" customFormat="1" ht="16" x14ac:dyDescent="0.2">
      <c r="A2097" t="s">
        <v>317</v>
      </c>
      <c r="B2097" s="24">
        <f>INDEX(Parameters!$B$6:$AL$57,MATCH(Inventories!$B$2084,Parameters!$A$6:$A$57,0),MATCH(Inventories!$A2097,Parameters!$B$4:$AL$4,0))</f>
        <v>500000</v>
      </c>
      <c r="C2097" t="s">
        <v>313</v>
      </c>
      <c r="D2097" s="2"/>
      <c r="E2097" s="2"/>
      <c r="F2097" s="2"/>
      <c r="G2097" s="2"/>
      <c r="H2097" s="2"/>
      <c r="I2097" s="2"/>
      <c r="J2097" s="2"/>
      <c r="K2097" s="2"/>
      <c r="L2097" s="2"/>
    </row>
    <row r="2098" spans="1:12" customFormat="1" ht="16" x14ac:dyDescent="0.2">
      <c r="A2098" t="s">
        <v>318</v>
      </c>
      <c r="B2098" s="24">
        <f>INDEX(Parameters!$B$6:$AL$57,MATCH(Inventories!$B$2084,Parameters!$A$6:$A$57,0),MATCH(Inventories!$A2098,Parameters!$B$4:$AL$4,0))</f>
        <v>1200000</v>
      </c>
      <c r="C2098" t="s">
        <v>313</v>
      </c>
      <c r="D2098" s="2"/>
      <c r="E2098" s="2"/>
      <c r="F2098" s="2"/>
      <c r="G2098" s="2"/>
      <c r="H2098" s="2"/>
      <c r="I2098" s="2"/>
      <c r="J2098" s="2"/>
      <c r="K2098" s="2"/>
      <c r="L2098" s="2"/>
    </row>
    <row r="2099" spans="1:12" customFormat="1" ht="16" x14ac:dyDescent="0.2">
      <c r="A2099" t="s">
        <v>319</v>
      </c>
      <c r="B2099" s="2">
        <f>INDEX(Parameters!$B$6:$AL$57,MATCH(Inventories!$B$2084,Parameters!$A$6:$A$57,0),MATCH(Inventories!$A2099,Parameters!$B$4:$AL$4,0))</f>
        <v>7530</v>
      </c>
      <c r="C2099" t="s">
        <v>314</v>
      </c>
      <c r="D2099" s="2"/>
      <c r="E2099" s="2"/>
      <c r="F2099" s="2"/>
      <c r="G2099" s="2"/>
      <c r="H2099" s="2"/>
      <c r="I2099" s="2"/>
      <c r="J2099" s="2"/>
      <c r="K2099" s="2"/>
      <c r="L2099" s="2"/>
    </row>
    <row r="2100" spans="1:12" customFormat="1" ht="16" x14ac:dyDescent="0.2">
      <c r="A2100" t="s">
        <v>320</v>
      </c>
      <c r="B2100" s="2">
        <f>INDEX(Parameters!$B$6:$AL$57,MATCH(Inventories!$B$2084,Parameters!$A$6:$A$57,0),MATCH(Inventories!$A2100,Parameters!$B$4:$AL$4,0))</f>
        <v>3600</v>
      </c>
      <c r="C2100" t="s">
        <v>314</v>
      </c>
      <c r="D2100" s="2"/>
      <c r="E2100" s="2"/>
      <c r="F2100" s="2"/>
      <c r="G2100" s="2"/>
      <c r="H2100" s="2"/>
      <c r="I2100" s="2"/>
      <c r="J2100" s="2"/>
      <c r="K2100" s="2"/>
      <c r="L2100" s="2"/>
    </row>
    <row r="2101" spans="1:12" customFormat="1" ht="16" x14ac:dyDescent="0.2">
      <c r="A2101" t="s">
        <v>321</v>
      </c>
      <c r="B2101" s="2">
        <f>INDEX(Parameters!$B$6:$AL$57,MATCH(Inventories!$B$2084,Parameters!$A$6:$A$57,0),MATCH(Inventories!$A2101,Parameters!$B$4:$AL$4,0))</f>
        <v>10315</v>
      </c>
      <c r="C2101" t="s">
        <v>314</v>
      </c>
      <c r="D2101" s="2"/>
      <c r="E2101" s="2"/>
      <c r="F2101" s="2"/>
      <c r="G2101" s="2"/>
      <c r="H2101" s="2"/>
      <c r="I2101" s="2"/>
      <c r="J2101" s="2"/>
      <c r="K2101" s="2"/>
      <c r="L2101" s="2"/>
    </row>
    <row r="2102" spans="1:12" customFormat="1" ht="16" x14ac:dyDescent="0.2">
      <c r="A2102" t="s">
        <v>337</v>
      </c>
      <c r="B2102" s="2">
        <f>INDEX(Parameters!$B$6:$AL$57,MATCH(Inventories!$B$2084,Parameters!$A$6:$A$57,0),MATCH(Inventories!$A2102,Parameters!$B$4:$AL$4,0))</f>
        <v>0</v>
      </c>
      <c r="C2102" t="s">
        <v>336</v>
      </c>
      <c r="D2102" s="2"/>
      <c r="E2102" s="2"/>
      <c r="F2102" s="2"/>
      <c r="G2102" s="2"/>
      <c r="H2102" s="2"/>
      <c r="I2102" s="2"/>
      <c r="J2102" s="2"/>
      <c r="K2102" s="2"/>
      <c r="L2102" s="2"/>
    </row>
    <row r="2103" spans="1:12" customFormat="1" ht="16" x14ac:dyDescent="0.2">
      <c r="A2103" t="s">
        <v>338</v>
      </c>
      <c r="B2103" s="2">
        <f>INDEX(Parameters!$B$6:$AL$57,MATCH(Inventories!$B$2084,Parameters!$A$6:$A$57,0),MATCH(Inventories!$A2103,Parameters!$B$4:$AL$4,0))</f>
        <v>0</v>
      </c>
      <c r="C2103" t="s">
        <v>336</v>
      </c>
      <c r="D2103" s="2"/>
      <c r="E2103" s="2"/>
      <c r="F2103" s="2"/>
      <c r="G2103" s="2"/>
      <c r="H2103" s="2"/>
      <c r="I2103" s="2"/>
      <c r="J2103" s="2"/>
      <c r="K2103" s="2"/>
      <c r="L2103" s="2"/>
    </row>
    <row r="2104" spans="1:12" customFormat="1" ht="16" x14ac:dyDescent="0.2">
      <c r="A2104" t="s">
        <v>339</v>
      </c>
      <c r="B2104" s="2">
        <f>INDEX(Parameters!$B$6:$AL$57,MATCH(Inventories!$B$2084,Parameters!$A$6:$A$57,0),MATCH(Inventories!$A2104,Parameters!$B$4:$AL$4,0))</f>
        <v>0</v>
      </c>
      <c r="C2104" t="s">
        <v>336</v>
      </c>
      <c r="D2104" s="2"/>
      <c r="E2104" s="2"/>
      <c r="F2104" s="2"/>
      <c r="G2104" s="2"/>
      <c r="H2104" s="2"/>
      <c r="I2104" s="2"/>
      <c r="J2104" s="2"/>
      <c r="K2104" s="2"/>
      <c r="L2104" s="2"/>
    </row>
    <row r="2105" spans="1:12" customFormat="1" ht="16" x14ac:dyDescent="0.2">
      <c r="A2105" t="s">
        <v>340</v>
      </c>
      <c r="B2105" s="2">
        <f>INDEX(Parameters!$B$6:$AL$57,MATCH(Inventories!$B$2084,Parameters!$A$6:$A$57,0),MATCH(Inventories!$A2105,Parameters!$B$4:$AL$4,0))</f>
        <v>1040</v>
      </c>
      <c r="C2105" t="s">
        <v>336</v>
      </c>
      <c r="D2105" s="2"/>
      <c r="E2105" s="2"/>
      <c r="F2105" s="2"/>
      <c r="G2105" s="2"/>
      <c r="H2105" s="2"/>
      <c r="I2105" s="2"/>
      <c r="J2105" s="2"/>
      <c r="K2105" s="2"/>
      <c r="L2105" s="2"/>
    </row>
    <row r="2106" spans="1:12" customFormat="1" ht="16" x14ac:dyDescent="0.2">
      <c r="A2106" t="s">
        <v>341</v>
      </c>
      <c r="B2106" s="2">
        <f>INDEX(Parameters!$B$6:$AL$57,MATCH(Inventories!$B$2084,Parameters!$A$6:$A$57,0),MATCH(Inventories!$A2106,Parameters!$B$4:$AL$4,0))</f>
        <v>610</v>
      </c>
      <c r="C2106" t="s">
        <v>336</v>
      </c>
      <c r="D2106" s="2"/>
      <c r="E2106" s="2"/>
      <c r="F2106" s="2"/>
      <c r="G2106" s="2"/>
      <c r="H2106" s="2"/>
      <c r="I2106" s="2"/>
      <c r="J2106" s="2"/>
      <c r="K2106" s="2"/>
      <c r="L2106" s="2"/>
    </row>
    <row r="2107" spans="1:12" customFormat="1" ht="16" x14ac:dyDescent="0.2">
      <c r="A2107" t="s">
        <v>342</v>
      </c>
      <c r="B2107" s="2">
        <f>INDEX(Parameters!$B$6:$AL$57,MATCH(Inventories!$B$2084,Parameters!$A$6:$A$57,0),MATCH(Inventories!$A2107,Parameters!$B$4:$AL$4,0))</f>
        <v>1230</v>
      </c>
      <c r="C2107" t="s">
        <v>336</v>
      </c>
      <c r="D2107" s="2"/>
      <c r="E2107" s="2"/>
      <c r="F2107" s="2"/>
      <c r="G2107" s="2"/>
      <c r="H2107" s="2"/>
      <c r="I2107" s="2"/>
      <c r="J2107" s="2"/>
      <c r="K2107" s="2"/>
      <c r="L2107" s="2"/>
    </row>
    <row r="2108" spans="1:12" customFormat="1" ht="16" x14ac:dyDescent="0.2">
      <c r="A2108" t="s">
        <v>333</v>
      </c>
      <c r="B2108" s="2">
        <f>INDEX(Parameters!$B$6:$AL$57,MATCH(Inventories!$B$2084,Parameters!$A$6:$A$57,0),MATCH(Inventories!$A2108,Parameters!$B$4:$AL$4,0))</f>
        <v>123</v>
      </c>
      <c r="C2108" t="s">
        <v>336</v>
      </c>
      <c r="D2108" s="2"/>
      <c r="E2108" s="2"/>
      <c r="F2108" s="2"/>
      <c r="G2108" s="2"/>
      <c r="H2108" s="2"/>
      <c r="I2108" s="2"/>
      <c r="J2108" s="2"/>
      <c r="K2108" s="2"/>
      <c r="L2108" s="2"/>
    </row>
    <row r="2109" spans="1:12" customFormat="1" ht="16" x14ac:dyDescent="0.2">
      <c r="A2109" t="s">
        <v>334</v>
      </c>
      <c r="B2109" s="2">
        <f>INDEX(Parameters!$B$6:$AL$57,MATCH(Inventories!$B$2084,Parameters!$A$6:$A$57,0),MATCH(Inventories!$A2109,Parameters!$B$4:$AL$4,0))</f>
        <v>77</v>
      </c>
      <c r="C2109" t="s">
        <v>336</v>
      </c>
      <c r="D2109" s="2"/>
      <c r="E2109" s="2"/>
      <c r="F2109" s="2"/>
      <c r="G2109" s="2"/>
      <c r="H2109" s="2"/>
      <c r="I2109" s="2"/>
      <c r="J2109" s="2"/>
      <c r="K2109" s="2"/>
      <c r="L2109" s="2"/>
    </row>
    <row r="2110" spans="1:12" customFormat="1" ht="16" x14ac:dyDescent="0.2">
      <c r="A2110" t="s">
        <v>335</v>
      </c>
      <c r="B2110" s="2">
        <f>INDEX(Parameters!$B$6:$AL$57,MATCH(Inventories!$B$2084,Parameters!$A$6:$A$57,0),MATCH(Inventories!$A2110,Parameters!$B$4:$AL$4,0))</f>
        <v>155</v>
      </c>
      <c r="C2110" t="s">
        <v>336</v>
      </c>
      <c r="D2110" s="2"/>
      <c r="E2110" s="2"/>
      <c r="F2110" s="2"/>
      <c r="G2110" s="2"/>
      <c r="H2110" s="2"/>
      <c r="I2110" s="2"/>
      <c r="J2110" s="2"/>
      <c r="K2110" s="2"/>
      <c r="L2110" s="2"/>
    </row>
    <row r="2111" spans="1:12" customFormat="1" ht="16" x14ac:dyDescent="0.2">
      <c r="A2111" t="s">
        <v>322</v>
      </c>
      <c r="B2111" s="2">
        <f>INDEX(Parameters!$B$6:$AL$57,MATCH(Inventories!$B$2084,Parameters!$A$6:$A$57,0),MATCH(Inventories!$A2111,Parameters!$B$4:$AL$4,0))</f>
        <v>0</v>
      </c>
      <c r="C2111" t="s">
        <v>315</v>
      </c>
      <c r="D2111" s="2"/>
      <c r="E2111" s="2"/>
      <c r="F2111" s="2"/>
      <c r="G2111" s="2"/>
      <c r="H2111" s="2"/>
      <c r="I2111" s="2"/>
      <c r="J2111" s="2"/>
      <c r="K2111" s="2"/>
      <c r="L2111" s="2"/>
    </row>
    <row r="2112" spans="1:12" customFormat="1" ht="16" x14ac:dyDescent="0.2">
      <c r="A2112" t="s">
        <v>323</v>
      </c>
      <c r="B2112" s="2">
        <f>INDEX(Parameters!$B$6:$AL$57,MATCH(Inventories!$B$2084,Parameters!$A$6:$A$57,0),MATCH(Inventories!$A2112,Parameters!$B$4:$AL$4,0))</f>
        <v>0</v>
      </c>
      <c r="C2112" t="s">
        <v>315</v>
      </c>
      <c r="D2112" s="2"/>
      <c r="E2112" s="2"/>
      <c r="F2112" s="2"/>
      <c r="G2112" s="2"/>
      <c r="H2112" s="2"/>
      <c r="I2112" s="2"/>
      <c r="J2112" s="2"/>
      <c r="K2112" s="2"/>
      <c r="L2112" s="2"/>
    </row>
    <row r="2113" spans="1:12" customFormat="1" ht="16" x14ac:dyDescent="0.2">
      <c r="A2113" t="s">
        <v>324</v>
      </c>
      <c r="B2113" s="2">
        <f>INDEX(Parameters!$B$6:$AL$57,MATCH(Inventories!$B$2084,Parameters!$A$6:$A$57,0),MATCH(Inventories!$A2113,Parameters!$B$4:$AL$4,0))</f>
        <v>0</v>
      </c>
      <c r="C2113" t="s">
        <v>315</v>
      </c>
      <c r="D2113" s="2"/>
      <c r="E2113" s="2"/>
      <c r="F2113" s="2"/>
      <c r="G2113" s="2"/>
      <c r="H2113" s="2"/>
      <c r="I2113" s="2"/>
      <c r="J2113" s="2"/>
      <c r="K2113" s="2"/>
      <c r="L2113" s="2"/>
    </row>
    <row r="2114" spans="1:12" customFormat="1" ht="16" x14ac:dyDescent="0.2">
      <c r="A2114" t="s">
        <v>330</v>
      </c>
      <c r="B2114" s="2">
        <f>INDEX(Parameters!$B$6:$AL$57,MATCH(Inventories!$B$2084,Parameters!$A$6:$A$57,0),MATCH(Inventories!$A2114,Parameters!$B$4:$AL$4,0))</f>
        <v>0</v>
      </c>
      <c r="C2114" t="s">
        <v>8</v>
      </c>
      <c r="D2114" s="2"/>
      <c r="E2114" s="2"/>
      <c r="F2114" s="2"/>
      <c r="G2114" s="2"/>
      <c r="H2114" s="2"/>
      <c r="I2114" s="2"/>
      <c r="J2114" s="2"/>
      <c r="K2114" s="2"/>
      <c r="L2114" s="2"/>
    </row>
    <row r="2115" spans="1:12" customFormat="1" ht="16" x14ac:dyDescent="0.2">
      <c r="A2115" t="s">
        <v>331</v>
      </c>
      <c r="B2115" s="2">
        <f>INDEX(Parameters!$B$6:$AL$57,MATCH(Inventories!$B$2084,Parameters!$A$6:$A$57,0),MATCH(Inventories!$A2115,Parameters!$B$4:$AL$4,0))</f>
        <v>0</v>
      </c>
      <c r="C2115" t="s">
        <v>8</v>
      </c>
      <c r="D2115" s="2"/>
      <c r="E2115" s="2"/>
      <c r="F2115" s="2"/>
      <c r="G2115" s="2"/>
      <c r="H2115" s="2"/>
      <c r="I2115" s="2"/>
      <c r="J2115" s="2"/>
      <c r="K2115" s="2"/>
      <c r="L2115" s="2"/>
    </row>
    <row r="2116" spans="1:12" customFormat="1" ht="16" x14ac:dyDescent="0.2">
      <c r="A2116" t="s">
        <v>332</v>
      </c>
      <c r="B2116" s="2">
        <f>INDEX(Parameters!$B$6:$AL$57,MATCH(Inventories!$B$2084,Parameters!$A$6:$A$57,0),MATCH(Inventories!$A2116,Parameters!$B$4:$AL$4,0))</f>
        <v>0</v>
      </c>
      <c r="C2116" t="s">
        <v>8</v>
      </c>
      <c r="D2116" s="2"/>
      <c r="E2116" s="2"/>
      <c r="F2116" s="2"/>
      <c r="G2116" s="2"/>
      <c r="H2116" s="2"/>
      <c r="I2116" s="2"/>
      <c r="J2116" s="2"/>
      <c r="K2116" s="2"/>
      <c r="L2116" s="2"/>
    </row>
    <row r="2117" spans="1:12" customFormat="1" ht="16" x14ac:dyDescent="0.2">
      <c r="A2117" t="s">
        <v>346</v>
      </c>
      <c r="B2117" s="2">
        <f>INDEX(Parameters!$B$6:$AL$57,MATCH(Inventories!$B$2084,Parameters!$A$6:$A$57,0),MATCH(Inventories!$A2117,Parameters!$B$4:$AL$4,0))</f>
        <v>0</v>
      </c>
      <c r="C2117" t="s">
        <v>312</v>
      </c>
      <c r="D2117" s="2"/>
      <c r="E2117" s="2"/>
      <c r="F2117" s="2"/>
      <c r="G2117" s="2"/>
      <c r="H2117" s="2"/>
      <c r="I2117" s="2"/>
      <c r="J2117" s="2"/>
      <c r="K2117" s="2"/>
      <c r="L2117" s="2"/>
    </row>
    <row r="2118" spans="1:12" customFormat="1" ht="16" x14ac:dyDescent="0.2">
      <c r="A2118" t="s">
        <v>347</v>
      </c>
      <c r="B2118" s="2">
        <f>INDEX(Parameters!$B$6:$AL$57,MATCH(Inventories!$B$2084,Parameters!$A$6:$A$57,0),MATCH(Inventories!$A2118,Parameters!$B$4:$AL$4,0))</f>
        <v>0</v>
      </c>
      <c r="C2118" t="s">
        <v>312</v>
      </c>
      <c r="D2118" s="2"/>
      <c r="E2118" s="12"/>
      <c r="F2118" s="2"/>
      <c r="G2118" s="2"/>
      <c r="H2118" s="2"/>
      <c r="I2118" s="2"/>
      <c r="J2118" s="2"/>
      <c r="K2118" s="2"/>
      <c r="L2118" s="2"/>
    </row>
    <row r="2119" spans="1:12" customFormat="1" ht="16" x14ac:dyDescent="0.2">
      <c r="A2119" t="s">
        <v>348</v>
      </c>
      <c r="B2119" s="2">
        <f>INDEX(Parameters!$B$6:$AL$57,MATCH(Inventories!$B$2084,Parameters!$A$6:$A$57,0),MATCH(Inventories!$A2119,Parameters!$B$4:$AL$4,0))</f>
        <v>0</v>
      </c>
      <c r="C2119" t="s">
        <v>312</v>
      </c>
      <c r="D2119" s="2"/>
      <c r="E2119" s="2"/>
      <c r="F2119" s="2"/>
      <c r="G2119" s="2"/>
      <c r="H2119" s="2"/>
      <c r="I2119" s="2"/>
      <c r="J2119" s="2"/>
      <c r="K2119" s="2"/>
      <c r="L2119" s="2"/>
    </row>
    <row r="2120" spans="1:12" customFormat="1" ht="16" x14ac:dyDescent="0.2">
      <c r="A2120" t="s">
        <v>349</v>
      </c>
      <c r="B2120" s="2">
        <f>INDEX(Parameters!$B$6:$AL$57,MATCH(Inventories!$B$2084,Parameters!$A$6:$A$57,0),MATCH(Inventories!$A2120,Parameters!$B$4:$AL$4,0))</f>
        <v>0</v>
      </c>
      <c r="C2120" t="s">
        <v>8</v>
      </c>
      <c r="D2120" s="2"/>
      <c r="E2120" s="2"/>
      <c r="F2120" s="2"/>
      <c r="G2120" s="2"/>
      <c r="H2120" s="2"/>
      <c r="I2120" s="2"/>
      <c r="J2120" s="2"/>
      <c r="K2120" s="2"/>
      <c r="L2120" s="2"/>
    </row>
    <row r="2121" spans="1:12" customFormat="1" ht="16" x14ac:dyDescent="0.2">
      <c r="A2121" t="s">
        <v>350</v>
      </c>
      <c r="B2121" s="2">
        <f>INDEX(Parameters!$B$6:$AL$57,MATCH(Inventories!$B$2084,Parameters!$A$6:$A$57,0),MATCH(Inventories!$A2121,Parameters!$B$4:$AL$4,0))</f>
        <v>0</v>
      </c>
      <c r="C2121" t="s">
        <v>8</v>
      </c>
      <c r="D2121" s="2"/>
      <c r="E2121" s="2"/>
      <c r="F2121" s="2"/>
      <c r="G2121" s="2"/>
      <c r="H2121" s="2"/>
      <c r="I2121" s="2"/>
      <c r="J2121" s="2"/>
      <c r="K2121" s="2"/>
      <c r="L2121" s="2"/>
    </row>
    <row r="2122" spans="1:12" customFormat="1" ht="16" x14ac:dyDescent="0.2">
      <c r="A2122" t="s">
        <v>351</v>
      </c>
      <c r="B2122" s="2">
        <f>INDEX(Parameters!$B$6:$AL$57,MATCH(Inventories!$B$2084,Parameters!$A$6:$A$57,0),MATCH(Inventories!$A2122,Parameters!$B$4:$AL$4,0))</f>
        <v>0</v>
      </c>
      <c r="C2122" t="s">
        <v>8</v>
      </c>
      <c r="D2122" s="2"/>
      <c r="E2122" s="2"/>
      <c r="F2122" s="2"/>
      <c r="G2122" s="2"/>
      <c r="H2122" s="2"/>
      <c r="I2122" s="2"/>
      <c r="J2122" s="2"/>
      <c r="K2122" s="2"/>
      <c r="L2122" s="2"/>
    </row>
    <row r="2123" spans="1:12" customFormat="1" ht="16" x14ac:dyDescent="0.2">
      <c r="A2123" t="s">
        <v>365</v>
      </c>
      <c r="B2123" s="2">
        <f>INDEX(Parameters!$B$6:$AL$57,MATCH(Inventories!$B$2084,Parameters!$A$6:$A$57,0),MATCH(Inventories!$A2123,Parameters!$B$4:$AL$4,0))</f>
        <v>0</v>
      </c>
      <c r="C2123" t="s">
        <v>336</v>
      </c>
      <c r="D2123" s="2"/>
      <c r="E2123" s="2"/>
      <c r="F2123" s="2"/>
      <c r="G2123" s="2"/>
      <c r="H2123" s="2"/>
      <c r="I2123" s="2"/>
      <c r="J2123" s="2"/>
      <c r="K2123" s="2"/>
      <c r="L2123" s="2"/>
    </row>
    <row r="2124" spans="1:12" customFormat="1" ht="16" x14ac:dyDescent="0.2">
      <c r="A2124" t="s">
        <v>366</v>
      </c>
      <c r="B2124" s="2">
        <f>INDEX(Parameters!$B$6:$AL$57,MATCH(Inventories!$B$2084,Parameters!$A$6:$A$57,0),MATCH(Inventories!$A2124,Parameters!$B$4:$AL$4,0))</f>
        <v>0</v>
      </c>
      <c r="C2124" t="s">
        <v>336</v>
      </c>
      <c r="D2124" s="2"/>
      <c r="E2124" s="2"/>
      <c r="F2124" s="2"/>
      <c r="G2124" s="2"/>
      <c r="H2124" s="2"/>
      <c r="I2124" s="2"/>
      <c r="J2124" s="2"/>
      <c r="K2124" s="2"/>
      <c r="L2124" s="2"/>
    </row>
    <row r="2125" spans="1:12" customFormat="1" ht="16" x14ac:dyDescent="0.2">
      <c r="A2125" t="s">
        <v>367</v>
      </c>
      <c r="B2125" s="2">
        <f>INDEX(Parameters!$B$6:$AL$57,MATCH(Inventories!$B$2084,Parameters!$A$6:$A$57,0),MATCH(Inventories!$A2125,Parameters!$B$4:$AL$4,0))</f>
        <v>0</v>
      </c>
      <c r="C2125" t="s">
        <v>336</v>
      </c>
      <c r="D2125" s="2"/>
      <c r="E2125" s="2"/>
      <c r="F2125" s="2"/>
      <c r="G2125" s="2"/>
      <c r="H2125" s="2"/>
      <c r="I2125" s="2"/>
      <c r="J2125" s="2"/>
      <c r="K2125" s="2"/>
      <c r="L2125" s="2"/>
    </row>
    <row r="2126" spans="1:12" customFormat="1" ht="16" x14ac:dyDescent="0.2">
      <c r="A2126" t="s">
        <v>368</v>
      </c>
      <c r="B2126" s="2">
        <f>INDEX(Parameters!$B$6:$AL$57,MATCH(Inventories!$B$2084,Parameters!$A$6:$A$57,0),MATCH(Inventories!$A2126,Parameters!$B$4:$AL$4,0))</f>
        <v>0</v>
      </c>
      <c r="C2126" t="s">
        <v>336</v>
      </c>
      <c r="D2126" s="2"/>
      <c r="E2126" s="2"/>
      <c r="F2126" s="2"/>
      <c r="G2126" s="2"/>
      <c r="H2126" s="2"/>
      <c r="I2126" s="2"/>
      <c r="J2126" s="2"/>
      <c r="K2126" s="2"/>
      <c r="L2126" s="2"/>
    </row>
    <row r="2127" spans="1:12" customFormat="1" ht="16" x14ac:dyDescent="0.2">
      <c r="A2127" t="s">
        <v>369</v>
      </c>
      <c r="B2127" s="2">
        <f>INDEX(Parameters!$B$6:$AL$57,MATCH(Inventories!$B$2084,Parameters!$A$6:$A$57,0),MATCH(Inventories!$A2127,Parameters!$B$4:$AL$4,0))</f>
        <v>0</v>
      </c>
      <c r="C2127" t="s">
        <v>336</v>
      </c>
      <c r="D2127" s="2"/>
      <c r="E2127" s="2"/>
      <c r="F2127" s="2"/>
      <c r="G2127" s="2"/>
      <c r="H2127" s="2"/>
      <c r="I2127" s="2"/>
      <c r="J2127" s="2"/>
      <c r="K2127" s="2"/>
      <c r="L2127" s="2"/>
    </row>
    <row r="2128" spans="1:12" customFormat="1" ht="16" x14ac:dyDescent="0.2">
      <c r="A2128" t="s">
        <v>344</v>
      </c>
      <c r="B2128" s="32">
        <f>INDEX(Parameters!$B$6:$AL$57,MATCH(Inventories!$B$2084,Parameters!$A$6:$A$57,0),MATCH(Inventories!$A2128,Parameters!$B$4:$AL$4,0))</f>
        <v>3.0144679000000001E-2</v>
      </c>
      <c r="C2128" t="s">
        <v>345</v>
      </c>
      <c r="D2128" s="2"/>
      <c r="E2128" s="2"/>
      <c r="F2128" s="2"/>
      <c r="G2128" s="2"/>
      <c r="H2128" s="2"/>
      <c r="I2128" s="2"/>
      <c r="J2128" s="2"/>
      <c r="K2128" s="2"/>
      <c r="L2128" s="2"/>
    </row>
    <row r="2129" spans="1:12" customFormat="1" ht="16" x14ac:dyDescent="0.2">
      <c r="A2129" t="s">
        <v>343</v>
      </c>
      <c r="B2129" s="32">
        <f>INDEX(Parameters!$B$6:$AL$57,MATCH(Inventories!$B$2084,Parameters!$A$6:$A$57,0),MATCH(Inventories!$A2129,Parameters!$B$4:$AL$4,0))</f>
        <v>4.0642500000000003E-4</v>
      </c>
      <c r="C2129" t="s">
        <v>345</v>
      </c>
      <c r="D2129" s="2"/>
      <c r="E2129" s="2"/>
      <c r="F2129" s="2"/>
      <c r="G2129" s="2"/>
      <c r="H2129" s="2"/>
      <c r="I2129" s="2"/>
      <c r="J2129" s="2"/>
      <c r="K2129" s="2"/>
      <c r="L2129" s="2"/>
    </row>
    <row r="2130" spans="1:12" customFormat="1" ht="16" x14ac:dyDescent="0.2">
      <c r="A2130" s="1" t="s">
        <v>10</v>
      </c>
      <c r="H2130" s="2"/>
    </row>
    <row r="2131" spans="1:12" x14ac:dyDescent="0.2">
      <c r="A2131" s="17" t="s">
        <v>11</v>
      </c>
      <c r="B2131" s="17" t="s">
        <v>12</v>
      </c>
      <c r="C2131" s="17" t="s">
        <v>3</v>
      </c>
      <c r="D2131" s="17" t="s">
        <v>13</v>
      </c>
      <c r="E2131" s="17" t="s">
        <v>8</v>
      </c>
      <c r="F2131" s="17" t="s">
        <v>6</v>
      </c>
      <c r="G2131" s="17" t="s">
        <v>5</v>
      </c>
      <c r="H2131" s="17" t="s">
        <v>151</v>
      </c>
      <c r="I2131" s="17" t="s">
        <v>179</v>
      </c>
      <c r="J2131" s="17" t="s">
        <v>180</v>
      </c>
      <c r="K2131" s="17" t="s">
        <v>181</v>
      </c>
      <c r="L2131" s="17" t="s">
        <v>182</v>
      </c>
    </row>
    <row r="2132" spans="1:12" customFormat="1" ht="16" x14ac:dyDescent="0.2">
      <c r="A2132" s="22" t="s">
        <v>249</v>
      </c>
      <c r="B2132">
        <v>1</v>
      </c>
      <c r="C2132" t="s">
        <v>18</v>
      </c>
      <c r="E2132" t="s">
        <v>17</v>
      </c>
      <c r="F2132" t="s">
        <v>19</v>
      </c>
      <c r="G2132" t="s">
        <v>1</v>
      </c>
      <c r="H2132" s="2"/>
    </row>
    <row r="2133" spans="1:12" customFormat="1" ht="16" x14ac:dyDescent="0.2">
      <c r="A2133" t="s">
        <v>92</v>
      </c>
      <c r="B2133" s="8">
        <f>1/36</f>
        <v>2.7777777777777776E-2</v>
      </c>
      <c r="C2133" t="s">
        <v>27</v>
      </c>
      <c r="E2133" t="s">
        <v>94</v>
      </c>
      <c r="F2133" t="s">
        <v>23</v>
      </c>
      <c r="G2133" t="s">
        <v>93</v>
      </c>
      <c r="H2133" s="2"/>
    </row>
    <row r="2134" spans="1:12" customFormat="1" ht="16" x14ac:dyDescent="0.2">
      <c r="A2134" t="s">
        <v>145</v>
      </c>
      <c r="B2134" s="3">
        <f>(B2105/B2096)/(B2099/1000)</f>
        <v>1.3811420982735723E-4</v>
      </c>
      <c r="C2134" t="s">
        <v>18</v>
      </c>
      <c r="E2134" t="s">
        <v>9</v>
      </c>
      <c r="F2134" t="s">
        <v>23</v>
      </c>
      <c r="G2134" t="s">
        <v>145</v>
      </c>
      <c r="H2134" s="2"/>
      <c r="I2134">
        <v>5</v>
      </c>
      <c r="J2134">
        <f>B2134</f>
        <v>1.3811420982735723E-4</v>
      </c>
      <c r="K2134" s="3">
        <f>(B2106/B2098)/(B2101/1000)</f>
        <v>4.928098238810793E-5</v>
      </c>
      <c r="L2134" s="3">
        <f>(B2107/B2097)/(B2100/1000)</f>
        <v>6.8333333333333332E-4</v>
      </c>
    </row>
    <row r="2135" spans="1:12" customFormat="1" ht="16" x14ac:dyDescent="0.2">
      <c r="A2135" t="s">
        <v>206</v>
      </c>
      <c r="B2135" s="3">
        <f>(B2108/B2096)/(B2099/1000)</f>
        <v>1.6334661354581674E-5</v>
      </c>
      <c r="C2135" t="s">
        <v>18</v>
      </c>
      <c r="E2135" t="s">
        <v>9</v>
      </c>
      <c r="F2135" t="s">
        <v>23</v>
      </c>
      <c r="G2135" t="s">
        <v>207</v>
      </c>
      <c r="H2135" s="2"/>
      <c r="I2135">
        <v>5</v>
      </c>
      <c r="J2135">
        <f>B2135</f>
        <v>1.6334661354581674E-5</v>
      </c>
      <c r="K2135" s="3">
        <f>(B2109/B2098)/(B2101/1000)</f>
        <v>6.2207141703021493E-6</v>
      </c>
      <c r="L2135" s="3">
        <f>(B2110/B2097)/(B2100/1000)</f>
        <v>8.6111111111111105E-5</v>
      </c>
    </row>
    <row r="2136" spans="1:12" customFormat="1" ht="16" x14ac:dyDescent="0.2">
      <c r="A2136" t="s">
        <v>59</v>
      </c>
      <c r="B2136">
        <v>8.6651209802368515E-11</v>
      </c>
      <c r="D2136" t="s">
        <v>14</v>
      </c>
      <c r="E2136" t="s">
        <v>9</v>
      </c>
      <c r="F2136" t="s">
        <v>15</v>
      </c>
      <c r="H2136" s="2"/>
    </row>
    <row r="2137" spans="1:12" customFormat="1" ht="16" x14ac:dyDescent="0.2">
      <c r="A2137" t="s">
        <v>245</v>
      </c>
      <c r="B2137">
        <v>7.891795688303974E-8</v>
      </c>
      <c r="D2137" t="s">
        <v>116</v>
      </c>
      <c r="E2137" t="s">
        <v>9</v>
      </c>
      <c r="F2137" t="s">
        <v>15</v>
      </c>
      <c r="H2137" s="2"/>
    </row>
    <row r="2138" spans="1:12" customFormat="1" ht="16" x14ac:dyDescent="0.2">
      <c r="A2138" t="s">
        <v>80</v>
      </c>
      <c r="B2138">
        <v>2.8306061868773727E-9</v>
      </c>
      <c r="D2138" t="s">
        <v>14</v>
      </c>
      <c r="E2138" t="s">
        <v>9</v>
      </c>
      <c r="F2138" t="s">
        <v>15</v>
      </c>
      <c r="H2138" s="2"/>
    </row>
    <row r="2139" spans="1:12" customFormat="1" ht="16" x14ac:dyDescent="0.2">
      <c r="A2139" t="s">
        <v>49</v>
      </c>
      <c r="B2139">
        <v>3.9570719143081625E-9</v>
      </c>
      <c r="D2139" t="s">
        <v>14</v>
      </c>
      <c r="E2139" t="s">
        <v>9</v>
      </c>
      <c r="F2139" t="s">
        <v>15</v>
      </c>
      <c r="H2139" s="2"/>
    </row>
    <row r="2140" spans="1:12" customFormat="1" ht="16" x14ac:dyDescent="0.2">
      <c r="A2140" t="s">
        <v>48</v>
      </c>
      <c r="B2140">
        <v>7.9273222551331606E-6</v>
      </c>
      <c r="D2140" t="s">
        <v>14</v>
      </c>
      <c r="E2140" t="s">
        <v>9</v>
      </c>
      <c r="F2140" t="s">
        <v>15</v>
      </c>
      <c r="H2140" s="2"/>
    </row>
    <row r="2141" spans="1:12" customFormat="1" ht="16" x14ac:dyDescent="0.2">
      <c r="A2141" t="s">
        <v>47</v>
      </c>
      <c r="B2141">
        <v>5.1124213783397438E-9</v>
      </c>
      <c r="D2141" t="s">
        <v>14</v>
      </c>
      <c r="E2141" t="s">
        <v>9</v>
      </c>
      <c r="F2141" t="s">
        <v>15</v>
      </c>
      <c r="H2141" s="2"/>
    </row>
    <row r="2142" spans="1:12" customFormat="1" ht="16" x14ac:dyDescent="0.2">
      <c r="A2142" t="s">
        <v>65</v>
      </c>
      <c r="B2142">
        <v>8.3875030178923751E-5</v>
      </c>
      <c r="D2142" t="s">
        <v>116</v>
      </c>
      <c r="E2142" t="s">
        <v>9</v>
      </c>
      <c r="F2142" t="s">
        <v>15</v>
      </c>
      <c r="H2142" s="2"/>
    </row>
    <row r="2143" spans="1:12" customFormat="1" ht="16" x14ac:dyDescent="0.2">
      <c r="A2143" t="s">
        <v>65</v>
      </c>
      <c r="B2143">
        <v>1.0801510989610235E-5</v>
      </c>
      <c r="D2143" t="s">
        <v>14</v>
      </c>
      <c r="E2143" t="s">
        <v>9</v>
      </c>
      <c r="F2143" t="s">
        <v>15</v>
      </c>
      <c r="H2143" s="2"/>
    </row>
    <row r="2144" spans="1:12" customFormat="1" ht="16" x14ac:dyDescent="0.2">
      <c r="A2144" t="s">
        <v>76</v>
      </c>
      <c r="B2144">
        <v>1.6174892496442126E-9</v>
      </c>
      <c r="D2144" t="s">
        <v>14</v>
      </c>
      <c r="E2144" t="s">
        <v>9</v>
      </c>
      <c r="F2144" t="s">
        <v>15</v>
      </c>
      <c r="H2144" s="2"/>
    </row>
    <row r="2145" spans="1:8" customFormat="1" ht="16" x14ac:dyDescent="0.2">
      <c r="A2145" t="s">
        <v>58</v>
      </c>
      <c r="B2145">
        <v>2.888373660078951E-7</v>
      </c>
      <c r="D2145" t="s">
        <v>14</v>
      </c>
      <c r="E2145" t="s">
        <v>9</v>
      </c>
      <c r="F2145" t="s">
        <v>15</v>
      </c>
      <c r="H2145" s="2"/>
    </row>
    <row r="2146" spans="1:8" customFormat="1" ht="16" x14ac:dyDescent="0.2">
      <c r="A2146" t="s">
        <v>232</v>
      </c>
      <c r="B2146">
        <v>7.63619826432997E-7</v>
      </c>
      <c r="D2146" t="s">
        <v>14</v>
      </c>
      <c r="E2146" t="s">
        <v>9</v>
      </c>
      <c r="F2146" t="s">
        <v>15</v>
      </c>
      <c r="H2146" s="2"/>
    </row>
    <row r="2147" spans="1:8" customFormat="1" ht="16" x14ac:dyDescent="0.2">
      <c r="A2147" t="s">
        <v>61</v>
      </c>
      <c r="B2147">
        <v>2.4262338744663193E-8</v>
      </c>
      <c r="D2147" t="s">
        <v>14</v>
      </c>
      <c r="E2147" t="s">
        <v>9</v>
      </c>
      <c r="F2147" t="s">
        <v>15</v>
      </c>
      <c r="H2147" s="2"/>
    </row>
    <row r="2148" spans="1:8" customFormat="1" ht="16" x14ac:dyDescent="0.2">
      <c r="A2148" t="s">
        <v>231</v>
      </c>
      <c r="B2148">
        <f>B2129/1000</f>
        <v>4.0642500000000004E-7</v>
      </c>
      <c r="D2148" t="s">
        <v>14</v>
      </c>
      <c r="E2148" t="s">
        <v>9</v>
      </c>
      <c r="F2148" t="s">
        <v>15</v>
      </c>
      <c r="H2148" s="2"/>
    </row>
    <row r="2149" spans="1:8" customFormat="1" ht="16" x14ac:dyDescent="0.2">
      <c r="A2149" t="s">
        <v>53</v>
      </c>
      <c r="B2149">
        <f>1.96*B2133</f>
        <v>5.4444444444444441E-2</v>
      </c>
      <c r="D2149" t="s">
        <v>116</v>
      </c>
      <c r="E2149" t="s">
        <v>9</v>
      </c>
      <c r="F2149" t="s">
        <v>15</v>
      </c>
      <c r="H2149" s="2"/>
    </row>
    <row r="2150" spans="1:8" customFormat="1" ht="16" x14ac:dyDescent="0.2">
      <c r="A2150" t="s">
        <v>69</v>
      </c>
      <c r="B2150">
        <f>B2128/1000</f>
        <v>3.0144679000000002E-5</v>
      </c>
      <c r="D2150" t="s">
        <v>14</v>
      </c>
      <c r="E2150" t="s">
        <v>9</v>
      </c>
      <c r="F2150" t="s">
        <v>15</v>
      </c>
      <c r="H2150" s="2"/>
    </row>
    <row r="2151" spans="1:8" customFormat="1" ht="16" x14ac:dyDescent="0.2">
      <c r="A2151" t="s">
        <v>81</v>
      </c>
      <c r="B2151">
        <v>1.1553494640315805E-9</v>
      </c>
      <c r="D2151" t="s">
        <v>14</v>
      </c>
      <c r="E2151" t="s">
        <v>9</v>
      </c>
      <c r="F2151" t="s">
        <v>15</v>
      </c>
      <c r="H2151" s="2"/>
    </row>
    <row r="2152" spans="1:8" customFormat="1" ht="16" x14ac:dyDescent="0.2">
      <c r="A2152" t="s">
        <v>246</v>
      </c>
      <c r="B2152">
        <v>1.1740772587352886E-5</v>
      </c>
      <c r="D2152" t="s">
        <v>14</v>
      </c>
      <c r="E2152" t="s">
        <v>9</v>
      </c>
      <c r="F2152" t="s">
        <v>15</v>
      </c>
      <c r="H2152" s="2"/>
    </row>
    <row r="2153" spans="1:8" customFormat="1" ht="16" x14ac:dyDescent="0.2">
      <c r="A2153" t="s">
        <v>72</v>
      </c>
      <c r="B2153">
        <v>1.7330241960473703E-10</v>
      </c>
      <c r="D2153" t="s">
        <v>14</v>
      </c>
      <c r="E2153" t="s">
        <v>9</v>
      </c>
      <c r="F2153" t="s">
        <v>15</v>
      </c>
      <c r="H2153" s="2"/>
    </row>
    <row r="2154" spans="1:8" customFormat="1" ht="16" x14ac:dyDescent="0.2">
      <c r="A2154" t="s">
        <v>78</v>
      </c>
      <c r="B2154">
        <v>2.8883736600789512E-11</v>
      </c>
      <c r="D2154" t="s">
        <v>14</v>
      </c>
      <c r="E2154" t="s">
        <v>9</v>
      </c>
      <c r="F2154" t="s">
        <v>15</v>
      </c>
      <c r="H2154" s="2"/>
    </row>
    <row r="2155" spans="1:8" customFormat="1" ht="16" x14ac:dyDescent="0.2">
      <c r="A2155" t="s">
        <v>62</v>
      </c>
      <c r="B2155">
        <v>8.6651209802368528E-10</v>
      </c>
      <c r="D2155" t="s">
        <v>14</v>
      </c>
      <c r="E2155" t="s">
        <v>9</v>
      </c>
      <c r="F2155" t="s">
        <v>15</v>
      </c>
      <c r="H2155" s="2"/>
    </row>
    <row r="2156" spans="1:8" customFormat="1" ht="16" x14ac:dyDescent="0.2">
      <c r="A2156" t="s">
        <v>51</v>
      </c>
      <c r="B2156">
        <v>4.3325604901184269E-10</v>
      </c>
      <c r="D2156" t="s">
        <v>14</v>
      </c>
      <c r="E2156" t="s">
        <v>9</v>
      </c>
      <c r="F2156" t="s">
        <v>15</v>
      </c>
      <c r="H2156" s="2"/>
    </row>
    <row r="2157" spans="1:8" customFormat="1" ht="16" x14ac:dyDescent="0.2">
      <c r="A2157" t="s">
        <v>54</v>
      </c>
      <c r="B2157">
        <v>4.4309095397735818E-5</v>
      </c>
      <c r="D2157" t="s">
        <v>14</v>
      </c>
      <c r="E2157" t="s">
        <v>9</v>
      </c>
      <c r="F2157" t="s">
        <v>15</v>
      </c>
      <c r="H2157" s="2"/>
    </row>
    <row r="2158" spans="1:8" customFormat="1" ht="16" x14ac:dyDescent="0.2">
      <c r="A2158" t="s">
        <v>73</v>
      </c>
      <c r="B2158">
        <v>2.8883736600789513E-10</v>
      </c>
      <c r="D2158" t="s">
        <v>14</v>
      </c>
      <c r="E2158" t="s">
        <v>9</v>
      </c>
      <c r="F2158" t="s">
        <v>15</v>
      </c>
      <c r="H2158" s="2"/>
    </row>
    <row r="2159" spans="1:8" customFormat="1" ht="16" x14ac:dyDescent="0.2">
      <c r="A2159" t="s">
        <v>45</v>
      </c>
      <c r="B2159">
        <v>1.3199867626560807E-8</v>
      </c>
      <c r="D2159" t="s">
        <v>14</v>
      </c>
      <c r="E2159" t="s">
        <v>9</v>
      </c>
      <c r="F2159" t="s">
        <v>15</v>
      </c>
      <c r="H2159" s="2"/>
    </row>
    <row r="2160" spans="1:8" customFormat="1" ht="16" x14ac:dyDescent="0.2">
      <c r="B2160" s="3"/>
      <c r="H2160" s="2"/>
    </row>
    <row r="2161" spans="1:12" x14ac:dyDescent="0.2">
      <c r="A2161" s="17" t="s">
        <v>2</v>
      </c>
      <c r="B2161" s="17" t="s">
        <v>270</v>
      </c>
    </row>
    <row r="2162" spans="1:12" customFormat="1" ht="16" x14ac:dyDescent="0.2">
      <c r="A2162" t="s">
        <v>151</v>
      </c>
      <c r="B2162" t="s">
        <v>250</v>
      </c>
      <c r="H2162" s="2"/>
    </row>
    <row r="2163" spans="1:12" customFormat="1" ht="16" x14ac:dyDescent="0.2">
      <c r="A2163" t="s">
        <v>198</v>
      </c>
      <c r="B2163" t="s">
        <v>199</v>
      </c>
      <c r="H2163" s="2"/>
    </row>
    <row r="2164" spans="1:12" customFormat="1" ht="16" x14ac:dyDescent="0.2">
      <c r="A2164" t="s">
        <v>3</v>
      </c>
      <c r="B2164" t="s">
        <v>18</v>
      </c>
      <c r="H2164" s="2"/>
    </row>
    <row r="2165" spans="1:12" customFormat="1" ht="16" x14ac:dyDescent="0.2">
      <c r="A2165" t="s">
        <v>4</v>
      </c>
      <c r="B2165">
        <v>1</v>
      </c>
      <c r="H2165" s="2"/>
    </row>
    <row r="2166" spans="1:12" customFormat="1" ht="16" x14ac:dyDescent="0.2">
      <c r="A2166" t="s">
        <v>5</v>
      </c>
      <c r="B2166" t="s">
        <v>1</v>
      </c>
      <c r="H2166" s="2"/>
    </row>
    <row r="2167" spans="1:12" customFormat="1" ht="16" x14ac:dyDescent="0.2">
      <c r="A2167" t="s">
        <v>204</v>
      </c>
      <c r="B2167" t="s">
        <v>205</v>
      </c>
      <c r="H2167" s="2"/>
    </row>
    <row r="2168" spans="1:12" customFormat="1" ht="16" x14ac:dyDescent="0.2">
      <c r="A2168" t="s">
        <v>6</v>
      </c>
      <c r="B2168" t="s">
        <v>7</v>
      </c>
      <c r="H2168" s="2"/>
    </row>
    <row r="2169" spans="1:12" customFormat="1" ht="16" x14ac:dyDescent="0.2">
      <c r="A2169" t="s">
        <v>8</v>
      </c>
      <c r="B2169" t="s">
        <v>17</v>
      </c>
      <c r="H2169" s="2"/>
    </row>
    <row r="2170" spans="1:12" customFormat="1" ht="16" x14ac:dyDescent="0.2">
      <c r="A2170" t="s">
        <v>352</v>
      </c>
      <c r="B2170" s="2">
        <f>INDEX(Parameters!$B$6:$AL$57,MATCH(Inventories!$B$2161,Parameters!$A$6:$A$57,0),MATCH(Inventories!$A2170,Parameters!$B$4:$AL$4,0))</f>
        <v>308</v>
      </c>
      <c r="C2170" t="s">
        <v>312</v>
      </c>
      <c r="D2170" s="2"/>
      <c r="E2170" s="2"/>
      <c r="F2170" s="2"/>
      <c r="G2170" s="2"/>
      <c r="H2170" s="2"/>
      <c r="I2170" s="2"/>
      <c r="J2170" s="2"/>
      <c r="K2170" s="2"/>
      <c r="L2170" s="2"/>
    </row>
    <row r="2171" spans="1:12" customFormat="1" ht="16" x14ac:dyDescent="0.2">
      <c r="A2171" t="s">
        <v>353</v>
      </c>
      <c r="B2171" s="2">
        <f>INDEX(Parameters!$B$6:$AL$57,MATCH(Inventories!$B$2161,Parameters!$A$6:$A$57,0),MATCH(Inventories!$A2171,Parameters!$B$4:$AL$4,0))</f>
        <v>155</v>
      </c>
      <c r="C2171" t="s">
        <v>312</v>
      </c>
      <c r="D2171" s="2"/>
      <c r="E2171" s="2"/>
      <c r="F2171" s="2"/>
      <c r="G2171" s="2"/>
      <c r="H2171" s="2"/>
      <c r="I2171" s="2"/>
      <c r="J2171" s="2"/>
      <c r="K2171" s="2"/>
      <c r="L2171" s="2"/>
    </row>
    <row r="2172" spans="1:12" customFormat="1" ht="16" x14ac:dyDescent="0.2">
      <c r="A2172" t="s">
        <v>354</v>
      </c>
      <c r="B2172" s="2">
        <f>INDEX(Parameters!$B$6:$AL$57,MATCH(Inventories!$B$2161,Parameters!$A$6:$A$57,0),MATCH(Inventories!$A2172,Parameters!$B$4:$AL$4,0))</f>
        <v>485</v>
      </c>
      <c r="C2172" t="s">
        <v>312</v>
      </c>
      <c r="D2172" s="2"/>
      <c r="E2172" s="2"/>
      <c r="F2172" s="2"/>
      <c r="G2172" s="2"/>
      <c r="H2172" s="2"/>
      <c r="I2172" s="2"/>
      <c r="J2172" s="2"/>
      <c r="K2172" s="2"/>
      <c r="L2172" s="2"/>
    </row>
    <row r="2173" spans="1:12" customFormat="1" ht="16" x14ac:dyDescent="0.2">
      <c r="A2173" t="s">
        <v>316</v>
      </c>
      <c r="B2173" s="24">
        <f>INDEX(Parameters!$B$6:$AL$57,MATCH(Inventories!$B$2161,Parameters!$A$6:$A$57,0),MATCH(Inventories!$A2173,Parameters!$B$4:$AL$4,0))</f>
        <v>1000000</v>
      </c>
      <c r="C2173" t="s">
        <v>313</v>
      </c>
      <c r="D2173" s="2"/>
      <c r="E2173" s="2"/>
      <c r="F2173" s="2"/>
      <c r="G2173" s="2"/>
      <c r="H2173" s="2"/>
      <c r="I2173" s="2"/>
      <c r="J2173" s="2"/>
      <c r="K2173" s="2"/>
      <c r="L2173" s="2"/>
    </row>
    <row r="2174" spans="1:12" customFormat="1" ht="16" x14ac:dyDescent="0.2">
      <c r="A2174" t="s">
        <v>317</v>
      </c>
      <c r="B2174" s="24">
        <f>INDEX(Parameters!$B$6:$AL$57,MATCH(Inventories!$B$2161,Parameters!$A$6:$A$57,0),MATCH(Inventories!$A2174,Parameters!$B$4:$AL$4,0))</f>
        <v>500000</v>
      </c>
      <c r="C2174" t="s">
        <v>313</v>
      </c>
      <c r="D2174" s="2"/>
      <c r="E2174" s="2"/>
      <c r="F2174" s="2"/>
      <c r="G2174" s="2"/>
      <c r="H2174" s="2"/>
      <c r="I2174" s="2"/>
      <c r="J2174" s="2"/>
      <c r="K2174" s="2"/>
      <c r="L2174" s="2"/>
    </row>
    <row r="2175" spans="1:12" customFormat="1" ht="16" x14ac:dyDescent="0.2">
      <c r="A2175" t="s">
        <v>318</v>
      </c>
      <c r="B2175" s="24">
        <f>INDEX(Parameters!$B$6:$AL$57,MATCH(Inventories!$B$2161,Parameters!$A$6:$A$57,0),MATCH(Inventories!$A2175,Parameters!$B$4:$AL$4,0))</f>
        <v>1200000</v>
      </c>
      <c r="C2175" t="s">
        <v>313</v>
      </c>
      <c r="D2175" s="2"/>
      <c r="E2175" s="2"/>
      <c r="F2175" s="2"/>
      <c r="G2175" s="2"/>
      <c r="H2175" s="2"/>
      <c r="I2175" s="2"/>
      <c r="J2175" s="2"/>
      <c r="K2175" s="2"/>
      <c r="L2175" s="2"/>
    </row>
    <row r="2176" spans="1:12" customFormat="1" ht="16" x14ac:dyDescent="0.2">
      <c r="A2176" t="s">
        <v>319</v>
      </c>
      <c r="B2176" s="2">
        <f>INDEX(Parameters!$B$6:$AL$57,MATCH(Inventories!$B$2161,Parameters!$A$6:$A$57,0),MATCH(Inventories!$A2176,Parameters!$B$4:$AL$4,0))</f>
        <v>7530</v>
      </c>
      <c r="C2176" t="s">
        <v>314</v>
      </c>
      <c r="D2176" s="2"/>
      <c r="E2176" s="2"/>
      <c r="F2176" s="2"/>
      <c r="G2176" s="2"/>
      <c r="H2176" s="2"/>
      <c r="I2176" s="2"/>
      <c r="J2176" s="2"/>
      <c r="K2176" s="2"/>
      <c r="L2176" s="2"/>
    </row>
    <row r="2177" spans="1:12" customFormat="1" ht="16" x14ac:dyDescent="0.2">
      <c r="A2177" t="s">
        <v>320</v>
      </c>
      <c r="B2177" s="2">
        <f>INDEX(Parameters!$B$6:$AL$57,MATCH(Inventories!$B$2161,Parameters!$A$6:$A$57,0),MATCH(Inventories!$A2177,Parameters!$B$4:$AL$4,0))</f>
        <v>3600</v>
      </c>
      <c r="C2177" t="s">
        <v>314</v>
      </c>
      <c r="D2177" s="2"/>
      <c r="E2177" s="2"/>
      <c r="F2177" s="2"/>
      <c r="G2177" s="2"/>
      <c r="H2177" s="2"/>
      <c r="I2177" s="2"/>
      <c r="J2177" s="2"/>
      <c r="K2177" s="2"/>
      <c r="L2177" s="2"/>
    </row>
    <row r="2178" spans="1:12" customFormat="1" ht="16" x14ac:dyDescent="0.2">
      <c r="A2178" t="s">
        <v>321</v>
      </c>
      <c r="B2178" s="2">
        <f>INDEX(Parameters!$B$6:$AL$57,MATCH(Inventories!$B$2161,Parameters!$A$6:$A$57,0),MATCH(Inventories!$A2178,Parameters!$B$4:$AL$4,0))</f>
        <v>10315</v>
      </c>
      <c r="C2178" t="s">
        <v>314</v>
      </c>
      <c r="D2178" s="2"/>
      <c r="E2178" s="2"/>
      <c r="F2178" s="2"/>
      <c r="G2178" s="2"/>
      <c r="H2178" s="2"/>
      <c r="I2178" s="2"/>
      <c r="J2178" s="2"/>
      <c r="K2178" s="2"/>
      <c r="L2178" s="2"/>
    </row>
    <row r="2179" spans="1:12" customFormat="1" ht="16" x14ac:dyDescent="0.2">
      <c r="A2179" t="s">
        <v>337</v>
      </c>
      <c r="B2179" s="2">
        <f>INDEX(Parameters!$B$6:$AL$57,MATCH(Inventories!$B$2161,Parameters!$A$6:$A$57,0),MATCH(Inventories!$A2179,Parameters!$B$4:$AL$4,0))</f>
        <v>0</v>
      </c>
      <c r="C2179" t="s">
        <v>336</v>
      </c>
      <c r="D2179" s="2"/>
      <c r="E2179" s="2"/>
      <c r="F2179" s="2"/>
      <c r="G2179" s="2"/>
      <c r="H2179" s="2"/>
      <c r="I2179" s="2"/>
      <c r="J2179" s="2"/>
      <c r="K2179" s="2"/>
      <c r="L2179" s="2"/>
    </row>
    <row r="2180" spans="1:12" customFormat="1" ht="16" x14ac:dyDescent="0.2">
      <c r="A2180" t="s">
        <v>338</v>
      </c>
      <c r="B2180" s="2">
        <f>INDEX(Parameters!$B$6:$AL$57,MATCH(Inventories!$B$2161,Parameters!$A$6:$A$57,0),MATCH(Inventories!$A2180,Parameters!$B$4:$AL$4,0))</f>
        <v>0</v>
      </c>
      <c r="C2180" t="s">
        <v>336</v>
      </c>
      <c r="D2180" s="2"/>
      <c r="E2180" s="2"/>
      <c r="F2180" s="2"/>
      <c r="G2180" s="2"/>
      <c r="H2180" s="2"/>
      <c r="I2180" s="2"/>
      <c r="J2180" s="2"/>
      <c r="K2180" s="2"/>
      <c r="L2180" s="2"/>
    </row>
    <row r="2181" spans="1:12" customFormat="1" ht="16" x14ac:dyDescent="0.2">
      <c r="A2181" t="s">
        <v>339</v>
      </c>
      <c r="B2181" s="2">
        <f>INDEX(Parameters!$B$6:$AL$57,MATCH(Inventories!$B$2161,Parameters!$A$6:$A$57,0),MATCH(Inventories!$A2181,Parameters!$B$4:$AL$4,0))</f>
        <v>0</v>
      </c>
      <c r="C2181" t="s">
        <v>336</v>
      </c>
      <c r="D2181" s="2"/>
      <c r="E2181" s="2"/>
      <c r="F2181" s="2"/>
      <c r="G2181" s="2"/>
      <c r="H2181" s="2"/>
      <c r="I2181" s="2"/>
      <c r="J2181" s="2"/>
      <c r="K2181" s="2"/>
      <c r="L2181" s="2"/>
    </row>
    <row r="2182" spans="1:12" customFormat="1" ht="16" x14ac:dyDescent="0.2">
      <c r="A2182" t="s">
        <v>340</v>
      </c>
      <c r="B2182" s="2">
        <f>INDEX(Parameters!$B$6:$AL$57,MATCH(Inventories!$B$2161,Parameters!$A$6:$A$57,0),MATCH(Inventories!$A2182,Parameters!$B$4:$AL$4,0))</f>
        <v>1040</v>
      </c>
      <c r="C2182" t="s">
        <v>336</v>
      </c>
      <c r="D2182" s="2"/>
      <c r="E2182" s="2"/>
      <c r="F2182" s="2"/>
      <c r="G2182" s="2"/>
      <c r="H2182" s="2"/>
      <c r="I2182" s="2"/>
      <c r="J2182" s="2"/>
      <c r="K2182" s="2"/>
      <c r="L2182" s="2"/>
    </row>
    <row r="2183" spans="1:12" customFormat="1" ht="16" x14ac:dyDescent="0.2">
      <c r="A2183" t="s">
        <v>341</v>
      </c>
      <c r="B2183" s="2">
        <f>INDEX(Parameters!$B$6:$AL$57,MATCH(Inventories!$B$2161,Parameters!$A$6:$A$57,0),MATCH(Inventories!$A2183,Parameters!$B$4:$AL$4,0))</f>
        <v>610</v>
      </c>
      <c r="C2183" t="s">
        <v>336</v>
      </c>
      <c r="D2183" s="2"/>
      <c r="E2183" s="2"/>
      <c r="F2183" s="2"/>
      <c r="G2183" s="2"/>
      <c r="H2183" s="2"/>
      <c r="I2183" s="2"/>
      <c r="J2183" s="2"/>
      <c r="K2183" s="2"/>
      <c r="L2183" s="2"/>
    </row>
    <row r="2184" spans="1:12" customFormat="1" ht="16" x14ac:dyDescent="0.2">
      <c r="A2184" t="s">
        <v>342</v>
      </c>
      <c r="B2184" s="2">
        <f>INDEX(Parameters!$B$6:$AL$57,MATCH(Inventories!$B$2161,Parameters!$A$6:$A$57,0),MATCH(Inventories!$A2184,Parameters!$B$4:$AL$4,0))</f>
        <v>1230</v>
      </c>
      <c r="C2184" t="s">
        <v>336</v>
      </c>
      <c r="D2184" s="2"/>
      <c r="E2184" s="2"/>
      <c r="F2184" s="2"/>
      <c r="G2184" s="2"/>
      <c r="H2184" s="2"/>
      <c r="I2184" s="2"/>
      <c r="J2184" s="2"/>
      <c r="K2184" s="2"/>
      <c r="L2184" s="2"/>
    </row>
    <row r="2185" spans="1:12" customFormat="1" ht="16" x14ac:dyDescent="0.2">
      <c r="A2185" t="s">
        <v>333</v>
      </c>
      <c r="B2185" s="2">
        <f>INDEX(Parameters!$B$6:$AL$57,MATCH(Inventories!$B$2161,Parameters!$A$6:$A$57,0),MATCH(Inventories!$A2185,Parameters!$B$4:$AL$4,0))</f>
        <v>123</v>
      </c>
      <c r="C2185" t="s">
        <v>336</v>
      </c>
      <c r="D2185" s="2"/>
      <c r="E2185" s="2"/>
      <c r="F2185" s="2"/>
      <c r="G2185" s="2"/>
      <c r="H2185" s="2"/>
      <c r="I2185" s="2"/>
      <c r="J2185" s="2"/>
      <c r="K2185" s="2"/>
      <c r="L2185" s="2"/>
    </row>
    <row r="2186" spans="1:12" customFormat="1" ht="16" x14ac:dyDescent="0.2">
      <c r="A2186" t="s">
        <v>334</v>
      </c>
      <c r="B2186" s="2">
        <f>INDEX(Parameters!$B$6:$AL$57,MATCH(Inventories!$B$2161,Parameters!$A$6:$A$57,0),MATCH(Inventories!$A2186,Parameters!$B$4:$AL$4,0))</f>
        <v>77</v>
      </c>
      <c r="C2186" t="s">
        <v>336</v>
      </c>
      <c r="D2186" s="2"/>
      <c r="E2186" s="2"/>
      <c r="F2186" s="2"/>
      <c r="G2186" s="2"/>
      <c r="H2186" s="2"/>
      <c r="I2186" s="2"/>
      <c r="J2186" s="2"/>
      <c r="K2186" s="2"/>
      <c r="L2186" s="2"/>
    </row>
    <row r="2187" spans="1:12" customFormat="1" ht="16" x14ac:dyDescent="0.2">
      <c r="A2187" t="s">
        <v>335</v>
      </c>
      <c r="B2187" s="2">
        <f>INDEX(Parameters!$B$6:$AL$57,MATCH(Inventories!$B$2161,Parameters!$A$6:$A$57,0),MATCH(Inventories!$A2187,Parameters!$B$4:$AL$4,0))</f>
        <v>155</v>
      </c>
      <c r="C2187" t="s">
        <v>336</v>
      </c>
      <c r="D2187" s="2"/>
      <c r="E2187" s="2"/>
      <c r="F2187" s="2"/>
      <c r="G2187" s="2"/>
      <c r="H2187" s="2"/>
      <c r="I2187" s="2"/>
      <c r="J2187" s="2"/>
      <c r="K2187" s="2"/>
      <c r="L2187" s="2"/>
    </row>
    <row r="2188" spans="1:12" customFormat="1" ht="16" x14ac:dyDescent="0.2">
      <c r="A2188" t="s">
        <v>322</v>
      </c>
      <c r="B2188" s="2">
        <f>INDEX(Parameters!$B$6:$AL$57,MATCH(Inventories!$B$2161,Parameters!$A$6:$A$57,0),MATCH(Inventories!$A2188,Parameters!$B$4:$AL$4,0))</f>
        <v>0</v>
      </c>
      <c r="C2188" t="s">
        <v>315</v>
      </c>
      <c r="D2188" s="2"/>
      <c r="E2188" s="2"/>
      <c r="F2188" s="2"/>
      <c r="G2188" s="2"/>
      <c r="H2188" s="2"/>
      <c r="I2188" s="2"/>
      <c r="J2188" s="2"/>
      <c r="K2188" s="2"/>
      <c r="L2188" s="2"/>
    </row>
    <row r="2189" spans="1:12" customFormat="1" ht="16" x14ac:dyDescent="0.2">
      <c r="A2189" t="s">
        <v>323</v>
      </c>
      <c r="B2189" s="2">
        <f>INDEX(Parameters!$B$6:$AL$57,MATCH(Inventories!$B$2161,Parameters!$A$6:$A$57,0),MATCH(Inventories!$A2189,Parameters!$B$4:$AL$4,0))</f>
        <v>0</v>
      </c>
      <c r="C2189" t="s">
        <v>315</v>
      </c>
      <c r="D2189" s="2"/>
      <c r="E2189" s="2"/>
      <c r="F2189" s="2"/>
      <c r="G2189" s="2"/>
      <c r="H2189" s="2"/>
      <c r="I2189" s="2"/>
      <c r="J2189" s="2"/>
      <c r="K2189" s="2"/>
      <c r="L2189" s="2"/>
    </row>
    <row r="2190" spans="1:12" customFormat="1" ht="16" x14ac:dyDescent="0.2">
      <c r="A2190" t="s">
        <v>324</v>
      </c>
      <c r="B2190" s="2">
        <f>INDEX(Parameters!$B$6:$AL$57,MATCH(Inventories!$B$2161,Parameters!$A$6:$A$57,0),MATCH(Inventories!$A2190,Parameters!$B$4:$AL$4,0))</f>
        <v>0</v>
      </c>
      <c r="C2190" t="s">
        <v>315</v>
      </c>
      <c r="D2190" s="2"/>
      <c r="E2190" s="2"/>
      <c r="F2190" s="2"/>
      <c r="G2190" s="2"/>
      <c r="H2190" s="2"/>
      <c r="I2190" s="2"/>
      <c r="J2190" s="2"/>
      <c r="K2190" s="2"/>
      <c r="L2190" s="2"/>
    </row>
    <row r="2191" spans="1:12" customFormat="1" ht="16" x14ac:dyDescent="0.2">
      <c r="A2191" t="s">
        <v>330</v>
      </c>
      <c r="B2191" s="2">
        <f>INDEX(Parameters!$B$6:$AL$57,MATCH(Inventories!$B$2161,Parameters!$A$6:$A$57,0),MATCH(Inventories!$A2191,Parameters!$B$4:$AL$4,0))</f>
        <v>0</v>
      </c>
      <c r="C2191" t="s">
        <v>8</v>
      </c>
      <c r="D2191" s="2"/>
      <c r="E2191" s="2"/>
      <c r="F2191" s="2"/>
      <c r="G2191" s="2"/>
      <c r="H2191" s="2"/>
      <c r="I2191" s="2"/>
      <c r="J2191" s="2"/>
      <c r="K2191" s="2"/>
      <c r="L2191" s="2"/>
    </row>
    <row r="2192" spans="1:12" customFormat="1" ht="16" x14ac:dyDescent="0.2">
      <c r="A2192" t="s">
        <v>331</v>
      </c>
      <c r="B2192" s="2">
        <f>INDEX(Parameters!$B$6:$AL$57,MATCH(Inventories!$B$2161,Parameters!$A$6:$A$57,0),MATCH(Inventories!$A2192,Parameters!$B$4:$AL$4,0))</f>
        <v>0</v>
      </c>
      <c r="C2192" t="s">
        <v>8</v>
      </c>
      <c r="D2192" s="2"/>
      <c r="E2192" s="2"/>
      <c r="F2192" s="2"/>
      <c r="G2192" s="2"/>
      <c r="H2192" s="2"/>
      <c r="I2192" s="2"/>
      <c r="J2192" s="2"/>
      <c r="K2192" s="2"/>
      <c r="L2192" s="2"/>
    </row>
    <row r="2193" spans="1:12" customFormat="1" ht="16" x14ac:dyDescent="0.2">
      <c r="A2193" t="s">
        <v>332</v>
      </c>
      <c r="B2193" s="2">
        <f>INDEX(Parameters!$B$6:$AL$57,MATCH(Inventories!$B$2161,Parameters!$A$6:$A$57,0),MATCH(Inventories!$A2193,Parameters!$B$4:$AL$4,0))</f>
        <v>0</v>
      </c>
      <c r="C2193" t="s">
        <v>8</v>
      </c>
      <c r="D2193" s="2"/>
      <c r="E2193" s="2"/>
      <c r="F2193" s="2"/>
      <c r="G2193" s="2"/>
      <c r="H2193" s="2"/>
      <c r="I2193" s="2"/>
      <c r="J2193" s="2"/>
      <c r="K2193" s="2"/>
      <c r="L2193" s="2"/>
    </row>
    <row r="2194" spans="1:12" customFormat="1" ht="16" x14ac:dyDescent="0.2">
      <c r="A2194" t="s">
        <v>346</v>
      </c>
      <c r="B2194" s="2">
        <f>INDEX(Parameters!$B$6:$AL$57,MATCH(Inventories!$B$2161,Parameters!$A$6:$A$57,0),MATCH(Inventories!$A2194,Parameters!$B$4:$AL$4,0))</f>
        <v>0</v>
      </c>
      <c r="C2194" t="s">
        <v>312</v>
      </c>
      <c r="D2194" s="2"/>
      <c r="E2194" s="2"/>
      <c r="F2194" s="2"/>
      <c r="G2194" s="2"/>
      <c r="H2194" s="2"/>
      <c r="I2194" s="2"/>
      <c r="J2194" s="2"/>
      <c r="K2194" s="2"/>
      <c r="L2194" s="2"/>
    </row>
    <row r="2195" spans="1:12" customFormat="1" ht="16" x14ac:dyDescent="0.2">
      <c r="A2195" t="s">
        <v>347</v>
      </c>
      <c r="B2195" s="2">
        <f>INDEX(Parameters!$B$6:$AL$57,MATCH(Inventories!$B$2161,Parameters!$A$6:$A$57,0),MATCH(Inventories!$A2195,Parameters!$B$4:$AL$4,0))</f>
        <v>0</v>
      </c>
      <c r="C2195" t="s">
        <v>312</v>
      </c>
      <c r="D2195" s="2"/>
      <c r="E2195" s="12"/>
      <c r="F2195" s="2"/>
      <c r="G2195" s="2"/>
      <c r="H2195" s="2"/>
      <c r="I2195" s="2"/>
      <c r="J2195" s="2"/>
      <c r="K2195" s="2"/>
      <c r="L2195" s="2"/>
    </row>
    <row r="2196" spans="1:12" customFormat="1" ht="16" x14ac:dyDescent="0.2">
      <c r="A2196" t="s">
        <v>348</v>
      </c>
      <c r="B2196" s="2">
        <f>INDEX(Parameters!$B$6:$AL$57,MATCH(Inventories!$B$2161,Parameters!$A$6:$A$57,0),MATCH(Inventories!$A2196,Parameters!$B$4:$AL$4,0))</f>
        <v>0</v>
      </c>
      <c r="C2196" t="s">
        <v>312</v>
      </c>
      <c r="D2196" s="2"/>
      <c r="E2196" s="2"/>
      <c r="F2196" s="2"/>
      <c r="G2196" s="2"/>
      <c r="H2196" s="2"/>
      <c r="I2196" s="2"/>
      <c r="J2196" s="2"/>
      <c r="K2196" s="2"/>
      <c r="L2196" s="2"/>
    </row>
    <row r="2197" spans="1:12" customFormat="1" ht="16" x14ac:dyDescent="0.2">
      <c r="A2197" t="s">
        <v>349</v>
      </c>
      <c r="B2197" s="2">
        <f>INDEX(Parameters!$B$6:$AL$57,MATCH(Inventories!$B$2161,Parameters!$A$6:$A$57,0),MATCH(Inventories!$A2197,Parameters!$B$4:$AL$4,0))</f>
        <v>0</v>
      </c>
      <c r="C2197" t="s">
        <v>8</v>
      </c>
      <c r="D2197" s="2"/>
      <c r="E2197" s="2"/>
      <c r="F2197" s="2"/>
      <c r="G2197" s="2"/>
      <c r="H2197" s="2"/>
      <c r="I2197" s="2"/>
      <c r="J2197" s="2"/>
      <c r="K2197" s="2"/>
      <c r="L2197" s="2"/>
    </row>
    <row r="2198" spans="1:12" customFormat="1" ht="16" x14ac:dyDescent="0.2">
      <c r="A2198" t="s">
        <v>350</v>
      </c>
      <c r="B2198" s="2">
        <f>INDEX(Parameters!$B$6:$AL$57,MATCH(Inventories!$B$2161,Parameters!$A$6:$A$57,0),MATCH(Inventories!$A2198,Parameters!$B$4:$AL$4,0))</f>
        <v>0</v>
      </c>
      <c r="C2198" t="s">
        <v>8</v>
      </c>
      <c r="D2198" s="2"/>
      <c r="E2198" s="2"/>
      <c r="F2198" s="2"/>
      <c r="G2198" s="2"/>
      <c r="H2198" s="2"/>
      <c r="I2198" s="2"/>
      <c r="J2198" s="2"/>
      <c r="K2198" s="2"/>
      <c r="L2198" s="2"/>
    </row>
    <row r="2199" spans="1:12" customFormat="1" ht="16" x14ac:dyDescent="0.2">
      <c r="A2199" t="s">
        <v>351</v>
      </c>
      <c r="B2199" s="2">
        <f>INDEX(Parameters!$B$6:$AL$57,MATCH(Inventories!$B$2161,Parameters!$A$6:$A$57,0),MATCH(Inventories!$A2199,Parameters!$B$4:$AL$4,0))</f>
        <v>0</v>
      </c>
      <c r="C2199" t="s">
        <v>8</v>
      </c>
      <c r="D2199" s="2"/>
      <c r="E2199" s="2"/>
      <c r="F2199" s="2"/>
      <c r="G2199" s="2"/>
      <c r="H2199" s="2"/>
      <c r="I2199" s="2"/>
      <c r="J2199" s="2"/>
      <c r="K2199" s="2"/>
      <c r="L2199" s="2"/>
    </row>
    <row r="2200" spans="1:12" customFormat="1" ht="16" x14ac:dyDescent="0.2">
      <c r="A2200" t="s">
        <v>365</v>
      </c>
      <c r="B2200" s="2">
        <f>INDEX(Parameters!$B$6:$AL$57,MATCH(Inventories!$B$2161,Parameters!$A$6:$A$57,0),MATCH(Inventories!$A2200,Parameters!$B$4:$AL$4,0))</f>
        <v>0</v>
      </c>
      <c r="C2200" t="s">
        <v>336</v>
      </c>
      <c r="D2200" s="2"/>
      <c r="E2200" s="2"/>
      <c r="F2200" s="2"/>
      <c r="G2200" s="2"/>
      <c r="H2200" s="2"/>
      <c r="I2200" s="2"/>
      <c r="J2200" s="2"/>
      <c r="K2200" s="2"/>
      <c r="L2200" s="2"/>
    </row>
    <row r="2201" spans="1:12" customFormat="1" ht="16" x14ac:dyDescent="0.2">
      <c r="A2201" t="s">
        <v>366</v>
      </c>
      <c r="B2201" s="2">
        <f>INDEX(Parameters!$B$6:$AL$57,MATCH(Inventories!$B$2161,Parameters!$A$6:$A$57,0),MATCH(Inventories!$A2201,Parameters!$B$4:$AL$4,0))</f>
        <v>0</v>
      </c>
      <c r="C2201" t="s">
        <v>336</v>
      </c>
      <c r="D2201" s="2"/>
      <c r="E2201" s="2"/>
      <c r="F2201" s="2"/>
      <c r="G2201" s="2"/>
      <c r="H2201" s="2"/>
      <c r="I2201" s="2"/>
      <c r="J2201" s="2"/>
      <c r="K2201" s="2"/>
      <c r="L2201" s="2"/>
    </row>
    <row r="2202" spans="1:12" customFormat="1" ht="16" x14ac:dyDescent="0.2">
      <c r="A2202" t="s">
        <v>367</v>
      </c>
      <c r="B2202" s="2">
        <f>INDEX(Parameters!$B$6:$AL$57,MATCH(Inventories!$B$2161,Parameters!$A$6:$A$57,0),MATCH(Inventories!$A2202,Parameters!$B$4:$AL$4,0))</f>
        <v>0</v>
      </c>
      <c r="C2202" t="s">
        <v>336</v>
      </c>
      <c r="D2202" s="2"/>
      <c r="E2202" s="2"/>
      <c r="F2202" s="2"/>
      <c r="G2202" s="2"/>
      <c r="H2202" s="2"/>
      <c r="I2202" s="2"/>
      <c r="J2202" s="2"/>
      <c r="K2202" s="2"/>
      <c r="L2202" s="2"/>
    </row>
    <row r="2203" spans="1:12" customFormat="1" ht="16" x14ac:dyDescent="0.2">
      <c r="A2203" t="s">
        <v>368</v>
      </c>
      <c r="B2203" s="2">
        <f>INDEX(Parameters!$B$6:$AL$57,MATCH(Inventories!$B$2161,Parameters!$A$6:$A$57,0),MATCH(Inventories!$A2203,Parameters!$B$4:$AL$4,0))</f>
        <v>0</v>
      </c>
      <c r="C2203" t="s">
        <v>336</v>
      </c>
      <c r="D2203" s="2"/>
      <c r="E2203" s="2"/>
      <c r="F2203" s="2"/>
      <c r="G2203" s="2"/>
      <c r="H2203" s="2"/>
      <c r="I2203" s="2"/>
      <c r="J2203" s="2"/>
      <c r="K2203" s="2"/>
      <c r="L2203" s="2"/>
    </row>
    <row r="2204" spans="1:12" customFormat="1" ht="16" x14ac:dyDescent="0.2">
      <c r="A2204" t="s">
        <v>369</v>
      </c>
      <c r="B2204" s="2">
        <f>INDEX(Parameters!$B$6:$AL$57,MATCH(Inventories!$B$2161,Parameters!$A$6:$A$57,0),MATCH(Inventories!$A2204,Parameters!$B$4:$AL$4,0))</f>
        <v>0</v>
      </c>
      <c r="C2204" t="s">
        <v>336</v>
      </c>
      <c r="D2204" s="2"/>
      <c r="E2204" s="2"/>
      <c r="F2204" s="2"/>
      <c r="G2204" s="2"/>
      <c r="H2204" s="2"/>
      <c r="I2204" s="2"/>
      <c r="J2204" s="2"/>
      <c r="K2204" s="2"/>
      <c r="L2204" s="2"/>
    </row>
    <row r="2205" spans="1:12" customFormat="1" ht="16" x14ac:dyDescent="0.2">
      <c r="A2205" t="s">
        <v>344</v>
      </c>
      <c r="B2205" s="32">
        <f>INDEX(Parameters!$B$6:$AL$57,MATCH(Inventories!$B$2161,Parameters!$A$6:$A$57,0),MATCH(Inventories!$A2205,Parameters!$B$4:$AL$4,0))</f>
        <v>3.0144679000000001E-2</v>
      </c>
      <c r="C2205" t="s">
        <v>345</v>
      </c>
      <c r="D2205" s="2"/>
      <c r="E2205" s="2"/>
      <c r="F2205" s="2"/>
      <c r="G2205" s="2"/>
      <c r="H2205" s="2"/>
      <c r="I2205" s="2"/>
      <c r="J2205" s="2"/>
      <c r="K2205" s="2"/>
      <c r="L2205" s="2"/>
    </row>
    <row r="2206" spans="1:12" customFormat="1" ht="16" x14ac:dyDescent="0.2">
      <c r="A2206" t="s">
        <v>343</v>
      </c>
      <c r="B2206" s="32">
        <f>INDEX(Parameters!$B$6:$AL$57,MATCH(Inventories!$B$2161,Parameters!$A$6:$A$57,0),MATCH(Inventories!$A2206,Parameters!$B$4:$AL$4,0))</f>
        <v>4.0642500000000003E-4</v>
      </c>
      <c r="C2206" t="s">
        <v>345</v>
      </c>
      <c r="D2206" s="2"/>
      <c r="E2206" s="2"/>
      <c r="F2206" s="2"/>
      <c r="G2206" s="2"/>
      <c r="H2206" s="2"/>
      <c r="I2206" s="2"/>
      <c r="J2206" s="2"/>
      <c r="K2206" s="2"/>
      <c r="L2206" s="2"/>
    </row>
    <row r="2207" spans="1:12" customFormat="1" ht="16" x14ac:dyDescent="0.2">
      <c r="A2207" s="1" t="s">
        <v>10</v>
      </c>
      <c r="H2207" s="2"/>
    </row>
    <row r="2208" spans="1:12" x14ac:dyDescent="0.2">
      <c r="A2208" s="17" t="s">
        <v>11</v>
      </c>
      <c r="B2208" s="17" t="s">
        <v>12</v>
      </c>
      <c r="C2208" s="17" t="s">
        <v>3</v>
      </c>
      <c r="D2208" s="17" t="s">
        <v>13</v>
      </c>
      <c r="E2208" s="17" t="s">
        <v>8</v>
      </c>
      <c r="F2208" s="17" t="s">
        <v>6</v>
      </c>
      <c r="G2208" s="17" t="s">
        <v>5</v>
      </c>
      <c r="H2208" s="17" t="s">
        <v>151</v>
      </c>
      <c r="I2208" s="17" t="s">
        <v>179</v>
      </c>
      <c r="J2208" s="17" t="s">
        <v>180</v>
      </c>
      <c r="K2208" s="17" t="s">
        <v>181</v>
      </c>
      <c r="L2208" s="17" t="s">
        <v>182</v>
      </c>
    </row>
    <row r="2209" spans="1:12" customFormat="1" ht="16" x14ac:dyDescent="0.2">
      <c r="A2209" s="22" t="s">
        <v>270</v>
      </c>
      <c r="B2209">
        <v>1</v>
      </c>
      <c r="C2209" t="s">
        <v>18</v>
      </c>
      <c r="E2209" t="s">
        <v>17</v>
      </c>
      <c r="F2209" t="s">
        <v>19</v>
      </c>
      <c r="G2209" t="s">
        <v>1</v>
      </c>
      <c r="H2209" s="2"/>
    </row>
    <row r="2210" spans="1:12" customFormat="1" ht="16" x14ac:dyDescent="0.2">
      <c r="A2210" t="s">
        <v>308</v>
      </c>
      <c r="B2210" s="9">
        <f>1/47.5</f>
        <v>2.1052631578947368E-2</v>
      </c>
      <c r="C2210" t="s">
        <v>18</v>
      </c>
      <c r="E2210" t="s">
        <v>9</v>
      </c>
      <c r="F2210" t="s">
        <v>23</v>
      </c>
      <c r="G2210" t="s">
        <v>267</v>
      </c>
      <c r="H2210" s="2"/>
    </row>
    <row r="2211" spans="1:12" customFormat="1" ht="16" x14ac:dyDescent="0.2">
      <c r="A2211" t="s">
        <v>145</v>
      </c>
      <c r="B2211" s="3">
        <f>(B2182/B2173)/(B2176/1000)</f>
        <v>1.3811420982735723E-4</v>
      </c>
      <c r="C2211" t="s">
        <v>18</v>
      </c>
      <c r="E2211" t="s">
        <v>9</v>
      </c>
      <c r="F2211" t="s">
        <v>23</v>
      </c>
      <c r="G2211" t="s">
        <v>145</v>
      </c>
      <c r="H2211" s="2"/>
      <c r="I2211">
        <v>5</v>
      </c>
      <c r="J2211">
        <f>B2211</f>
        <v>1.3811420982735723E-4</v>
      </c>
      <c r="K2211" s="3">
        <f>(B2183/B2175)/(B2178/1000)</f>
        <v>4.928098238810793E-5</v>
      </c>
      <c r="L2211" s="3">
        <f>(B2184/B2174)/(B2177/1000)</f>
        <v>6.8333333333333332E-4</v>
      </c>
    </row>
    <row r="2212" spans="1:12" customFormat="1" ht="16" x14ac:dyDescent="0.2">
      <c r="A2212" t="s">
        <v>206</v>
      </c>
      <c r="B2212" s="3">
        <f>(B2185/B2173)/(B2176/1000)</f>
        <v>1.6334661354581674E-5</v>
      </c>
      <c r="C2212" t="s">
        <v>18</v>
      </c>
      <c r="E2212" t="s">
        <v>9</v>
      </c>
      <c r="F2212" t="s">
        <v>23</v>
      </c>
      <c r="G2212" t="s">
        <v>207</v>
      </c>
      <c r="H2212" s="2"/>
      <c r="I2212">
        <v>5</v>
      </c>
      <c r="J2212">
        <f>B2212</f>
        <v>1.6334661354581674E-5</v>
      </c>
      <c r="K2212" s="3">
        <f>(B2186/B2175)/(B2178/1000)</f>
        <v>6.2207141703021493E-6</v>
      </c>
      <c r="L2212" s="3">
        <f>(B2187/B2174)/(B2177/1000)</f>
        <v>8.6111111111111105E-5</v>
      </c>
    </row>
    <row r="2213" spans="1:12" customFormat="1" ht="16" x14ac:dyDescent="0.2">
      <c r="A2213" t="s">
        <v>59</v>
      </c>
      <c r="B2213">
        <v>8.6651209802368515E-11</v>
      </c>
      <c r="D2213" t="s">
        <v>14</v>
      </c>
      <c r="E2213" t="s">
        <v>9</v>
      </c>
      <c r="F2213" t="s">
        <v>15</v>
      </c>
      <c r="H2213" s="2"/>
    </row>
    <row r="2214" spans="1:12" customFormat="1" ht="16" x14ac:dyDescent="0.2">
      <c r="A2214" t="s">
        <v>245</v>
      </c>
      <c r="B2214">
        <v>7.891795688303974E-8</v>
      </c>
      <c r="D2214" t="s">
        <v>116</v>
      </c>
      <c r="E2214" t="s">
        <v>9</v>
      </c>
      <c r="F2214" t="s">
        <v>15</v>
      </c>
      <c r="H2214" s="2"/>
    </row>
    <row r="2215" spans="1:12" customFormat="1" ht="16" x14ac:dyDescent="0.2">
      <c r="A2215" t="s">
        <v>80</v>
      </c>
      <c r="B2215">
        <v>2.8306061868773727E-9</v>
      </c>
      <c r="D2215" t="s">
        <v>14</v>
      </c>
      <c r="E2215" t="s">
        <v>9</v>
      </c>
      <c r="F2215" t="s">
        <v>15</v>
      </c>
      <c r="H2215" s="2"/>
    </row>
    <row r="2216" spans="1:12" customFormat="1" ht="16" x14ac:dyDescent="0.2">
      <c r="A2216" t="s">
        <v>49</v>
      </c>
      <c r="B2216">
        <v>3.9570719143081625E-9</v>
      </c>
      <c r="D2216" t="s">
        <v>14</v>
      </c>
      <c r="E2216" t="s">
        <v>9</v>
      </c>
      <c r="F2216" t="s">
        <v>15</v>
      </c>
      <c r="H2216" s="2"/>
    </row>
    <row r="2217" spans="1:12" customFormat="1" ht="16" x14ac:dyDescent="0.2">
      <c r="A2217" t="s">
        <v>48</v>
      </c>
      <c r="B2217">
        <v>7.9273222551331606E-6</v>
      </c>
      <c r="D2217" t="s">
        <v>14</v>
      </c>
      <c r="E2217" t="s">
        <v>9</v>
      </c>
      <c r="F2217" t="s">
        <v>15</v>
      </c>
      <c r="H2217" s="2"/>
    </row>
    <row r="2218" spans="1:12" customFormat="1" ht="16" x14ac:dyDescent="0.2">
      <c r="A2218" t="s">
        <v>47</v>
      </c>
      <c r="B2218">
        <v>5.1124213783397438E-9</v>
      </c>
      <c r="D2218" t="s">
        <v>14</v>
      </c>
      <c r="E2218" t="s">
        <v>9</v>
      </c>
      <c r="F2218" t="s">
        <v>15</v>
      </c>
      <c r="H2218" s="2"/>
    </row>
    <row r="2219" spans="1:12" customFormat="1" ht="16" x14ac:dyDescent="0.2">
      <c r="A2219" t="s">
        <v>177</v>
      </c>
      <c r="B2219">
        <v>8.3875030178923751E-5</v>
      </c>
      <c r="D2219" t="s">
        <v>116</v>
      </c>
      <c r="E2219" t="s">
        <v>9</v>
      </c>
      <c r="F2219" t="s">
        <v>15</v>
      </c>
      <c r="H2219" s="2"/>
    </row>
    <row r="2220" spans="1:12" customFormat="1" ht="16" x14ac:dyDescent="0.2">
      <c r="A2220" t="s">
        <v>177</v>
      </c>
      <c r="B2220">
        <v>1.0801510989610235E-5</v>
      </c>
      <c r="D2220" t="s">
        <v>14</v>
      </c>
      <c r="E2220" t="s">
        <v>9</v>
      </c>
      <c r="F2220" t="s">
        <v>15</v>
      </c>
      <c r="H2220" s="2"/>
    </row>
    <row r="2221" spans="1:12" customFormat="1" ht="16" x14ac:dyDescent="0.2">
      <c r="A2221" t="s">
        <v>76</v>
      </c>
      <c r="B2221">
        <v>1.6174892496442126E-9</v>
      </c>
      <c r="D2221" t="s">
        <v>14</v>
      </c>
      <c r="E2221" t="s">
        <v>9</v>
      </c>
      <c r="F2221" t="s">
        <v>15</v>
      </c>
      <c r="H2221" s="2"/>
    </row>
    <row r="2222" spans="1:12" customFormat="1" ht="16" x14ac:dyDescent="0.2">
      <c r="A2222" t="s">
        <v>58</v>
      </c>
      <c r="B2222">
        <v>2.888373660078951E-7</v>
      </c>
      <c r="D2222" t="s">
        <v>14</v>
      </c>
      <c r="E2222" t="s">
        <v>9</v>
      </c>
      <c r="F2222" t="s">
        <v>15</v>
      </c>
      <c r="H2222" s="2"/>
    </row>
    <row r="2223" spans="1:12" customFormat="1" ht="16" x14ac:dyDescent="0.2">
      <c r="A2223" t="s">
        <v>232</v>
      </c>
      <c r="B2223">
        <v>7.63619826432997E-7</v>
      </c>
      <c r="D2223" t="s">
        <v>14</v>
      </c>
      <c r="E2223" t="s">
        <v>9</v>
      </c>
      <c r="F2223" t="s">
        <v>15</v>
      </c>
      <c r="H2223" s="2"/>
    </row>
    <row r="2224" spans="1:12" customFormat="1" ht="16" x14ac:dyDescent="0.2">
      <c r="A2224" t="s">
        <v>61</v>
      </c>
      <c r="B2224">
        <v>2.4262338744663193E-8</v>
      </c>
      <c r="D2224" t="s">
        <v>14</v>
      </c>
      <c r="E2224" t="s">
        <v>9</v>
      </c>
      <c r="F2224" t="s">
        <v>15</v>
      </c>
      <c r="H2224" s="2"/>
    </row>
    <row r="2225" spans="1:12" customFormat="1" ht="16" x14ac:dyDescent="0.2">
      <c r="A2225" t="s">
        <v>231</v>
      </c>
      <c r="B2225">
        <f>B2206/1000</f>
        <v>4.0642500000000004E-7</v>
      </c>
      <c r="D2225" t="s">
        <v>14</v>
      </c>
      <c r="E2225" t="s">
        <v>9</v>
      </c>
      <c r="F2225" t="s">
        <v>15</v>
      </c>
      <c r="H2225" s="2"/>
    </row>
    <row r="2226" spans="1:12" customFormat="1" ht="16" x14ac:dyDescent="0.2">
      <c r="A2226" t="s">
        <v>122</v>
      </c>
      <c r="B2226">
        <f>2.74*B2210</f>
        <v>5.7684210526315789E-2</v>
      </c>
      <c r="D2226" t="s">
        <v>116</v>
      </c>
      <c r="E2226" t="s">
        <v>9</v>
      </c>
      <c r="F2226" t="s">
        <v>15</v>
      </c>
      <c r="H2226" s="2"/>
    </row>
    <row r="2227" spans="1:12" customFormat="1" ht="16" x14ac:dyDescent="0.2">
      <c r="A2227" t="s">
        <v>69</v>
      </c>
      <c r="B2227">
        <f>B2205/1000</f>
        <v>3.0144679000000002E-5</v>
      </c>
      <c r="D2227" t="s">
        <v>14</v>
      </c>
      <c r="E2227" t="s">
        <v>9</v>
      </c>
      <c r="F2227" t="s">
        <v>15</v>
      </c>
      <c r="H2227" s="2"/>
    </row>
    <row r="2228" spans="1:12" customFormat="1" ht="16" x14ac:dyDescent="0.2">
      <c r="A2228" t="s">
        <v>81</v>
      </c>
      <c r="B2228">
        <v>1.1553494640315805E-9</v>
      </c>
      <c r="D2228" t="s">
        <v>14</v>
      </c>
      <c r="E2228" t="s">
        <v>9</v>
      </c>
      <c r="F2228" t="s">
        <v>15</v>
      </c>
      <c r="H2228" s="2"/>
    </row>
    <row r="2229" spans="1:12" customFormat="1" ht="16" x14ac:dyDescent="0.2">
      <c r="A2229" t="s">
        <v>246</v>
      </c>
      <c r="B2229">
        <v>1.1740772587352886E-5</v>
      </c>
      <c r="D2229" t="s">
        <v>14</v>
      </c>
      <c r="E2229" t="s">
        <v>9</v>
      </c>
      <c r="F2229" t="s">
        <v>15</v>
      </c>
      <c r="H2229" s="2"/>
    </row>
    <row r="2230" spans="1:12" customFormat="1" ht="16" x14ac:dyDescent="0.2">
      <c r="A2230" t="s">
        <v>72</v>
      </c>
      <c r="B2230">
        <v>1.7330241960473703E-10</v>
      </c>
      <c r="D2230" t="s">
        <v>14</v>
      </c>
      <c r="E2230" t="s">
        <v>9</v>
      </c>
      <c r="F2230" t="s">
        <v>15</v>
      </c>
      <c r="H2230" s="2"/>
    </row>
    <row r="2231" spans="1:12" customFormat="1" ht="16" x14ac:dyDescent="0.2">
      <c r="A2231" t="s">
        <v>78</v>
      </c>
      <c r="B2231">
        <v>2.8883736600789512E-11</v>
      </c>
      <c r="D2231" t="s">
        <v>14</v>
      </c>
      <c r="E2231" t="s">
        <v>9</v>
      </c>
      <c r="F2231" t="s">
        <v>15</v>
      </c>
      <c r="H2231" s="2"/>
    </row>
    <row r="2232" spans="1:12" customFormat="1" ht="16" x14ac:dyDescent="0.2">
      <c r="A2232" t="s">
        <v>62</v>
      </c>
      <c r="B2232">
        <v>8.6651209802368528E-10</v>
      </c>
      <c r="D2232" t="s">
        <v>14</v>
      </c>
      <c r="E2232" t="s">
        <v>9</v>
      </c>
      <c r="F2232" t="s">
        <v>15</v>
      </c>
      <c r="H2232" s="2"/>
    </row>
    <row r="2233" spans="1:12" customFormat="1" ht="16" x14ac:dyDescent="0.2">
      <c r="A2233" t="s">
        <v>51</v>
      </c>
      <c r="B2233">
        <v>4.3325604901184269E-10</v>
      </c>
      <c r="D2233" t="s">
        <v>14</v>
      </c>
      <c r="E2233" t="s">
        <v>9</v>
      </c>
      <c r="F2233" t="s">
        <v>15</v>
      </c>
      <c r="H2233" s="2"/>
    </row>
    <row r="2234" spans="1:12" customFormat="1" ht="16" x14ac:dyDescent="0.2">
      <c r="A2234" t="s">
        <v>123</v>
      </c>
      <c r="B2234">
        <v>4.4309095397735818E-5</v>
      </c>
      <c r="D2234" t="s">
        <v>14</v>
      </c>
      <c r="E2234" t="s">
        <v>9</v>
      </c>
      <c r="F2234" t="s">
        <v>15</v>
      </c>
      <c r="H2234" s="2"/>
    </row>
    <row r="2235" spans="1:12" customFormat="1" ht="16" x14ac:dyDescent="0.2">
      <c r="A2235" t="s">
        <v>73</v>
      </c>
      <c r="B2235">
        <v>2.8883736600789513E-10</v>
      </c>
      <c r="D2235" t="s">
        <v>14</v>
      </c>
      <c r="E2235" t="s">
        <v>9</v>
      </c>
      <c r="F2235" t="s">
        <v>15</v>
      </c>
      <c r="H2235" s="2"/>
    </row>
    <row r="2236" spans="1:12" customFormat="1" ht="16" x14ac:dyDescent="0.2">
      <c r="A2236" t="s">
        <v>45</v>
      </c>
      <c r="B2236">
        <v>1.3199867626560807E-8</v>
      </c>
      <c r="D2236" t="s">
        <v>14</v>
      </c>
      <c r="E2236" t="s">
        <v>9</v>
      </c>
      <c r="F2236" t="s">
        <v>15</v>
      </c>
      <c r="H2236" s="2"/>
    </row>
    <row r="2237" spans="1:12" customFormat="1" ht="16" x14ac:dyDescent="0.2"/>
    <row r="2238" spans="1:12" x14ac:dyDescent="0.2">
      <c r="A2238" s="17" t="s">
        <v>2</v>
      </c>
      <c r="B2238" s="17" t="s">
        <v>95</v>
      </c>
    </row>
    <row r="2239" spans="1:12" customFormat="1" ht="16" x14ac:dyDescent="0.2">
      <c r="A2239" s="2" t="s">
        <v>3</v>
      </c>
      <c r="B2239" s="2" t="s">
        <v>18</v>
      </c>
      <c r="C2239" s="2"/>
      <c r="D2239" s="2"/>
      <c r="E2239" s="2"/>
      <c r="F2239" s="2"/>
      <c r="G2239" s="2"/>
      <c r="H2239" s="2"/>
      <c r="I2239" s="2"/>
      <c r="J2239" s="2"/>
      <c r="K2239" s="2"/>
      <c r="L2239" s="2"/>
    </row>
    <row r="2240" spans="1:12" customFormat="1" ht="16" x14ac:dyDescent="0.2">
      <c r="A2240" s="2" t="s">
        <v>4</v>
      </c>
      <c r="B2240" s="2">
        <v>1</v>
      </c>
      <c r="C2240" s="2"/>
      <c r="D2240" s="2"/>
      <c r="E2240" s="2"/>
      <c r="F2240" s="2"/>
      <c r="G2240" s="2"/>
      <c r="H2240" s="2"/>
      <c r="I2240" s="2"/>
      <c r="J2240" s="2"/>
      <c r="K2240" s="2"/>
      <c r="L2240" s="2"/>
    </row>
    <row r="2241" spans="1:12" customFormat="1" ht="16" x14ac:dyDescent="0.2">
      <c r="A2241" s="2" t="s">
        <v>5</v>
      </c>
      <c r="B2241" s="2" t="s">
        <v>1</v>
      </c>
      <c r="C2241" s="2"/>
      <c r="D2241" s="2"/>
      <c r="E2241" s="2"/>
      <c r="F2241" s="2"/>
      <c r="G2241" s="2"/>
      <c r="H2241" s="2"/>
      <c r="I2241" s="2"/>
      <c r="J2241" s="2"/>
    </row>
    <row r="2242" spans="1:12" customFormat="1" ht="16" x14ac:dyDescent="0.2">
      <c r="A2242" s="2" t="s">
        <v>6</v>
      </c>
      <c r="B2242" s="2" t="s">
        <v>7</v>
      </c>
      <c r="C2242" s="2"/>
      <c r="D2242" s="2"/>
      <c r="E2242" s="2"/>
      <c r="F2242" s="2"/>
      <c r="G2242" s="2"/>
      <c r="H2242" s="2"/>
      <c r="I2242" s="2"/>
      <c r="J2242" s="2"/>
      <c r="K2242" s="2"/>
      <c r="L2242" s="2"/>
    </row>
    <row r="2243" spans="1:12" customFormat="1" ht="16" x14ac:dyDescent="0.2">
      <c r="A2243" s="2" t="s">
        <v>8</v>
      </c>
      <c r="B2243" s="2" t="s">
        <v>17</v>
      </c>
      <c r="C2243" s="2"/>
      <c r="D2243" s="2"/>
      <c r="E2243" s="2"/>
      <c r="F2243" s="2"/>
      <c r="G2243" s="2"/>
      <c r="H2243" s="2"/>
      <c r="I2243" s="2"/>
      <c r="J2243" s="2"/>
      <c r="K2243" s="2"/>
      <c r="L2243" s="2"/>
    </row>
    <row r="2244" spans="1:12" customFormat="1" ht="16" x14ac:dyDescent="0.2">
      <c r="A2244" s="1" t="s">
        <v>10</v>
      </c>
      <c r="B2244" s="2"/>
      <c r="C2244" s="2"/>
      <c r="D2244" s="2"/>
      <c r="E2244" s="2"/>
      <c r="F2244" s="2"/>
      <c r="G2244" s="2"/>
      <c r="H2244" s="2"/>
      <c r="I2244" s="2"/>
      <c r="J2244" s="2"/>
      <c r="K2244" s="2"/>
      <c r="L2244" s="2"/>
    </row>
    <row r="2245" spans="1:12" x14ac:dyDescent="0.2">
      <c r="A2245" s="17" t="s">
        <v>11</v>
      </c>
      <c r="B2245" s="17" t="s">
        <v>12</v>
      </c>
      <c r="C2245" s="17" t="s">
        <v>3</v>
      </c>
      <c r="D2245" s="17" t="s">
        <v>13</v>
      </c>
      <c r="E2245" s="17" t="s">
        <v>8</v>
      </c>
      <c r="F2245" s="17" t="s">
        <v>6</v>
      </c>
      <c r="G2245" s="17" t="s">
        <v>5</v>
      </c>
      <c r="H2245" s="17"/>
      <c r="J2245" s="17"/>
      <c r="K2245" s="17"/>
    </row>
    <row r="2246" spans="1:12" customFormat="1" ht="16" x14ac:dyDescent="0.2">
      <c r="A2246" s="2" t="str">
        <f>B2238</f>
        <v>kerosene, burned in aircraft</v>
      </c>
      <c r="B2246" s="2">
        <v>1</v>
      </c>
      <c r="C2246" s="2" t="str">
        <f>B2239</f>
        <v>RER</v>
      </c>
      <c r="D2246" s="2"/>
      <c r="E2246" s="2" t="str">
        <f>B2243</f>
        <v>megajoule</v>
      </c>
      <c r="F2246" s="2" t="s">
        <v>19</v>
      </c>
      <c r="G2246" s="2" t="str">
        <f>B2241</f>
        <v>heat</v>
      </c>
      <c r="H2246" s="2"/>
      <c r="I2246" s="2"/>
      <c r="J2246" s="2"/>
      <c r="K2246" s="2"/>
      <c r="L2246" s="2"/>
    </row>
    <row r="2247" spans="1:12" customFormat="1" ht="16" x14ac:dyDescent="0.2">
      <c r="A2247" t="s">
        <v>96</v>
      </c>
      <c r="B2247">
        <f>1/43</f>
        <v>2.3255813953488372E-2</v>
      </c>
      <c r="C2247" t="s">
        <v>27</v>
      </c>
      <c r="E2247" t="s">
        <v>9</v>
      </c>
      <c r="F2247" t="s">
        <v>23</v>
      </c>
      <c r="G2247" t="s">
        <v>97</v>
      </c>
      <c r="I2247" s="2"/>
    </row>
    <row r="2248" spans="1:12" customFormat="1" ht="16" x14ac:dyDescent="0.2">
      <c r="A2248" t="s">
        <v>52</v>
      </c>
      <c r="B2248" s="3">
        <v>2.1198518564846293E-10</v>
      </c>
      <c r="D2248" t="s">
        <v>99</v>
      </c>
      <c r="E2248" t="s">
        <v>9</v>
      </c>
      <c r="F2248" s="2" t="s">
        <v>15</v>
      </c>
      <c r="I2248" s="2"/>
    </row>
    <row r="2249" spans="1:12" customFormat="1" ht="16" x14ac:dyDescent="0.2">
      <c r="A2249" t="s">
        <v>52</v>
      </c>
      <c r="B2249" s="3">
        <v>2.0573376279857471E-11</v>
      </c>
      <c r="D2249" t="s">
        <v>100</v>
      </c>
      <c r="E2249" t="s">
        <v>9</v>
      </c>
      <c r="F2249" s="2" t="s">
        <v>15</v>
      </c>
      <c r="I2249" s="2"/>
    </row>
    <row r="2250" spans="1:12" customFormat="1" ht="16" x14ac:dyDescent="0.2">
      <c r="A2250" t="s">
        <v>53</v>
      </c>
      <c r="B2250" s="30">
        <v>6.6068583902493483E-2</v>
      </c>
      <c r="D2250" t="s">
        <v>99</v>
      </c>
      <c r="E2250" t="s">
        <v>9</v>
      </c>
      <c r="F2250" s="2" t="s">
        <v>15</v>
      </c>
      <c r="I2250" s="2"/>
    </row>
    <row r="2251" spans="1:12" customFormat="1" ht="16" x14ac:dyDescent="0.2">
      <c r="A2251" t="s">
        <v>53</v>
      </c>
      <c r="B2251" s="30">
        <v>6.4120361938797945E-3</v>
      </c>
      <c r="D2251" t="s">
        <v>100</v>
      </c>
      <c r="E2251" t="s">
        <v>9</v>
      </c>
      <c r="F2251" s="2" t="s">
        <v>15</v>
      </c>
      <c r="I2251" s="2"/>
    </row>
    <row r="2252" spans="1:12" customFormat="1" ht="16" x14ac:dyDescent="0.2">
      <c r="A2252" t="s">
        <v>54</v>
      </c>
      <c r="B2252" s="3">
        <v>4.9620580872355555E-5</v>
      </c>
      <c r="D2252" t="s">
        <v>99</v>
      </c>
      <c r="E2252" t="s">
        <v>9</v>
      </c>
      <c r="F2252" s="2" t="s">
        <v>15</v>
      </c>
      <c r="I2252" s="2"/>
    </row>
    <row r="2253" spans="1:12" customFormat="1" ht="16" x14ac:dyDescent="0.2">
      <c r="A2253" t="s">
        <v>54</v>
      </c>
      <c r="B2253" s="3">
        <v>4.8157339611827094E-6</v>
      </c>
      <c r="D2253" t="s">
        <v>100</v>
      </c>
      <c r="E2253" t="s">
        <v>9</v>
      </c>
      <c r="F2253" s="2" t="s">
        <v>15</v>
      </c>
      <c r="I2253" s="2"/>
    </row>
    <row r="2254" spans="1:12" customFormat="1" ht="16" x14ac:dyDescent="0.2">
      <c r="A2254" t="s">
        <v>55</v>
      </c>
      <c r="B2254" s="3">
        <v>1.0599259282423148E-9</v>
      </c>
      <c r="D2254" t="s">
        <v>99</v>
      </c>
      <c r="E2254" t="s">
        <v>9</v>
      </c>
      <c r="F2254" s="2" t="s">
        <v>15</v>
      </c>
      <c r="I2254" s="2"/>
    </row>
    <row r="2255" spans="1:12" customFormat="1" ht="16" x14ac:dyDescent="0.2">
      <c r="A2255" t="s">
        <v>55</v>
      </c>
      <c r="B2255" s="3">
        <v>1.0286688139928735E-10</v>
      </c>
      <c r="D2255" t="s">
        <v>100</v>
      </c>
      <c r="E2255" t="s">
        <v>9</v>
      </c>
      <c r="F2255" s="2" t="s">
        <v>15</v>
      </c>
      <c r="I2255" s="2"/>
    </row>
    <row r="2256" spans="1:12" customFormat="1" ht="16" x14ac:dyDescent="0.2">
      <c r="A2256" t="s">
        <v>57</v>
      </c>
      <c r="B2256" s="3">
        <v>3.6037375961879753E-8</v>
      </c>
      <c r="D2256" t="s">
        <v>99</v>
      </c>
      <c r="E2256" t="s">
        <v>9</v>
      </c>
      <c r="F2256" s="2" t="s">
        <v>15</v>
      </c>
      <c r="I2256" s="2"/>
    </row>
    <row r="2257" spans="1:9" customFormat="1" ht="16" x14ac:dyDescent="0.2">
      <c r="A2257" t="s">
        <v>57</v>
      </c>
      <c r="B2257" s="3">
        <v>3.4974704476304713E-9</v>
      </c>
      <c r="D2257" t="s">
        <v>100</v>
      </c>
      <c r="E2257" t="s">
        <v>9</v>
      </c>
      <c r="F2257" s="2" t="s">
        <v>15</v>
      </c>
      <c r="I2257" s="2"/>
    </row>
    <row r="2258" spans="1:9" customFormat="1" ht="16" x14ac:dyDescent="0.2">
      <c r="A2258" t="s">
        <v>63</v>
      </c>
      <c r="B2258" s="3">
        <v>4.2396949131060127E-7</v>
      </c>
      <c r="D2258" t="s">
        <v>99</v>
      </c>
      <c r="E2258" t="s">
        <v>9</v>
      </c>
      <c r="F2258" s="2" t="s">
        <v>15</v>
      </c>
      <c r="I2258" s="2"/>
    </row>
    <row r="2259" spans="1:9" customFormat="1" ht="16" x14ac:dyDescent="0.2">
      <c r="A2259" t="s">
        <v>63</v>
      </c>
      <c r="B2259" s="3">
        <v>4.1146752559714943E-8</v>
      </c>
      <c r="D2259" t="s">
        <v>100</v>
      </c>
      <c r="E2259" t="s">
        <v>9</v>
      </c>
      <c r="F2259" s="2" t="s">
        <v>15</v>
      </c>
      <c r="I2259" s="2"/>
    </row>
    <row r="2260" spans="1:9" customFormat="1" ht="16" x14ac:dyDescent="0.2">
      <c r="A2260" t="s">
        <v>64</v>
      </c>
      <c r="B2260" s="3">
        <v>1.4838945395665915E-12</v>
      </c>
      <c r="D2260" t="s">
        <v>99</v>
      </c>
      <c r="E2260" t="s">
        <v>9</v>
      </c>
      <c r="F2260" s="2" t="s">
        <v>15</v>
      </c>
      <c r="I2260" s="2"/>
    </row>
    <row r="2261" spans="1:9" customFormat="1" ht="16" x14ac:dyDescent="0.2">
      <c r="A2261" t="s">
        <v>64</v>
      </c>
      <c r="B2261" s="3">
        <v>1.4401328196447244E-13</v>
      </c>
      <c r="D2261" t="s">
        <v>100</v>
      </c>
      <c r="E2261" t="s">
        <v>9</v>
      </c>
      <c r="F2261" s="2" t="s">
        <v>15</v>
      </c>
      <c r="I2261" s="2"/>
    </row>
    <row r="2262" spans="1:9" customFormat="1" ht="16" x14ac:dyDescent="0.2">
      <c r="A2262" t="s">
        <v>67</v>
      </c>
      <c r="B2262" s="3">
        <v>4.9290146007471967E-6</v>
      </c>
      <c r="D2262" t="s">
        <v>99</v>
      </c>
      <c r="E2262" t="s">
        <v>9</v>
      </c>
      <c r="F2262" s="2" t="s">
        <v>15</v>
      </c>
      <c r="I2262" s="2"/>
    </row>
    <row r="2263" spans="1:9" customFormat="1" ht="16" x14ac:dyDescent="0.2">
      <c r="A2263" t="s">
        <v>67</v>
      </c>
      <c r="B2263" s="3">
        <v>4.7836672595146453E-7</v>
      </c>
      <c r="D2263" t="s">
        <v>100</v>
      </c>
      <c r="E2263" t="s">
        <v>9</v>
      </c>
      <c r="F2263" s="2" t="s">
        <v>15</v>
      </c>
      <c r="I2263" s="2"/>
    </row>
    <row r="2264" spans="1:9" customFormat="1" ht="16" x14ac:dyDescent="0.2">
      <c r="A2264" t="s">
        <v>68</v>
      </c>
      <c r="B2264" s="3">
        <v>1.4838945395665916E-9</v>
      </c>
      <c r="D2264" t="s">
        <v>99</v>
      </c>
      <c r="E2264" t="s">
        <v>9</v>
      </c>
      <c r="F2264" s="2" t="s">
        <v>15</v>
      </c>
      <c r="I2264" s="2"/>
    </row>
    <row r="2265" spans="1:9" customFormat="1" ht="16" x14ac:dyDescent="0.2">
      <c r="A2265" t="s">
        <v>68</v>
      </c>
      <c r="B2265" s="3">
        <v>1.4401328196447246E-10</v>
      </c>
      <c r="D2265" t="s">
        <v>100</v>
      </c>
      <c r="E2265" t="s">
        <v>9</v>
      </c>
      <c r="F2265" s="2" t="s">
        <v>15</v>
      </c>
      <c r="I2265" s="2"/>
    </row>
    <row r="2266" spans="1:9" customFormat="1" ht="16" x14ac:dyDescent="0.2">
      <c r="A2266" t="s">
        <v>69</v>
      </c>
      <c r="B2266" s="9">
        <v>3.0006653682198702E-4</v>
      </c>
      <c r="D2266" t="s">
        <v>99</v>
      </c>
      <c r="E2266" t="s">
        <v>9</v>
      </c>
      <c r="F2266" s="2" t="s">
        <v>15</v>
      </c>
      <c r="I2266" s="2"/>
    </row>
    <row r="2267" spans="1:9" customFormat="1" ht="16" x14ac:dyDescent="0.2">
      <c r="A2267" t="s">
        <v>69</v>
      </c>
      <c r="B2267" s="3">
        <v>2.9121827432823326E-5</v>
      </c>
      <c r="D2267" t="s">
        <v>100</v>
      </c>
      <c r="E2267" t="s">
        <v>9</v>
      </c>
      <c r="F2267" s="2" t="s">
        <v>15</v>
      </c>
      <c r="I2267" s="2"/>
    </row>
    <row r="2268" spans="1:9" customFormat="1" ht="16" x14ac:dyDescent="0.2">
      <c r="A2268" t="s">
        <v>71</v>
      </c>
      <c r="B2268" s="3">
        <v>3.8963858482936672E-6</v>
      </c>
      <c r="D2268" t="s">
        <v>99</v>
      </c>
      <c r="E2268" t="s">
        <v>9</v>
      </c>
      <c r="F2268" s="2" t="s">
        <v>15</v>
      </c>
      <c r="I2268" s="2"/>
    </row>
    <row r="2269" spans="1:9" customFormat="1" ht="16" x14ac:dyDescent="0.2">
      <c r="A2269" t="s">
        <v>71</v>
      </c>
      <c r="B2269" s="3">
        <v>3.7814860338919342E-7</v>
      </c>
      <c r="D2269" t="s">
        <v>100</v>
      </c>
      <c r="E2269" t="s">
        <v>9</v>
      </c>
      <c r="F2269" s="2" t="s">
        <v>15</v>
      </c>
      <c r="I2269" s="2"/>
    </row>
    <row r="2270" spans="1:9" customFormat="1" ht="16" x14ac:dyDescent="0.2">
      <c r="A2270" t="s">
        <v>75</v>
      </c>
      <c r="B2270" s="3">
        <v>2.1198518564846293E-10</v>
      </c>
      <c r="D2270" t="s">
        <v>99</v>
      </c>
      <c r="E2270" t="s">
        <v>9</v>
      </c>
      <c r="F2270" s="2" t="s">
        <v>15</v>
      </c>
      <c r="I2270" s="2"/>
    </row>
    <row r="2271" spans="1:9" customFormat="1" ht="16" x14ac:dyDescent="0.2">
      <c r="A2271" t="s">
        <v>75</v>
      </c>
      <c r="B2271" s="3">
        <v>2.0573376279857471E-11</v>
      </c>
      <c r="D2271" t="s">
        <v>100</v>
      </c>
      <c r="E2271" t="s">
        <v>9</v>
      </c>
      <c r="F2271" s="2" t="s">
        <v>15</v>
      </c>
      <c r="I2271" s="2"/>
    </row>
    <row r="2272" spans="1:9" customFormat="1" ht="16" x14ac:dyDescent="0.2">
      <c r="A2272" t="s">
        <v>77</v>
      </c>
      <c r="B2272" s="3">
        <v>1.7806699275346112E-5</v>
      </c>
      <c r="D2272" t="s">
        <v>99</v>
      </c>
      <c r="E2272" t="s">
        <v>9</v>
      </c>
      <c r="F2272" s="2" t="s">
        <v>15</v>
      </c>
      <c r="I2272" s="2"/>
    </row>
    <row r="2273" spans="1:12" customFormat="1" ht="16" x14ac:dyDescent="0.2">
      <c r="A2273" t="s">
        <v>77</v>
      </c>
      <c r="B2273" s="3">
        <v>1.7281611435463185E-6</v>
      </c>
      <c r="D2273" t="s">
        <v>100</v>
      </c>
      <c r="E2273" t="s">
        <v>9</v>
      </c>
      <c r="F2273" s="2" t="s">
        <v>15</v>
      </c>
      <c r="I2273" s="2"/>
    </row>
    <row r="2274" spans="1:12" customFormat="1" ht="16" x14ac:dyDescent="0.2">
      <c r="A2274" t="s">
        <v>98</v>
      </c>
      <c r="B2274" s="3">
        <v>1.6219731937580282E-7</v>
      </c>
      <c r="D2274" t="s">
        <v>99</v>
      </c>
      <c r="E2274" s="2" t="s">
        <v>94</v>
      </c>
      <c r="F2274" s="2" t="s">
        <v>15</v>
      </c>
      <c r="I2274" s="2"/>
    </row>
    <row r="2275" spans="1:12" customFormat="1" ht="16" x14ac:dyDescent="0.2">
      <c r="A2275" t="s">
        <v>98</v>
      </c>
      <c r="B2275" s="3">
        <v>1.574145937016555E-8</v>
      </c>
      <c r="D2275" t="s">
        <v>100</v>
      </c>
      <c r="E2275" s="2" t="s">
        <v>94</v>
      </c>
      <c r="F2275" s="2" t="s">
        <v>15</v>
      </c>
      <c r="I2275" s="2"/>
    </row>
    <row r="2276" spans="1:12" customFormat="1" ht="16" x14ac:dyDescent="0.2">
      <c r="A2276" t="s">
        <v>79</v>
      </c>
      <c r="B2276" s="3">
        <v>2.1198518564846295E-7</v>
      </c>
      <c r="D2276" t="s">
        <v>99</v>
      </c>
      <c r="E2276" t="s">
        <v>9</v>
      </c>
      <c r="F2276" s="2" t="s">
        <v>15</v>
      </c>
      <c r="I2276" s="2"/>
    </row>
    <row r="2277" spans="1:12" customFormat="1" ht="16" x14ac:dyDescent="0.2">
      <c r="A2277" t="s">
        <v>79</v>
      </c>
      <c r="B2277" s="3">
        <v>2.0573376279857471E-8</v>
      </c>
      <c r="D2277" t="s">
        <v>100</v>
      </c>
      <c r="E2277" t="s">
        <v>9</v>
      </c>
      <c r="F2277" s="2" t="s">
        <v>15</v>
      </c>
      <c r="I2277" s="2"/>
    </row>
    <row r="2278" spans="1:12" customFormat="1" ht="16" x14ac:dyDescent="0.2"/>
    <row r="2279" spans="1:12" x14ac:dyDescent="0.2">
      <c r="A2279" s="17" t="s">
        <v>2</v>
      </c>
      <c r="B2279" s="17" t="s">
        <v>304</v>
      </c>
    </row>
    <row r="2280" spans="1:12" customFormat="1" ht="16" x14ac:dyDescent="0.2">
      <c r="A2280" s="2" t="s">
        <v>3</v>
      </c>
      <c r="B2280" s="2" t="s">
        <v>18</v>
      </c>
      <c r="C2280" s="2"/>
      <c r="D2280" s="2"/>
      <c r="E2280" s="2"/>
      <c r="F2280" s="2"/>
      <c r="G2280" s="2"/>
      <c r="H2280" s="2"/>
      <c r="I2280" s="2"/>
      <c r="J2280" s="2"/>
      <c r="K2280" s="2"/>
      <c r="L2280" s="2"/>
    </row>
    <row r="2281" spans="1:12" customFormat="1" ht="16" x14ac:dyDescent="0.2">
      <c r="A2281" s="2" t="s">
        <v>4</v>
      </c>
      <c r="B2281" s="2">
        <v>1</v>
      </c>
      <c r="C2281" s="2"/>
      <c r="D2281" s="2"/>
      <c r="E2281" s="2"/>
      <c r="F2281" s="2"/>
      <c r="G2281" s="2"/>
      <c r="H2281" s="2"/>
      <c r="I2281" s="2"/>
      <c r="J2281" s="2"/>
      <c r="K2281" s="2"/>
      <c r="L2281" s="2"/>
    </row>
    <row r="2282" spans="1:12" customFormat="1" ht="16" x14ac:dyDescent="0.2">
      <c r="A2282" s="2" t="s">
        <v>5</v>
      </c>
      <c r="B2282" s="2" t="s">
        <v>1</v>
      </c>
      <c r="C2282" s="2"/>
      <c r="D2282" s="2"/>
      <c r="E2282" s="2"/>
      <c r="F2282" s="2"/>
      <c r="G2282" s="2"/>
      <c r="H2282" s="2"/>
      <c r="I2282" s="2"/>
      <c r="J2282" s="2"/>
    </row>
    <row r="2283" spans="1:12" customFormat="1" ht="16" x14ac:dyDescent="0.2">
      <c r="A2283" s="2" t="s">
        <v>6</v>
      </c>
      <c r="B2283" s="2" t="s">
        <v>7</v>
      </c>
      <c r="C2283" s="2"/>
      <c r="D2283" s="2"/>
      <c r="E2283" s="2"/>
      <c r="F2283" s="2"/>
      <c r="G2283" s="2"/>
      <c r="H2283" s="2"/>
      <c r="I2283" s="2"/>
      <c r="J2283" s="2"/>
      <c r="K2283" s="2"/>
      <c r="L2283" s="2"/>
    </row>
    <row r="2284" spans="1:12" customFormat="1" ht="16" x14ac:dyDescent="0.2">
      <c r="A2284" s="2" t="s">
        <v>8</v>
      </c>
      <c r="B2284" s="2" t="s">
        <v>17</v>
      </c>
      <c r="C2284" s="2"/>
      <c r="D2284" s="2"/>
      <c r="E2284" s="2"/>
      <c r="F2284" s="2"/>
      <c r="G2284" s="2"/>
      <c r="H2284" s="2"/>
      <c r="I2284" s="2"/>
      <c r="J2284" s="2"/>
      <c r="K2284" s="2"/>
      <c r="L2284" s="2"/>
    </row>
    <row r="2285" spans="1:12" customFormat="1" ht="16" x14ac:dyDescent="0.2">
      <c r="A2285" s="1" t="s">
        <v>10</v>
      </c>
      <c r="B2285" s="2"/>
      <c r="C2285" s="2"/>
      <c r="D2285" s="2"/>
      <c r="E2285" s="2"/>
      <c r="F2285" s="2"/>
      <c r="G2285" s="2"/>
      <c r="H2285" s="2"/>
      <c r="I2285" s="2"/>
      <c r="J2285" s="2"/>
      <c r="K2285" s="2"/>
      <c r="L2285" s="2"/>
    </row>
    <row r="2286" spans="1:12" x14ac:dyDescent="0.2">
      <c r="A2286" s="17" t="s">
        <v>11</v>
      </c>
      <c r="B2286" s="17" t="s">
        <v>12</v>
      </c>
      <c r="C2286" s="17" t="s">
        <v>3</v>
      </c>
      <c r="D2286" s="17" t="s">
        <v>13</v>
      </c>
      <c r="E2286" s="17" t="s">
        <v>8</v>
      </c>
      <c r="F2286" s="17" t="s">
        <v>6</v>
      </c>
      <c r="G2286" s="17" t="s">
        <v>5</v>
      </c>
      <c r="H2286" s="17"/>
      <c r="J2286" s="17"/>
      <c r="K2286" s="17"/>
    </row>
    <row r="2287" spans="1:12" customFormat="1" ht="16" x14ac:dyDescent="0.2">
      <c r="A2287" s="2" t="str">
        <f>B2279</f>
        <v>kerosene, from biomass, burned in aircraft</v>
      </c>
      <c r="B2287" s="2">
        <v>1</v>
      </c>
      <c r="C2287" s="2" t="str">
        <f>B2280</f>
        <v>RER</v>
      </c>
      <c r="D2287" s="2"/>
      <c r="E2287" s="2" t="str">
        <f>B2284</f>
        <v>megajoule</v>
      </c>
      <c r="F2287" s="2" t="s">
        <v>19</v>
      </c>
      <c r="G2287" s="2" t="str">
        <f>B2282</f>
        <v>heat</v>
      </c>
      <c r="H2287" s="2"/>
      <c r="I2287" s="2"/>
      <c r="J2287" s="2"/>
      <c r="K2287" s="2"/>
      <c r="L2287" s="2"/>
    </row>
    <row r="2288" spans="1:12" customFormat="1" ht="16" x14ac:dyDescent="0.2">
      <c r="A2288" t="s">
        <v>129</v>
      </c>
      <c r="B2288">
        <f>1/43</f>
        <v>2.3255813953488372E-2</v>
      </c>
      <c r="C2288" t="s">
        <v>18</v>
      </c>
      <c r="E2288" t="s">
        <v>9</v>
      </c>
      <c r="F2288" t="s">
        <v>23</v>
      </c>
      <c r="G2288" t="s">
        <v>130</v>
      </c>
      <c r="I2288" s="2"/>
    </row>
    <row r="2289" spans="1:9" customFormat="1" ht="16" x14ac:dyDescent="0.2">
      <c r="A2289" t="s">
        <v>52</v>
      </c>
      <c r="B2289" s="3">
        <v>2.1198518564846293E-10</v>
      </c>
      <c r="D2289" t="s">
        <v>99</v>
      </c>
      <c r="E2289" t="s">
        <v>9</v>
      </c>
      <c r="F2289" s="2" t="s">
        <v>15</v>
      </c>
      <c r="I2289" s="2"/>
    </row>
    <row r="2290" spans="1:9" customFormat="1" ht="16" x14ac:dyDescent="0.2">
      <c r="A2290" t="s">
        <v>52</v>
      </c>
      <c r="B2290" s="3">
        <v>2.0573376279857471E-11</v>
      </c>
      <c r="D2290" t="s">
        <v>100</v>
      </c>
      <c r="E2290" t="s">
        <v>9</v>
      </c>
      <c r="F2290" s="2" t="s">
        <v>15</v>
      </c>
      <c r="I2290" s="2"/>
    </row>
    <row r="2291" spans="1:9" customFormat="1" ht="16" x14ac:dyDescent="0.2">
      <c r="A2291" t="s">
        <v>122</v>
      </c>
      <c r="B2291" s="25">
        <f>0.0660685839024935+0.00641203619387979</f>
        <v>7.2480620096373294E-2</v>
      </c>
      <c r="D2291" t="s">
        <v>116</v>
      </c>
      <c r="E2291" t="s">
        <v>9</v>
      </c>
      <c r="F2291" s="2" t="s">
        <v>15</v>
      </c>
      <c r="I2291" s="2"/>
    </row>
    <row r="2292" spans="1:9" customFormat="1" ht="16" x14ac:dyDescent="0.2">
      <c r="A2292" t="s">
        <v>123</v>
      </c>
      <c r="B2292" s="3">
        <f>0.0000496205808723556+4.81573396118271E-06</f>
        <v>5.4436314833538314E-5</v>
      </c>
      <c r="D2292" t="s">
        <v>116</v>
      </c>
      <c r="E2292" t="s">
        <v>9</v>
      </c>
      <c r="F2292" s="2" t="s">
        <v>15</v>
      </c>
      <c r="I2292" s="2"/>
    </row>
    <row r="2293" spans="1:9" customFormat="1" ht="16" x14ac:dyDescent="0.2">
      <c r="A2293" t="s">
        <v>55</v>
      </c>
      <c r="B2293" s="3">
        <v>1.0599259282423148E-9</v>
      </c>
      <c r="D2293" t="s">
        <v>99</v>
      </c>
      <c r="E2293" t="s">
        <v>9</v>
      </c>
      <c r="F2293" s="2" t="s">
        <v>15</v>
      </c>
      <c r="I2293" s="2"/>
    </row>
    <row r="2294" spans="1:9" customFormat="1" ht="16" x14ac:dyDescent="0.2">
      <c r="A2294" t="s">
        <v>55</v>
      </c>
      <c r="B2294" s="3">
        <v>1.0286688139928735E-10</v>
      </c>
      <c r="D2294" t="s">
        <v>100</v>
      </c>
      <c r="E2294" t="s">
        <v>9</v>
      </c>
      <c r="F2294" s="2" t="s">
        <v>15</v>
      </c>
      <c r="I2294" s="2"/>
    </row>
    <row r="2295" spans="1:9" customFormat="1" ht="16" x14ac:dyDescent="0.2">
      <c r="A2295" t="s">
        <v>57</v>
      </c>
      <c r="B2295" s="3">
        <v>3.6037375961879753E-8</v>
      </c>
      <c r="D2295" t="s">
        <v>99</v>
      </c>
      <c r="E2295" t="s">
        <v>9</v>
      </c>
      <c r="F2295" s="2" t="s">
        <v>15</v>
      </c>
      <c r="I2295" s="2"/>
    </row>
    <row r="2296" spans="1:9" customFormat="1" ht="16" x14ac:dyDescent="0.2">
      <c r="A2296" t="s">
        <v>57</v>
      </c>
      <c r="B2296" s="3">
        <v>3.4974704476304713E-9</v>
      </c>
      <c r="D2296" t="s">
        <v>100</v>
      </c>
      <c r="E2296" t="s">
        <v>9</v>
      </c>
      <c r="F2296" s="2" t="s">
        <v>15</v>
      </c>
      <c r="I2296" s="2"/>
    </row>
    <row r="2297" spans="1:9" customFormat="1" ht="16" x14ac:dyDescent="0.2">
      <c r="A2297" t="s">
        <v>63</v>
      </c>
      <c r="B2297" s="3">
        <v>4.2396949131060127E-7</v>
      </c>
      <c r="D2297" t="s">
        <v>99</v>
      </c>
      <c r="E2297" t="s">
        <v>9</v>
      </c>
      <c r="F2297" s="2" t="s">
        <v>15</v>
      </c>
      <c r="I2297" s="2"/>
    </row>
    <row r="2298" spans="1:9" customFormat="1" ht="16" x14ac:dyDescent="0.2">
      <c r="A2298" t="s">
        <v>63</v>
      </c>
      <c r="B2298" s="3">
        <v>4.1146752559714943E-8</v>
      </c>
      <c r="D2298" t="s">
        <v>100</v>
      </c>
      <c r="E2298" t="s">
        <v>9</v>
      </c>
      <c r="F2298" s="2" t="s">
        <v>15</v>
      </c>
      <c r="I2298" s="2"/>
    </row>
    <row r="2299" spans="1:9" customFormat="1" ht="16" x14ac:dyDescent="0.2">
      <c r="A2299" t="s">
        <v>64</v>
      </c>
      <c r="B2299" s="3">
        <v>1.4838945395665915E-12</v>
      </c>
      <c r="D2299" t="s">
        <v>99</v>
      </c>
      <c r="E2299" t="s">
        <v>9</v>
      </c>
      <c r="F2299" s="2" t="s">
        <v>15</v>
      </c>
      <c r="I2299" s="2"/>
    </row>
    <row r="2300" spans="1:9" customFormat="1" ht="16" x14ac:dyDescent="0.2">
      <c r="A2300" t="s">
        <v>64</v>
      </c>
      <c r="B2300" s="3">
        <v>1.4401328196447244E-13</v>
      </c>
      <c r="D2300" t="s">
        <v>100</v>
      </c>
      <c r="E2300" t="s">
        <v>9</v>
      </c>
      <c r="F2300" s="2" t="s">
        <v>15</v>
      </c>
      <c r="I2300" s="2"/>
    </row>
    <row r="2301" spans="1:9" customFormat="1" ht="16" x14ac:dyDescent="0.2">
      <c r="A2301" t="s">
        <v>67</v>
      </c>
      <c r="B2301" s="3">
        <v>4.9290146007471967E-6</v>
      </c>
      <c r="D2301" t="s">
        <v>99</v>
      </c>
      <c r="E2301" t="s">
        <v>9</v>
      </c>
      <c r="F2301" s="2" t="s">
        <v>15</v>
      </c>
      <c r="I2301" s="2"/>
    </row>
    <row r="2302" spans="1:9" customFormat="1" ht="16" x14ac:dyDescent="0.2">
      <c r="A2302" t="s">
        <v>67</v>
      </c>
      <c r="B2302" s="3">
        <v>4.7836672595146453E-7</v>
      </c>
      <c r="D2302" t="s">
        <v>100</v>
      </c>
      <c r="E2302" t="s">
        <v>9</v>
      </c>
      <c r="F2302" s="2" t="s">
        <v>15</v>
      </c>
      <c r="I2302" s="2"/>
    </row>
    <row r="2303" spans="1:9" customFormat="1" ht="16" x14ac:dyDescent="0.2">
      <c r="A2303" t="s">
        <v>68</v>
      </c>
      <c r="B2303" s="3">
        <v>1.4838945395665916E-9</v>
      </c>
      <c r="D2303" t="s">
        <v>99</v>
      </c>
      <c r="E2303" t="s">
        <v>9</v>
      </c>
      <c r="F2303" s="2" t="s">
        <v>15</v>
      </c>
      <c r="I2303" s="2"/>
    </row>
    <row r="2304" spans="1:9" customFormat="1" ht="16" x14ac:dyDescent="0.2">
      <c r="A2304" t="s">
        <v>68</v>
      </c>
      <c r="B2304" s="3">
        <v>1.4401328196447246E-10</v>
      </c>
      <c r="D2304" t="s">
        <v>100</v>
      </c>
      <c r="E2304" t="s">
        <v>9</v>
      </c>
      <c r="F2304" s="2" t="s">
        <v>15</v>
      </c>
      <c r="I2304" s="2"/>
    </row>
    <row r="2305" spans="1:12" customFormat="1" ht="16" x14ac:dyDescent="0.2">
      <c r="A2305" t="s">
        <v>69</v>
      </c>
      <c r="B2305" s="25">
        <v>3.0006653682198702E-4</v>
      </c>
      <c r="D2305" t="s">
        <v>99</v>
      </c>
      <c r="E2305" t="s">
        <v>9</v>
      </c>
      <c r="F2305" s="2" t="s">
        <v>15</v>
      </c>
      <c r="I2305" s="2"/>
    </row>
    <row r="2306" spans="1:12" customFormat="1" ht="16" x14ac:dyDescent="0.2">
      <c r="A2306" t="s">
        <v>69</v>
      </c>
      <c r="B2306" s="3">
        <v>2.9121827432823326E-5</v>
      </c>
      <c r="D2306" t="s">
        <v>100</v>
      </c>
      <c r="E2306" t="s">
        <v>9</v>
      </c>
      <c r="F2306" s="2" t="s">
        <v>15</v>
      </c>
      <c r="I2306" s="2"/>
    </row>
    <row r="2307" spans="1:12" customFormat="1" ht="16" x14ac:dyDescent="0.2">
      <c r="A2307" t="s">
        <v>71</v>
      </c>
      <c r="B2307" s="3">
        <v>3.8963858482936672E-6</v>
      </c>
      <c r="D2307" t="s">
        <v>99</v>
      </c>
      <c r="E2307" t="s">
        <v>9</v>
      </c>
      <c r="F2307" s="2" t="s">
        <v>15</v>
      </c>
      <c r="I2307" s="2"/>
    </row>
    <row r="2308" spans="1:12" customFormat="1" ht="16" x14ac:dyDescent="0.2">
      <c r="A2308" t="s">
        <v>71</v>
      </c>
      <c r="B2308" s="3">
        <v>3.7814860338919342E-7</v>
      </c>
      <c r="D2308" t="s">
        <v>100</v>
      </c>
      <c r="E2308" t="s">
        <v>9</v>
      </c>
      <c r="F2308" s="2" t="s">
        <v>15</v>
      </c>
      <c r="I2308" s="2"/>
    </row>
    <row r="2309" spans="1:12" customFormat="1" ht="16" x14ac:dyDescent="0.2">
      <c r="A2309" t="s">
        <v>75</v>
      </c>
      <c r="B2309" s="3">
        <v>2.1198518564846293E-10</v>
      </c>
      <c r="D2309" t="s">
        <v>99</v>
      </c>
      <c r="E2309" t="s">
        <v>9</v>
      </c>
      <c r="F2309" s="2" t="s">
        <v>15</v>
      </c>
      <c r="I2309" s="2"/>
    </row>
    <row r="2310" spans="1:12" customFormat="1" ht="16" x14ac:dyDescent="0.2">
      <c r="A2310" t="s">
        <v>75</v>
      </c>
      <c r="B2310" s="3">
        <v>2.0573376279857471E-11</v>
      </c>
      <c r="D2310" t="s">
        <v>100</v>
      </c>
      <c r="E2310" t="s">
        <v>9</v>
      </c>
      <c r="F2310" s="2" t="s">
        <v>15</v>
      </c>
      <c r="I2310" s="2"/>
    </row>
    <row r="2311" spans="1:12" customFormat="1" ht="16" x14ac:dyDescent="0.2">
      <c r="A2311" t="s">
        <v>77</v>
      </c>
      <c r="B2311" s="3">
        <v>1.7806699275346112E-5</v>
      </c>
      <c r="D2311" t="s">
        <v>99</v>
      </c>
      <c r="E2311" t="s">
        <v>9</v>
      </c>
      <c r="F2311" s="2" t="s">
        <v>15</v>
      </c>
      <c r="I2311" s="2"/>
    </row>
    <row r="2312" spans="1:12" customFormat="1" ht="16" x14ac:dyDescent="0.2">
      <c r="A2312" t="s">
        <v>77</v>
      </c>
      <c r="B2312" s="3">
        <v>1.7281611435463185E-6</v>
      </c>
      <c r="D2312" t="s">
        <v>100</v>
      </c>
      <c r="E2312" t="s">
        <v>9</v>
      </c>
      <c r="F2312" s="2" t="s">
        <v>15</v>
      </c>
      <c r="I2312" s="2"/>
    </row>
    <row r="2313" spans="1:12" customFormat="1" ht="16" x14ac:dyDescent="0.2">
      <c r="A2313" t="s">
        <v>98</v>
      </c>
      <c r="B2313" s="3">
        <v>1.6219731937580282E-7</v>
      </c>
      <c r="D2313" t="s">
        <v>99</v>
      </c>
      <c r="E2313" s="2" t="s">
        <v>94</v>
      </c>
      <c r="F2313" s="2" t="s">
        <v>15</v>
      </c>
      <c r="I2313" s="2"/>
    </row>
    <row r="2314" spans="1:12" customFormat="1" ht="16" x14ac:dyDescent="0.2">
      <c r="A2314" t="s">
        <v>98</v>
      </c>
      <c r="B2314" s="3">
        <v>1.574145937016555E-8</v>
      </c>
      <c r="D2314" t="s">
        <v>100</v>
      </c>
      <c r="E2314" s="2" t="s">
        <v>94</v>
      </c>
      <c r="F2314" s="2" t="s">
        <v>15</v>
      </c>
      <c r="I2314" s="2"/>
    </row>
    <row r="2315" spans="1:12" customFormat="1" ht="16" x14ac:dyDescent="0.2">
      <c r="A2315" t="s">
        <v>79</v>
      </c>
      <c r="B2315" s="3">
        <v>2.1198518564846295E-7</v>
      </c>
      <c r="D2315" t="s">
        <v>99</v>
      </c>
      <c r="E2315" t="s">
        <v>9</v>
      </c>
      <c r="F2315" s="2" t="s">
        <v>15</v>
      </c>
      <c r="I2315" s="2"/>
    </row>
    <row r="2316" spans="1:12" customFormat="1" ht="16" x14ac:dyDescent="0.2">
      <c r="A2316" t="s">
        <v>79</v>
      </c>
      <c r="B2316" s="3">
        <v>2.0573376279857471E-8</v>
      </c>
      <c r="D2316" t="s">
        <v>100</v>
      </c>
      <c r="E2316" t="s">
        <v>9</v>
      </c>
      <c r="F2316" s="2" t="s">
        <v>15</v>
      </c>
      <c r="I2316" s="2"/>
    </row>
    <row r="2317" spans="1:12" customFormat="1" ht="16" x14ac:dyDescent="0.2"/>
    <row r="2318" spans="1:12" x14ac:dyDescent="0.2">
      <c r="A2318" s="17" t="s">
        <v>2</v>
      </c>
      <c r="B2318" s="17" t="s">
        <v>281</v>
      </c>
    </row>
    <row r="2319" spans="1:12" customFormat="1" ht="16" x14ac:dyDescent="0.2">
      <c r="A2319" s="2" t="s">
        <v>3</v>
      </c>
      <c r="B2319" s="2" t="s">
        <v>18</v>
      </c>
      <c r="C2319" s="2"/>
      <c r="D2319" s="2"/>
      <c r="E2319" s="2"/>
      <c r="F2319" s="2"/>
      <c r="G2319" s="2"/>
      <c r="H2319" s="2"/>
      <c r="I2319" s="2"/>
      <c r="J2319" s="2"/>
      <c r="K2319" s="2"/>
      <c r="L2319" s="2"/>
    </row>
    <row r="2320" spans="1:12" customFormat="1" ht="16" x14ac:dyDescent="0.2">
      <c r="A2320" s="2" t="s">
        <v>4</v>
      </c>
      <c r="B2320" s="2">
        <v>1</v>
      </c>
      <c r="C2320" s="2"/>
      <c r="D2320" s="2"/>
      <c r="E2320" s="2"/>
      <c r="F2320" s="2"/>
      <c r="G2320" s="2"/>
      <c r="H2320" s="2"/>
      <c r="I2320" s="2"/>
      <c r="J2320" s="2"/>
      <c r="K2320" s="2"/>
      <c r="L2320" s="2"/>
    </row>
    <row r="2321" spans="1:12" customFormat="1" ht="16" x14ac:dyDescent="0.2">
      <c r="A2321" s="2" t="s">
        <v>5</v>
      </c>
      <c r="B2321" s="2" t="s">
        <v>1</v>
      </c>
      <c r="C2321" s="2"/>
      <c r="D2321" s="2"/>
      <c r="E2321" s="2"/>
      <c r="F2321" s="2"/>
      <c r="G2321" s="2"/>
      <c r="H2321" s="2"/>
      <c r="I2321" s="2"/>
      <c r="J2321" s="2"/>
    </row>
    <row r="2322" spans="1:12" customFormat="1" ht="16" x14ac:dyDescent="0.2">
      <c r="A2322" s="2" t="s">
        <v>6</v>
      </c>
      <c r="B2322" s="2" t="s">
        <v>7</v>
      </c>
      <c r="C2322" s="2"/>
      <c r="D2322" s="2"/>
      <c r="E2322" s="2"/>
      <c r="F2322" s="2"/>
      <c r="G2322" s="2"/>
      <c r="H2322" s="2"/>
      <c r="I2322" s="2"/>
      <c r="J2322" s="2"/>
      <c r="K2322" s="2"/>
      <c r="L2322" s="2"/>
    </row>
    <row r="2323" spans="1:12" customFormat="1" ht="16" x14ac:dyDescent="0.2">
      <c r="A2323" s="2" t="s">
        <v>8</v>
      </c>
      <c r="B2323" s="2" t="s">
        <v>17</v>
      </c>
      <c r="C2323" s="2"/>
      <c r="D2323" s="2"/>
      <c r="E2323" s="2"/>
      <c r="F2323" s="2"/>
      <c r="G2323" s="2"/>
      <c r="H2323" s="2"/>
      <c r="I2323" s="2"/>
      <c r="J2323" s="2"/>
      <c r="K2323" s="2"/>
      <c r="L2323" s="2"/>
    </row>
    <row r="2324" spans="1:12" customFormat="1" ht="16" x14ac:dyDescent="0.2">
      <c r="A2324" s="1" t="s">
        <v>10</v>
      </c>
      <c r="B2324" s="2"/>
      <c r="C2324" s="2"/>
      <c r="D2324" s="2"/>
      <c r="E2324" s="2"/>
      <c r="F2324" s="2"/>
      <c r="G2324" s="2"/>
      <c r="H2324" s="2"/>
      <c r="I2324" s="2"/>
      <c r="J2324" s="2"/>
      <c r="K2324" s="2"/>
      <c r="L2324" s="2"/>
    </row>
    <row r="2325" spans="1:12" x14ac:dyDescent="0.2">
      <c r="A2325" s="17" t="s">
        <v>11</v>
      </c>
      <c r="B2325" s="17" t="s">
        <v>12</v>
      </c>
      <c r="C2325" s="17" t="s">
        <v>3</v>
      </c>
      <c r="D2325" s="17" t="s">
        <v>13</v>
      </c>
      <c r="E2325" s="17" t="s">
        <v>8</v>
      </c>
      <c r="F2325" s="17" t="s">
        <v>6</v>
      </c>
      <c r="G2325" s="17" t="s">
        <v>5</v>
      </c>
      <c r="H2325" s="17"/>
      <c r="I2325" s="17"/>
      <c r="K2325" s="17"/>
    </row>
    <row r="2326" spans="1:12" customFormat="1" ht="16" x14ac:dyDescent="0.2">
      <c r="A2326" s="2" t="str">
        <f>B2318</f>
        <v>kerosene, synthetic, burned in aircraft</v>
      </c>
      <c r="B2326" s="2">
        <v>1</v>
      </c>
      <c r="C2326" s="2" t="str">
        <f>B2319</f>
        <v>RER</v>
      </c>
      <c r="D2326" s="2"/>
      <c r="E2326" s="2" t="str">
        <f>B2323</f>
        <v>megajoule</v>
      </c>
      <c r="F2326" s="2" t="s">
        <v>19</v>
      </c>
      <c r="G2326" s="2" t="str">
        <f>B2321</f>
        <v>heat</v>
      </c>
      <c r="H2326" s="2"/>
      <c r="I2326" s="2"/>
      <c r="J2326" s="2"/>
      <c r="K2326" s="2"/>
      <c r="L2326" s="2"/>
    </row>
    <row r="2327" spans="1:12" customFormat="1" ht="16" x14ac:dyDescent="0.2">
      <c r="A2327" t="s">
        <v>282</v>
      </c>
      <c r="B2327">
        <f>1/43</f>
        <v>2.3255813953488372E-2</v>
      </c>
      <c r="C2327" t="s">
        <v>18</v>
      </c>
      <c r="E2327" t="s">
        <v>9</v>
      </c>
      <c r="F2327" t="s">
        <v>23</v>
      </c>
      <c r="G2327" t="s">
        <v>283</v>
      </c>
      <c r="J2327" s="2"/>
    </row>
    <row r="2328" spans="1:12" customFormat="1" ht="16" x14ac:dyDescent="0.2">
      <c r="A2328" t="s">
        <v>52</v>
      </c>
      <c r="B2328" s="3">
        <v>2.1198518564846293E-10</v>
      </c>
      <c r="D2328" t="s">
        <v>99</v>
      </c>
      <c r="E2328" t="s">
        <v>9</v>
      </c>
      <c r="F2328" s="2" t="s">
        <v>15</v>
      </c>
      <c r="J2328" s="2"/>
    </row>
    <row r="2329" spans="1:12" customFormat="1" ht="16" x14ac:dyDescent="0.2">
      <c r="A2329" t="s">
        <v>52</v>
      </c>
      <c r="B2329" s="3">
        <v>2.0573376279857471E-11</v>
      </c>
      <c r="D2329" t="s">
        <v>100</v>
      </c>
      <c r="E2329" t="s">
        <v>9</v>
      </c>
      <c r="F2329" s="2" t="s">
        <v>15</v>
      </c>
      <c r="J2329" s="2"/>
    </row>
    <row r="2330" spans="1:12" customFormat="1" ht="16" x14ac:dyDescent="0.2">
      <c r="A2330" t="s">
        <v>122</v>
      </c>
      <c r="B2330" s="25">
        <f>0.0660685839024935+0.00641203619387979</f>
        <v>7.2480620096373294E-2</v>
      </c>
      <c r="D2330" t="s">
        <v>116</v>
      </c>
      <c r="E2330" t="s">
        <v>9</v>
      </c>
      <c r="F2330" s="2" t="s">
        <v>15</v>
      </c>
      <c r="J2330" s="2"/>
    </row>
    <row r="2331" spans="1:12" customFormat="1" ht="16" x14ac:dyDescent="0.2">
      <c r="A2331" t="s">
        <v>123</v>
      </c>
      <c r="B2331" s="3">
        <f>0.0000496205808723556+4.81573396118271E-06</f>
        <v>5.4436314833538314E-5</v>
      </c>
      <c r="D2331" t="s">
        <v>116</v>
      </c>
      <c r="E2331" t="s">
        <v>9</v>
      </c>
      <c r="F2331" s="2" t="s">
        <v>15</v>
      </c>
      <c r="J2331" s="2"/>
    </row>
    <row r="2332" spans="1:12" customFormat="1" ht="16" x14ac:dyDescent="0.2">
      <c r="A2332" t="s">
        <v>55</v>
      </c>
      <c r="B2332" s="3">
        <v>1.0599259282423148E-9</v>
      </c>
      <c r="D2332" t="s">
        <v>99</v>
      </c>
      <c r="E2332" t="s">
        <v>9</v>
      </c>
      <c r="F2332" s="2" t="s">
        <v>15</v>
      </c>
      <c r="J2332" s="2"/>
    </row>
    <row r="2333" spans="1:12" customFormat="1" ht="16" x14ac:dyDescent="0.2">
      <c r="A2333" t="s">
        <v>55</v>
      </c>
      <c r="B2333" s="3">
        <v>1.0286688139928735E-10</v>
      </c>
      <c r="D2333" t="s">
        <v>100</v>
      </c>
      <c r="E2333" t="s">
        <v>9</v>
      </c>
      <c r="F2333" s="2" t="s">
        <v>15</v>
      </c>
      <c r="J2333" s="2"/>
    </row>
    <row r="2334" spans="1:12" customFormat="1" ht="16" x14ac:dyDescent="0.2">
      <c r="A2334" t="s">
        <v>57</v>
      </c>
      <c r="B2334" s="3">
        <v>3.6037375961879753E-8</v>
      </c>
      <c r="D2334" t="s">
        <v>99</v>
      </c>
      <c r="E2334" t="s">
        <v>9</v>
      </c>
      <c r="F2334" s="2" t="s">
        <v>15</v>
      </c>
      <c r="J2334" s="2"/>
    </row>
    <row r="2335" spans="1:12" customFormat="1" ht="16" x14ac:dyDescent="0.2">
      <c r="A2335" t="s">
        <v>57</v>
      </c>
      <c r="B2335" s="3">
        <v>3.4974704476304713E-9</v>
      </c>
      <c r="D2335" t="s">
        <v>100</v>
      </c>
      <c r="E2335" t="s">
        <v>9</v>
      </c>
      <c r="F2335" s="2" t="s">
        <v>15</v>
      </c>
      <c r="J2335" s="2"/>
    </row>
    <row r="2336" spans="1:12" customFormat="1" ht="16" x14ac:dyDescent="0.2">
      <c r="A2336" t="s">
        <v>63</v>
      </c>
      <c r="B2336" s="3">
        <v>4.2396949131060127E-7</v>
      </c>
      <c r="D2336" t="s">
        <v>99</v>
      </c>
      <c r="E2336" t="s">
        <v>9</v>
      </c>
      <c r="F2336" s="2" t="s">
        <v>15</v>
      </c>
      <c r="J2336" s="2"/>
    </row>
    <row r="2337" spans="1:10" customFormat="1" ht="16" x14ac:dyDescent="0.2">
      <c r="A2337" t="s">
        <v>63</v>
      </c>
      <c r="B2337" s="3">
        <v>4.1146752559714943E-8</v>
      </c>
      <c r="D2337" t="s">
        <v>100</v>
      </c>
      <c r="E2337" t="s">
        <v>9</v>
      </c>
      <c r="F2337" s="2" t="s">
        <v>15</v>
      </c>
      <c r="J2337" s="2"/>
    </row>
    <row r="2338" spans="1:10" customFormat="1" ht="16" x14ac:dyDescent="0.2">
      <c r="A2338" t="s">
        <v>64</v>
      </c>
      <c r="B2338" s="3">
        <v>1.4838945395665915E-12</v>
      </c>
      <c r="D2338" t="s">
        <v>99</v>
      </c>
      <c r="E2338" t="s">
        <v>9</v>
      </c>
      <c r="F2338" s="2" t="s">
        <v>15</v>
      </c>
      <c r="J2338" s="2"/>
    </row>
    <row r="2339" spans="1:10" customFormat="1" ht="16" x14ac:dyDescent="0.2">
      <c r="A2339" t="s">
        <v>64</v>
      </c>
      <c r="B2339" s="3">
        <v>1.4401328196447244E-13</v>
      </c>
      <c r="D2339" t="s">
        <v>100</v>
      </c>
      <c r="E2339" t="s">
        <v>9</v>
      </c>
      <c r="F2339" s="2" t="s">
        <v>15</v>
      </c>
      <c r="J2339" s="2"/>
    </row>
    <row r="2340" spans="1:10" customFormat="1" ht="16" x14ac:dyDescent="0.2">
      <c r="A2340" t="s">
        <v>67</v>
      </c>
      <c r="B2340" s="3">
        <v>4.9290146007471967E-6</v>
      </c>
      <c r="D2340" t="s">
        <v>99</v>
      </c>
      <c r="E2340" t="s">
        <v>9</v>
      </c>
      <c r="F2340" s="2" t="s">
        <v>15</v>
      </c>
      <c r="J2340" s="2"/>
    </row>
    <row r="2341" spans="1:10" customFormat="1" ht="16" x14ac:dyDescent="0.2">
      <c r="A2341" t="s">
        <v>67</v>
      </c>
      <c r="B2341" s="3">
        <v>4.7836672595146453E-7</v>
      </c>
      <c r="D2341" t="s">
        <v>100</v>
      </c>
      <c r="E2341" t="s">
        <v>9</v>
      </c>
      <c r="F2341" s="2" t="s">
        <v>15</v>
      </c>
      <c r="J2341" s="2"/>
    </row>
    <row r="2342" spans="1:10" customFormat="1" ht="16" x14ac:dyDescent="0.2">
      <c r="A2342" t="s">
        <v>68</v>
      </c>
      <c r="B2342" s="3">
        <v>1.4838945395665916E-9</v>
      </c>
      <c r="D2342" t="s">
        <v>99</v>
      </c>
      <c r="E2342" t="s">
        <v>9</v>
      </c>
      <c r="F2342" s="2" t="s">
        <v>15</v>
      </c>
      <c r="J2342" s="2"/>
    </row>
    <row r="2343" spans="1:10" customFormat="1" ht="16" x14ac:dyDescent="0.2">
      <c r="A2343" t="s">
        <v>68</v>
      </c>
      <c r="B2343" s="3">
        <v>1.4401328196447246E-10</v>
      </c>
      <c r="D2343" t="s">
        <v>100</v>
      </c>
      <c r="E2343" t="s">
        <v>9</v>
      </c>
      <c r="F2343" s="2" t="s">
        <v>15</v>
      </c>
      <c r="J2343" s="2"/>
    </row>
    <row r="2344" spans="1:10" customFormat="1" ht="16" x14ac:dyDescent="0.2">
      <c r="A2344" t="s">
        <v>69</v>
      </c>
      <c r="B2344" s="25">
        <v>3.0006653682198702E-4</v>
      </c>
      <c r="D2344" t="s">
        <v>99</v>
      </c>
      <c r="E2344" t="s">
        <v>9</v>
      </c>
      <c r="F2344" s="2" t="s">
        <v>15</v>
      </c>
      <c r="J2344" s="2"/>
    </row>
    <row r="2345" spans="1:10" customFormat="1" ht="16" x14ac:dyDescent="0.2">
      <c r="A2345" t="s">
        <v>69</v>
      </c>
      <c r="B2345" s="3">
        <v>2.9121827432823326E-5</v>
      </c>
      <c r="D2345" t="s">
        <v>100</v>
      </c>
      <c r="E2345" t="s">
        <v>9</v>
      </c>
      <c r="F2345" s="2" t="s">
        <v>15</v>
      </c>
      <c r="J2345" s="2"/>
    </row>
    <row r="2346" spans="1:10" customFormat="1" ht="16" x14ac:dyDescent="0.2">
      <c r="A2346" t="s">
        <v>71</v>
      </c>
      <c r="B2346" s="3">
        <v>3.8963858482936672E-6</v>
      </c>
      <c r="D2346" t="s">
        <v>99</v>
      </c>
      <c r="E2346" t="s">
        <v>9</v>
      </c>
      <c r="F2346" s="2" t="s">
        <v>15</v>
      </c>
      <c r="J2346" s="2"/>
    </row>
    <row r="2347" spans="1:10" customFormat="1" ht="16" x14ac:dyDescent="0.2">
      <c r="A2347" t="s">
        <v>71</v>
      </c>
      <c r="B2347" s="3">
        <v>3.7814860338919342E-7</v>
      </c>
      <c r="D2347" t="s">
        <v>100</v>
      </c>
      <c r="E2347" t="s">
        <v>9</v>
      </c>
      <c r="F2347" s="2" t="s">
        <v>15</v>
      </c>
      <c r="J2347" s="2"/>
    </row>
    <row r="2348" spans="1:10" customFormat="1" ht="16" x14ac:dyDescent="0.2">
      <c r="A2348" t="s">
        <v>75</v>
      </c>
      <c r="B2348" s="3">
        <v>2.1198518564846293E-10</v>
      </c>
      <c r="D2348" t="s">
        <v>99</v>
      </c>
      <c r="E2348" t="s">
        <v>9</v>
      </c>
      <c r="F2348" s="2" t="s">
        <v>15</v>
      </c>
      <c r="J2348" s="2"/>
    </row>
    <row r="2349" spans="1:10" customFormat="1" ht="16" x14ac:dyDescent="0.2">
      <c r="A2349" t="s">
        <v>75</v>
      </c>
      <c r="B2349" s="3">
        <v>2.0573376279857471E-11</v>
      </c>
      <c r="D2349" t="s">
        <v>100</v>
      </c>
      <c r="E2349" t="s">
        <v>9</v>
      </c>
      <c r="F2349" s="2" t="s">
        <v>15</v>
      </c>
      <c r="J2349" s="2"/>
    </row>
    <row r="2350" spans="1:10" customFormat="1" ht="16" x14ac:dyDescent="0.2">
      <c r="A2350" t="s">
        <v>77</v>
      </c>
      <c r="B2350" s="3">
        <v>1.7806699275346112E-5</v>
      </c>
      <c r="D2350" t="s">
        <v>99</v>
      </c>
      <c r="E2350" t="s">
        <v>9</v>
      </c>
      <c r="F2350" s="2" t="s">
        <v>15</v>
      </c>
      <c r="J2350" s="2"/>
    </row>
    <row r="2351" spans="1:10" customFormat="1" ht="16" x14ac:dyDescent="0.2">
      <c r="A2351" t="s">
        <v>77</v>
      </c>
      <c r="B2351" s="3">
        <v>1.7281611435463185E-6</v>
      </c>
      <c r="D2351" t="s">
        <v>100</v>
      </c>
      <c r="E2351" t="s">
        <v>9</v>
      </c>
      <c r="F2351" s="2" t="s">
        <v>15</v>
      </c>
      <c r="J2351" s="2"/>
    </row>
    <row r="2352" spans="1:10" customFormat="1" ht="16" x14ac:dyDescent="0.2">
      <c r="A2352" t="s">
        <v>98</v>
      </c>
      <c r="B2352" s="3">
        <v>1.6219731937580282E-7</v>
      </c>
      <c r="D2352" t="s">
        <v>99</v>
      </c>
      <c r="E2352" s="2" t="s">
        <v>94</v>
      </c>
      <c r="F2352" s="2" t="s">
        <v>15</v>
      </c>
      <c r="J2352" s="2"/>
    </row>
    <row r="2353" spans="1:12" customFormat="1" ht="16" x14ac:dyDescent="0.2">
      <c r="A2353" t="s">
        <v>98</v>
      </c>
      <c r="B2353" s="3">
        <v>1.574145937016555E-8</v>
      </c>
      <c r="D2353" t="s">
        <v>100</v>
      </c>
      <c r="E2353" s="2" t="s">
        <v>94</v>
      </c>
      <c r="F2353" s="2" t="s">
        <v>15</v>
      </c>
      <c r="J2353" s="2"/>
    </row>
    <row r="2354" spans="1:12" customFormat="1" ht="16" x14ac:dyDescent="0.2">
      <c r="A2354" t="s">
        <v>79</v>
      </c>
      <c r="B2354" s="3">
        <v>2.1198518564846295E-7</v>
      </c>
      <c r="D2354" t="s">
        <v>99</v>
      </c>
      <c r="E2354" t="s">
        <v>9</v>
      </c>
      <c r="F2354" s="2" t="s">
        <v>15</v>
      </c>
      <c r="J2354" s="2"/>
    </row>
    <row r="2355" spans="1:12" customFormat="1" ht="16" x14ac:dyDescent="0.2">
      <c r="A2355" t="s">
        <v>79</v>
      </c>
      <c r="B2355" s="3">
        <v>2.0573376279857471E-8</v>
      </c>
      <c r="D2355" t="s">
        <v>100</v>
      </c>
      <c r="E2355" t="s">
        <v>9</v>
      </c>
      <c r="F2355" s="2" t="s">
        <v>15</v>
      </c>
      <c r="J2355" s="2"/>
    </row>
    <row r="2356" spans="1:12" customFormat="1" ht="16" x14ac:dyDescent="0.2">
      <c r="J2356" s="2"/>
    </row>
    <row r="2357" spans="1:12" x14ac:dyDescent="0.2">
      <c r="A2357" s="17" t="s">
        <v>2</v>
      </c>
      <c r="B2357" s="17" t="s">
        <v>378</v>
      </c>
    </row>
    <row r="2358" spans="1:12" customFormat="1" ht="16" x14ac:dyDescent="0.2">
      <c r="A2358" s="2" t="s">
        <v>3</v>
      </c>
      <c r="B2358" s="2" t="s">
        <v>18</v>
      </c>
      <c r="C2358" s="2"/>
      <c r="D2358" s="2"/>
      <c r="E2358" s="2"/>
      <c r="F2358" s="2"/>
      <c r="G2358" s="2"/>
      <c r="H2358" s="2"/>
      <c r="I2358" s="2"/>
      <c r="J2358" s="2"/>
      <c r="K2358" s="2"/>
      <c r="L2358" s="2"/>
    </row>
    <row r="2359" spans="1:12" customFormat="1" ht="16" x14ac:dyDescent="0.2">
      <c r="A2359" s="2" t="s">
        <v>4</v>
      </c>
      <c r="B2359" s="2">
        <v>1</v>
      </c>
      <c r="C2359" s="2"/>
      <c r="D2359" s="2"/>
      <c r="E2359" s="2"/>
      <c r="F2359" s="2"/>
      <c r="G2359" s="2"/>
      <c r="H2359" s="2"/>
      <c r="I2359" s="2"/>
      <c r="J2359" s="2"/>
      <c r="K2359" s="2"/>
      <c r="L2359" s="2"/>
    </row>
    <row r="2360" spans="1:12" customFormat="1" ht="16" x14ac:dyDescent="0.2">
      <c r="A2360" s="2" t="s">
        <v>5</v>
      </c>
      <c r="B2360" s="2" t="s">
        <v>142</v>
      </c>
      <c r="C2360" s="2"/>
      <c r="D2360" s="2"/>
      <c r="E2360" s="2"/>
      <c r="F2360" s="2"/>
      <c r="G2360" s="2"/>
      <c r="H2360" s="2"/>
      <c r="I2360" s="2"/>
      <c r="J2360" s="2"/>
    </row>
    <row r="2361" spans="1:12" customFormat="1" ht="16" x14ac:dyDescent="0.2">
      <c r="A2361" s="2" t="s">
        <v>6</v>
      </c>
      <c r="B2361" s="2" t="s">
        <v>7</v>
      </c>
      <c r="C2361" s="2"/>
      <c r="D2361" s="2"/>
      <c r="E2361" s="2"/>
      <c r="F2361" s="2"/>
      <c r="G2361" s="2"/>
      <c r="H2361" s="2"/>
      <c r="I2361" s="2"/>
      <c r="J2361" s="2"/>
      <c r="K2361" s="2"/>
      <c r="L2361" s="2"/>
    </row>
    <row r="2362" spans="1:12" customFormat="1" ht="16" x14ac:dyDescent="0.2">
      <c r="A2362" s="2" t="s">
        <v>8</v>
      </c>
      <c r="B2362" s="2" t="s">
        <v>17</v>
      </c>
      <c r="C2362" s="2"/>
      <c r="D2362" s="2"/>
      <c r="E2362" s="2"/>
      <c r="F2362" s="2"/>
      <c r="G2362" s="2"/>
      <c r="H2362" s="2"/>
      <c r="I2362" s="2"/>
      <c r="J2362" s="2"/>
      <c r="K2362" s="2"/>
      <c r="L2362" s="2"/>
    </row>
    <row r="2363" spans="1:12" customFormat="1" ht="16" x14ac:dyDescent="0.2">
      <c r="A2363" s="2" t="s">
        <v>151</v>
      </c>
      <c r="B2363" s="2" t="s">
        <v>387</v>
      </c>
      <c r="C2363" s="2"/>
      <c r="D2363" s="2"/>
      <c r="E2363" s="2"/>
      <c r="F2363" s="2"/>
      <c r="G2363" s="2"/>
      <c r="H2363" s="2"/>
      <c r="I2363" s="2"/>
      <c r="J2363" s="2"/>
      <c r="K2363" s="2"/>
      <c r="L2363" s="2"/>
    </row>
    <row r="2364" spans="1:12" customFormat="1" ht="16" x14ac:dyDescent="0.2">
      <c r="A2364" t="s">
        <v>352</v>
      </c>
      <c r="B2364" s="2">
        <f>INDEX(Parameters!$B$6:$AL$57,MATCH(Inventories!$B$2357,Parameters!$A$6:$A$57,0),MATCH(Inventories!$A2364,Parameters!$B$4:$AL$4,0))</f>
        <v>0</v>
      </c>
      <c r="C2364" t="s">
        <v>312</v>
      </c>
      <c r="D2364" s="2"/>
      <c r="E2364" s="2"/>
      <c r="F2364" s="2"/>
      <c r="G2364" s="2"/>
      <c r="H2364" s="2"/>
      <c r="I2364" s="2"/>
      <c r="J2364" s="2"/>
      <c r="K2364" s="2"/>
      <c r="L2364" s="2"/>
    </row>
    <row r="2365" spans="1:12" customFormat="1" ht="16" x14ac:dyDescent="0.2">
      <c r="A2365" t="s">
        <v>353</v>
      </c>
      <c r="B2365" s="2">
        <f>INDEX(Parameters!$B$6:$AL$57,MATCH(Inventories!$B$2357,Parameters!$A$6:$A$57,0),MATCH(Inventories!$A2365,Parameters!$B$4:$AL$4,0))</f>
        <v>0</v>
      </c>
      <c r="C2365" t="s">
        <v>312</v>
      </c>
      <c r="D2365" s="2"/>
      <c r="E2365" s="2"/>
      <c r="F2365" s="2"/>
      <c r="G2365" s="2"/>
      <c r="H2365" s="2"/>
      <c r="I2365" s="2"/>
      <c r="J2365" s="2"/>
      <c r="K2365" s="2"/>
      <c r="L2365" s="2"/>
    </row>
    <row r="2366" spans="1:12" customFormat="1" ht="16" x14ac:dyDescent="0.2">
      <c r="A2366" t="s">
        <v>354</v>
      </c>
      <c r="B2366" s="2">
        <f>INDEX(Parameters!$B$6:$AL$57,MATCH(Inventories!$B$2357,Parameters!$A$6:$A$57,0),MATCH(Inventories!$A2366,Parameters!$B$4:$AL$4,0))</f>
        <v>0</v>
      </c>
      <c r="C2366" t="s">
        <v>312</v>
      </c>
      <c r="D2366" s="2"/>
      <c r="E2366" s="2"/>
      <c r="F2366" s="2"/>
      <c r="G2366" s="2"/>
      <c r="H2366" s="2"/>
      <c r="I2366" s="2"/>
      <c r="J2366" s="2"/>
      <c r="K2366" s="2"/>
      <c r="L2366" s="2"/>
    </row>
    <row r="2367" spans="1:12" customFormat="1" ht="16" x14ac:dyDescent="0.2">
      <c r="A2367" t="s">
        <v>316</v>
      </c>
      <c r="B2367" s="24">
        <f>INDEX(Parameters!$B$6:$AL$57,MATCH(Inventories!$B$2357,Parameters!$A$6:$A$57,0),MATCH(Inventories!$A2367,Parameters!$B$4:$AL$4,0))</f>
        <v>90000000</v>
      </c>
      <c r="C2367" t="s">
        <v>313</v>
      </c>
      <c r="D2367" s="2"/>
      <c r="E2367" s="2"/>
      <c r="F2367" s="2"/>
      <c r="G2367" s="2"/>
      <c r="H2367" s="2"/>
      <c r="I2367" s="2"/>
      <c r="J2367" s="2"/>
      <c r="K2367" s="2"/>
      <c r="L2367" s="2"/>
    </row>
    <row r="2368" spans="1:12" customFormat="1" ht="16" x14ac:dyDescent="0.2">
      <c r="A2368" t="s">
        <v>317</v>
      </c>
      <c r="B2368" s="24">
        <f>INDEX(Parameters!$B$6:$AL$57,MATCH(Inventories!$B$2357,Parameters!$A$6:$A$57,0),MATCH(Inventories!$A2368,Parameters!$B$4:$AL$4,0))</f>
        <v>50000000</v>
      </c>
      <c r="C2368" t="s">
        <v>313</v>
      </c>
      <c r="D2368" s="2"/>
      <c r="E2368" s="2"/>
      <c r="F2368" s="2"/>
      <c r="G2368" s="2"/>
      <c r="H2368" s="2"/>
      <c r="I2368" s="2"/>
      <c r="J2368" s="2"/>
      <c r="K2368" s="2"/>
      <c r="L2368" s="2"/>
    </row>
    <row r="2369" spans="1:12" customFormat="1" ht="16" x14ac:dyDescent="0.2">
      <c r="A2369" t="s">
        <v>318</v>
      </c>
      <c r="B2369" s="24">
        <f>INDEX(Parameters!$B$6:$AL$57,MATCH(Inventories!$B$2357,Parameters!$A$6:$A$57,0),MATCH(Inventories!$A2369,Parameters!$B$4:$AL$4,0))</f>
        <v>115000000</v>
      </c>
      <c r="C2369" t="s">
        <v>313</v>
      </c>
      <c r="D2369" s="2"/>
      <c r="E2369" s="2"/>
      <c r="F2369" s="2"/>
      <c r="G2369" s="2"/>
      <c r="H2369" s="2"/>
      <c r="I2369" s="2"/>
      <c r="J2369" s="2"/>
      <c r="K2369" s="2"/>
      <c r="L2369" s="2"/>
    </row>
    <row r="2370" spans="1:12" customFormat="1" ht="16" x14ac:dyDescent="0.2">
      <c r="A2370" t="s">
        <v>319</v>
      </c>
      <c r="B2370" s="24">
        <f>INDEX(Parameters!$B$6:$AL$57,MATCH(Inventories!$B$2357,Parameters!$A$6:$A$57,0),MATCH(Inventories!$A2370,Parameters!$B$4:$AL$4,0))</f>
        <v>38400</v>
      </c>
      <c r="C2370" t="s">
        <v>314</v>
      </c>
      <c r="D2370" s="2"/>
      <c r="E2370" s="2"/>
      <c r="F2370" s="2"/>
      <c r="G2370" s="2"/>
      <c r="H2370" s="2"/>
      <c r="I2370" s="2"/>
      <c r="J2370" s="2"/>
      <c r="K2370" s="2"/>
      <c r="L2370" s="2"/>
    </row>
    <row r="2371" spans="1:12" customFormat="1" ht="16" x14ac:dyDescent="0.2">
      <c r="A2371" t="s">
        <v>320</v>
      </c>
      <c r="B2371" s="24">
        <f>INDEX(Parameters!$B$6:$AL$57,MATCH(Inventories!$B$2357,Parameters!$A$6:$A$57,0),MATCH(Inventories!$A2371,Parameters!$B$4:$AL$4,0))</f>
        <v>32400</v>
      </c>
      <c r="C2371" t="s">
        <v>314</v>
      </c>
      <c r="D2371" s="2"/>
      <c r="E2371" s="2"/>
      <c r="F2371" s="2"/>
      <c r="G2371" s="2"/>
      <c r="H2371" s="2"/>
      <c r="I2371" s="2"/>
      <c r="J2371" s="2"/>
      <c r="K2371" s="2"/>
      <c r="L2371" s="2"/>
    </row>
    <row r="2372" spans="1:12" customFormat="1" ht="16" x14ac:dyDescent="0.2">
      <c r="A2372" t="s">
        <v>321</v>
      </c>
      <c r="B2372" s="24">
        <f>INDEX(Parameters!$B$6:$AL$57,MATCH(Inventories!$B$2357,Parameters!$A$6:$A$57,0),MATCH(Inventories!$A2372,Parameters!$B$4:$AL$4,0))</f>
        <v>166800</v>
      </c>
      <c r="C2372" t="s">
        <v>314</v>
      </c>
      <c r="D2372" s="2"/>
      <c r="E2372" s="2"/>
      <c r="F2372" s="2"/>
      <c r="G2372" s="2"/>
      <c r="H2372" s="2"/>
      <c r="I2372" s="2"/>
      <c r="J2372" s="2"/>
      <c r="K2372" s="2"/>
      <c r="L2372" s="2"/>
    </row>
    <row r="2373" spans="1:12" customFormat="1" ht="16" x14ac:dyDescent="0.2">
      <c r="A2373" t="s">
        <v>337</v>
      </c>
      <c r="B2373" s="2">
        <f>INDEX(Parameters!$B$6:$AL$57,MATCH(Inventories!$B$2357,Parameters!$A$6:$A$57,0),MATCH(Inventories!$A2373,Parameters!$B$4:$AL$4,0))</f>
        <v>0</v>
      </c>
      <c r="C2373" t="s">
        <v>336</v>
      </c>
      <c r="D2373" s="2"/>
      <c r="E2373" s="2"/>
      <c r="F2373" s="2"/>
      <c r="G2373" s="2"/>
      <c r="H2373" s="2"/>
      <c r="I2373" s="2"/>
      <c r="J2373" s="2"/>
      <c r="K2373" s="2"/>
      <c r="L2373" s="2"/>
    </row>
    <row r="2374" spans="1:12" customFormat="1" ht="16" x14ac:dyDescent="0.2">
      <c r="A2374" t="s">
        <v>338</v>
      </c>
      <c r="B2374" s="2">
        <f>INDEX(Parameters!$B$6:$AL$57,MATCH(Inventories!$B$2357,Parameters!$A$6:$A$57,0),MATCH(Inventories!$A2374,Parameters!$B$4:$AL$4,0))</f>
        <v>0</v>
      </c>
      <c r="C2374" t="s">
        <v>336</v>
      </c>
      <c r="D2374" s="2"/>
      <c r="E2374" s="2"/>
      <c r="F2374" s="2"/>
      <c r="G2374" s="2"/>
      <c r="H2374" s="2"/>
      <c r="I2374" s="2"/>
      <c r="J2374" s="2"/>
      <c r="K2374" s="2"/>
      <c r="L2374" s="2"/>
    </row>
    <row r="2375" spans="1:12" customFormat="1" ht="16" x14ac:dyDescent="0.2">
      <c r="A2375" t="s">
        <v>339</v>
      </c>
      <c r="B2375" s="2">
        <f>INDEX(Parameters!$B$6:$AL$57,MATCH(Inventories!$B$2357,Parameters!$A$6:$A$57,0),MATCH(Inventories!$A2375,Parameters!$B$4:$AL$4,0))</f>
        <v>0</v>
      </c>
      <c r="C2375" t="s">
        <v>336</v>
      </c>
      <c r="D2375" s="2"/>
      <c r="E2375" s="2"/>
      <c r="F2375" s="2"/>
      <c r="G2375" s="2"/>
      <c r="H2375" s="2"/>
      <c r="I2375" s="2"/>
      <c r="J2375" s="2"/>
      <c r="K2375" s="2"/>
      <c r="L2375" s="2"/>
    </row>
    <row r="2376" spans="1:12" customFormat="1" ht="16" x14ac:dyDescent="0.2">
      <c r="A2376" t="s">
        <v>340</v>
      </c>
      <c r="B2376" s="2">
        <f>INDEX(Parameters!$B$6:$AL$57,MATCH(Inventories!$B$2357,Parameters!$A$6:$A$57,0),MATCH(Inventories!$A2376,Parameters!$B$4:$AL$4,0))</f>
        <v>0</v>
      </c>
      <c r="C2376" t="s">
        <v>336</v>
      </c>
      <c r="D2376" s="2"/>
      <c r="E2376" s="2"/>
      <c r="F2376" s="2"/>
      <c r="G2376" s="2"/>
      <c r="H2376" s="2"/>
      <c r="I2376" s="2"/>
      <c r="J2376" s="2"/>
      <c r="K2376" s="2"/>
      <c r="L2376" s="2"/>
    </row>
    <row r="2377" spans="1:12" customFormat="1" ht="16" x14ac:dyDescent="0.2">
      <c r="A2377" t="s">
        <v>341</v>
      </c>
      <c r="B2377" s="2">
        <f>INDEX(Parameters!$B$6:$AL$57,MATCH(Inventories!$B$2357,Parameters!$A$6:$A$57,0),MATCH(Inventories!$A2377,Parameters!$B$4:$AL$4,0))</f>
        <v>0</v>
      </c>
      <c r="C2377" t="s">
        <v>336</v>
      </c>
      <c r="D2377" s="2"/>
      <c r="E2377" s="2"/>
      <c r="F2377" s="2"/>
      <c r="G2377" s="2"/>
      <c r="H2377" s="2"/>
      <c r="I2377" s="2"/>
      <c r="J2377" s="2"/>
      <c r="K2377" s="2"/>
      <c r="L2377" s="2"/>
    </row>
    <row r="2378" spans="1:12" customFormat="1" ht="16" x14ac:dyDescent="0.2">
      <c r="A2378" t="s">
        <v>342</v>
      </c>
      <c r="B2378" s="2">
        <f>INDEX(Parameters!$B$6:$AL$57,MATCH(Inventories!$B$2357,Parameters!$A$6:$A$57,0),MATCH(Inventories!$A2378,Parameters!$B$4:$AL$4,0))</f>
        <v>0</v>
      </c>
      <c r="C2378" t="s">
        <v>336</v>
      </c>
      <c r="D2378" s="2"/>
      <c r="E2378" s="2"/>
      <c r="F2378" s="2"/>
      <c r="G2378" s="2"/>
      <c r="H2378" s="2"/>
      <c r="I2378" s="2"/>
      <c r="J2378" s="2"/>
      <c r="K2378" s="2"/>
      <c r="L2378" s="2"/>
    </row>
    <row r="2379" spans="1:12" customFormat="1" ht="16" x14ac:dyDescent="0.2">
      <c r="A2379" t="s">
        <v>333</v>
      </c>
      <c r="B2379" s="24">
        <f>INDEX(Parameters!$B$6:$AL$57,MATCH(Inventories!$B$2357,Parameters!$A$6:$A$57,0),MATCH(Inventories!$A2379,Parameters!$B$4:$AL$4,0))</f>
        <v>0</v>
      </c>
      <c r="C2379" t="s">
        <v>336</v>
      </c>
      <c r="D2379" s="2"/>
      <c r="E2379" s="2"/>
      <c r="F2379" s="2"/>
      <c r="G2379" s="2"/>
      <c r="H2379" s="2"/>
      <c r="I2379" s="2"/>
      <c r="J2379" s="2"/>
      <c r="K2379" s="2"/>
      <c r="L2379" s="2"/>
    </row>
    <row r="2380" spans="1:12" customFormat="1" ht="16" x14ac:dyDescent="0.2">
      <c r="A2380" t="s">
        <v>334</v>
      </c>
      <c r="B2380" s="24">
        <f>INDEX(Parameters!$B$6:$AL$57,MATCH(Inventories!$B$2357,Parameters!$A$6:$A$57,0),MATCH(Inventories!$A2380,Parameters!$B$4:$AL$4,0))</f>
        <v>0</v>
      </c>
      <c r="C2380" t="s">
        <v>336</v>
      </c>
      <c r="D2380" s="2"/>
      <c r="E2380" s="2"/>
      <c r="F2380" s="2"/>
      <c r="G2380" s="2"/>
      <c r="H2380" s="2"/>
      <c r="I2380" s="2"/>
      <c r="J2380" s="2"/>
      <c r="K2380" s="2"/>
      <c r="L2380" s="2"/>
    </row>
    <row r="2381" spans="1:12" customFormat="1" ht="16" x14ac:dyDescent="0.2">
      <c r="A2381" t="s">
        <v>335</v>
      </c>
      <c r="B2381" s="24">
        <f>INDEX(Parameters!$B$6:$AL$57,MATCH(Inventories!$B$2357,Parameters!$A$6:$A$57,0),MATCH(Inventories!$A2381,Parameters!$B$4:$AL$4,0))</f>
        <v>0</v>
      </c>
      <c r="C2381" t="s">
        <v>336</v>
      </c>
      <c r="D2381" s="2"/>
      <c r="E2381" s="2"/>
      <c r="F2381" s="2"/>
      <c r="G2381" s="2"/>
      <c r="H2381" s="2"/>
      <c r="I2381" s="2"/>
      <c r="J2381" s="2"/>
      <c r="K2381" s="2"/>
      <c r="L2381" s="2"/>
    </row>
    <row r="2382" spans="1:12" customFormat="1" ht="16" x14ac:dyDescent="0.2">
      <c r="A2382" t="s">
        <v>322</v>
      </c>
      <c r="B2382" s="2">
        <f>INDEX(Parameters!$B$6:$AL$57,MATCH(Inventories!$B$2357,Parameters!$A$6:$A$57,0),MATCH(Inventories!$A2382,Parameters!$B$4:$AL$4,0))</f>
        <v>10000</v>
      </c>
      <c r="C2382" t="s">
        <v>315</v>
      </c>
      <c r="D2382" s="2"/>
      <c r="E2382" s="2"/>
      <c r="F2382" s="2"/>
      <c r="G2382" s="2"/>
      <c r="H2382" s="2"/>
      <c r="I2382" s="2"/>
      <c r="J2382" s="2"/>
      <c r="K2382" s="2"/>
      <c r="L2382" s="2"/>
    </row>
    <row r="2383" spans="1:12" customFormat="1" ht="16" x14ac:dyDescent="0.2">
      <c r="A2383" t="s">
        <v>323</v>
      </c>
      <c r="B2383" s="2">
        <f>INDEX(Parameters!$B$6:$AL$57,MATCH(Inventories!$B$2357,Parameters!$A$6:$A$57,0),MATCH(Inventories!$A2383,Parameters!$B$4:$AL$4,0))</f>
        <v>8000</v>
      </c>
      <c r="C2383" t="s">
        <v>315</v>
      </c>
      <c r="D2383" s="2"/>
      <c r="E2383" s="2"/>
      <c r="F2383" s="2"/>
      <c r="G2383" s="2"/>
      <c r="H2383" s="2"/>
      <c r="I2383" s="2"/>
      <c r="J2383" s="2"/>
      <c r="K2383" s="2"/>
      <c r="L2383" s="2"/>
    </row>
    <row r="2384" spans="1:12" customFormat="1" ht="16" x14ac:dyDescent="0.2">
      <c r="A2384" t="s">
        <v>324</v>
      </c>
      <c r="B2384" s="2">
        <f>INDEX(Parameters!$B$6:$AL$57,MATCH(Inventories!$B$2357,Parameters!$A$6:$A$57,0),MATCH(Inventories!$A2384,Parameters!$B$4:$AL$4,0))</f>
        <v>12500</v>
      </c>
      <c r="C2384" t="s">
        <v>315</v>
      </c>
      <c r="D2384" s="2"/>
      <c r="E2384" s="2"/>
      <c r="F2384" s="2"/>
      <c r="G2384" s="2"/>
      <c r="H2384" s="2"/>
      <c r="I2384" s="2"/>
      <c r="J2384" s="2"/>
      <c r="K2384" s="2"/>
      <c r="L2384" s="2"/>
    </row>
    <row r="2385" spans="1:12" customFormat="1" ht="16" x14ac:dyDescent="0.2">
      <c r="A2385" t="s">
        <v>330</v>
      </c>
      <c r="B2385" s="2">
        <f>INDEX(Parameters!$B$6:$AL$57,MATCH(Inventories!$B$2357,Parameters!$A$6:$A$57,0),MATCH(Inventories!$A2385,Parameters!$B$4:$AL$4,0))</f>
        <v>10</v>
      </c>
      <c r="C2385" t="s">
        <v>8</v>
      </c>
      <c r="D2385" s="2"/>
      <c r="E2385" s="2"/>
      <c r="F2385" s="2"/>
      <c r="G2385" s="2"/>
      <c r="H2385" s="2"/>
      <c r="I2385" s="2"/>
      <c r="J2385" s="2"/>
      <c r="K2385" s="2"/>
      <c r="L2385" s="2"/>
    </row>
    <row r="2386" spans="1:12" customFormat="1" ht="16" x14ac:dyDescent="0.2">
      <c r="A2386" t="s">
        <v>331</v>
      </c>
      <c r="B2386" s="2">
        <f>INDEX(Parameters!$B$6:$AL$57,MATCH(Inventories!$B$2357,Parameters!$A$6:$A$57,0),MATCH(Inventories!$A2386,Parameters!$B$4:$AL$4,0))</f>
        <v>5</v>
      </c>
      <c r="C2386" t="s">
        <v>8</v>
      </c>
      <c r="D2386" s="2"/>
      <c r="E2386" s="2"/>
      <c r="F2386" s="2"/>
      <c r="G2386" s="2"/>
      <c r="H2386" s="2"/>
      <c r="I2386" s="2"/>
      <c r="J2386" s="2"/>
      <c r="K2386" s="2"/>
      <c r="L2386" s="2"/>
    </row>
    <row r="2387" spans="1:12" customFormat="1" ht="16" x14ac:dyDescent="0.2">
      <c r="A2387" t="s">
        <v>332</v>
      </c>
      <c r="B2387" s="2">
        <f>INDEX(Parameters!$B$6:$AL$57,MATCH(Inventories!$B$2357,Parameters!$A$6:$A$57,0),MATCH(Inventories!$A2387,Parameters!$B$4:$AL$4,0))</f>
        <v>30</v>
      </c>
      <c r="C2387" t="s">
        <v>8</v>
      </c>
      <c r="D2387" s="2"/>
      <c r="E2387" s="2"/>
      <c r="F2387" s="2"/>
      <c r="G2387" s="2"/>
      <c r="H2387" s="2"/>
      <c r="I2387" s="2"/>
      <c r="J2387" s="2"/>
      <c r="K2387" s="2"/>
      <c r="L2387" s="2"/>
    </row>
    <row r="2388" spans="1:12" customFormat="1" ht="16" x14ac:dyDescent="0.2">
      <c r="A2388" t="s">
        <v>346</v>
      </c>
      <c r="B2388" s="2">
        <f>INDEX(Parameters!$B$6:$AL$57,MATCH(Inventories!$B$2357,Parameters!$A$6:$A$57,0),MATCH(Inventories!$A2388,Parameters!$B$4:$AL$4,0))</f>
        <v>0</v>
      </c>
      <c r="C2388" t="s">
        <v>312</v>
      </c>
      <c r="D2388" s="2"/>
      <c r="E2388" s="2"/>
      <c r="F2388" s="2"/>
      <c r="G2388" s="2"/>
      <c r="H2388" s="2"/>
      <c r="I2388" s="2"/>
      <c r="J2388" s="2"/>
      <c r="K2388" s="2"/>
      <c r="L2388" s="2"/>
    </row>
    <row r="2389" spans="1:12" customFormat="1" ht="16" x14ac:dyDescent="0.2">
      <c r="A2389" t="s">
        <v>347</v>
      </c>
      <c r="B2389" s="2">
        <f>INDEX(Parameters!$B$6:$AL$57,MATCH(Inventories!$B$2357,Parameters!$A$6:$A$57,0),MATCH(Inventories!$A2389,Parameters!$B$4:$AL$4,0))</f>
        <v>0</v>
      </c>
      <c r="C2389" t="s">
        <v>312</v>
      </c>
      <c r="D2389" s="2"/>
      <c r="E2389" s="12"/>
      <c r="F2389" s="2"/>
      <c r="G2389" s="2"/>
      <c r="H2389" s="2"/>
      <c r="I2389" s="2"/>
      <c r="J2389" s="2"/>
      <c r="K2389" s="2"/>
      <c r="L2389" s="2"/>
    </row>
    <row r="2390" spans="1:12" customFormat="1" ht="16" x14ac:dyDescent="0.2">
      <c r="A2390" t="s">
        <v>348</v>
      </c>
      <c r="B2390" s="2">
        <f>INDEX(Parameters!$B$6:$AL$57,MATCH(Inventories!$B$2357,Parameters!$A$6:$A$57,0),MATCH(Inventories!$A2390,Parameters!$B$4:$AL$4,0))</f>
        <v>0</v>
      </c>
      <c r="C2390" t="s">
        <v>312</v>
      </c>
      <c r="D2390" s="2"/>
      <c r="E2390" s="2"/>
      <c r="F2390" s="2"/>
      <c r="G2390" s="2"/>
      <c r="H2390" s="2"/>
      <c r="I2390" s="2"/>
      <c r="J2390" s="2"/>
      <c r="K2390" s="2"/>
      <c r="L2390" s="2"/>
    </row>
    <row r="2391" spans="1:12" customFormat="1" ht="16" x14ac:dyDescent="0.2">
      <c r="A2391" t="s">
        <v>349</v>
      </c>
      <c r="B2391" s="2">
        <f>INDEX(Parameters!$B$6:$AL$57,MATCH(Inventories!$B$2357,Parameters!$A$6:$A$57,0),MATCH(Inventories!$A2391,Parameters!$B$4:$AL$4,0))</f>
        <v>0</v>
      </c>
      <c r="C2391" t="s">
        <v>8</v>
      </c>
      <c r="D2391" s="2"/>
      <c r="E2391" s="2"/>
      <c r="F2391" s="2"/>
      <c r="G2391" s="2"/>
      <c r="H2391" s="2"/>
      <c r="I2391" s="2"/>
      <c r="J2391" s="2"/>
      <c r="K2391" s="2"/>
      <c r="L2391" s="2"/>
    </row>
    <row r="2392" spans="1:12" customFormat="1" ht="16" x14ac:dyDescent="0.2">
      <c r="A2392" t="s">
        <v>350</v>
      </c>
      <c r="B2392" s="2">
        <f>INDEX(Parameters!$B$6:$AL$57,MATCH(Inventories!$B$2357,Parameters!$A$6:$A$57,0),MATCH(Inventories!$A2392,Parameters!$B$4:$AL$4,0))</f>
        <v>0</v>
      </c>
      <c r="C2392" t="s">
        <v>8</v>
      </c>
      <c r="D2392" s="2"/>
      <c r="E2392" s="2"/>
      <c r="F2392" s="2"/>
      <c r="G2392" s="2"/>
      <c r="H2392" s="2"/>
      <c r="I2392" s="2"/>
      <c r="J2392" s="2"/>
      <c r="K2392" s="2"/>
      <c r="L2392" s="2"/>
    </row>
    <row r="2393" spans="1:12" customFormat="1" ht="16" x14ac:dyDescent="0.2">
      <c r="A2393" t="s">
        <v>351</v>
      </c>
      <c r="B2393" s="2">
        <f>INDEX(Parameters!$B$6:$AL$57,MATCH(Inventories!$B$2357,Parameters!$A$6:$A$57,0),MATCH(Inventories!$A2393,Parameters!$B$4:$AL$4,0))</f>
        <v>0</v>
      </c>
      <c r="C2393" t="s">
        <v>8</v>
      </c>
      <c r="D2393" s="2"/>
      <c r="E2393" s="2"/>
      <c r="F2393" s="2"/>
      <c r="G2393" s="2"/>
      <c r="H2393" s="2"/>
      <c r="I2393" s="2"/>
      <c r="J2393" s="2"/>
      <c r="K2393" s="2"/>
      <c r="L2393" s="2"/>
    </row>
    <row r="2394" spans="1:12" customFormat="1" ht="16" x14ac:dyDescent="0.2">
      <c r="A2394" t="s">
        <v>365</v>
      </c>
      <c r="B2394" s="2">
        <f>INDEX(Parameters!$B$6:$AL$57,MATCH(Inventories!$B$2357,Parameters!$A$6:$A$57,0),MATCH(Inventories!$A2394,Parameters!$B$4:$AL$4,0))</f>
        <v>0</v>
      </c>
      <c r="C2394" t="s">
        <v>336</v>
      </c>
      <c r="D2394" s="2"/>
      <c r="E2394" s="2"/>
      <c r="F2394" s="2"/>
      <c r="G2394" s="2"/>
      <c r="H2394" s="2"/>
      <c r="I2394" s="2"/>
      <c r="J2394" s="2"/>
      <c r="K2394" s="2"/>
      <c r="L2394" s="2"/>
    </row>
    <row r="2395" spans="1:12" customFormat="1" ht="16" x14ac:dyDescent="0.2">
      <c r="A2395" t="s">
        <v>366</v>
      </c>
      <c r="B2395" s="2">
        <f>INDEX(Parameters!$B$6:$AL$57,MATCH(Inventories!$B$2357,Parameters!$A$6:$A$57,0),MATCH(Inventories!$A2395,Parameters!$B$4:$AL$4,0))</f>
        <v>0</v>
      </c>
      <c r="C2395" t="s">
        <v>336</v>
      </c>
      <c r="D2395" s="2"/>
      <c r="E2395" s="2"/>
      <c r="F2395" s="2"/>
      <c r="G2395" s="2"/>
      <c r="H2395" s="2"/>
      <c r="I2395" s="2"/>
      <c r="J2395" s="2"/>
      <c r="K2395" s="2"/>
      <c r="L2395" s="2"/>
    </row>
    <row r="2396" spans="1:12" customFormat="1" ht="16" x14ac:dyDescent="0.2">
      <c r="A2396" t="s">
        <v>367</v>
      </c>
      <c r="B2396" s="2">
        <f>INDEX(Parameters!$B$6:$AL$57,MATCH(Inventories!$B$2357,Parameters!$A$6:$A$57,0),MATCH(Inventories!$A2396,Parameters!$B$4:$AL$4,0))</f>
        <v>0</v>
      </c>
      <c r="C2396" t="s">
        <v>336</v>
      </c>
      <c r="D2396" s="2"/>
      <c r="E2396" s="2"/>
      <c r="F2396" s="2"/>
      <c r="G2396" s="2"/>
      <c r="H2396" s="2"/>
      <c r="I2396" s="2"/>
      <c r="J2396" s="2"/>
      <c r="K2396" s="2"/>
      <c r="L2396" s="2"/>
    </row>
    <row r="2397" spans="1:12" customFormat="1" ht="16" x14ac:dyDescent="0.2">
      <c r="A2397" t="s">
        <v>368</v>
      </c>
      <c r="B2397" s="2">
        <f>INDEX(Parameters!$B$6:$AL$57,MATCH(Inventories!$B$2357,Parameters!$A$6:$A$57,0),MATCH(Inventories!$A2397,Parameters!$B$4:$AL$4,0))</f>
        <v>0</v>
      </c>
      <c r="C2397" t="s">
        <v>336</v>
      </c>
      <c r="D2397" s="2"/>
      <c r="E2397" s="2"/>
      <c r="F2397" s="2"/>
      <c r="G2397" s="2"/>
      <c r="H2397" s="2"/>
      <c r="I2397" s="2"/>
      <c r="J2397" s="2"/>
      <c r="K2397" s="2"/>
      <c r="L2397" s="2"/>
    </row>
    <row r="2398" spans="1:12" customFormat="1" ht="16" x14ac:dyDescent="0.2">
      <c r="A2398" t="s">
        <v>369</v>
      </c>
      <c r="B2398" s="2">
        <f>INDEX(Parameters!$B$6:$AL$57,MATCH(Inventories!$B$2357,Parameters!$A$6:$A$57,0),MATCH(Inventories!$A2398,Parameters!$B$4:$AL$4,0))</f>
        <v>0</v>
      </c>
      <c r="C2398" t="s">
        <v>336</v>
      </c>
      <c r="D2398" s="2"/>
      <c r="E2398" s="2"/>
      <c r="F2398" s="2"/>
      <c r="G2398" s="2"/>
      <c r="H2398" s="2"/>
      <c r="I2398" s="2"/>
      <c r="J2398" s="2"/>
      <c r="K2398" s="2"/>
      <c r="L2398" s="2"/>
    </row>
    <row r="2399" spans="1:12" customFormat="1" ht="16" x14ac:dyDescent="0.2">
      <c r="A2399" t="s">
        <v>344</v>
      </c>
      <c r="B2399" s="32">
        <f>INDEX(Parameters!$B$6:$AL$57,MATCH(Inventories!$B$2357,Parameters!$A$6:$A$57,0),MATCH(Inventories!$A2399,Parameters!$B$4:$AL$4,0))</f>
        <v>0</v>
      </c>
      <c r="C2399" t="s">
        <v>345</v>
      </c>
      <c r="D2399" s="2"/>
      <c r="E2399" s="2"/>
      <c r="F2399" s="2"/>
      <c r="G2399" s="2"/>
      <c r="H2399" s="2"/>
      <c r="I2399" s="2"/>
      <c r="J2399" s="2"/>
      <c r="K2399" s="2"/>
      <c r="L2399" s="2"/>
    </row>
    <row r="2400" spans="1:12" customFormat="1" ht="16" x14ac:dyDescent="0.2">
      <c r="A2400" t="s">
        <v>343</v>
      </c>
      <c r="B2400" s="32">
        <f>INDEX(Parameters!$B$6:$AL$57,MATCH(Inventories!$B$2357,Parameters!$A$6:$A$57,0),MATCH(Inventories!$A2400,Parameters!$B$4:$AL$4,0))</f>
        <v>0</v>
      </c>
      <c r="C2400" t="s">
        <v>345</v>
      </c>
      <c r="D2400" s="2"/>
      <c r="E2400" s="2"/>
      <c r="F2400" s="2"/>
      <c r="G2400" s="2"/>
      <c r="H2400" s="2"/>
      <c r="I2400" s="2"/>
      <c r="J2400" s="2"/>
      <c r="K2400" s="2"/>
      <c r="L2400" s="2"/>
    </row>
    <row r="2401" spans="1:12" customFormat="1" ht="16" x14ac:dyDescent="0.2">
      <c r="A2401" s="1" t="s">
        <v>10</v>
      </c>
      <c r="B2401" s="2"/>
      <c r="C2401" s="2"/>
      <c r="D2401" s="2"/>
      <c r="E2401" s="2"/>
      <c r="F2401" s="2"/>
      <c r="G2401" s="2"/>
      <c r="H2401" s="2"/>
      <c r="I2401" s="2"/>
      <c r="J2401" s="2"/>
      <c r="K2401" s="2"/>
      <c r="L2401" s="2"/>
    </row>
    <row r="2402" spans="1:12" x14ac:dyDescent="0.2">
      <c r="A2402" s="17" t="s">
        <v>11</v>
      </c>
      <c r="B2402" s="17" t="s">
        <v>12</v>
      </c>
      <c r="C2402" s="17" t="s">
        <v>3</v>
      </c>
      <c r="D2402" s="17" t="s">
        <v>13</v>
      </c>
      <c r="E2402" s="17" t="s">
        <v>8</v>
      </c>
      <c r="F2402" s="17" t="s">
        <v>6</v>
      </c>
      <c r="G2402" s="17" t="s">
        <v>5</v>
      </c>
      <c r="H2402" s="17" t="s">
        <v>151</v>
      </c>
      <c r="I2402" s="17" t="s">
        <v>179</v>
      </c>
      <c r="J2402" s="17" t="s">
        <v>180</v>
      </c>
      <c r="K2402" s="17" t="s">
        <v>181</v>
      </c>
      <c r="L2402" s="17" t="s">
        <v>182</v>
      </c>
    </row>
    <row r="2403" spans="1:12" customFormat="1" ht="16" x14ac:dyDescent="0.2">
      <c r="A2403" s="2" t="str">
        <f>B2357</f>
        <v>electricity, used in aircraft</v>
      </c>
      <c r="B2403" s="2">
        <v>1</v>
      </c>
      <c r="C2403" s="2" t="str">
        <f>B2358</f>
        <v>RER</v>
      </c>
      <c r="D2403" s="2"/>
      <c r="E2403" s="2" t="str">
        <f>B2362</f>
        <v>megajoule</v>
      </c>
      <c r="F2403" s="2" t="s">
        <v>19</v>
      </c>
      <c r="G2403" s="2" t="str">
        <f>B2360</f>
        <v>electricity, low voltage</v>
      </c>
      <c r="H2403" s="2"/>
      <c r="I2403" s="2"/>
      <c r="J2403" s="2"/>
      <c r="K2403" s="2"/>
      <c r="L2403" s="2"/>
    </row>
    <row r="2404" spans="1:12" customFormat="1" ht="16" x14ac:dyDescent="0.2">
      <c r="A2404" t="s">
        <v>140</v>
      </c>
      <c r="B2404" s="33">
        <f>1/3.6</f>
        <v>0.27777777777777779</v>
      </c>
      <c r="C2404" t="s">
        <v>18</v>
      </c>
      <c r="E2404" t="s">
        <v>141</v>
      </c>
      <c r="F2404" t="s">
        <v>23</v>
      </c>
      <c r="G2404" t="s">
        <v>142</v>
      </c>
      <c r="H2404" s="2"/>
      <c r="I2404" s="2"/>
    </row>
    <row r="2405" spans="1:12" customFormat="1" ht="16" x14ac:dyDescent="0.2">
      <c r="A2405" t="s">
        <v>189</v>
      </c>
      <c r="B2405" s="3">
        <f>((B2382*(1+B2385))/B2367)/(B2370/1000)</f>
        <v>3.1828703703703708E-5</v>
      </c>
      <c r="C2405" s="2" t="s">
        <v>114</v>
      </c>
      <c r="E2405" t="s">
        <v>141</v>
      </c>
      <c r="F2405" t="s">
        <v>23</v>
      </c>
      <c r="G2405" t="s">
        <v>190</v>
      </c>
      <c r="H2405" s="2"/>
      <c r="I2405">
        <v>5</v>
      </c>
      <c r="J2405" s="3">
        <f>B2405</f>
        <v>3.1828703703703708E-5</v>
      </c>
      <c r="K2405" s="3">
        <f>((B2383*(1*B2386))/B2369)/(B2372/1000)</f>
        <v>2.0852882911062456E-6</v>
      </c>
      <c r="L2405" s="3">
        <f>((B2384*(1+B2387))/B2368)/(B2371/1000)</f>
        <v>2.3919753086419754E-4</v>
      </c>
    </row>
    <row r="2406" spans="1:12" customFormat="1" ht="16" x14ac:dyDescent="0.2">
      <c r="A2406" s="2"/>
      <c r="B2406" s="2"/>
      <c r="C2406" s="2"/>
      <c r="D2406" s="2"/>
      <c r="E2406" s="2"/>
      <c r="F2406" s="2"/>
      <c r="G2406" s="2"/>
      <c r="H2406" s="2"/>
      <c r="I2406" s="2"/>
      <c r="J2406" s="2"/>
      <c r="K2406" s="2"/>
      <c r="L2406" s="2"/>
    </row>
    <row r="2407" spans="1:12" x14ac:dyDescent="0.2">
      <c r="A2407" s="17" t="s">
        <v>2</v>
      </c>
      <c r="B2407" s="17" t="s">
        <v>382</v>
      </c>
    </row>
    <row r="2408" spans="1:12" customFormat="1" ht="16" x14ac:dyDescent="0.2">
      <c r="A2408" s="2" t="s">
        <v>3</v>
      </c>
      <c r="B2408" s="2" t="s">
        <v>18</v>
      </c>
      <c r="C2408" s="2"/>
      <c r="D2408" s="2"/>
      <c r="E2408" s="2"/>
      <c r="F2408" s="2"/>
      <c r="G2408" s="2"/>
      <c r="H2408" s="2"/>
      <c r="I2408" s="2"/>
      <c r="J2408" s="2"/>
      <c r="K2408" s="2"/>
      <c r="L2408" s="2"/>
    </row>
    <row r="2409" spans="1:12" customFormat="1" ht="16" x14ac:dyDescent="0.2">
      <c r="A2409" s="2" t="s">
        <v>4</v>
      </c>
      <c r="B2409" s="2">
        <v>1</v>
      </c>
      <c r="C2409" s="2"/>
      <c r="D2409" s="2"/>
      <c r="E2409" s="2"/>
      <c r="F2409" s="2"/>
      <c r="G2409" s="2"/>
      <c r="H2409" s="2"/>
      <c r="I2409" s="2"/>
      <c r="J2409" s="2"/>
      <c r="K2409" s="2"/>
      <c r="L2409" s="2"/>
    </row>
    <row r="2410" spans="1:12" customFormat="1" ht="16" x14ac:dyDescent="0.2">
      <c r="A2410" s="2" t="s">
        <v>5</v>
      </c>
      <c r="B2410" s="2" t="s">
        <v>1</v>
      </c>
      <c r="C2410" s="2"/>
      <c r="D2410" s="2"/>
      <c r="E2410" s="2"/>
      <c r="F2410" s="2"/>
      <c r="G2410" s="2"/>
      <c r="H2410" s="2"/>
      <c r="I2410" s="2"/>
      <c r="J2410" s="2"/>
    </row>
    <row r="2411" spans="1:12" customFormat="1" ht="16" x14ac:dyDescent="0.2">
      <c r="A2411" s="2" t="s">
        <v>6</v>
      </c>
      <c r="B2411" s="2" t="s">
        <v>7</v>
      </c>
      <c r="C2411" s="2"/>
      <c r="D2411" s="2"/>
      <c r="E2411" s="2"/>
      <c r="F2411" s="2"/>
      <c r="G2411" s="2"/>
      <c r="H2411" s="2"/>
      <c r="I2411" s="2"/>
      <c r="J2411" s="2"/>
      <c r="K2411" s="2"/>
      <c r="L2411" s="2"/>
    </row>
    <row r="2412" spans="1:12" customFormat="1" ht="16" x14ac:dyDescent="0.2">
      <c r="A2412" s="2" t="s">
        <v>8</v>
      </c>
      <c r="B2412" s="2" t="s">
        <v>17</v>
      </c>
      <c r="C2412" s="2"/>
      <c r="D2412" s="2"/>
      <c r="E2412" s="2"/>
      <c r="F2412" s="2"/>
      <c r="G2412" s="2"/>
      <c r="H2412" s="2"/>
      <c r="I2412" s="2"/>
      <c r="J2412" s="2"/>
      <c r="K2412" s="2"/>
      <c r="L2412" s="2"/>
    </row>
    <row r="2413" spans="1:12" customFormat="1" ht="16" x14ac:dyDescent="0.2">
      <c r="A2413" s="2" t="s">
        <v>151</v>
      </c>
      <c r="B2413" s="2" t="s">
        <v>385</v>
      </c>
      <c r="C2413" s="2"/>
      <c r="D2413" s="2"/>
      <c r="E2413" s="2"/>
      <c r="F2413" s="2"/>
      <c r="G2413" s="2"/>
      <c r="H2413" s="2"/>
      <c r="I2413" s="2"/>
      <c r="J2413" s="2"/>
      <c r="K2413" s="2"/>
      <c r="L2413" s="2"/>
    </row>
    <row r="2414" spans="1:12" customFormat="1" ht="16" x14ac:dyDescent="0.2">
      <c r="A2414" t="s">
        <v>352</v>
      </c>
      <c r="B2414" s="2">
        <f>INDEX(Parameters!$B$6:$AL$57,MATCH(Inventories!$B$2407,Parameters!$A$6:$A$57,0),MATCH(Inventories!$A2414,Parameters!$B$4:$AL$4,0))</f>
        <v>0</v>
      </c>
      <c r="C2414" t="s">
        <v>312</v>
      </c>
      <c r="D2414" s="2"/>
      <c r="E2414" s="2"/>
      <c r="F2414" s="2"/>
      <c r="G2414" s="2"/>
      <c r="H2414" s="2"/>
      <c r="I2414" s="2"/>
      <c r="J2414" s="2"/>
      <c r="K2414" s="2"/>
      <c r="L2414" s="2"/>
    </row>
    <row r="2415" spans="1:12" customFormat="1" ht="16" x14ac:dyDescent="0.2">
      <c r="A2415" t="s">
        <v>353</v>
      </c>
      <c r="B2415" s="2">
        <f>INDEX(Parameters!$B$6:$AL$57,MATCH(Inventories!$B$2407,Parameters!$A$6:$A$57,0),MATCH(Inventories!$A2415,Parameters!$B$4:$AL$4,0))</f>
        <v>0</v>
      </c>
      <c r="C2415" t="s">
        <v>312</v>
      </c>
      <c r="D2415" s="2"/>
      <c r="E2415" s="2"/>
      <c r="F2415" s="2"/>
      <c r="G2415" s="2"/>
      <c r="H2415" s="2"/>
      <c r="I2415" s="2"/>
      <c r="J2415" s="2"/>
      <c r="K2415" s="2"/>
      <c r="L2415" s="2"/>
    </row>
    <row r="2416" spans="1:12" customFormat="1" ht="16" x14ac:dyDescent="0.2">
      <c r="A2416" t="s">
        <v>354</v>
      </c>
      <c r="B2416" s="2">
        <f>INDEX(Parameters!$B$6:$AL$57,MATCH(Inventories!$B$2407,Parameters!$A$6:$A$57,0),MATCH(Inventories!$A2416,Parameters!$B$4:$AL$4,0))</f>
        <v>0</v>
      </c>
      <c r="C2416" t="s">
        <v>312</v>
      </c>
      <c r="D2416" s="2"/>
      <c r="E2416" s="2"/>
      <c r="F2416" s="2"/>
      <c r="G2416" s="2"/>
      <c r="H2416" s="2"/>
      <c r="I2416" s="2"/>
      <c r="J2416" s="2"/>
      <c r="K2416" s="2"/>
      <c r="L2416" s="2"/>
    </row>
    <row r="2417" spans="1:12" customFormat="1" ht="16" x14ac:dyDescent="0.2">
      <c r="A2417" t="s">
        <v>316</v>
      </c>
      <c r="B2417" s="24">
        <f>INDEX(Parameters!$B$6:$AL$57,MATCH(Inventories!$B$2407,Parameters!$A$6:$A$57,0),MATCH(Inventories!$A2417,Parameters!$B$4:$AL$4,0))</f>
        <v>90000000</v>
      </c>
      <c r="C2417" t="s">
        <v>313</v>
      </c>
      <c r="D2417" s="2"/>
      <c r="E2417" s="2"/>
      <c r="F2417" s="2"/>
      <c r="G2417" s="2"/>
      <c r="H2417" s="2"/>
      <c r="I2417" s="2"/>
      <c r="J2417" s="2"/>
      <c r="K2417" s="2"/>
      <c r="L2417" s="2"/>
    </row>
    <row r="2418" spans="1:12" customFormat="1" ht="16" x14ac:dyDescent="0.2">
      <c r="A2418" t="s">
        <v>317</v>
      </c>
      <c r="B2418" s="24">
        <f>INDEX(Parameters!$B$6:$AL$57,MATCH(Inventories!$B$2407,Parameters!$A$6:$A$57,0),MATCH(Inventories!$A2418,Parameters!$B$4:$AL$4,0))</f>
        <v>50000000</v>
      </c>
      <c r="C2418" t="s">
        <v>313</v>
      </c>
      <c r="D2418" s="2"/>
      <c r="E2418" s="2"/>
      <c r="F2418" s="2"/>
      <c r="G2418" s="2"/>
      <c r="H2418" s="2"/>
      <c r="I2418" s="2"/>
      <c r="J2418" s="2"/>
      <c r="K2418" s="2"/>
      <c r="L2418" s="2"/>
    </row>
    <row r="2419" spans="1:12" customFormat="1" ht="16" x14ac:dyDescent="0.2">
      <c r="A2419" t="s">
        <v>318</v>
      </c>
      <c r="B2419" s="24">
        <f>INDEX(Parameters!$B$6:$AL$57,MATCH(Inventories!$B$2407,Parameters!$A$6:$A$57,0),MATCH(Inventories!$A2419,Parameters!$B$4:$AL$4,0))</f>
        <v>115000000</v>
      </c>
      <c r="C2419" t="s">
        <v>313</v>
      </c>
      <c r="D2419" s="2"/>
      <c r="E2419" s="2"/>
      <c r="F2419" s="2"/>
      <c r="G2419" s="2"/>
      <c r="H2419" s="2"/>
      <c r="I2419" s="2"/>
      <c r="J2419" s="2"/>
      <c r="K2419" s="2"/>
      <c r="L2419" s="2"/>
    </row>
    <row r="2420" spans="1:12" customFormat="1" ht="16" x14ac:dyDescent="0.2">
      <c r="A2420" t="s">
        <v>319</v>
      </c>
      <c r="B2420" s="24">
        <f>INDEX(Parameters!$B$6:$AL$57,MATCH(Inventories!$B$2407,Parameters!$A$6:$A$57,0),MATCH(Inventories!$A2420,Parameters!$B$4:$AL$4,0))</f>
        <v>120000</v>
      </c>
      <c r="C2420" t="s">
        <v>314</v>
      </c>
      <c r="D2420" s="2"/>
      <c r="E2420" s="2"/>
      <c r="F2420" s="2"/>
      <c r="G2420" s="2"/>
      <c r="H2420" s="2"/>
      <c r="I2420" s="2"/>
      <c r="J2420" s="2"/>
      <c r="K2420" s="2"/>
      <c r="L2420" s="2"/>
    </row>
    <row r="2421" spans="1:12" customFormat="1" ht="16" x14ac:dyDescent="0.2">
      <c r="A2421" t="s">
        <v>320</v>
      </c>
      <c r="B2421" s="24">
        <f>INDEX(Parameters!$B$6:$AL$57,MATCH(Inventories!$B$2407,Parameters!$A$6:$A$57,0),MATCH(Inventories!$A2421,Parameters!$B$4:$AL$4,0))</f>
        <v>101000</v>
      </c>
      <c r="C2421" t="s">
        <v>314</v>
      </c>
      <c r="D2421" s="2"/>
      <c r="E2421" s="2"/>
      <c r="F2421" s="2"/>
      <c r="G2421" s="2"/>
      <c r="H2421" s="2"/>
      <c r="I2421" s="2"/>
      <c r="J2421" s="2"/>
      <c r="K2421" s="2"/>
      <c r="L2421" s="2"/>
    </row>
    <row r="2422" spans="1:12" customFormat="1" ht="16" x14ac:dyDescent="0.2">
      <c r="A2422" t="s">
        <v>321</v>
      </c>
      <c r="B2422" s="24">
        <f>INDEX(Parameters!$B$6:$AL$57,MATCH(Inventories!$B$2407,Parameters!$A$6:$A$57,0),MATCH(Inventories!$A2422,Parameters!$B$4:$AL$4,0))</f>
        <v>165000</v>
      </c>
      <c r="C2422" t="s">
        <v>314</v>
      </c>
      <c r="D2422" s="2"/>
      <c r="E2422" s="2"/>
      <c r="F2422" s="2"/>
      <c r="G2422" s="2"/>
      <c r="H2422" s="2"/>
      <c r="I2422" s="2"/>
      <c r="J2422" s="2"/>
      <c r="K2422" s="2"/>
      <c r="L2422" s="2"/>
    </row>
    <row r="2423" spans="1:12" customFormat="1" ht="16" x14ac:dyDescent="0.2">
      <c r="A2423" t="s">
        <v>337</v>
      </c>
      <c r="B2423" s="2">
        <f>INDEX(Parameters!$B$6:$AL$57,MATCH(Inventories!$B$2407,Parameters!$A$6:$A$57,0),MATCH(Inventories!$A2423,Parameters!$B$4:$AL$4,0))</f>
        <v>0</v>
      </c>
      <c r="C2423" t="s">
        <v>336</v>
      </c>
      <c r="D2423" s="2"/>
      <c r="E2423" s="2"/>
      <c r="F2423" s="2"/>
      <c r="G2423" s="2"/>
      <c r="H2423" s="2"/>
      <c r="I2423" s="2"/>
      <c r="J2423" s="2"/>
      <c r="K2423" s="2"/>
      <c r="L2423" s="2"/>
    </row>
    <row r="2424" spans="1:12" customFormat="1" ht="16" x14ac:dyDescent="0.2">
      <c r="A2424" t="s">
        <v>338</v>
      </c>
      <c r="B2424" s="2">
        <f>INDEX(Parameters!$B$6:$AL$57,MATCH(Inventories!$B$2407,Parameters!$A$6:$A$57,0),MATCH(Inventories!$A2424,Parameters!$B$4:$AL$4,0))</f>
        <v>0</v>
      </c>
      <c r="C2424" t="s">
        <v>336</v>
      </c>
      <c r="D2424" s="2"/>
      <c r="E2424" s="2"/>
      <c r="F2424" s="2"/>
      <c r="G2424" s="2"/>
      <c r="H2424" s="2"/>
      <c r="I2424" s="2"/>
      <c r="J2424" s="2"/>
      <c r="K2424" s="2"/>
      <c r="L2424" s="2"/>
    </row>
    <row r="2425" spans="1:12" customFormat="1" ht="16" x14ac:dyDescent="0.2">
      <c r="A2425" t="s">
        <v>339</v>
      </c>
      <c r="B2425" s="2">
        <f>INDEX(Parameters!$B$6:$AL$57,MATCH(Inventories!$B$2407,Parameters!$A$6:$A$57,0),MATCH(Inventories!$A2425,Parameters!$B$4:$AL$4,0))</f>
        <v>0</v>
      </c>
      <c r="C2425" t="s">
        <v>336</v>
      </c>
      <c r="D2425" s="2"/>
      <c r="E2425" s="2"/>
      <c r="F2425" s="2"/>
      <c r="G2425" s="2"/>
      <c r="H2425" s="2"/>
      <c r="I2425" s="2"/>
      <c r="J2425" s="2"/>
      <c r="K2425" s="2"/>
      <c r="L2425" s="2"/>
    </row>
    <row r="2426" spans="1:12" customFormat="1" ht="16" x14ac:dyDescent="0.2">
      <c r="A2426" t="s">
        <v>340</v>
      </c>
      <c r="B2426" s="2">
        <f>INDEX(Parameters!$B$6:$AL$57,MATCH(Inventories!$B$2407,Parameters!$A$6:$A$57,0),MATCH(Inventories!$A2426,Parameters!$B$4:$AL$4,0))</f>
        <v>0</v>
      </c>
      <c r="C2426" t="s">
        <v>336</v>
      </c>
      <c r="D2426" s="2"/>
      <c r="E2426" s="2"/>
      <c r="F2426" s="2"/>
      <c r="G2426" s="2"/>
      <c r="H2426" s="2"/>
      <c r="I2426" s="2"/>
      <c r="J2426" s="2"/>
      <c r="K2426" s="2"/>
      <c r="L2426" s="2"/>
    </row>
    <row r="2427" spans="1:12" customFormat="1" ht="16" x14ac:dyDescent="0.2">
      <c r="A2427" t="s">
        <v>341</v>
      </c>
      <c r="B2427" s="2">
        <f>INDEX(Parameters!$B$6:$AL$57,MATCH(Inventories!$B$2407,Parameters!$A$6:$A$57,0),MATCH(Inventories!$A2427,Parameters!$B$4:$AL$4,0))</f>
        <v>0</v>
      </c>
      <c r="C2427" t="s">
        <v>336</v>
      </c>
      <c r="D2427" s="2"/>
      <c r="E2427" s="2"/>
      <c r="F2427" s="2"/>
      <c r="G2427" s="2"/>
      <c r="H2427" s="2"/>
      <c r="I2427" s="2"/>
      <c r="J2427" s="2"/>
      <c r="K2427" s="2"/>
      <c r="L2427" s="2"/>
    </row>
    <row r="2428" spans="1:12" customFormat="1" ht="16" x14ac:dyDescent="0.2">
      <c r="A2428" t="s">
        <v>342</v>
      </c>
      <c r="B2428" s="2">
        <f>INDEX(Parameters!$B$6:$AL$57,MATCH(Inventories!$B$2407,Parameters!$A$6:$A$57,0),MATCH(Inventories!$A2428,Parameters!$B$4:$AL$4,0))</f>
        <v>0</v>
      </c>
      <c r="C2428" t="s">
        <v>336</v>
      </c>
      <c r="D2428" s="2"/>
      <c r="E2428" s="2"/>
      <c r="F2428" s="2"/>
      <c r="G2428" s="2"/>
      <c r="H2428" s="2"/>
      <c r="I2428" s="2"/>
      <c r="J2428" s="2"/>
      <c r="K2428" s="2"/>
      <c r="L2428" s="2"/>
    </row>
    <row r="2429" spans="1:12" customFormat="1" ht="16" x14ac:dyDescent="0.2">
      <c r="A2429" t="s">
        <v>333</v>
      </c>
      <c r="B2429" s="24">
        <f>INDEX(Parameters!$B$6:$AL$57,MATCH(Inventories!$B$2407,Parameters!$A$6:$A$57,0),MATCH(Inventories!$A2429,Parameters!$B$4:$AL$4,0))</f>
        <v>1700</v>
      </c>
      <c r="C2429" t="s">
        <v>336</v>
      </c>
      <c r="D2429" s="2"/>
      <c r="E2429" s="2"/>
      <c r="F2429" s="2"/>
      <c r="G2429" s="2"/>
      <c r="H2429" s="2"/>
      <c r="I2429" s="2"/>
      <c r="J2429" s="2"/>
      <c r="K2429" s="2"/>
      <c r="L2429" s="2"/>
    </row>
    <row r="2430" spans="1:12" customFormat="1" ht="16" x14ac:dyDescent="0.2">
      <c r="A2430" t="s">
        <v>334</v>
      </c>
      <c r="B2430" s="24">
        <f>INDEX(Parameters!$B$6:$AL$57,MATCH(Inventories!$B$2407,Parameters!$A$6:$A$57,0),MATCH(Inventories!$A2430,Parameters!$B$4:$AL$4,0))</f>
        <v>1000</v>
      </c>
      <c r="C2430" t="s">
        <v>336</v>
      </c>
      <c r="D2430" s="2"/>
      <c r="E2430" s="2"/>
      <c r="F2430" s="2"/>
      <c r="G2430" s="2"/>
      <c r="H2430" s="2"/>
      <c r="I2430" s="2"/>
      <c r="J2430" s="2"/>
      <c r="K2430" s="2"/>
      <c r="L2430" s="2"/>
    </row>
    <row r="2431" spans="1:12" customFormat="1" ht="16" x14ac:dyDescent="0.2">
      <c r="A2431" t="s">
        <v>335</v>
      </c>
      <c r="B2431" s="24">
        <f>INDEX(Parameters!$B$6:$AL$57,MATCH(Inventories!$B$2407,Parameters!$A$6:$A$57,0),MATCH(Inventories!$A2431,Parameters!$B$4:$AL$4,0))</f>
        <v>3000</v>
      </c>
      <c r="C2431" t="s">
        <v>336</v>
      </c>
      <c r="D2431" s="2"/>
      <c r="E2431" s="2"/>
      <c r="F2431" s="2"/>
      <c r="G2431" s="2"/>
      <c r="H2431" s="2"/>
      <c r="I2431" s="2"/>
      <c r="J2431" s="2"/>
      <c r="K2431" s="2"/>
      <c r="L2431" s="2"/>
    </row>
    <row r="2432" spans="1:12" customFormat="1" ht="16" x14ac:dyDescent="0.2">
      <c r="A2432" t="s">
        <v>322</v>
      </c>
      <c r="B2432" s="2">
        <f>INDEX(Parameters!$B$6:$AL$57,MATCH(Inventories!$B$2407,Parameters!$A$6:$A$57,0),MATCH(Inventories!$A2432,Parameters!$B$4:$AL$4,0))</f>
        <v>0</v>
      </c>
      <c r="C2432" t="s">
        <v>315</v>
      </c>
      <c r="D2432" s="2"/>
      <c r="E2432" s="2"/>
      <c r="F2432" s="2"/>
      <c r="G2432" s="2"/>
      <c r="H2432" s="2"/>
      <c r="I2432" s="2"/>
      <c r="J2432" s="2"/>
      <c r="K2432" s="2"/>
      <c r="L2432" s="2"/>
    </row>
    <row r="2433" spans="1:12" customFormat="1" ht="16" x14ac:dyDescent="0.2">
      <c r="A2433" t="s">
        <v>323</v>
      </c>
      <c r="B2433" s="2">
        <f>INDEX(Parameters!$B$6:$AL$57,MATCH(Inventories!$B$2407,Parameters!$A$6:$A$57,0),MATCH(Inventories!$A2433,Parameters!$B$4:$AL$4,0))</f>
        <v>0</v>
      </c>
      <c r="C2433" t="s">
        <v>315</v>
      </c>
      <c r="D2433" s="2"/>
      <c r="E2433" s="2"/>
      <c r="F2433" s="2"/>
      <c r="G2433" s="2"/>
      <c r="H2433" s="2"/>
      <c r="I2433" s="2"/>
      <c r="J2433" s="2"/>
      <c r="K2433" s="2"/>
      <c r="L2433" s="2"/>
    </row>
    <row r="2434" spans="1:12" customFormat="1" ht="16" x14ac:dyDescent="0.2">
      <c r="A2434" t="s">
        <v>324</v>
      </c>
      <c r="B2434" s="2">
        <f>INDEX(Parameters!$B$6:$AL$57,MATCH(Inventories!$B$2407,Parameters!$A$6:$A$57,0),MATCH(Inventories!$A2434,Parameters!$B$4:$AL$4,0))</f>
        <v>0</v>
      </c>
      <c r="C2434" t="s">
        <v>315</v>
      </c>
      <c r="D2434" s="2"/>
      <c r="E2434" s="2"/>
      <c r="F2434" s="2"/>
      <c r="G2434" s="2"/>
      <c r="H2434" s="2"/>
      <c r="I2434" s="2"/>
      <c r="J2434" s="2"/>
      <c r="K2434" s="2"/>
      <c r="L2434" s="2"/>
    </row>
    <row r="2435" spans="1:12" customFormat="1" ht="16" x14ac:dyDescent="0.2">
      <c r="A2435" t="s">
        <v>330</v>
      </c>
      <c r="B2435" s="2">
        <f>INDEX(Parameters!$B$6:$AL$57,MATCH(Inventories!$B$2407,Parameters!$A$6:$A$57,0),MATCH(Inventories!$A2435,Parameters!$B$4:$AL$4,0))</f>
        <v>0</v>
      </c>
      <c r="C2435" t="s">
        <v>8</v>
      </c>
      <c r="D2435" s="2"/>
      <c r="E2435" s="2"/>
      <c r="F2435" s="2"/>
      <c r="G2435" s="2"/>
      <c r="H2435" s="2"/>
      <c r="I2435" s="2"/>
      <c r="J2435" s="2"/>
      <c r="K2435" s="2"/>
      <c r="L2435" s="2"/>
    </row>
    <row r="2436" spans="1:12" customFormat="1" ht="16" x14ac:dyDescent="0.2">
      <c r="A2436" t="s">
        <v>331</v>
      </c>
      <c r="B2436" s="2">
        <f>INDEX(Parameters!$B$6:$AL$57,MATCH(Inventories!$B$2407,Parameters!$A$6:$A$57,0),MATCH(Inventories!$A2436,Parameters!$B$4:$AL$4,0))</f>
        <v>0</v>
      </c>
      <c r="C2436" t="s">
        <v>8</v>
      </c>
      <c r="D2436" s="2"/>
      <c r="E2436" s="2"/>
      <c r="F2436" s="2"/>
      <c r="G2436" s="2"/>
      <c r="H2436" s="2"/>
      <c r="I2436" s="2"/>
      <c r="J2436" s="2"/>
      <c r="K2436" s="2"/>
      <c r="L2436" s="2"/>
    </row>
    <row r="2437" spans="1:12" customFormat="1" ht="16" x14ac:dyDescent="0.2">
      <c r="A2437" t="s">
        <v>332</v>
      </c>
      <c r="B2437" s="2">
        <f>INDEX(Parameters!$B$6:$AL$57,MATCH(Inventories!$B$2407,Parameters!$A$6:$A$57,0),MATCH(Inventories!$A2437,Parameters!$B$4:$AL$4,0))</f>
        <v>0</v>
      </c>
      <c r="C2437" t="s">
        <v>8</v>
      </c>
      <c r="D2437" s="2"/>
      <c r="E2437" s="2"/>
      <c r="F2437" s="2"/>
      <c r="G2437" s="2"/>
      <c r="H2437" s="2"/>
      <c r="I2437" s="2"/>
      <c r="J2437" s="2"/>
      <c r="K2437" s="2"/>
      <c r="L2437" s="2"/>
    </row>
    <row r="2438" spans="1:12" customFormat="1" ht="16" x14ac:dyDescent="0.2">
      <c r="A2438" t="s">
        <v>346</v>
      </c>
      <c r="B2438" s="2">
        <f>INDEX(Parameters!$B$6:$AL$57,MATCH(Inventories!$B$2407,Parameters!$A$6:$A$57,0),MATCH(Inventories!$A2438,Parameters!$B$4:$AL$4,0))</f>
        <v>0</v>
      </c>
      <c r="C2438" t="s">
        <v>312</v>
      </c>
      <c r="D2438" s="2"/>
      <c r="E2438" s="2"/>
      <c r="F2438" s="2"/>
      <c r="G2438" s="2"/>
      <c r="H2438" s="2"/>
      <c r="I2438" s="2"/>
      <c r="J2438" s="2"/>
      <c r="K2438" s="2"/>
      <c r="L2438" s="2"/>
    </row>
    <row r="2439" spans="1:12" customFormat="1" ht="16" x14ac:dyDescent="0.2">
      <c r="A2439" t="s">
        <v>347</v>
      </c>
      <c r="B2439" s="2">
        <f>INDEX(Parameters!$B$6:$AL$57,MATCH(Inventories!$B$2407,Parameters!$A$6:$A$57,0),MATCH(Inventories!$A2439,Parameters!$B$4:$AL$4,0))</f>
        <v>0</v>
      </c>
      <c r="C2439" t="s">
        <v>312</v>
      </c>
      <c r="D2439" s="2"/>
      <c r="E2439" s="12"/>
      <c r="F2439" s="2"/>
      <c r="G2439" s="2"/>
      <c r="H2439" s="2"/>
      <c r="I2439" s="2"/>
      <c r="J2439" s="2"/>
      <c r="K2439" s="2"/>
      <c r="L2439" s="2"/>
    </row>
    <row r="2440" spans="1:12" customFormat="1" ht="16" x14ac:dyDescent="0.2">
      <c r="A2440" t="s">
        <v>348</v>
      </c>
      <c r="B2440" s="2">
        <f>INDEX(Parameters!$B$6:$AL$57,MATCH(Inventories!$B$2407,Parameters!$A$6:$A$57,0),MATCH(Inventories!$A2440,Parameters!$B$4:$AL$4,0))</f>
        <v>0</v>
      </c>
      <c r="C2440" t="s">
        <v>312</v>
      </c>
      <c r="D2440" s="2"/>
      <c r="E2440" s="2"/>
      <c r="F2440" s="2"/>
      <c r="G2440" s="2"/>
      <c r="H2440" s="2"/>
      <c r="I2440" s="2"/>
      <c r="J2440" s="2"/>
      <c r="K2440" s="2"/>
      <c r="L2440" s="2"/>
    </row>
    <row r="2441" spans="1:12" customFormat="1" ht="16" x14ac:dyDescent="0.2">
      <c r="A2441" t="s">
        <v>349</v>
      </c>
      <c r="B2441" s="2">
        <f>INDEX(Parameters!$B$6:$AL$57,MATCH(Inventories!$B$2407,Parameters!$A$6:$A$57,0),MATCH(Inventories!$A2441,Parameters!$B$4:$AL$4,0))</f>
        <v>0</v>
      </c>
      <c r="C2441" t="s">
        <v>8</v>
      </c>
      <c r="D2441" s="2"/>
      <c r="E2441" s="2"/>
      <c r="F2441" s="2"/>
      <c r="G2441" s="2"/>
      <c r="H2441" s="2"/>
      <c r="I2441" s="2"/>
      <c r="J2441" s="2"/>
      <c r="K2441" s="2"/>
      <c r="L2441" s="2"/>
    </row>
    <row r="2442" spans="1:12" customFormat="1" ht="16" x14ac:dyDescent="0.2">
      <c r="A2442" t="s">
        <v>350</v>
      </c>
      <c r="B2442" s="2">
        <f>INDEX(Parameters!$B$6:$AL$57,MATCH(Inventories!$B$2407,Parameters!$A$6:$A$57,0),MATCH(Inventories!$A2442,Parameters!$B$4:$AL$4,0))</f>
        <v>0</v>
      </c>
      <c r="C2442" t="s">
        <v>8</v>
      </c>
      <c r="D2442" s="2"/>
      <c r="E2442" s="2"/>
      <c r="F2442" s="2"/>
      <c r="G2442" s="2"/>
      <c r="H2442" s="2"/>
      <c r="I2442" s="2"/>
      <c r="J2442" s="2"/>
      <c r="K2442" s="2"/>
      <c r="L2442" s="2"/>
    </row>
    <row r="2443" spans="1:12" customFormat="1" ht="16" x14ac:dyDescent="0.2">
      <c r="A2443" t="s">
        <v>351</v>
      </c>
      <c r="B2443" s="2">
        <f>INDEX(Parameters!$B$6:$AL$57,MATCH(Inventories!$B$2407,Parameters!$A$6:$A$57,0),MATCH(Inventories!$A2443,Parameters!$B$4:$AL$4,0))</f>
        <v>0</v>
      </c>
      <c r="C2443" t="s">
        <v>8</v>
      </c>
      <c r="D2443" s="2"/>
      <c r="E2443" s="2"/>
      <c r="F2443" s="2"/>
      <c r="G2443" s="2"/>
      <c r="H2443" s="2"/>
      <c r="I2443" s="2"/>
      <c r="J2443" s="2"/>
      <c r="K2443" s="2"/>
      <c r="L2443" s="2"/>
    </row>
    <row r="2444" spans="1:12" customFormat="1" ht="16" x14ac:dyDescent="0.2">
      <c r="A2444" t="s">
        <v>365</v>
      </c>
      <c r="B2444" s="2">
        <f>INDEX(Parameters!$B$6:$AL$57,MATCH(Inventories!$B$2407,Parameters!$A$6:$A$57,0),MATCH(Inventories!$A2444,Parameters!$B$4:$AL$4,0))</f>
        <v>0</v>
      </c>
      <c r="C2444" t="s">
        <v>336</v>
      </c>
      <c r="D2444" s="2"/>
      <c r="E2444" s="2"/>
      <c r="F2444" s="2"/>
      <c r="G2444" s="2"/>
      <c r="H2444" s="2"/>
      <c r="I2444" s="2"/>
      <c r="J2444" s="2"/>
      <c r="K2444" s="2"/>
      <c r="L2444" s="2"/>
    </row>
    <row r="2445" spans="1:12" customFormat="1" ht="16" x14ac:dyDescent="0.2">
      <c r="A2445" t="s">
        <v>366</v>
      </c>
      <c r="B2445" s="2">
        <f>INDEX(Parameters!$B$6:$AL$57,MATCH(Inventories!$B$2407,Parameters!$A$6:$A$57,0),MATCH(Inventories!$A2445,Parameters!$B$4:$AL$4,0))</f>
        <v>0</v>
      </c>
      <c r="C2445" t="s">
        <v>336</v>
      </c>
      <c r="D2445" s="2"/>
      <c r="E2445" s="2"/>
      <c r="F2445" s="2"/>
      <c r="G2445" s="2"/>
      <c r="H2445" s="2"/>
      <c r="I2445" s="2"/>
      <c r="J2445" s="2"/>
      <c r="K2445" s="2"/>
      <c r="L2445" s="2"/>
    </row>
    <row r="2446" spans="1:12" customFormat="1" ht="16" x14ac:dyDescent="0.2">
      <c r="A2446" t="s">
        <v>367</v>
      </c>
      <c r="B2446" s="2">
        <f>INDEX(Parameters!$B$6:$AL$57,MATCH(Inventories!$B$2407,Parameters!$A$6:$A$57,0),MATCH(Inventories!$A2446,Parameters!$B$4:$AL$4,0))</f>
        <v>0</v>
      </c>
      <c r="C2446" t="s">
        <v>336</v>
      </c>
      <c r="D2446" s="2"/>
      <c r="E2446" s="2"/>
      <c r="F2446" s="2"/>
      <c r="G2446" s="2"/>
      <c r="H2446" s="2"/>
      <c r="I2446" s="2"/>
      <c r="J2446" s="2"/>
      <c r="K2446" s="2"/>
      <c r="L2446" s="2"/>
    </row>
    <row r="2447" spans="1:12" customFormat="1" ht="16" x14ac:dyDescent="0.2">
      <c r="A2447" t="s">
        <v>368</v>
      </c>
      <c r="B2447" s="2">
        <f>INDEX(Parameters!$B$6:$AL$57,MATCH(Inventories!$B$2407,Parameters!$A$6:$A$57,0),MATCH(Inventories!$A2447,Parameters!$B$4:$AL$4,0))</f>
        <v>0</v>
      </c>
      <c r="C2447" t="s">
        <v>336</v>
      </c>
      <c r="D2447" s="2"/>
      <c r="E2447" s="2"/>
      <c r="F2447" s="2"/>
      <c r="G2447" s="2"/>
      <c r="H2447" s="2"/>
      <c r="I2447" s="2"/>
      <c r="J2447" s="2"/>
      <c r="K2447" s="2"/>
      <c r="L2447" s="2"/>
    </row>
    <row r="2448" spans="1:12" customFormat="1" ht="16" x14ac:dyDescent="0.2">
      <c r="A2448" t="s">
        <v>369</v>
      </c>
      <c r="B2448" s="2">
        <f>INDEX(Parameters!$B$6:$AL$57,MATCH(Inventories!$B$2407,Parameters!$A$6:$A$57,0),MATCH(Inventories!$A2448,Parameters!$B$4:$AL$4,0))</f>
        <v>0</v>
      </c>
      <c r="C2448" t="s">
        <v>336</v>
      </c>
      <c r="D2448" s="2"/>
      <c r="E2448" s="2"/>
      <c r="F2448" s="2"/>
      <c r="G2448" s="2"/>
      <c r="H2448" s="2"/>
      <c r="I2448" s="2"/>
      <c r="J2448" s="2"/>
      <c r="K2448" s="2"/>
      <c r="L2448" s="2"/>
    </row>
    <row r="2449" spans="1:12" customFormat="1" ht="16" x14ac:dyDescent="0.2">
      <c r="A2449" t="s">
        <v>344</v>
      </c>
      <c r="B2449" s="32">
        <f>INDEX(Parameters!$B$6:$AL$57,MATCH(Inventories!$B$2407,Parameters!$A$6:$A$57,0),MATCH(Inventories!$A2449,Parameters!$B$4:$AL$4,0))</f>
        <v>0</v>
      </c>
      <c r="C2449" t="s">
        <v>345</v>
      </c>
      <c r="D2449" s="2"/>
      <c r="E2449" s="2"/>
      <c r="F2449" s="2"/>
      <c r="G2449" s="2"/>
      <c r="H2449" s="2"/>
      <c r="I2449" s="2"/>
      <c r="J2449" s="2"/>
      <c r="K2449" s="2"/>
      <c r="L2449" s="2"/>
    </row>
    <row r="2450" spans="1:12" customFormat="1" ht="16" x14ac:dyDescent="0.2">
      <c r="A2450" t="s">
        <v>343</v>
      </c>
      <c r="B2450" s="32">
        <f>INDEX(Parameters!$B$6:$AL$57,MATCH(Inventories!$B$2407,Parameters!$A$6:$A$57,0),MATCH(Inventories!$A2450,Parameters!$B$4:$AL$4,0))</f>
        <v>0</v>
      </c>
      <c r="C2450" t="s">
        <v>345</v>
      </c>
      <c r="D2450" s="2"/>
      <c r="E2450" s="2"/>
      <c r="F2450" s="2"/>
      <c r="G2450" s="2"/>
      <c r="H2450" s="2"/>
      <c r="I2450" s="2"/>
      <c r="J2450" s="2"/>
      <c r="K2450" s="2"/>
      <c r="L2450" s="2"/>
    </row>
    <row r="2451" spans="1:12" customFormat="1" ht="16" x14ac:dyDescent="0.2">
      <c r="A2451" s="1" t="s">
        <v>10</v>
      </c>
      <c r="B2451" s="2"/>
      <c r="C2451" s="2"/>
      <c r="D2451" s="2"/>
      <c r="E2451" s="2"/>
      <c r="F2451" s="2"/>
      <c r="G2451" s="2"/>
      <c r="H2451" s="2"/>
      <c r="I2451" s="2"/>
      <c r="J2451" s="2"/>
      <c r="K2451" s="2"/>
      <c r="L2451" s="2"/>
    </row>
    <row r="2452" spans="1:12" x14ac:dyDescent="0.2">
      <c r="A2452" s="17" t="s">
        <v>11</v>
      </c>
      <c r="B2452" s="17" t="s">
        <v>12</v>
      </c>
      <c r="C2452" s="17" t="s">
        <v>3</v>
      </c>
      <c r="D2452" s="17" t="s">
        <v>13</v>
      </c>
      <c r="E2452" s="17" t="s">
        <v>8</v>
      </c>
      <c r="F2452" s="17" t="s">
        <v>6</v>
      </c>
      <c r="G2452" s="17" t="s">
        <v>5</v>
      </c>
      <c r="H2452" s="17" t="s">
        <v>151</v>
      </c>
      <c r="I2452" s="17" t="s">
        <v>179</v>
      </c>
      <c r="J2452" s="17" t="s">
        <v>180</v>
      </c>
      <c r="K2452" s="17" t="s">
        <v>181</v>
      </c>
      <c r="L2452" s="17" t="s">
        <v>182</v>
      </c>
    </row>
    <row r="2453" spans="1:12" customFormat="1" ht="16" x14ac:dyDescent="0.2">
      <c r="A2453" s="2" t="str">
        <f>B2407</f>
        <v>hydrogen, burned in aircraft</v>
      </c>
      <c r="B2453" s="2">
        <v>1</v>
      </c>
      <c r="C2453" s="2" t="str">
        <f>B2408</f>
        <v>RER</v>
      </c>
      <c r="D2453" s="2"/>
      <c r="E2453" s="2" t="str">
        <f>B2412</f>
        <v>megajoule</v>
      </c>
      <c r="F2453" s="2" t="s">
        <v>19</v>
      </c>
      <c r="G2453" s="2" t="str">
        <f>B2410</f>
        <v>heat</v>
      </c>
      <c r="H2453" s="2"/>
      <c r="I2453" s="2"/>
      <c r="J2453" s="2"/>
      <c r="K2453" s="2"/>
      <c r="L2453" s="2"/>
    </row>
    <row r="2454" spans="1:12" customFormat="1" ht="16" x14ac:dyDescent="0.2">
      <c r="A2454" s="2" t="s">
        <v>158</v>
      </c>
      <c r="B2454" s="19">
        <f>1/120</f>
        <v>8.3333333333333332E-3</v>
      </c>
      <c r="C2454" s="4" t="s">
        <v>18</v>
      </c>
      <c r="E2454" s="4" t="s">
        <v>9</v>
      </c>
      <c r="F2454" s="4" t="s">
        <v>23</v>
      </c>
      <c r="G2454" s="2" t="s">
        <v>159</v>
      </c>
      <c r="H2454" s="2"/>
    </row>
    <row r="2455" spans="1:12" customFormat="1" ht="16" x14ac:dyDescent="0.2">
      <c r="A2455" t="s">
        <v>194</v>
      </c>
      <c r="B2455" s="16">
        <f>(B2429/B2417)/(B2420/1000)</f>
        <v>1.5740740740740741E-7</v>
      </c>
      <c r="C2455" t="s">
        <v>18</v>
      </c>
      <c r="E2455" t="s">
        <v>9</v>
      </c>
      <c r="F2455" t="s">
        <v>23</v>
      </c>
      <c r="G2455" t="s">
        <v>195</v>
      </c>
      <c r="H2455" s="2"/>
      <c r="I2455">
        <v>5</v>
      </c>
      <c r="J2455">
        <f>B2455</f>
        <v>1.5740740740740741E-7</v>
      </c>
      <c r="K2455" s="16">
        <f>(B2430/B2419)/(B2422/1000)</f>
        <v>5.2700922266139656E-8</v>
      </c>
      <c r="L2455" s="16">
        <f>(B2431/B2418)/(B2421/1000)</f>
        <v>5.9405940594059406E-7</v>
      </c>
    </row>
    <row r="2456" spans="1:12" customFormat="1" ht="16" x14ac:dyDescent="0.2">
      <c r="A2456" t="s">
        <v>98</v>
      </c>
      <c r="B2456" s="16">
        <f>B2454*9/1000</f>
        <v>7.4999999999999993E-5</v>
      </c>
      <c r="D2456" t="s">
        <v>116</v>
      </c>
      <c r="E2456" t="s">
        <v>94</v>
      </c>
      <c r="F2456" t="s">
        <v>15</v>
      </c>
      <c r="H2456" s="2"/>
      <c r="K2456" s="16"/>
      <c r="L2456" s="16"/>
    </row>
    <row r="2457" spans="1:12" customFormat="1" ht="16" x14ac:dyDescent="0.2">
      <c r="A2457" t="s">
        <v>69</v>
      </c>
      <c r="B2457" s="16">
        <f>(10.8/1000)*B2454</f>
        <v>9.0000000000000006E-5</v>
      </c>
      <c r="D2457" t="s">
        <v>116</v>
      </c>
      <c r="E2457" t="s">
        <v>9</v>
      </c>
      <c r="F2457" t="s">
        <v>15</v>
      </c>
      <c r="H2457" s="2" t="s">
        <v>386</v>
      </c>
      <c r="K2457" s="16"/>
      <c r="L2457" s="16"/>
    </row>
    <row r="2458" spans="1:12" customFormat="1" ht="16" x14ac:dyDescent="0.2">
      <c r="A2458" s="2"/>
      <c r="B2458" s="2"/>
      <c r="C2458" s="2"/>
      <c r="D2458" s="2"/>
      <c r="E2458" s="2"/>
      <c r="F2458" s="2"/>
      <c r="G2458" s="2"/>
      <c r="H2458" s="2"/>
      <c r="I2458" s="2"/>
      <c r="J2458" s="2"/>
      <c r="K2458" s="2"/>
      <c r="L2458" s="2"/>
    </row>
    <row r="2459" spans="1:12" x14ac:dyDescent="0.2">
      <c r="A2459" s="17" t="s">
        <v>2</v>
      </c>
      <c r="B2459" s="17" t="s">
        <v>101</v>
      </c>
    </row>
    <row r="2460" spans="1:12" customFormat="1" ht="16" x14ac:dyDescent="0.2">
      <c r="A2460" s="2" t="s">
        <v>3</v>
      </c>
      <c r="B2460" s="2" t="s">
        <v>18</v>
      </c>
      <c r="C2460" s="2"/>
      <c r="D2460" s="2"/>
      <c r="E2460" s="2"/>
      <c r="F2460" s="2"/>
      <c r="G2460" s="2"/>
      <c r="H2460" s="2"/>
      <c r="I2460" s="2"/>
      <c r="J2460" s="2"/>
      <c r="K2460" s="2"/>
      <c r="L2460" s="2"/>
    </row>
    <row r="2461" spans="1:12" customFormat="1" ht="16" x14ac:dyDescent="0.2">
      <c r="A2461" s="2" t="s">
        <v>4</v>
      </c>
      <c r="B2461" s="2">
        <v>1</v>
      </c>
      <c r="C2461" s="2"/>
      <c r="D2461" s="2"/>
      <c r="E2461" s="2"/>
      <c r="F2461" s="2"/>
      <c r="G2461" s="2"/>
      <c r="H2461" s="2"/>
      <c r="I2461" s="2"/>
      <c r="J2461" s="2"/>
      <c r="K2461" s="2"/>
      <c r="L2461" s="2"/>
    </row>
    <row r="2462" spans="1:12" customFormat="1" ht="16" x14ac:dyDescent="0.2">
      <c r="A2462" s="2" t="s">
        <v>5</v>
      </c>
      <c r="B2462" s="2" t="s">
        <v>1</v>
      </c>
      <c r="C2462" s="2"/>
      <c r="D2462" s="2"/>
      <c r="E2462" s="2"/>
      <c r="F2462" s="2"/>
      <c r="G2462" s="2"/>
      <c r="H2462" s="2"/>
      <c r="I2462" s="2"/>
      <c r="J2462" s="2"/>
    </row>
    <row r="2463" spans="1:12" customFormat="1" ht="16" x14ac:dyDescent="0.2">
      <c r="A2463" s="2" t="s">
        <v>151</v>
      </c>
      <c r="B2463" s="2" t="s">
        <v>402</v>
      </c>
      <c r="C2463" s="2"/>
      <c r="D2463" s="2"/>
      <c r="E2463" s="2"/>
      <c r="F2463" s="2"/>
      <c r="G2463" s="2"/>
      <c r="H2463" s="2"/>
      <c r="I2463" s="2"/>
      <c r="J2463" s="2"/>
    </row>
    <row r="2464" spans="1:12" customFormat="1" ht="16" x14ac:dyDescent="0.2">
      <c r="A2464" s="2" t="s">
        <v>6</v>
      </c>
      <c r="B2464" s="2" t="s">
        <v>7</v>
      </c>
      <c r="C2464" s="2"/>
      <c r="D2464" s="2"/>
      <c r="E2464" s="2"/>
      <c r="F2464" s="2"/>
      <c r="G2464" s="2"/>
      <c r="H2464" s="2"/>
      <c r="I2464" s="2"/>
      <c r="J2464" s="2"/>
      <c r="K2464" s="2"/>
      <c r="L2464" s="2"/>
    </row>
    <row r="2465" spans="1:12" customFormat="1" ht="16" x14ac:dyDescent="0.2">
      <c r="A2465" s="2" t="s">
        <v>8</v>
      </c>
      <c r="B2465" s="2" t="s">
        <v>17</v>
      </c>
      <c r="C2465" s="2"/>
      <c r="D2465" s="2"/>
      <c r="E2465" s="2"/>
      <c r="F2465" s="2"/>
      <c r="G2465" s="2"/>
      <c r="H2465" s="2"/>
      <c r="I2465" s="2"/>
      <c r="J2465" s="2"/>
      <c r="K2465" s="2"/>
      <c r="L2465" s="2"/>
    </row>
    <row r="2466" spans="1:12" customFormat="1" ht="16" x14ac:dyDescent="0.2">
      <c r="A2466" s="1" t="s">
        <v>10</v>
      </c>
      <c r="B2466" s="2"/>
      <c r="C2466" s="2"/>
      <c r="D2466" s="2"/>
      <c r="E2466" s="2"/>
      <c r="F2466" s="2"/>
      <c r="G2466" s="2"/>
      <c r="H2466" s="2"/>
      <c r="I2466" s="2"/>
      <c r="J2466" s="2"/>
      <c r="K2466" s="2"/>
      <c r="L2466" s="2"/>
    </row>
    <row r="2467" spans="1:12" x14ac:dyDescent="0.2">
      <c r="A2467" s="17" t="s">
        <v>11</v>
      </c>
      <c r="B2467" s="17" t="s">
        <v>12</v>
      </c>
      <c r="C2467" s="17" t="s">
        <v>3</v>
      </c>
      <c r="D2467" s="17" t="s">
        <v>13</v>
      </c>
      <c r="E2467" s="17" t="s">
        <v>8</v>
      </c>
      <c r="F2467" s="17" t="s">
        <v>6</v>
      </c>
      <c r="G2467" s="17" t="s">
        <v>5</v>
      </c>
      <c r="I2467" s="17"/>
      <c r="J2467" s="17"/>
      <c r="K2467" s="17"/>
    </row>
    <row r="2468" spans="1:12" customFormat="1" ht="16" x14ac:dyDescent="0.2">
      <c r="A2468" s="2" t="str">
        <f>B2459</f>
        <v>heavy fuel oil, burned in container ship</v>
      </c>
      <c r="B2468" s="2">
        <v>1</v>
      </c>
      <c r="C2468" s="2" t="str">
        <f>B2460</f>
        <v>RER</v>
      </c>
      <c r="D2468" s="2"/>
      <c r="E2468" s="2" t="str">
        <f>B2465</f>
        <v>megajoule</v>
      </c>
      <c r="F2468" s="2" t="s">
        <v>19</v>
      </c>
      <c r="G2468" s="2" t="str">
        <f>B2462</f>
        <v>heat</v>
      </c>
      <c r="H2468" s="2"/>
      <c r="I2468" s="2"/>
      <c r="J2468" s="2"/>
      <c r="K2468" s="2"/>
      <c r="L2468" s="2"/>
    </row>
    <row r="2469" spans="1:12" customFormat="1" ht="16" x14ac:dyDescent="0.2">
      <c r="A2469" t="s">
        <v>125</v>
      </c>
      <c r="B2469">
        <f>1/39</f>
        <v>2.564102564102564E-2</v>
      </c>
      <c r="C2469" t="s">
        <v>27</v>
      </c>
      <c r="E2469" t="s">
        <v>9</v>
      </c>
      <c r="F2469" t="s">
        <v>23</v>
      </c>
      <c r="G2469" t="s">
        <v>102</v>
      </c>
      <c r="H2469" s="2"/>
    </row>
    <row r="2470" spans="1:12" customFormat="1" ht="16" x14ac:dyDescent="0.2">
      <c r="A2470" t="s">
        <v>48</v>
      </c>
      <c r="B2470" s="3">
        <v>1.0256365433645409E-5</v>
      </c>
      <c r="D2470" t="s">
        <v>100</v>
      </c>
      <c r="E2470" t="s">
        <v>9</v>
      </c>
      <c r="F2470" s="2" t="s">
        <v>15</v>
      </c>
      <c r="H2470" s="2"/>
    </row>
    <row r="2471" spans="1:12" customFormat="1" ht="16" x14ac:dyDescent="0.2">
      <c r="A2471" t="s">
        <v>90</v>
      </c>
      <c r="B2471" s="3">
        <v>9.6449727337009339E-9</v>
      </c>
      <c r="D2471" t="s">
        <v>100</v>
      </c>
      <c r="E2471" t="s">
        <v>9</v>
      </c>
      <c r="F2471" s="2" t="s">
        <v>15</v>
      </c>
      <c r="H2471" s="2"/>
    </row>
    <row r="2472" spans="1:12" customFormat="1" ht="16" x14ac:dyDescent="0.2">
      <c r="A2472" t="s">
        <v>52</v>
      </c>
      <c r="B2472" s="3">
        <v>6.2721921074364377E-10</v>
      </c>
      <c r="D2472" t="s">
        <v>100</v>
      </c>
      <c r="E2472" t="s">
        <v>9</v>
      </c>
      <c r="F2472" s="2" t="s">
        <v>15</v>
      </c>
      <c r="H2472" s="2"/>
    </row>
    <row r="2473" spans="1:12" customFormat="1" ht="16" x14ac:dyDescent="0.2">
      <c r="A2473" t="s">
        <v>53</v>
      </c>
      <c r="B2473">
        <v>7.9939098901879183E-2</v>
      </c>
      <c r="D2473" t="s">
        <v>100</v>
      </c>
      <c r="E2473" t="s">
        <v>9</v>
      </c>
      <c r="F2473" s="2" t="s">
        <v>15</v>
      </c>
      <c r="H2473" s="2"/>
    </row>
    <row r="2474" spans="1:12" customFormat="1" ht="16" x14ac:dyDescent="0.2">
      <c r="A2474" t="s">
        <v>54</v>
      </c>
      <c r="B2474" s="3">
        <v>6.8728477177939384E-5</v>
      </c>
      <c r="D2474" t="s">
        <v>100</v>
      </c>
      <c r="E2474" t="s">
        <v>9</v>
      </c>
      <c r="F2474" s="2" t="s">
        <v>15</v>
      </c>
      <c r="H2474" s="2"/>
      <c r="K2474" s="3"/>
    </row>
    <row r="2475" spans="1:12" customFormat="1" ht="16" x14ac:dyDescent="0.2">
      <c r="A2475" t="s">
        <v>55</v>
      </c>
      <c r="B2475" s="3">
        <v>4.0039462777159148E-9</v>
      </c>
      <c r="D2475" t="s">
        <v>100</v>
      </c>
      <c r="E2475" t="s">
        <v>9</v>
      </c>
      <c r="F2475" s="2" t="s">
        <v>15</v>
      </c>
      <c r="H2475" s="2"/>
      <c r="K2475" s="3"/>
    </row>
    <row r="2476" spans="1:12" customFormat="1" ht="16" x14ac:dyDescent="0.2">
      <c r="A2476" t="s">
        <v>57</v>
      </c>
      <c r="B2476" s="3">
        <v>9.6449727337009339E-9</v>
      </c>
      <c r="D2476" t="s">
        <v>100</v>
      </c>
      <c r="E2476" t="s">
        <v>9</v>
      </c>
      <c r="F2476" s="2" t="s">
        <v>15</v>
      </c>
      <c r="H2476" s="2"/>
      <c r="K2476" s="3"/>
    </row>
    <row r="2477" spans="1:12" customFormat="1" ht="16" x14ac:dyDescent="0.2">
      <c r="A2477" t="s">
        <v>58</v>
      </c>
      <c r="B2477" s="3">
        <v>4.0793809536092252E-6</v>
      </c>
      <c r="D2477" t="s">
        <v>100</v>
      </c>
      <c r="E2477" t="s">
        <v>9</v>
      </c>
      <c r="F2477" s="2" t="s">
        <v>15</v>
      </c>
      <c r="H2477" s="2"/>
      <c r="K2477" s="3"/>
    </row>
    <row r="2478" spans="1:12" customFormat="1" ht="16" x14ac:dyDescent="0.2">
      <c r="A2478" t="s">
        <v>103</v>
      </c>
      <c r="B2478" s="3">
        <v>2.5641066388993793E-14</v>
      </c>
      <c r="D2478" t="s">
        <v>100</v>
      </c>
      <c r="E2478" t="s">
        <v>9</v>
      </c>
      <c r="F2478" s="2" t="s">
        <v>15</v>
      </c>
      <c r="H2478" s="2"/>
    </row>
    <row r="2479" spans="1:12" customFormat="1" ht="16" x14ac:dyDescent="0.2">
      <c r="A2479" t="s">
        <v>104</v>
      </c>
      <c r="B2479" s="3">
        <v>1.4988121356087533E-6</v>
      </c>
      <c r="D2479" t="s">
        <v>100</v>
      </c>
      <c r="E2479" t="s">
        <v>9</v>
      </c>
      <c r="F2479" s="2" t="s">
        <v>15</v>
      </c>
      <c r="H2479" s="2"/>
    </row>
    <row r="2480" spans="1:12" customFormat="1" ht="16" x14ac:dyDescent="0.2">
      <c r="A2480" t="s">
        <v>105</v>
      </c>
      <c r="B2480" s="3">
        <v>1.4988121356087536E-7</v>
      </c>
      <c r="D2480" t="s">
        <v>100</v>
      </c>
      <c r="E2480" t="s">
        <v>9</v>
      </c>
      <c r="F2480" s="2" t="s">
        <v>15</v>
      </c>
      <c r="H2480" s="2"/>
    </row>
    <row r="2481" spans="1:8" customFormat="1" ht="16" x14ac:dyDescent="0.2">
      <c r="A2481" t="s">
        <v>63</v>
      </c>
      <c r="B2481" s="3">
        <v>4.4181493731679086E-9</v>
      </c>
      <c r="D2481" t="s">
        <v>100</v>
      </c>
      <c r="E2481" t="s">
        <v>9</v>
      </c>
      <c r="F2481" s="2" t="s">
        <v>15</v>
      </c>
      <c r="H2481" s="2"/>
    </row>
    <row r="2482" spans="1:8" customFormat="1" ht="16" x14ac:dyDescent="0.2">
      <c r="A2482" t="s">
        <v>64</v>
      </c>
      <c r="B2482" s="3">
        <v>7.2386626011604185E-10</v>
      </c>
      <c r="D2482" t="s">
        <v>100</v>
      </c>
      <c r="E2482" t="s">
        <v>9</v>
      </c>
      <c r="F2482" s="2" t="s">
        <v>15</v>
      </c>
      <c r="H2482" s="2"/>
    </row>
    <row r="2483" spans="1:8" customFormat="1" ht="16" x14ac:dyDescent="0.2">
      <c r="A2483" t="s">
        <v>65</v>
      </c>
      <c r="B2483" s="3">
        <v>1.3879471014768287E-6</v>
      </c>
      <c r="D2483" t="s">
        <v>100</v>
      </c>
      <c r="E2483" t="s">
        <v>9</v>
      </c>
      <c r="F2483" s="2" t="s">
        <v>15</v>
      </c>
      <c r="H2483" s="2"/>
    </row>
    <row r="2484" spans="1:8" customFormat="1" ht="16" x14ac:dyDescent="0.2">
      <c r="A2484" t="s">
        <v>67</v>
      </c>
      <c r="B2484" s="3">
        <v>6.9408357025220894E-5</v>
      </c>
      <c r="D2484" t="s">
        <v>100</v>
      </c>
      <c r="E2484" t="s">
        <v>9</v>
      </c>
      <c r="F2484" s="2" t="s">
        <v>15</v>
      </c>
      <c r="H2484" s="2"/>
    </row>
    <row r="2485" spans="1:8" customFormat="1" ht="16" x14ac:dyDescent="0.2">
      <c r="A2485" t="s">
        <v>68</v>
      </c>
      <c r="B2485" s="3">
        <v>5.5818502193524422E-7</v>
      </c>
      <c r="D2485" t="s">
        <v>100</v>
      </c>
      <c r="E2485" t="s">
        <v>9</v>
      </c>
      <c r="F2485" s="2" t="s">
        <v>15</v>
      </c>
      <c r="H2485" s="2"/>
    </row>
    <row r="2486" spans="1:8" customFormat="1" ht="16" x14ac:dyDescent="0.2">
      <c r="A2486" t="s">
        <v>69</v>
      </c>
      <c r="B2486">
        <v>1.9128828001645137E-3</v>
      </c>
      <c r="D2486" t="s">
        <v>100</v>
      </c>
      <c r="E2486" t="s">
        <v>9</v>
      </c>
      <c r="F2486" s="2" t="s">
        <v>15</v>
      </c>
      <c r="H2486" s="2"/>
    </row>
    <row r="2487" spans="1:8" customFormat="1" ht="16" x14ac:dyDescent="0.2">
      <c r="A2487" t="s">
        <v>70</v>
      </c>
      <c r="B2487" s="3">
        <v>5.12820309080674E-8</v>
      </c>
      <c r="D2487" t="s">
        <v>100</v>
      </c>
      <c r="E2487" t="s">
        <v>9</v>
      </c>
      <c r="F2487" s="2" t="s">
        <v>15</v>
      </c>
      <c r="H2487" s="2"/>
    </row>
    <row r="2488" spans="1:8" customFormat="1" ht="16" x14ac:dyDescent="0.2">
      <c r="A2488" t="s">
        <v>71</v>
      </c>
      <c r="B2488" s="3">
        <f>0.00695*B2469</f>
        <v>1.782051282051282E-4</v>
      </c>
      <c r="D2488" t="s">
        <v>100</v>
      </c>
      <c r="E2488" t="s">
        <v>9</v>
      </c>
      <c r="F2488" s="2" t="s">
        <v>15</v>
      </c>
      <c r="H2488" s="2"/>
    </row>
    <row r="2489" spans="1:8" customFormat="1" ht="16" x14ac:dyDescent="0.2">
      <c r="A2489" t="s">
        <v>107</v>
      </c>
      <c r="B2489" s="3">
        <f>0.0006*B2469</f>
        <v>1.5384615384615384E-5</v>
      </c>
      <c r="D2489" t="s">
        <v>100</v>
      </c>
      <c r="E2489" t="s">
        <v>9</v>
      </c>
      <c r="F2489" s="2" t="s">
        <v>15</v>
      </c>
      <c r="H2489" s="2"/>
    </row>
    <row r="2490" spans="1:8" customFormat="1" ht="16" x14ac:dyDescent="0.2">
      <c r="A2490" t="s">
        <v>75</v>
      </c>
      <c r="B2490" s="3">
        <v>8.8362885593437998E-9</v>
      </c>
      <c r="D2490" t="s">
        <v>100</v>
      </c>
      <c r="E2490" t="s">
        <v>9</v>
      </c>
      <c r="F2490" s="2" t="s">
        <v>15</v>
      </c>
      <c r="H2490" s="2"/>
    </row>
    <row r="2491" spans="1:8" customFormat="1" ht="16" x14ac:dyDescent="0.2">
      <c r="A2491" t="s">
        <v>77</v>
      </c>
      <c r="B2491">
        <f>2*97.54%*0.5%*B2469</f>
        <v>2.5010256410256412E-4</v>
      </c>
      <c r="D2491" t="s">
        <v>100</v>
      </c>
      <c r="E2491" t="s">
        <v>9</v>
      </c>
      <c r="F2491" s="2" t="s">
        <v>15</v>
      </c>
      <c r="H2491" s="2"/>
    </row>
    <row r="2492" spans="1:8" customFormat="1" ht="16" x14ac:dyDescent="0.2">
      <c r="A2492" t="s">
        <v>79</v>
      </c>
      <c r="B2492" s="3">
        <v>2.0260399075004886E-8</v>
      </c>
      <c r="D2492" t="s">
        <v>100</v>
      </c>
      <c r="E2492" t="s">
        <v>9</v>
      </c>
      <c r="F2492" s="2" t="s">
        <v>15</v>
      </c>
      <c r="H2492" s="2"/>
    </row>
    <row r="2493" spans="1:8" customFormat="1" ht="16" x14ac:dyDescent="0.2">
      <c r="A2493" t="s">
        <v>57</v>
      </c>
      <c r="B2493" s="3">
        <v>1.6520143085674979E-9</v>
      </c>
      <c r="D2493" t="s">
        <v>112</v>
      </c>
      <c r="E2493" t="s">
        <v>9</v>
      </c>
      <c r="F2493" s="2" t="s">
        <v>15</v>
      </c>
      <c r="H2493" s="2"/>
    </row>
    <row r="2494" spans="1:8" customFormat="1" ht="16" x14ac:dyDescent="0.2">
      <c r="A2494" t="s">
        <v>108</v>
      </c>
      <c r="B2494" s="3">
        <v>1.5836494051346807E-10</v>
      </c>
      <c r="D2494" t="s">
        <v>112</v>
      </c>
      <c r="E2494" t="s">
        <v>9</v>
      </c>
      <c r="F2494" s="2" t="s">
        <v>15</v>
      </c>
      <c r="H2494" s="2"/>
    </row>
    <row r="2495" spans="1:8" customFormat="1" ht="16" x14ac:dyDescent="0.2">
      <c r="A2495" t="s">
        <v>109</v>
      </c>
      <c r="B2495" s="3">
        <v>4.5524750499172942E-7</v>
      </c>
      <c r="D2495" t="s">
        <v>112</v>
      </c>
      <c r="E2495" t="s">
        <v>9</v>
      </c>
      <c r="F2495" s="2" t="s">
        <v>15</v>
      </c>
      <c r="H2495" s="2"/>
    </row>
    <row r="2496" spans="1:8" customFormat="1" ht="16" x14ac:dyDescent="0.2">
      <c r="A2496" t="s">
        <v>110</v>
      </c>
      <c r="B2496" s="3">
        <v>2.6394088838964563E-11</v>
      </c>
      <c r="D2496" t="s">
        <v>112</v>
      </c>
      <c r="E2496" t="s">
        <v>9</v>
      </c>
      <c r="F2496" s="2" t="s">
        <v>15</v>
      </c>
      <c r="H2496" s="2"/>
    </row>
    <row r="2497" spans="1:12" customFormat="1" ht="16" x14ac:dyDescent="0.2">
      <c r="A2497" t="s">
        <v>111</v>
      </c>
      <c r="B2497" s="3">
        <v>2.4156210432449703E-10</v>
      </c>
      <c r="D2497" t="s">
        <v>112</v>
      </c>
      <c r="E2497" t="s">
        <v>9</v>
      </c>
      <c r="F2497" s="2" t="s">
        <v>15</v>
      </c>
      <c r="H2497" s="2"/>
    </row>
    <row r="2498" spans="1:12" customFormat="1" ht="16" x14ac:dyDescent="0.2">
      <c r="H2498" s="2"/>
    </row>
    <row r="2499" spans="1:12" x14ac:dyDescent="0.2">
      <c r="A2499" s="17" t="s">
        <v>2</v>
      </c>
      <c r="B2499" s="17" t="s">
        <v>397</v>
      </c>
    </row>
    <row r="2500" spans="1:12" customFormat="1" ht="16" x14ac:dyDescent="0.2">
      <c r="A2500" s="2" t="s">
        <v>3</v>
      </c>
      <c r="B2500" s="2" t="s">
        <v>18</v>
      </c>
      <c r="C2500" s="2"/>
      <c r="D2500" s="2"/>
      <c r="E2500" s="2"/>
      <c r="F2500" s="2"/>
      <c r="G2500" s="2"/>
      <c r="H2500" s="2"/>
      <c r="I2500" s="2"/>
      <c r="J2500" s="2"/>
      <c r="K2500" s="2"/>
      <c r="L2500" s="2"/>
    </row>
    <row r="2501" spans="1:12" customFormat="1" ht="16" x14ac:dyDescent="0.2">
      <c r="A2501" s="2" t="s">
        <v>4</v>
      </c>
      <c r="B2501" s="2">
        <v>1</v>
      </c>
      <c r="C2501" s="2"/>
      <c r="D2501" s="2"/>
      <c r="E2501" s="2"/>
      <c r="F2501" s="2"/>
      <c r="G2501" s="2"/>
      <c r="H2501" s="2"/>
      <c r="I2501" s="2"/>
      <c r="J2501" s="2"/>
      <c r="K2501" s="2"/>
      <c r="L2501" s="2"/>
    </row>
    <row r="2502" spans="1:12" customFormat="1" ht="16" x14ac:dyDescent="0.2">
      <c r="A2502" s="2" t="s">
        <v>5</v>
      </c>
      <c r="B2502" s="2" t="s">
        <v>1</v>
      </c>
      <c r="C2502" s="2"/>
      <c r="D2502" s="2"/>
      <c r="E2502" s="2"/>
      <c r="F2502" s="2"/>
      <c r="G2502" s="2"/>
      <c r="H2502" s="2"/>
      <c r="I2502" s="2"/>
      <c r="J2502" s="2"/>
    </row>
    <row r="2503" spans="1:12" customFormat="1" ht="16" x14ac:dyDescent="0.2">
      <c r="A2503" s="2" t="s">
        <v>6</v>
      </c>
      <c r="B2503" s="2" t="s">
        <v>7</v>
      </c>
      <c r="C2503" s="2"/>
      <c r="D2503" s="2"/>
      <c r="E2503" s="2"/>
      <c r="F2503" s="2"/>
      <c r="G2503" s="2"/>
      <c r="H2503" s="2"/>
      <c r="I2503" s="2"/>
      <c r="J2503" s="2"/>
      <c r="K2503" s="2"/>
      <c r="L2503" s="2"/>
    </row>
    <row r="2504" spans="1:12" customFormat="1" ht="16" x14ac:dyDescent="0.2">
      <c r="A2504" s="2" t="s">
        <v>151</v>
      </c>
      <c r="B2504" s="2" t="s">
        <v>403</v>
      </c>
      <c r="C2504" s="2"/>
      <c r="D2504" s="2"/>
      <c r="E2504" s="2"/>
      <c r="F2504" s="2"/>
      <c r="G2504" s="2"/>
      <c r="H2504" s="2"/>
      <c r="I2504" s="2"/>
      <c r="J2504" s="2"/>
      <c r="K2504" s="2"/>
      <c r="L2504" s="2"/>
    </row>
    <row r="2505" spans="1:12" customFormat="1" ht="16" x14ac:dyDescent="0.2">
      <c r="A2505" s="2" t="s">
        <v>8</v>
      </c>
      <c r="B2505" s="2" t="s">
        <v>17</v>
      </c>
      <c r="C2505" s="2"/>
      <c r="D2505" s="2"/>
      <c r="E2505" s="2"/>
      <c r="F2505" s="2"/>
      <c r="G2505" s="2"/>
      <c r="H2505" s="2"/>
      <c r="I2505" s="2"/>
      <c r="J2505" s="2"/>
      <c r="K2505" s="2"/>
      <c r="L2505" s="2"/>
    </row>
    <row r="2506" spans="1:12" customFormat="1" ht="16" x14ac:dyDescent="0.2">
      <c r="A2506" s="1" t="s">
        <v>10</v>
      </c>
      <c r="B2506" s="2"/>
      <c r="C2506" s="2"/>
      <c r="D2506" s="2"/>
      <c r="E2506" s="2"/>
      <c r="F2506" s="2"/>
      <c r="G2506" s="2"/>
      <c r="H2506" s="2"/>
      <c r="I2506" s="2"/>
      <c r="J2506" s="2"/>
      <c r="K2506" s="2"/>
      <c r="L2506" s="2"/>
    </row>
    <row r="2507" spans="1:12" x14ac:dyDescent="0.2">
      <c r="A2507" s="17" t="s">
        <v>11</v>
      </c>
      <c r="B2507" s="17" t="s">
        <v>12</v>
      </c>
      <c r="C2507" s="17" t="s">
        <v>3</v>
      </c>
      <c r="D2507" s="17" t="s">
        <v>13</v>
      </c>
      <c r="E2507" s="17" t="s">
        <v>8</v>
      </c>
      <c r="F2507" s="17" t="s">
        <v>6</v>
      </c>
      <c r="G2507" s="17" t="s">
        <v>5</v>
      </c>
      <c r="I2507" s="17"/>
      <c r="J2507" s="17"/>
      <c r="K2507" s="17"/>
    </row>
    <row r="2508" spans="1:12" customFormat="1" ht="16" x14ac:dyDescent="0.2">
      <c r="A2508" s="2" t="str">
        <f>B2499</f>
        <v>diesel, synthetic, burned in container ship</v>
      </c>
      <c r="B2508" s="2">
        <v>1</v>
      </c>
      <c r="C2508" s="2" t="str">
        <f>B2500</f>
        <v>RER</v>
      </c>
      <c r="D2508" s="2"/>
      <c r="E2508" s="2" t="str">
        <f>B2505</f>
        <v>megajoule</v>
      </c>
      <c r="F2508" s="2" t="s">
        <v>19</v>
      </c>
      <c r="G2508" s="2" t="str">
        <f>B2502</f>
        <v>heat</v>
      </c>
      <c r="H2508" s="2"/>
      <c r="I2508" s="2"/>
      <c r="J2508" s="2"/>
      <c r="K2508" s="2"/>
      <c r="L2508" s="2"/>
    </row>
    <row r="2509" spans="1:12" customFormat="1" ht="16" x14ac:dyDescent="0.2">
      <c r="A2509" t="s">
        <v>398</v>
      </c>
      <c r="B2509">
        <f>1/39</f>
        <v>2.564102564102564E-2</v>
      </c>
      <c r="C2509" t="s">
        <v>18</v>
      </c>
      <c r="E2509" t="s">
        <v>9</v>
      </c>
      <c r="F2509" t="s">
        <v>23</v>
      </c>
      <c r="G2509" t="s">
        <v>133</v>
      </c>
      <c r="H2509" s="2"/>
    </row>
    <row r="2510" spans="1:12" customFormat="1" ht="16" x14ac:dyDescent="0.2">
      <c r="A2510" t="s">
        <v>48</v>
      </c>
      <c r="B2510" s="3">
        <v>1.0256365433645409E-5</v>
      </c>
      <c r="D2510" t="s">
        <v>100</v>
      </c>
      <c r="E2510" t="s">
        <v>9</v>
      </c>
      <c r="F2510" s="2" t="s">
        <v>15</v>
      </c>
      <c r="H2510" s="2"/>
    </row>
    <row r="2511" spans="1:12" customFormat="1" ht="16" x14ac:dyDescent="0.2">
      <c r="A2511" t="s">
        <v>90</v>
      </c>
      <c r="B2511" s="3">
        <v>9.6449727337009339E-9</v>
      </c>
      <c r="D2511" t="s">
        <v>100</v>
      </c>
      <c r="E2511" t="s">
        <v>9</v>
      </c>
      <c r="F2511" s="2" t="s">
        <v>15</v>
      </c>
      <c r="H2511" s="2"/>
    </row>
    <row r="2512" spans="1:12" customFormat="1" ht="16" x14ac:dyDescent="0.2">
      <c r="A2512" t="s">
        <v>52</v>
      </c>
      <c r="B2512" s="3">
        <v>6.2721921074364377E-10</v>
      </c>
      <c r="D2512" t="s">
        <v>100</v>
      </c>
      <c r="E2512" t="s">
        <v>9</v>
      </c>
      <c r="F2512" s="2" t="s">
        <v>15</v>
      </c>
      <c r="H2512" s="2"/>
    </row>
    <row r="2513" spans="1:11" customFormat="1" ht="16" x14ac:dyDescent="0.2">
      <c r="A2513" t="s">
        <v>122</v>
      </c>
      <c r="B2513">
        <f>3.15*B2509</f>
        <v>8.076923076923076E-2</v>
      </c>
      <c r="D2513" t="s">
        <v>100</v>
      </c>
      <c r="E2513" t="s">
        <v>9</v>
      </c>
      <c r="F2513" s="2" t="s">
        <v>15</v>
      </c>
      <c r="H2513" s="2"/>
    </row>
    <row r="2514" spans="1:11" customFormat="1" ht="16" x14ac:dyDescent="0.2">
      <c r="A2514" t="s">
        <v>123</v>
      </c>
      <c r="B2514" s="3">
        <v>6.8728477177939384E-5</v>
      </c>
      <c r="D2514" t="s">
        <v>100</v>
      </c>
      <c r="E2514" t="s">
        <v>9</v>
      </c>
      <c r="F2514" s="2" t="s">
        <v>15</v>
      </c>
      <c r="H2514" s="2"/>
      <c r="K2514" s="3"/>
    </row>
    <row r="2515" spans="1:11" customFormat="1" ht="16" x14ac:dyDescent="0.2">
      <c r="A2515" t="s">
        <v>55</v>
      </c>
      <c r="B2515" s="3">
        <v>4.0039462777159148E-9</v>
      </c>
      <c r="D2515" t="s">
        <v>100</v>
      </c>
      <c r="E2515" t="s">
        <v>9</v>
      </c>
      <c r="F2515" s="2" t="s">
        <v>15</v>
      </c>
      <c r="H2515" s="2"/>
      <c r="K2515" s="3"/>
    </row>
    <row r="2516" spans="1:11" customFormat="1" ht="16" x14ac:dyDescent="0.2">
      <c r="A2516" t="s">
        <v>57</v>
      </c>
      <c r="B2516" s="3">
        <v>9.6449727337009339E-9</v>
      </c>
      <c r="D2516" t="s">
        <v>100</v>
      </c>
      <c r="E2516" t="s">
        <v>9</v>
      </c>
      <c r="F2516" s="2" t="s">
        <v>15</v>
      </c>
      <c r="H2516" s="2"/>
      <c r="K2516" s="3"/>
    </row>
    <row r="2517" spans="1:11" customFormat="1" ht="16" x14ac:dyDescent="0.2">
      <c r="A2517" t="s">
        <v>58</v>
      </c>
      <c r="B2517" s="3">
        <v>4.0793809536092252E-6</v>
      </c>
      <c r="D2517" t="s">
        <v>100</v>
      </c>
      <c r="E2517" t="s">
        <v>9</v>
      </c>
      <c r="F2517" s="2" t="s">
        <v>15</v>
      </c>
      <c r="H2517" s="2"/>
      <c r="K2517" s="3"/>
    </row>
    <row r="2518" spans="1:11" customFormat="1" ht="16" x14ac:dyDescent="0.2">
      <c r="A2518" t="s">
        <v>103</v>
      </c>
      <c r="B2518" s="3">
        <v>2.5641066388993793E-14</v>
      </c>
      <c r="D2518" t="s">
        <v>100</v>
      </c>
      <c r="E2518" t="s">
        <v>9</v>
      </c>
      <c r="F2518" s="2" t="s">
        <v>15</v>
      </c>
      <c r="H2518" s="2"/>
    </row>
    <row r="2519" spans="1:11" customFormat="1" ht="16" x14ac:dyDescent="0.2">
      <c r="A2519" t="s">
        <v>104</v>
      </c>
      <c r="B2519" s="3">
        <v>1.4988121356087533E-6</v>
      </c>
      <c r="D2519" t="s">
        <v>100</v>
      </c>
      <c r="E2519" t="s">
        <v>9</v>
      </c>
      <c r="F2519" s="2" t="s">
        <v>15</v>
      </c>
      <c r="H2519" s="2"/>
    </row>
    <row r="2520" spans="1:11" customFormat="1" ht="16" x14ac:dyDescent="0.2">
      <c r="A2520" t="s">
        <v>105</v>
      </c>
      <c r="B2520" s="3">
        <v>1.4988121356087536E-7</v>
      </c>
      <c r="D2520" t="s">
        <v>100</v>
      </c>
      <c r="E2520" t="s">
        <v>9</v>
      </c>
      <c r="F2520" s="2" t="s">
        <v>15</v>
      </c>
      <c r="H2520" s="2"/>
    </row>
    <row r="2521" spans="1:11" customFormat="1" ht="16" x14ac:dyDescent="0.2">
      <c r="A2521" t="s">
        <v>63</v>
      </c>
      <c r="B2521" s="3">
        <v>4.4181493731679086E-9</v>
      </c>
      <c r="D2521" t="s">
        <v>100</v>
      </c>
      <c r="E2521" t="s">
        <v>9</v>
      </c>
      <c r="F2521" s="2" t="s">
        <v>15</v>
      </c>
      <c r="H2521" s="2"/>
    </row>
    <row r="2522" spans="1:11" customFormat="1" ht="16" x14ac:dyDescent="0.2">
      <c r="A2522" t="s">
        <v>64</v>
      </c>
      <c r="B2522" s="3">
        <v>7.2386626011604185E-10</v>
      </c>
      <c r="D2522" t="s">
        <v>100</v>
      </c>
      <c r="E2522" t="s">
        <v>9</v>
      </c>
      <c r="F2522" s="2" t="s">
        <v>15</v>
      </c>
      <c r="H2522" s="2"/>
    </row>
    <row r="2523" spans="1:11" customFormat="1" ht="16" x14ac:dyDescent="0.2">
      <c r="A2523" t="s">
        <v>177</v>
      </c>
      <c r="B2523" s="3">
        <v>1.3879471014768287E-6</v>
      </c>
      <c r="D2523" t="s">
        <v>100</v>
      </c>
      <c r="E2523" t="s">
        <v>9</v>
      </c>
      <c r="F2523" s="2" t="s">
        <v>15</v>
      </c>
      <c r="H2523" s="2"/>
    </row>
    <row r="2524" spans="1:11" customFormat="1" ht="16" x14ac:dyDescent="0.2">
      <c r="A2524" t="s">
        <v>67</v>
      </c>
      <c r="B2524" s="3">
        <v>6.9408357025220894E-5</v>
      </c>
      <c r="D2524" t="s">
        <v>100</v>
      </c>
      <c r="E2524" t="s">
        <v>9</v>
      </c>
      <c r="F2524" s="2" t="s">
        <v>15</v>
      </c>
      <c r="H2524" s="2"/>
    </row>
    <row r="2525" spans="1:11" customFormat="1" ht="16" x14ac:dyDescent="0.2">
      <c r="A2525" t="s">
        <v>68</v>
      </c>
      <c r="B2525" s="3">
        <v>5.5818502193524422E-7</v>
      </c>
      <c r="D2525" t="s">
        <v>100</v>
      </c>
      <c r="E2525" t="s">
        <v>9</v>
      </c>
      <c r="F2525" s="2" t="s">
        <v>15</v>
      </c>
      <c r="H2525" s="2"/>
    </row>
    <row r="2526" spans="1:11" customFormat="1" ht="16" x14ac:dyDescent="0.2">
      <c r="A2526" t="s">
        <v>69</v>
      </c>
      <c r="B2526">
        <v>1.9128828001645137E-3</v>
      </c>
      <c r="D2526" t="s">
        <v>100</v>
      </c>
      <c r="E2526" t="s">
        <v>9</v>
      </c>
      <c r="F2526" s="2" t="s">
        <v>15</v>
      </c>
      <c r="H2526" s="2"/>
    </row>
    <row r="2527" spans="1:11" customFormat="1" ht="16" x14ac:dyDescent="0.2">
      <c r="A2527" t="s">
        <v>70</v>
      </c>
      <c r="B2527" s="3">
        <v>5.12820309080674E-8</v>
      </c>
      <c r="D2527" t="s">
        <v>100</v>
      </c>
      <c r="E2527" t="s">
        <v>9</v>
      </c>
      <c r="F2527" s="2" t="s">
        <v>15</v>
      </c>
      <c r="H2527" s="2"/>
    </row>
    <row r="2528" spans="1:11" customFormat="1" ht="16" x14ac:dyDescent="0.2">
      <c r="A2528" t="s">
        <v>71</v>
      </c>
      <c r="B2528" s="3">
        <f>0.00695*B2509*(1-0.8)</f>
        <v>3.5641025641025632E-5</v>
      </c>
      <c r="D2528" t="s">
        <v>100</v>
      </c>
      <c r="E2528" t="s">
        <v>9</v>
      </c>
      <c r="F2528" s="2" t="s">
        <v>15</v>
      </c>
      <c r="H2528" s="2"/>
    </row>
    <row r="2529" spans="1:12" customFormat="1" ht="16" x14ac:dyDescent="0.2">
      <c r="A2529" t="s">
        <v>107</v>
      </c>
      <c r="B2529" s="3">
        <f>0.0006*B2509*(1-0.8)</f>
        <v>3.0769230769230762E-6</v>
      </c>
      <c r="D2529" t="s">
        <v>100</v>
      </c>
      <c r="E2529" t="s">
        <v>9</v>
      </c>
      <c r="F2529" s="2" t="s">
        <v>15</v>
      </c>
      <c r="H2529" s="2"/>
    </row>
    <row r="2530" spans="1:12" customFormat="1" ht="16" x14ac:dyDescent="0.2">
      <c r="A2530" t="s">
        <v>75</v>
      </c>
      <c r="B2530" s="3">
        <v>8.8362885593437998E-9</v>
      </c>
      <c r="D2530" t="s">
        <v>100</v>
      </c>
      <c r="E2530" t="s">
        <v>9</v>
      </c>
      <c r="F2530" s="2" t="s">
        <v>15</v>
      </c>
      <c r="H2530" s="2"/>
    </row>
    <row r="2531" spans="1:12" customFormat="1" ht="16" x14ac:dyDescent="0.2">
      <c r="A2531" t="s">
        <v>79</v>
      </c>
      <c r="B2531" s="3">
        <v>2.0260399075004886E-8</v>
      </c>
      <c r="D2531" t="s">
        <v>100</v>
      </c>
      <c r="E2531" t="s">
        <v>9</v>
      </c>
      <c r="F2531" s="2" t="s">
        <v>15</v>
      </c>
      <c r="H2531" s="2"/>
    </row>
    <row r="2532" spans="1:12" customFormat="1" ht="16" x14ac:dyDescent="0.2">
      <c r="A2532" t="s">
        <v>57</v>
      </c>
      <c r="B2532" s="3">
        <v>1.6520143085674979E-9</v>
      </c>
      <c r="D2532" t="s">
        <v>112</v>
      </c>
      <c r="E2532" t="s">
        <v>9</v>
      </c>
      <c r="F2532" s="2" t="s">
        <v>15</v>
      </c>
      <c r="H2532" s="2"/>
    </row>
    <row r="2533" spans="1:12" customFormat="1" ht="16" x14ac:dyDescent="0.2">
      <c r="A2533" t="s">
        <v>108</v>
      </c>
      <c r="B2533" s="3">
        <v>1.5836494051346807E-10</v>
      </c>
      <c r="D2533" t="s">
        <v>112</v>
      </c>
      <c r="E2533" t="s">
        <v>9</v>
      </c>
      <c r="F2533" s="2" t="s">
        <v>15</v>
      </c>
      <c r="H2533" s="2"/>
    </row>
    <row r="2534" spans="1:12" customFormat="1" ht="16" x14ac:dyDescent="0.2">
      <c r="A2534" t="s">
        <v>109</v>
      </c>
      <c r="B2534" s="3">
        <v>4.5524750499172942E-7</v>
      </c>
      <c r="D2534" t="s">
        <v>112</v>
      </c>
      <c r="E2534" t="s">
        <v>9</v>
      </c>
      <c r="F2534" s="2" t="s">
        <v>15</v>
      </c>
      <c r="H2534" s="2"/>
    </row>
    <row r="2535" spans="1:12" customFormat="1" ht="16" x14ac:dyDescent="0.2">
      <c r="A2535" t="s">
        <v>110</v>
      </c>
      <c r="B2535" s="3">
        <v>2.6394088838964563E-11</v>
      </c>
      <c r="D2535" t="s">
        <v>112</v>
      </c>
      <c r="E2535" t="s">
        <v>9</v>
      </c>
      <c r="F2535" s="2" t="s">
        <v>15</v>
      </c>
      <c r="H2535" s="2"/>
    </row>
    <row r="2536" spans="1:12" customFormat="1" ht="16" x14ac:dyDescent="0.2">
      <c r="A2536" t="s">
        <v>111</v>
      </c>
      <c r="B2536" s="3">
        <v>2.4156210432449703E-10</v>
      </c>
      <c r="D2536" t="s">
        <v>112</v>
      </c>
      <c r="E2536" t="s">
        <v>9</v>
      </c>
      <c r="F2536" s="2" t="s">
        <v>15</v>
      </c>
      <c r="H2536" s="2"/>
    </row>
    <row r="2537" spans="1:12" customFormat="1" ht="16" x14ac:dyDescent="0.2"/>
    <row r="2538" spans="1:12" x14ac:dyDescent="0.2">
      <c r="A2538" s="17" t="s">
        <v>2</v>
      </c>
      <c r="B2538" s="17" t="s">
        <v>128</v>
      </c>
    </row>
    <row r="2539" spans="1:12" customFormat="1" ht="16" x14ac:dyDescent="0.2">
      <c r="A2539" s="2" t="s">
        <v>3</v>
      </c>
      <c r="B2539" s="2" t="s">
        <v>18</v>
      </c>
      <c r="C2539" s="2"/>
      <c r="D2539" s="2"/>
      <c r="E2539" s="2"/>
      <c r="F2539" s="2"/>
      <c r="G2539" s="2"/>
      <c r="H2539" s="2"/>
      <c r="I2539" s="2"/>
      <c r="J2539" s="2"/>
      <c r="K2539" s="2"/>
      <c r="L2539" s="2"/>
    </row>
    <row r="2540" spans="1:12" customFormat="1" ht="16" x14ac:dyDescent="0.2">
      <c r="A2540" s="2" t="s">
        <v>4</v>
      </c>
      <c r="B2540" s="2">
        <v>1</v>
      </c>
      <c r="C2540" s="2"/>
      <c r="D2540" s="2"/>
      <c r="E2540" s="2"/>
      <c r="F2540" s="2"/>
      <c r="G2540" s="2"/>
      <c r="H2540" s="2"/>
      <c r="I2540" s="2"/>
      <c r="J2540" s="2"/>
      <c r="K2540" s="2"/>
      <c r="L2540" s="2"/>
    </row>
    <row r="2541" spans="1:12" customFormat="1" ht="16" x14ac:dyDescent="0.2">
      <c r="A2541" s="2" t="s">
        <v>5</v>
      </c>
      <c r="B2541" s="2" t="s">
        <v>1</v>
      </c>
      <c r="C2541" s="2"/>
      <c r="D2541" s="2"/>
      <c r="E2541" s="2"/>
      <c r="F2541" s="2"/>
      <c r="G2541" s="2"/>
      <c r="H2541" s="2"/>
      <c r="I2541" s="2"/>
      <c r="J2541" s="2"/>
    </row>
    <row r="2542" spans="1:12" customFormat="1" ht="16" x14ac:dyDescent="0.2">
      <c r="A2542" s="2" t="s">
        <v>151</v>
      </c>
      <c r="B2542" s="2" t="s">
        <v>404</v>
      </c>
      <c r="C2542" s="2"/>
      <c r="D2542" s="2"/>
      <c r="E2542" s="2"/>
      <c r="F2542" s="2"/>
      <c r="G2542" s="2"/>
      <c r="H2542" s="2"/>
      <c r="I2542" s="2"/>
      <c r="J2542" s="2"/>
    </row>
    <row r="2543" spans="1:12" customFormat="1" ht="16" x14ac:dyDescent="0.2">
      <c r="A2543" s="2" t="s">
        <v>6</v>
      </c>
      <c r="B2543" s="2" t="s">
        <v>7</v>
      </c>
      <c r="C2543" s="2"/>
      <c r="D2543" s="2"/>
      <c r="E2543" s="2"/>
      <c r="F2543" s="2"/>
      <c r="G2543" s="2"/>
      <c r="H2543" s="2"/>
      <c r="I2543" s="2"/>
      <c r="J2543" s="2"/>
      <c r="K2543" s="2"/>
      <c r="L2543" s="2"/>
    </row>
    <row r="2544" spans="1:12" customFormat="1" ht="16" x14ac:dyDescent="0.2">
      <c r="A2544" s="2" t="s">
        <v>8</v>
      </c>
      <c r="B2544" s="2" t="s">
        <v>17</v>
      </c>
      <c r="C2544" s="2"/>
      <c r="D2544" s="2"/>
      <c r="E2544" s="2"/>
      <c r="F2544" s="2"/>
      <c r="G2544" s="2"/>
      <c r="H2544" s="2"/>
      <c r="I2544" s="2"/>
      <c r="J2544" s="2"/>
      <c r="K2544" s="2"/>
      <c r="L2544" s="2"/>
    </row>
    <row r="2545" spans="1:12" customFormat="1" ht="16" x14ac:dyDescent="0.2">
      <c r="A2545" s="1" t="s">
        <v>10</v>
      </c>
      <c r="B2545" s="2"/>
      <c r="C2545" s="2"/>
      <c r="D2545" s="2"/>
      <c r="E2545" s="2"/>
      <c r="F2545" s="2"/>
      <c r="G2545" s="2"/>
      <c r="H2545" s="2"/>
      <c r="I2545" s="2"/>
      <c r="J2545" s="2"/>
      <c r="K2545" s="2"/>
      <c r="L2545" s="2"/>
    </row>
    <row r="2546" spans="1:12" x14ac:dyDescent="0.2">
      <c r="A2546" s="17" t="s">
        <v>11</v>
      </c>
      <c r="B2546" s="17" t="s">
        <v>12</v>
      </c>
      <c r="C2546" s="17" t="s">
        <v>3</v>
      </c>
      <c r="D2546" s="17" t="s">
        <v>13</v>
      </c>
      <c r="E2546" s="17" t="s">
        <v>8</v>
      </c>
      <c r="F2546" s="17" t="s">
        <v>6</v>
      </c>
      <c r="G2546" s="17" t="s">
        <v>5</v>
      </c>
      <c r="I2546" s="17"/>
      <c r="J2546" s="17"/>
      <c r="K2546" s="17"/>
    </row>
    <row r="2547" spans="1:12" customFormat="1" ht="16" x14ac:dyDescent="0.2">
      <c r="A2547" s="2" t="str">
        <f>B2538</f>
        <v>methanol from biomass, burned in container ship</v>
      </c>
      <c r="B2547" s="2">
        <v>1</v>
      </c>
      <c r="C2547" s="2" t="str">
        <f>B2539</f>
        <v>RER</v>
      </c>
      <c r="D2547" s="2"/>
      <c r="E2547" s="2" t="str">
        <f>B2544</f>
        <v>megajoule</v>
      </c>
      <c r="F2547" s="2" t="s">
        <v>19</v>
      </c>
      <c r="G2547" s="2" t="str">
        <f>B2541</f>
        <v>heat</v>
      </c>
      <c r="H2547" s="2"/>
      <c r="I2547" s="2"/>
      <c r="J2547" s="2"/>
      <c r="K2547" s="2"/>
      <c r="L2547" s="2"/>
    </row>
    <row r="2548" spans="1:12" customFormat="1" ht="16" x14ac:dyDescent="0.2">
      <c r="A2548" t="s">
        <v>148</v>
      </c>
      <c r="B2548" s="8">
        <v>5.5555555555555601E-2</v>
      </c>
      <c r="C2548" t="s">
        <v>127</v>
      </c>
      <c r="E2548" t="s">
        <v>9</v>
      </c>
      <c r="F2548" t="s">
        <v>23</v>
      </c>
      <c r="G2548" t="s">
        <v>126</v>
      </c>
      <c r="H2548" s="2"/>
    </row>
    <row r="2549" spans="1:12" s="4" customFormat="1" ht="16" x14ac:dyDescent="0.2">
      <c r="A2549" s="4" t="s">
        <v>98</v>
      </c>
      <c r="B2549" s="7">
        <f>0.0625/1000</f>
        <v>6.2500000000000001E-5</v>
      </c>
      <c r="D2549" s="4" t="s">
        <v>116</v>
      </c>
      <c r="E2549" s="4" t="s">
        <v>94</v>
      </c>
      <c r="F2549" s="4" t="s">
        <v>15</v>
      </c>
      <c r="L2549" s="5"/>
    </row>
    <row r="2550" spans="1:12" s="4" customFormat="1" ht="16" x14ac:dyDescent="0.2">
      <c r="A2550" s="4" t="s">
        <v>122</v>
      </c>
      <c r="B2550" s="7">
        <v>7.6222222222222233E-2</v>
      </c>
      <c r="D2550" s="4" t="s">
        <v>14</v>
      </c>
      <c r="E2550" s="4" t="s">
        <v>9</v>
      </c>
      <c r="F2550" s="4" t="s">
        <v>15</v>
      </c>
      <c r="L2550" s="5"/>
    </row>
    <row r="2551" spans="1:12" s="4" customFormat="1" ht="16" x14ac:dyDescent="0.2">
      <c r="A2551" s="4" t="s">
        <v>123</v>
      </c>
      <c r="B2551" s="7">
        <v>9.0000000000000002E-6</v>
      </c>
      <c r="D2551" s="4" t="s">
        <v>14</v>
      </c>
      <c r="E2551" s="4" t="s">
        <v>9</v>
      </c>
      <c r="F2551" s="4" t="s">
        <v>15</v>
      </c>
    </row>
    <row r="2552" spans="1:12" s="4" customFormat="1" ht="16" x14ac:dyDescent="0.2">
      <c r="A2552" s="4" t="s">
        <v>69</v>
      </c>
      <c r="B2552" s="37">
        <f>(0.0007*20)*B2548</f>
        <v>7.7777777777777838E-4</v>
      </c>
      <c r="D2552" s="4" t="s">
        <v>14</v>
      </c>
      <c r="E2552" s="4" t="s">
        <v>9</v>
      </c>
      <c r="F2552" s="4" t="s">
        <v>15</v>
      </c>
      <c r="L2552" s="5"/>
    </row>
    <row r="2553" spans="1:12" s="4" customFormat="1" ht="16" x14ac:dyDescent="0.2">
      <c r="A2553" s="4" t="s">
        <v>71</v>
      </c>
      <c r="B2553" s="7">
        <f>0.00695*B2548*0.1</f>
        <v>3.8611111111111143E-5</v>
      </c>
      <c r="D2553" s="4" t="s">
        <v>14</v>
      </c>
      <c r="E2553" s="4" t="s">
        <v>9</v>
      </c>
      <c r="F2553" s="4" t="s">
        <v>15</v>
      </c>
      <c r="L2553" s="5"/>
    </row>
    <row r="2554" spans="1:12" customFormat="1" ht="16" x14ac:dyDescent="0.2">
      <c r="H2554" s="2"/>
    </row>
    <row r="2555" spans="1:12" x14ac:dyDescent="0.2">
      <c r="A2555" s="17" t="s">
        <v>2</v>
      </c>
      <c r="B2555" s="17" t="s">
        <v>377</v>
      </c>
    </row>
    <row r="2556" spans="1:12" customFormat="1" ht="16" x14ac:dyDescent="0.2">
      <c r="A2556" s="2" t="s">
        <v>3</v>
      </c>
      <c r="B2556" s="2" t="s">
        <v>18</v>
      </c>
      <c r="C2556" s="2"/>
      <c r="D2556" s="2"/>
      <c r="E2556" s="2"/>
      <c r="F2556" s="2"/>
      <c r="G2556" s="2"/>
      <c r="H2556" s="2"/>
      <c r="I2556" s="2"/>
      <c r="J2556" s="2"/>
      <c r="K2556" s="2"/>
      <c r="L2556" s="2"/>
    </row>
    <row r="2557" spans="1:12" customFormat="1" ht="16" x14ac:dyDescent="0.2">
      <c r="A2557" s="2" t="s">
        <v>4</v>
      </c>
      <c r="B2557" s="2">
        <v>1</v>
      </c>
      <c r="C2557" s="2"/>
      <c r="D2557" s="2"/>
      <c r="E2557" s="2"/>
      <c r="F2557" s="2"/>
      <c r="G2557" s="2"/>
      <c r="H2557" s="2"/>
      <c r="I2557" s="2"/>
      <c r="J2557" s="2"/>
      <c r="K2557" s="2"/>
      <c r="L2557" s="2"/>
    </row>
    <row r="2558" spans="1:12" customFormat="1" ht="16" x14ac:dyDescent="0.2">
      <c r="A2558" s="2" t="s">
        <v>5</v>
      </c>
      <c r="B2558" s="2" t="s">
        <v>142</v>
      </c>
      <c r="C2558" s="2"/>
      <c r="D2558" s="2"/>
      <c r="E2558" s="2"/>
      <c r="F2558" s="2"/>
      <c r="G2558" s="2"/>
      <c r="H2558" s="2"/>
      <c r="I2558" s="2"/>
      <c r="J2558" s="2"/>
    </row>
    <row r="2559" spans="1:12" customFormat="1" ht="16" x14ac:dyDescent="0.2">
      <c r="A2559" s="2" t="s">
        <v>6</v>
      </c>
      <c r="B2559" s="2" t="s">
        <v>7</v>
      </c>
      <c r="C2559" s="2"/>
      <c r="D2559" s="2"/>
      <c r="E2559" s="2"/>
      <c r="F2559" s="2"/>
      <c r="G2559" s="2"/>
      <c r="H2559" s="2"/>
      <c r="I2559" s="2"/>
      <c r="J2559" s="2"/>
      <c r="K2559" s="2"/>
      <c r="L2559" s="2"/>
    </row>
    <row r="2560" spans="1:12" customFormat="1" ht="16" x14ac:dyDescent="0.2">
      <c r="A2560" s="2" t="s">
        <v>8</v>
      </c>
      <c r="B2560" s="2" t="s">
        <v>17</v>
      </c>
      <c r="C2560" s="2"/>
      <c r="D2560" s="2"/>
      <c r="E2560" s="2"/>
      <c r="F2560" s="2"/>
      <c r="G2560" s="2"/>
      <c r="H2560" s="2"/>
      <c r="I2560" s="2"/>
      <c r="J2560" s="2"/>
      <c r="K2560" s="2"/>
      <c r="L2560" s="2"/>
    </row>
    <row r="2561" spans="1:12" customFormat="1" ht="16" x14ac:dyDescent="0.2">
      <c r="A2561" t="s">
        <v>352</v>
      </c>
      <c r="B2561" s="2">
        <f>INDEX(Parameters!$B$6:$AL$59,MATCH(Inventories!$B$2555,Parameters!$A$6:$A$59,0),MATCH(Inventories!$A2561,Parameters!$B$4:$AL$4,0))</f>
        <v>3200</v>
      </c>
      <c r="C2561" t="s">
        <v>312</v>
      </c>
      <c r="D2561" s="2"/>
      <c r="E2561" s="2"/>
      <c r="F2561" s="2"/>
      <c r="G2561" s="2"/>
      <c r="H2561" s="2"/>
      <c r="I2561" s="2"/>
      <c r="J2561" s="2"/>
      <c r="K2561" s="2"/>
      <c r="L2561" s="2"/>
    </row>
    <row r="2562" spans="1:12" customFormat="1" ht="16" x14ac:dyDescent="0.2">
      <c r="A2562" t="s">
        <v>353</v>
      </c>
      <c r="B2562" s="2">
        <f>INDEX(Parameters!$B$6:$AL$59,MATCH(Inventories!$B$2555,Parameters!$A$6:$A$59,0),MATCH(Inventories!$A2562,Parameters!$B$4:$AL$4,0))</f>
        <v>2500</v>
      </c>
      <c r="C2562" t="s">
        <v>312</v>
      </c>
      <c r="D2562" s="2"/>
      <c r="E2562" s="2"/>
      <c r="F2562" s="2"/>
      <c r="G2562" s="2"/>
      <c r="H2562" s="2"/>
      <c r="I2562" s="2"/>
      <c r="J2562" s="2"/>
      <c r="K2562" s="2"/>
      <c r="L2562" s="2"/>
    </row>
    <row r="2563" spans="1:12" customFormat="1" ht="16" x14ac:dyDescent="0.2">
      <c r="A2563" t="s">
        <v>354</v>
      </c>
      <c r="B2563" s="2">
        <f>INDEX(Parameters!$B$6:$AL$59,MATCH(Inventories!$B$2555,Parameters!$A$6:$A$59,0),MATCH(Inventories!$A2563,Parameters!$B$4:$AL$4,0))</f>
        <v>5000</v>
      </c>
      <c r="C2563" t="s">
        <v>312</v>
      </c>
      <c r="D2563" s="2"/>
      <c r="E2563" s="2"/>
      <c r="F2563" s="2"/>
      <c r="G2563" s="2"/>
      <c r="H2563" s="2"/>
      <c r="I2563" s="2"/>
      <c r="J2563" s="2"/>
      <c r="K2563" s="2"/>
      <c r="L2563" s="2"/>
    </row>
    <row r="2564" spans="1:12" customFormat="1" ht="16" x14ac:dyDescent="0.2">
      <c r="A2564" t="s">
        <v>316</v>
      </c>
      <c r="B2564" s="24">
        <f>INDEX(Parameters!$B$6:$AL$59,MATCH(Inventories!$B$2555,Parameters!$A$6:$A$59,0),MATCH(Inventories!$A2564,Parameters!$B$4:$AL$4,0))</f>
        <v>4200000</v>
      </c>
      <c r="C2564" t="s">
        <v>313</v>
      </c>
      <c r="D2564" s="2"/>
      <c r="E2564" s="2"/>
      <c r="F2564" s="2"/>
      <c r="G2564" s="2"/>
      <c r="H2564" s="2"/>
      <c r="I2564" s="2"/>
      <c r="J2564" s="2"/>
      <c r="K2564" s="2"/>
      <c r="L2564" s="2"/>
    </row>
    <row r="2565" spans="1:12" customFormat="1" ht="16" x14ac:dyDescent="0.2">
      <c r="A2565" t="s">
        <v>317</v>
      </c>
      <c r="B2565" s="24">
        <f>INDEX(Parameters!$B$6:$AL$59,MATCH(Inventories!$B$2555,Parameters!$A$6:$A$59,0),MATCH(Inventories!$A2565,Parameters!$B$4:$AL$4,0))</f>
        <v>3000000</v>
      </c>
      <c r="C2565" t="s">
        <v>313</v>
      </c>
      <c r="D2565" s="2"/>
      <c r="E2565" s="2"/>
      <c r="F2565" s="2"/>
      <c r="G2565" s="2"/>
      <c r="H2565" s="2"/>
      <c r="I2565" s="2"/>
      <c r="J2565" s="2"/>
      <c r="K2565" s="2"/>
      <c r="L2565" s="2"/>
    </row>
    <row r="2566" spans="1:12" customFormat="1" ht="16" x14ac:dyDescent="0.2">
      <c r="A2566" t="s">
        <v>318</v>
      </c>
      <c r="B2566" s="24">
        <f>INDEX(Parameters!$B$6:$AL$59,MATCH(Inventories!$B$2555,Parameters!$A$6:$A$59,0),MATCH(Inventories!$A2566,Parameters!$B$4:$AL$4,0))</f>
        <v>10000000</v>
      </c>
      <c r="C2566" t="s">
        <v>313</v>
      </c>
      <c r="D2566" s="2"/>
      <c r="E2566" s="2"/>
      <c r="F2566" s="2"/>
      <c r="G2566" s="2"/>
      <c r="H2566" s="2"/>
      <c r="I2566" s="2"/>
      <c r="J2566" s="2"/>
      <c r="K2566" s="2"/>
      <c r="L2566" s="2"/>
    </row>
    <row r="2567" spans="1:12" customFormat="1" ht="16" x14ac:dyDescent="0.2">
      <c r="A2567" t="s">
        <v>319</v>
      </c>
      <c r="B2567" s="24">
        <f>INDEX(Parameters!$B$6:$AL$59,MATCH(Inventories!$B$2555,Parameters!$A$6:$A$59,0),MATCH(Inventories!$A2567,Parameters!$B$4:$AL$4,0))</f>
        <v>4837500</v>
      </c>
      <c r="C2567" t="s">
        <v>314</v>
      </c>
      <c r="D2567" s="2"/>
      <c r="E2567" s="2"/>
      <c r="F2567" s="2"/>
      <c r="G2567" s="2"/>
      <c r="H2567" s="2"/>
      <c r="I2567" s="2"/>
      <c r="J2567" s="2"/>
      <c r="K2567" s="2"/>
      <c r="L2567" s="2"/>
    </row>
    <row r="2568" spans="1:12" customFormat="1" ht="16" x14ac:dyDescent="0.2">
      <c r="A2568" t="s">
        <v>320</v>
      </c>
      <c r="B2568" s="24">
        <f>INDEX(Parameters!$B$6:$AL$59,MATCH(Inventories!$B$2555,Parameters!$A$6:$A$59,0),MATCH(Inventories!$A2568,Parameters!$B$4:$AL$4,0))</f>
        <v>3655000</v>
      </c>
      <c r="C2568" t="s">
        <v>314</v>
      </c>
      <c r="D2568" s="2"/>
      <c r="E2568" s="2"/>
      <c r="F2568" s="2"/>
      <c r="G2568" s="2"/>
      <c r="H2568" s="2"/>
      <c r="I2568" s="2"/>
      <c r="J2568" s="2"/>
      <c r="K2568" s="2"/>
      <c r="L2568" s="2"/>
    </row>
    <row r="2569" spans="1:12" customFormat="1" ht="16" x14ac:dyDescent="0.2">
      <c r="A2569" t="s">
        <v>321</v>
      </c>
      <c r="B2569" s="24">
        <f>INDEX(Parameters!$B$6:$AL$59,MATCH(Inventories!$B$2555,Parameters!$A$6:$A$59,0),MATCH(Inventories!$A2569,Parameters!$B$4:$AL$4,0))</f>
        <v>7310000</v>
      </c>
      <c r="C2569" t="s">
        <v>314</v>
      </c>
      <c r="D2569" s="2"/>
      <c r="E2569" s="2"/>
      <c r="F2569" s="2"/>
      <c r="G2569" s="2"/>
      <c r="H2569" s="2"/>
      <c r="I2569" s="2"/>
      <c r="J2569" s="2"/>
      <c r="K2569" s="2"/>
      <c r="L2569" s="2"/>
    </row>
    <row r="2570" spans="1:12" customFormat="1" ht="16" x14ac:dyDescent="0.2">
      <c r="A2570" t="s">
        <v>337</v>
      </c>
      <c r="B2570" s="2">
        <f>INDEX(Parameters!$B$6:$AL$59,MATCH(Inventories!$B$2555,Parameters!$A$6:$A$59,0),MATCH(Inventories!$A2570,Parameters!$B$4:$AL$4,0))</f>
        <v>0</v>
      </c>
      <c r="C2570" t="s">
        <v>336</v>
      </c>
      <c r="D2570" s="2"/>
      <c r="E2570" s="2"/>
      <c r="F2570" s="2"/>
      <c r="G2570" s="2"/>
      <c r="H2570" s="2"/>
      <c r="I2570" s="2"/>
      <c r="J2570" s="2"/>
      <c r="K2570" s="2"/>
      <c r="L2570" s="2"/>
    </row>
    <row r="2571" spans="1:12" customFormat="1" ht="16" x14ac:dyDescent="0.2">
      <c r="A2571" t="s">
        <v>338</v>
      </c>
      <c r="B2571" s="2">
        <f>INDEX(Parameters!$B$6:$AL$59,MATCH(Inventories!$B$2555,Parameters!$A$6:$A$59,0),MATCH(Inventories!$A2571,Parameters!$B$4:$AL$4,0))</f>
        <v>0</v>
      </c>
      <c r="C2571" t="s">
        <v>336</v>
      </c>
      <c r="D2571" s="2"/>
      <c r="E2571" s="2"/>
      <c r="F2571" s="2"/>
      <c r="G2571" s="2"/>
      <c r="H2571" s="2"/>
      <c r="I2571" s="2"/>
      <c r="J2571" s="2"/>
      <c r="K2571" s="2"/>
      <c r="L2571" s="2"/>
    </row>
    <row r="2572" spans="1:12" customFormat="1" ht="16" x14ac:dyDescent="0.2">
      <c r="A2572" t="s">
        <v>339</v>
      </c>
      <c r="B2572" s="2">
        <f>INDEX(Parameters!$B$6:$AL$59,MATCH(Inventories!$B$2555,Parameters!$A$6:$A$59,0),MATCH(Inventories!$A2572,Parameters!$B$4:$AL$4,0))</f>
        <v>0</v>
      </c>
      <c r="C2572" t="s">
        <v>336</v>
      </c>
      <c r="D2572" s="2"/>
      <c r="E2572" s="2"/>
      <c r="F2572" s="2"/>
      <c r="G2572" s="2"/>
      <c r="H2572" s="2"/>
      <c r="I2572" s="2"/>
      <c r="J2572" s="2"/>
      <c r="K2572" s="2"/>
      <c r="L2572" s="2"/>
    </row>
    <row r="2573" spans="1:12" customFormat="1" ht="16" x14ac:dyDescent="0.2">
      <c r="A2573" t="s">
        <v>340</v>
      </c>
      <c r="B2573" s="2">
        <f>INDEX(Parameters!$B$6:$AL$59,MATCH(Inventories!$B$2555,Parameters!$A$6:$A$59,0),MATCH(Inventories!$A2573,Parameters!$B$4:$AL$4,0))</f>
        <v>0</v>
      </c>
      <c r="C2573" t="s">
        <v>336</v>
      </c>
      <c r="D2573" s="2"/>
      <c r="E2573" s="2"/>
      <c r="F2573" s="2"/>
      <c r="G2573" s="2"/>
      <c r="H2573" s="2"/>
      <c r="I2573" s="2"/>
      <c r="J2573" s="2"/>
      <c r="K2573" s="2"/>
      <c r="L2573" s="2"/>
    </row>
    <row r="2574" spans="1:12" customFormat="1" ht="16" x14ac:dyDescent="0.2">
      <c r="A2574" t="s">
        <v>341</v>
      </c>
      <c r="B2574" s="2">
        <f>INDEX(Parameters!$B$6:$AL$59,MATCH(Inventories!$B$2555,Parameters!$A$6:$A$59,0),MATCH(Inventories!$A2574,Parameters!$B$4:$AL$4,0))</f>
        <v>0</v>
      </c>
      <c r="C2574" t="s">
        <v>336</v>
      </c>
      <c r="D2574" s="2"/>
      <c r="E2574" s="2"/>
      <c r="F2574" s="2"/>
      <c r="G2574" s="2"/>
      <c r="H2574" s="2"/>
      <c r="I2574" s="2"/>
      <c r="J2574" s="2"/>
      <c r="K2574" s="2"/>
      <c r="L2574" s="2"/>
    </row>
    <row r="2575" spans="1:12" customFormat="1" ht="16" x14ac:dyDescent="0.2">
      <c r="A2575" t="s">
        <v>342</v>
      </c>
      <c r="B2575" s="2">
        <f>INDEX(Parameters!$B$6:$AL$59,MATCH(Inventories!$B$2555,Parameters!$A$6:$A$59,0),MATCH(Inventories!$A2575,Parameters!$B$4:$AL$4,0))</f>
        <v>0</v>
      </c>
      <c r="C2575" t="s">
        <v>336</v>
      </c>
      <c r="D2575" s="2"/>
      <c r="E2575" s="2"/>
      <c r="F2575" s="2"/>
      <c r="G2575" s="2"/>
      <c r="H2575" s="2"/>
      <c r="I2575" s="2"/>
      <c r="J2575" s="2"/>
      <c r="K2575" s="2"/>
      <c r="L2575" s="2"/>
    </row>
    <row r="2576" spans="1:12" customFormat="1" ht="16" x14ac:dyDescent="0.2">
      <c r="A2576" t="s">
        <v>333</v>
      </c>
      <c r="B2576" s="2">
        <f>INDEX(Parameters!$B$6:$AL$59,MATCH(Inventories!$B$2555,Parameters!$A$6:$A$59,0),MATCH(Inventories!$A2576,Parameters!$B$4:$AL$4,0))</f>
        <v>0</v>
      </c>
      <c r="C2576" t="s">
        <v>336</v>
      </c>
      <c r="D2576" s="2"/>
      <c r="E2576" s="2"/>
      <c r="F2576" s="2"/>
      <c r="G2576" s="2"/>
      <c r="H2576" s="2"/>
      <c r="I2576" s="2"/>
      <c r="J2576" s="2"/>
      <c r="K2576" s="2"/>
      <c r="L2576" s="2"/>
    </row>
    <row r="2577" spans="1:12" customFormat="1" ht="16" x14ac:dyDescent="0.2">
      <c r="A2577" t="s">
        <v>334</v>
      </c>
      <c r="B2577" s="2">
        <f>INDEX(Parameters!$B$6:$AL$59,MATCH(Inventories!$B$2555,Parameters!$A$6:$A$59,0),MATCH(Inventories!$A2577,Parameters!$B$4:$AL$4,0))</f>
        <v>0</v>
      </c>
      <c r="C2577" t="s">
        <v>336</v>
      </c>
      <c r="D2577" s="2"/>
      <c r="E2577" s="2"/>
      <c r="F2577" s="2"/>
      <c r="G2577" s="2"/>
      <c r="H2577" s="2"/>
      <c r="I2577" s="2"/>
      <c r="J2577" s="2"/>
      <c r="K2577" s="2"/>
      <c r="L2577" s="2"/>
    </row>
    <row r="2578" spans="1:12" customFormat="1" ht="16" x14ac:dyDescent="0.2">
      <c r="A2578" t="s">
        <v>335</v>
      </c>
      <c r="B2578" s="2">
        <f>INDEX(Parameters!$B$6:$AL$59,MATCH(Inventories!$B$2555,Parameters!$A$6:$A$59,0),MATCH(Inventories!$A2578,Parameters!$B$4:$AL$4,0))</f>
        <v>0</v>
      </c>
      <c r="C2578" t="s">
        <v>336</v>
      </c>
      <c r="D2578" s="2"/>
      <c r="E2578" s="2"/>
      <c r="F2578" s="2"/>
      <c r="G2578" s="2"/>
      <c r="H2578" s="2"/>
      <c r="I2578" s="2"/>
      <c r="J2578" s="2"/>
      <c r="K2578" s="2"/>
      <c r="L2578" s="2"/>
    </row>
    <row r="2579" spans="1:12" customFormat="1" ht="16" x14ac:dyDescent="0.2">
      <c r="A2579" t="s">
        <v>322</v>
      </c>
      <c r="B2579" s="2">
        <f>INDEX(Parameters!$B$6:$AL$59,MATCH(Inventories!$B$2555,Parameters!$A$6:$A$59,0),MATCH(Inventories!$A2579,Parameters!$B$4:$AL$4,0))</f>
        <v>6700000</v>
      </c>
      <c r="C2579" t="s">
        <v>315</v>
      </c>
      <c r="D2579" s="2"/>
      <c r="E2579" s="2"/>
      <c r="F2579" s="2"/>
      <c r="G2579" s="2"/>
      <c r="H2579" s="2"/>
      <c r="I2579" s="2"/>
      <c r="J2579" s="2"/>
      <c r="K2579" s="2"/>
      <c r="L2579" s="2"/>
    </row>
    <row r="2580" spans="1:12" customFormat="1" ht="16" x14ac:dyDescent="0.2">
      <c r="A2580" t="s">
        <v>323</v>
      </c>
      <c r="B2580" s="2">
        <f>INDEX(Parameters!$B$6:$AL$59,MATCH(Inventories!$B$2555,Parameters!$A$6:$A$59,0),MATCH(Inventories!$A2580,Parameters!$B$4:$AL$4,0))</f>
        <v>3500000</v>
      </c>
      <c r="C2580" t="s">
        <v>315</v>
      </c>
      <c r="D2580" s="2"/>
      <c r="E2580" s="2"/>
      <c r="F2580" s="2"/>
      <c r="G2580" s="2"/>
      <c r="H2580" s="2"/>
      <c r="I2580" s="2"/>
      <c r="J2580" s="2"/>
      <c r="K2580" s="2"/>
      <c r="L2580" s="2"/>
    </row>
    <row r="2581" spans="1:12" customFormat="1" ht="16" x14ac:dyDescent="0.2">
      <c r="A2581" t="s">
        <v>324</v>
      </c>
      <c r="B2581" s="2">
        <f>INDEX(Parameters!$B$6:$AL$59,MATCH(Inventories!$B$2555,Parameters!$A$6:$A$59,0),MATCH(Inventories!$A2581,Parameters!$B$4:$AL$4,0))</f>
        <v>10000000</v>
      </c>
      <c r="C2581" t="s">
        <v>315</v>
      </c>
      <c r="D2581" s="2"/>
      <c r="E2581" s="2"/>
      <c r="F2581" s="2"/>
      <c r="G2581" s="2"/>
      <c r="H2581" s="2"/>
      <c r="I2581" s="2"/>
      <c r="J2581" s="2"/>
      <c r="K2581" s="2"/>
      <c r="L2581" s="2"/>
    </row>
    <row r="2582" spans="1:12" customFormat="1" ht="16" x14ac:dyDescent="0.2">
      <c r="A2582" t="s">
        <v>330</v>
      </c>
      <c r="B2582" s="2">
        <f>INDEX(Parameters!$B$6:$AL$59,MATCH(Inventories!$B$2555,Parameters!$A$6:$A$59,0),MATCH(Inventories!$A2582,Parameters!$B$4:$AL$4,0))</f>
        <v>0</v>
      </c>
      <c r="C2582" t="s">
        <v>8</v>
      </c>
      <c r="D2582" s="2"/>
      <c r="E2582" s="2"/>
      <c r="F2582" s="2"/>
      <c r="G2582" s="2"/>
      <c r="H2582" s="2"/>
      <c r="I2582" s="2"/>
      <c r="J2582" s="2"/>
      <c r="K2582" s="2"/>
      <c r="L2582" s="2"/>
    </row>
    <row r="2583" spans="1:12" customFormat="1" ht="16" x14ac:dyDescent="0.2">
      <c r="A2583" t="s">
        <v>331</v>
      </c>
      <c r="B2583" s="2">
        <f>INDEX(Parameters!$B$6:$AL$59,MATCH(Inventories!$B$2555,Parameters!$A$6:$A$59,0),MATCH(Inventories!$A2583,Parameters!$B$4:$AL$4,0))</f>
        <v>0</v>
      </c>
      <c r="C2583" t="s">
        <v>8</v>
      </c>
      <c r="D2583" s="2"/>
      <c r="E2583" s="2"/>
      <c r="F2583" s="2"/>
      <c r="G2583" s="2"/>
      <c r="H2583" s="2"/>
      <c r="I2583" s="2"/>
      <c r="J2583" s="2"/>
      <c r="K2583" s="2"/>
      <c r="L2583" s="2"/>
    </row>
    <row r="2584" spans="1:12" customFormat="1" ht="16" x14ac:dyDescent="0.2">
      <c r="A2584" t="s">
        <v>332</v>
      </c>
      <c r="B2584" s="2">
        <f>INDEX(Parameters!$B$6:$AL$59,MATCH(Inventories!$B$2555,Parameters!$A$6:$A$59,0),MATCH(Inventories!$A2584,Parameters!$B$4:$AL$4,0))</f>
        <v>0</v>
      </c>
      <c r="C2584" t="s">
        <v>8</v>
      </c>
      <c r="D2584" s="2"/>
      <c r="E2584" s="2"/>
      <c r="F2584" s="2"/>
      <c r="G2584" s="2"/>
      <c r="H2584" s="2"/>
      <c r="I2584" s="2"/>
      <c r="J2584" s="2"/>
      <c r="K2584" s="2"/>
      <c r="L2584" s="2"/>
    </row>
    <row r="2585" spans="1:12" customFormat="1" ht="16" x14ac:dyDescent="0.2">
      <c r="A2585" t="s">
        <v>346</v>
      </c>
      <c r="B2585" s="2">
        <f>INDEX(Parameters!$B$6:$AL$59,MATCH(Inventories!$B$2555,Parameters!$A$6:$A$59,0),MATCH(Inventories!$A2585,Parameters!$B$4:$AL$4,0))</f>
        <v>0</v>
      </c>
      <c r="C2585" t="s">
        <v>312</v>
      </c>
      <c r="D2585" s="2"/>
      <c r="E2585" s="2"/>
      <c r="F2585" s="2"/>
      <c r="G2585" s="2"/>
      <c r="H2585" s="2"/>
      <c r="I2585" s="2"/>
      <c r="J2585" s="2"/>
      <c r="K2585" s="2"/>
      <c r="L2585" s="2"/>
    </row>
    <row r="2586" spans="1:12" customFormat="1" ht="16" x14ac:dyDescent="0.2">
      <c r="A2586" t="s">
        <v>347</v>
      </c>
      <c r="B2586" s="2">
        <f>INDEX(Parameters!$B$6:$AL$59,MATCH(Inventories!$B$2555,Parameters!$A$6:$A$59,0),MATCH(Inventories!$A2586,Parameters!$B$4:$AL$4,0))</f>
        <v>0</v>
      </c>
      <c r="C2586" t="s">
        <v>312</v>
      </c>
      <c r="D2586" s="2"/>
      <c r="E2586" s="12"/>
      <c r="F2586" s="2"/>
      <c r="G2586" s="2"/>
      <c r="H2586" s="2"/>
      <c r="I2586" s="2"/>
      <c r="J2586" s="2"/>
      <c r="K2586" s="2"/>
      <c r="L2586" s="2"/>
    </row>
    <row r="2587" spans="1:12" customFormat="1" ht="16" x14ac:dyDescent="0.2">
      <c r="A2587" t="s">
        <v>348</v>
      </c>
      <c r="B2587" s="2">
        <f>INDEX(Parameters!$B$6:$AL$59,MATCH(Inventories!$B$2555,Parameters!$A$6:$A$59,0),MATCH(Inventories!$A2587,Parameters!$B$4:$AL$4,0))</f>
        <v>0</v>
      </c>
      <c r="C2587" t="s">
        <v>312</v>
      </c>
      <c r="D2587" s="2"/>
      <c r="E2587" s="2"/>
      <c r="F2587" s="2"/>
      <c r="G2587" s="2"/>
      <c r="H2587" s="2"/>
      <c r="I2587" s="2"/>
      <c r="J2587" s="2"/>
      <c r="K2587" s="2"/>
      <c r="L2587" s="2"/>
    </row>
    <row r="2588" spans="1:12" customFormat="1" ht="16" x14ac:dyDescent="0.2">
      <c r="A2588" t="s">
        <v>349</v>
      </c>
      <c r="B2588" s="2">
        <f>INDEX(Parameters!$B$6:$AL$59,MATCH(Inventories!$B$2555,Parameters!$A$6:$A$59,0),MATCH(Inventories!$A2588,Parameters!$B$4:$AL$4,0))</f>
        <v>0</v>
      </c>
      <c r="C2588" t="s">
        <v>8</v>
      </c>
      <c r="D2588" s="2"/>
      <c r="E2588" s="2"/>
      <c r="F2588" s="2"/>
      <c r="G2588" s="2"/>
      <c r="H2588" s="2"/>
      <c r="I2588" s="2"/>
      <c r="J2588" s="2"/>
      <c r="K2588" s="2"/>
      <c r="L2588" s="2"/>
    </row>
    <row r="2589" spans="1:12" customFormat="1" ht="16" x14ac:dyDescent="0.2">
      <c r="A2589" t="s">
        <v>350</v>
      </c>
      <c r="B2589" s="2">
        <f>INDEX(Parameters!$B$6:$AL$59,MATCH(Inventories!$B$2555,Parameters!$A$6:$A$59,0),MATCH(Inventories!$A2589,Parameters!$B$4:$AL$4,0))</f>
        <v>0</v>
      </c>
      <c r="C2589" t="s">
        <v>8</v>
      </c>
      <c r="D2589" s="2"/>
      <c r="E2589" s="2"/>
      <c r="F2589" s="2"/>
      <c r="G2589" s="2"/>
      <c r="H2589" s="2"/>
      <c r="I2589" s="2"/>
      <c r="J2589" s="2"/>
      <c r="K2589" s="2"/>
      <c r="L2589" s="2"/>
    </row>
    <row r="2590" spans="1:12" customFormat="1" ht="16" x14ac:dyDescent="0.2">
      <c r="A2590" t="s">
        <v>351</v>
      </c>
      <c r="B2590" s="2">
        <f>INDEX(Parameters!$B$6:$AL$59,MATCH(Inventories!$B$2555,Parameters!$A$6:$A$59,0),MATCH(Inventories!$A2590,Parameters!$B$4:$AL$4,0))</f>
        <v>0</v>
      </c>
      <c r="C2590" t="s">
        <v>8</v>
      </c>
      <c r="D2590" s="2"/>
      <c r="E2590" s="2"/>
      <c r="F2590" s="2"/>
      <c r="G2590" s="2"/>
      <c r="H2590" s="2"/>
      <c r="I2590" s="2"/>
      <c r="J2590" s="2"/>
      <c r="K2590" s="2"/>
      <c r="L2590" s="2"/>
    </row>
    <row r="2591" spans="1:12" customFormat="1" ht="16" x14ac:dyDescent="0.2">
      <c r="A2591" t="s">
        <v>365</v>
      </c>
      <c r="B2591" s="2">
        <f>INDEX(Parameters!$B$6:$AL$59,MATCH(Inventories!$B$2555,Parameters!$A$6:$A$59,0),MATCH(Inventories!$A2591,Parameters!$B$4:$AL$4,0))</f>
        <v>0</v>
      </c>
      <c r="C2591" t="s">
        <v>336</v>
      </c>
      <c r="D2591" s="2"/>
      <c r="E2591" s="2"/>
      <c r="F2591" s="2"/>
      <c r="G2591" s="2"/>
      <c r="H2591" s="2"/>
      <c r="I2591" s="2"/>
      <c r="J2591" s="2"/>
      <c r="K2591" s="2"/>
      <c r="L2591" s="2"/>
    </row>
    <row r="2592" spans="1:12" customFormat="1" ht="16" x14ac:dyDescent="0.2">
      <c r="A2592" t="s">
        <v>366</v>
      </c>
      <c r="B2592" s="2">
        <f>INDEX(Parameters!$B$6:$AL$59,MATCH(Inventories!$B$2555,Parameters!$A$6:$A$59,0),MATCH(Inventories!$A2592,Parameters!$B$4:$AL$4,0))</f>
        <v>0</v>
      </c>
      <c r="C2592" t="s">
        <v>336</v>
      </c>
      <c r="D2592" s="2"/>
      <c r="E2592" s="2"/>
      <c r="F2592" s="2"/>
      <c r="G2592" s="2"/>
      <c r="H2592" s="2"/>
      <c r="I2592" s="2"/>
      <c r="J2592" s="2"/>
      <c r="K2592" s="2"/>
      <c r="L2592" s="2"/>
    </row>
    <row r="2593" spans="1:12" customFormat="1" ht="16" x14ac:dyDescent="0.2">
      <c r="A2593" t="s">
        <v>367</v>
      </c>
      <c r="B2593" s="2">
        <f>INDEX(Parameters!$B$6:$AL$59,MATCH(Inventories!$B$2555,Parameters!$A$6:$A$59,0),MATCH(Inventories!$A2593,Parameters!$B$4:$AL$4,0))</f>
        <v>0</v>
      </c>
      <c r="C2593" t="s">
        <v>336</v>
      </c>
      <c r="D2593" s="2"/>
      <c r="E2593" s="2"/>
      <c r="F2593" s="2"/>
      <c r="G2593" s="2"/>
      <c r="H2593" s="2"/>
      <c r="I2593" s="2"/>
      <c r="J2593" s="2"/>
      <c r="K2593" s="2"/>
      <c r="L2593" s="2"/>
    </row>
    <row r="2594" spans="1:12" customFormat="1" ht="16" x14ac:dyDescent="0.2">
      <c r="A2594" t="s">
        <v>368</v>
      </c>
      <c r="B2594" s="2">
        <f>INDEX(Parameters!$B$6:$AL$59,MATCH(Inventories!$B$2555,Parameters!$A$6:$A$59,0),MATCH(Inventories!$A2594,Parameters!$B$4:$AL$4,0))</f>
        <v>0</v>
      </c>
      <c r="C2594" t="s">
        <v>336</v>
      </c>
      <c r="D2594" s="2"/>
      <c r="E2594" s="2"/>
      <c r="F2594" s="2"/>
      <c r="G2594" s="2"/>
      <c r="H2594" s="2"/>
      <c r="I2594" s="2"/>
      <c r="J2594" s="2"/>
      <c r="K2594" s="2"/>
      <c r="L2594" s="2"/>
    </row>
    <row r="2595" spans="1:12" customFormat="1" ht="16" x14ac:dyDescent="0.2">
      <c r="A2595" t="s">
        <v>369</v>
      </c>
      <c r="B2595" s="2">
        <f>INDEX(Parameters!$B$6:$AL$59,MATCH(Inventories!$B$2555,Parameters!$A$6:$A$59,0),MATCH(Inventories!$A2595,Parameters!$B$4:$AL$4,0))</f>
        <v>0</v>
      </c>
      <c r="C2595" t="s">
        <v>336</v>
      </c>
      <c r="D2595" s="2"/>
      <c r="E2595" s="2"/>
      <c r="F2595" s="2"/>
      <c r="G2595" s="2"/>
      <c r="H2595" s="2"/>
      <c r="I2595" s="2"/>
      <c r="J2595" s="2"/>
      <c r="K2595" s="2"/>
      <c r="L2595" s="2"/>
    </row>
    <row r="2596" spans="1:12" customFormat="1" ht="16" x14ac:dyDescent="0.2">
      <c r="A2596" t="s">
        <v>344</v>
      </c>
      <c r="B2596" s="12">
        <f>INDEX(Parameters!$B$6:$AL$59,MATCH(Inventories!$B$2555,Parameters!$A$6:$A$59,0),MATCH(Inventories!$A2596,Parameters!$B$4:$AL$4,0))</f>
        <v>0</v>
      </c>
      <c r="C2596" t="s">
        <v>345</v>
      </c>
      <c r="D2596" s="2"/>
      <c r="E2596" s="2"/>
      <c r="F2596" s="2"/>
      <c r="G2596" s="2"/>
      <c r="H2596" s="2"/>
      <c r="I2596" s="2"/>
      <c r="J2596" s="2"/>
      <c r="K2596" s="2"/>
      <c r="L2596" s="2"/>
    </row>
    <row r="2597" spans="1:12" customFormat="1" ht="16" x14ac:dyDescent="0.2">
      <c r="A2597" t="s">
        <v>343</v>
      </c>
      <c r="B2597" s="12">
        <f>INDEX(Parameters!$B$6:$AL$59,MATCH(Inventories!$B$2555,Parameters!$A$6:$A$59,0),MATCH(Inventories!$A2597,Parameters!$B$4:$AL$4,0))</f>
        <v>0</v>
      </c>
      <c r="C2597" t="s">
        <v>345</v>
      </c>
      <c r="D2597" s="2"/>
      <c r="E2597" s="2"/>
      <c r="F2597" s="2"/>
      <c r="G2597" s="2"/>
      <c r="H2597" s="2"/>
      <c r="I2597" s="2"/>
      <c r="J2597" s="2"/>
      <c r="K2597" s="2"/>
      <c r="L2597" s="2"/>
    </row>
    <row r="2598" spans="1:12" customFormat="1" ht="16" x14ac:dyDescent="0.2">
      <c r="A2598" s="1" t="s">
        <v>10</v>
      </c>
      <c r="B2598" s="2"/>
      <c r="C2598" s="2"/>
      <c r="D2598" s="2"/>
      <c r="E2598" s="2"/>
      <c r="F2598" s="2"/>
      <c r="G2598" s="2"/>
      <c r="H2598" s="2"/>
      <c r="I2598" s="2"/>
      <c r="J2598" s="2"/>
      <c r="K2598" s="2"/>
      <c r="L2598" s="2"/>
    </row>
    <row r="2599" spans="1:12" x14ac:dyDescent="0.2">
      <c r="A2599" s="17" t="s">
        <v>11</v>
      </c>
      <c r="B2599" s="17" t="s">
        <v>12</v>
      </c>
      <c r="C2599" s="17" t="s">
        <v>3</v>
      </c>
      <c r="D2599" s="17" t="s">
        <v>13</v>
      </c>
      <c r="E2599" s="17" t="s">
        <v>8</v>
      </c>
      <c r="F2599" s="17" t="s">
        <v>6</v>
      </c>
      <c r="G2599" s="17" t="s">
        <v>5</v>
      </c>
      <c r="H2599" s="17" t="s">
        <v>151</v>
      </c>
      <c r="I2599" s="17" t="s">
        <v>179</v>
      </c>
      <c r="J2599" s="17" t="s">
        <v>180</v>
      </c>
      <c r="K2599" s="17" t="s">
        <v>181</v>
      </c>
      <c r="L2599" s="17" t="s">
        <v>182</v>
      </c>
    </row>
    <row r="2600" spans="1:12" customFormat="1" ht="16" x14ac:dyDescent="0.2">
      <c r="A2600" s="2" t="str">
        <f>B2555</f>
        <v>electricity, used in container ship</v>
      </c>
      <c r="B2600" s="2">
        <v>1</v>
      </c>
      <c r="C2600" s="2" t="str">
        <f>B2556</f>
        <v>RER</v>
      </c>
      <c r="D2600" s="2"/>
      <c r="E2600" s="2" t="str">
        <f>B2560</f>
        <v>megajoule</v>
      </c>
      <c r="F2600" s="2" t="s">
        <v>19</v>
      </c>
      <c r="G2600" s="2" t="str">
        <f>B2558</f>
        <v>electricity, low voltage</v>
      </c>
      <c r="H2600" s="2"/>
      <c r="I2600" s="2"/>
      <c r="J2600" s="2"/>
      <c r="K2600" s="2"/>
      <c r="L2600" s="2"/>
    </row>
    <row r="2601" spans="1:12" customFormat="1" ht="16" x14ac:dyDescent="0.2">
      <c r="A2601" s="2" t="s">
        <v>140</v>
      </c>
      <c r="B2601" s="2">
        <f>1/3.6</f>
        <v>0.27777777777777779</v>
      </c>
      <c r="C2601" s="2" t="s">
        <v>18</v>
      </c>
      <c r="D2601" s="2"/>
      <c r="E2601" t="s">
        <v>141</v>
      </c>
      <c r="F2601" t="s">
        <v>23</v>
      </c>
      <c r="G2601" s="2" t="s">
        <v>142</v>
      </c>
      <c r="H2601" s="2"/>
      <c r="I2601" s="2"/>
      <c r="J2601" s="2"/>
      <c r="K2601" s="2"/>
      <c r="L2601" s="2"/>
    </row>
    <row r="2602" spans="1:12" customFormat="1" ht="16" x14ac:dyDescent="0.2">
      <c r="A2602" t="s">
        <v>189</v>
      </c>
      <c r="B2602" s="3">
        <f>(B2579/B2564)/(B2567/1000)</f>
        <v>3.2976498092777165E-4</v>
      </c>
      <c r="C2602" s="2" t="s">
        <v>114</v>
      </c>
      <c r="E2602" t="s">
        <v>141</v>
      </c>
      <c r="F2602" t="s">
        <v>23</v>
      </c>
      <c r="G2602" t="s">
        <v>190</v>
      </c>
      <c r="H2602" s="2"/>
      <c r="I2602">
        <v>5</v>
      </c>
      <c r="J2602" s="3">
        <f>B2602</f>
        <v>3.2976498092777165E-4</v>
      </c>
      <c r="K2602" s="3">
        <f>(B2580/B2566)/(B2569/1000)</f>
        <v>4.7879616963064289E-5</v>
      </c>
      <c r="L2602" s="3">
        <f>(B2581/B2565)/(B2568/1000)</f>
        <v>9.1199270405836752E-4</v>
      </c>
    </row>
    <row r="2603" spans="1:12" customFormat="1" ht="16" x14ac:dyDescent="0.2">
      <c r="A2603" s="2"/>
      <c r="B2603" s="2"/>
      <c r="C2603" s="2"/>
      <c r="D2603" s="2"/>
      <c r="E2603" s="2"/>
      <c r="F2603" s="2"/>
      <c r="G2603" s="2"/>
      <c r="H2603" s="2"/>
      <c r="I2603" s="2"/>
      <c r="J2603" s="2"/>
      <c r="K2603" s="2"/>
      <c r="L2603" s="2"/>
    </row>
    <row r="2604" spans="1:12" x14ac:dyDescent="0.2">
      <c r="A2604" s="17" t="s">
        <v>2</v>
      </c>
      <c r="B2604" s="17" t="s">
        <v>393</v>
      </c>
    </row>
    <row r="2605" spans="1:12" customFormat="1" ht="16" x14ac:dyDescent="0.2">
      <c r="A2605" s="2" t="s">
        <v>3</v>
      </c>
      <c r="B2605" s="2" t="s">
        <v>18</v>
      </c>
      <c r="C2605" s="2"/>
      <c r="D2605" s="2"/>
      <c r="E2605" s="2"/>
      <c r="F2605" s="2"/>
      <c r="G2605" s="2"/>
      <c r="H2605" s="2"/>
      <c r="I2605" s="2"/>
      <c r="J2605" s="2"/>
      <c r="K2605" s="2"/>
      <c r="L2605" s="2"/>
    </row>
    <row r="2606" spans="1:12" customFormat="1" ht="16" x14ac:dyDescent="0.2">
      <c r="A2606" s="2" t="s">
        <v>4</v>
      </c>
      <c r="B2606" s="2">
        <v>1</v>
      </c>
      <c r="C2606" s="2"/>
      <c r="D2606" s="2"/>
      <c r="E2606" s="2"/>
      <c r="F2606" s="2"/>
      <c r="G2606" s="2"/>
      <c r="H2606" s="2"/>
      <c r="I2606" s="2"/>
      <c r="J2606" s="2"/>
      <c r="K2606" s="2"/>
      <c r="L2606" s="2"/>
    </row>
    <row r="2607" spans="1:12" customFormat="1" ht="16" x14ac:dyDescent="0.2">
      <c r="A2607" s="2" t="s">
        <v>5</v>
      </c>
      <c r="B2607" s="2" t="s">
        <v>1</v>
      </c>
      <c r="C2607" s="2"/>
      <c r="D2607" s="2"/>
      <c r="E2607" s="2"/>
      <c r="F2607" s="2"/>
      <c r="G2607" s="2"/>
      <c r="H2607" s="2"/>
      <c r="I2607" s="2"/>
      <c r="J2607" s="2"/>
    </row>
    <row r="2608" spans="1:12" customFormat="1" ht="16" x14ac:dyDescent="0.2">
      <c r="A2608" s="2" t="s">
        <v>6</v>
      </c>
      <c r="B2608" s="2" t="s">
        <v>7</v>
      </c>
      <c r="C2608" s="2"/>
      <c r="D2608" s="2"/>
      <c r="E2608" s="2"/>
      <c r="F2608" s="2"/>
      <c r="G2608" s="2"/>
      <c r="H2608" s="2"/>
      <c r="I2608" s="2"/>
      <c r="J2608" s="2"/>
      <c r="K2608" s="2"/>
      <c r="L2608" s="2"/>
    </row>
    <row r="2609" spans="1:12" customFormat="1" ht="16" x14ac:dyDescent="0.2">
      <c r="A2609" s="2" t="s">
        <v>8</v>
      </c>
      <c r="B2609" s="2" t="s">
        <v>17</v>
      </c>
      <c r="C2609" s="2"/>
      <c r="D2609" s="2"/>
      <c r="E2609" s="2"/>
      <c r="F2609" s="2"/>
      <c r="G2609" s="2"/>
      <c r="H2609" s="2"/>
      <c r="I2609" s="2"/>
      <c r="J2609" s="2"/>
      <c r="K2609" s="2"/>
      <c r="L2609" s="2"/>
    </row>
    <row r="2610" spans="1:12" customFormat="1" ht="16" x14ac:dyDescent="0.2">
      <c r="A2610" t="s">
        <v>352</v>
      </c>
      <c r="B2610" s="2">
        <f>INDEX(Parameters!$B$6:$AL$59,MATCH(Inventories!$B$2604,Parameters!$A$6:$A$59,0),MATCH(Inventories!$A2610,Parameters!$B$4:$AL$4,0))</f>
        <v>3200</v>
      </c>
      <c r="C2610" t="s">
        <v>312</v>
      </c>
      <c r="D2610" s="2"/>
      <c r="E2610" s="2"/>
      <c r="F2610" s="2"/>
      <c r="G2610" s="2"/>
      <c r="H2610" s="2"/>
      <c r="I2610" s="2"/>
      <c r="J2610" s="2"/>
      <c r="K2610" s="2"/>
      <c r="L2610" s="2"/>
    </row>
    <row r="2611" spans="1:12" customFormat="1" ht="16" x14ac:dyDescent="0.2">
      <c r="A2611" t="s">
        <v>353</v>
      </c>
      <c r="B2611" s="2">
        <f>INDEX(Parameters!$B$6:$AL$59,MATCH(Inventories!$B$2604,Parameters!$A$6:$A$59,0),MATCH(Inventories!$A2611,Parameters!$B$4:$AL$4,0))</f>
        <v>2500</v>
      </c>
      <c r="C2611" t="s">
        <v>312</v>
      </c>
      <c r="D2611" s="2"/>
      <c r="E2611" s="2"/>
      <c r="F2611" s="2"/>
      <c r="G2611" s="2"/>
      <c r="H2611" s="2"/>
      <c r="I2611" s="2"/>
      <c r="J2611" s="2"/>
      <c r="K2611" s="2"/>
      <c r="L2611" s="2"/>
    </row>
    <row r="2612" spans="1:12" customFormat="1" ht="16" x14ac:dyDescent="0.2">
      <c r="A2612" t="s">
        <v>354</v>
      </c>
      <c r="B2612" s="2">
        <f>INDEX(Parameters!$B$6:$AL$59,MATCH(Inventories!$B$2604,Parameters!$A$6:$A$59,0),MATCH(Inventories!$A2612,Parameters!$B$4:$AL$4,0))</f>
        <v>5000</v>
      </c>
      <c r="C2612" t="s">
        <v>312</v>
      </c>
      <c r="D2612" s="2"/>
      <c r="E2612" s="2"/>
      <c r="F2612" s="2"/>
      <c r="G2612" s="2"/>
      <c r="H2612" s="2"/>
      <c r="I2612" s="2"/>
      <c r="J2612" s="2"/>
      <c r="K2612" s="2"/>
      <c r="L2612" s="2"/>
    </row>
    <row r="2613" spans="1:12" customFormat="1" ht="16" x14ac:dyDescent="0.2">
      <c r="A2613" t="s">
        <v>316</v>
      </c>
      <c r="B2613" s="24">
        <f>INDEX(Parameters!$B$6:$AL$59,MATCH(Inventories!$B$2604,Parameters!$A$6:$A$59,0),MATCH(Inventories!$A2613,Parameters!$B$4:$AL$4,0))</f>
        <v>4200000</v>
      </c>
      <c r="C2613" t="s">
        <v>313</v>
      </c>
      <c r="D2613" s="2"/>
      <c r="E2613" s="2"/>
      <c r="F2613" s="2"/>
      <c r="G2613" s="2"/>
      <c r="H2613" s="2"/>
      <c r="I2613" s="2"/>
      <c r="J2613" s="2"/>
      <c r="K2613" s="2"/>
      <c r="L2613" s="2"/>
    </row>
    <row r="2614" spans="1:12" customFormat="1" ht="16" x14ac:dyDescent="0.2">
      <c r="A2614" t="s">
        <v>317</v>
      </c>
      <c r="B2614" s="24">
        <f>INDEX(Parameters!$B$6:$AL$59,MATCH(Inventories!$B$2604,Parameters!$A$6:$A$59,0),MATCH(Inventories!$A2614,Parameters!$B$4:$AL$4,0))</f>
        <v>3000000</v>
      </c>
      <c r="C2614" t="s">
        <v>313</v>
      </c>
      <c r="D2614" s="2"/>
      <c r="E2614" s="2"/>
      <c r="F2614" s="2"/>
      <c r="G2614" s="2"/>
      <c r="H2614" s="2"/>
      <c r="I2614" s="2"/>
      <c r="J2614" s="2"/>
      <c r="K2614" s="2"/>
      <c r="L2614" s="2"/>
    </row>
    <row r="2615" spans="1:12" customFormat="1" ht="16" x14ac:dyDescent="0.2">
      <c r="A2615" t="s">
        <v>318</v>
      </c>
      <c r="B2615" s="24">
        <f>INDEX(Parameters!$B$6:$AL$59,MATCH(Inventories!$B$2604,Parameters!$A$6:$A$59,0),MATCH(Inventories!$A2615,Parameters!$B$4:$AL$4,0))</f>
        <v>10000000</v>
      </c>
      <c r="C2615" t="s">
        <v>313</v>
      </c>
      <c r="D2615" s="2"/>
      <c r="E2615" s="2"/>
      <c r="F2615" s="2"/>
      <c r="G2615" s="2"/>
      <c r="H2615" s="2"/>
      <c r="I2615" s="2"/>
      <c r="J2615" s="2"/>
      <c r="K2615" s="2"/>
      <c r="L2615" s="2"/>
    </row>
    <row r="2616" spans="1:12" customFormat="1" ht="16" x14ac:dyDescent="0.2">
      <c r="A2616" t="s">
        <v>319</v>
      </c>
      <c r="B2616" s="24">
        <f>INDEX(Parameters!$B$6:$AL$59,MATCH(Inventories!$B$2604,Parameters!$A$6:$A$59,0),MATCH(Inventories!$A2616,Parameters!$B$4:$AL$4,0))</f>
        <v>4837500</v>
      </c>
      <c r="C2616" t="s">
        <v>314</v>
      </c>
      <c r="D2616" s="2"/>
      <c r="E2616" s="2"/>
      <c r="F2616" s="2"/>
      <c r="G2616" s="2"/>
      <c r="H2616" s="2"/>
      <c r="I2616" s="2"/>
      <c r="J2616" s="2"/>
      <c r="K2616" s="2"/>
      <c r="L2616" s="2"/>
    </row>
    <row r="2617" spans="1:12" customFormat="1" ht="16" x14ac:dyDescent="0.2">
      <c r="A2617" t="s">
        <v>320</v>
      </c>
      <c r="B2617" s="24">
        <f>INDEX(Parameters!$B$6:$AL$59,MATCH(Inventories!$B$2604,Parameters!$A$6:$A$59,0),MATCH(Inventories!$A2617,Parameters!$B$4:$AL$4,0))</f>
        <v>3655000</v>
      </c>
      <c r="C2617" t="s">
        <v>314</v>
      </c>
      <c r="D2617" s="2"/>
      <c r="E2617" s="2"/>
      <c r="F2617" s="2"/>
      <c r="G2617" s="2"/>
      <c r="H2617" s="2"/>
      <c r="I2617" s="2"/>
      <c r="J2617" s="2"/>
      <c r="K2617" s="2"/>
      <c r="L2617" s="2"/>
    </row>
    <row r="2618" spans="1:12" customFormat="1" ht="16" x14ac:dyDescent="0.2">
      <c r="A2618" t="s">
        <v>321</v>
      </c>
      <c r="B2618" s="24">
        <f>INDEX(Parameters!$B$6:$AL$59,MATCH(Inventories!$B$2604,Parameters!$A$6:$A$59,0),MATCH(Inventories!$A2618,Parameters!$B$4:$AL$4,0))</f>
        <v>7310000</v>
      </c>
      <c r="C2618" t="s">
        <v>314</v>
      </c>
      <c r="D2618" s="2"/>
      <c r="E2618" s="2"/>
      <c r="F2618" s="2"/>
      <c r="G2618" s="2"/>
      <c r="H2618" s="2"/>
      <c r="I2618" s="2"/>
      <c r="J2618" s="2"/>
      <c r="K2618" s="2"/>
      <c r="L2618" s="2"/>
    </row>
    <row r="2619" spans="1:12" customFormat="1" ht="16" x14ac:dyDescent="0.2">
      <c r="A2619" t="s">
        <v>337</v>
      </c>
      <c r="B2619" s="2">
        <f>INDEX(Parameters!$B$6:$AL$59,MATCH(Inventories!$B$2604,Parameters!$A$6:$A$59,0),MATCH(Inventories!$A2619,Parameters!$B$4:$AL$4,0))</f>
        <v>0</v>
      </c>
      <c r="C2619" t="s">
        <v>336</v>
      </c>
      <c r="D2619" s="2"/>
      <c r="E2619" s="2"/>
      <c r="F2619" s="2"/>
      <c r="G2619" s="2"/>
      <c r="H2619" s="2"/>
      <c r="I2619" s="2"/>
      <c r="J2619" s="2"/>
      <c r="K2619" s="2"/>
      <c r="L2619" s="2"/>
    </row>
    <row r="2620" spans="1:12" customFormat="1" ht="16" x14ac:dyDescent="0.2">
      <c r="A2620" t="s">
        <v>338</v>
      </c>
      <c r="B2620" s="2">
        <f>INDEX(Parameters!$B$6:$AL$59,MATCH(Inventories!$B$2604,Parameters!$A$6:$A$59,0),MATCH(Inventories!$A2620,Parameters!$B$4:$AL$4,0))</f>
        <v>0</v>
      </c>
      <c r="C2620" t="s">
        <v>336</v>
      </c>
      <c r="D2620" s="2"/>
      <c r="E2620" s="2"/>
      <c r="F2620" s="2"/>
      <c r="G2620" s="2"/>
      <c r="H2620" s="2"/>
      <c r="I2620" s="2"/>
      <c r="J2620" s="2"/>
      <c r="K2620" s="2"/>
      <c r="L2620" s="2"/>
    </row>
    <row r="2621" spans="1:12" customFormat="1" ht="16" x14ac:dyDescent="0.2">
      <c r="A2621" t="s">
        <v>339</v>
      </c>
      <c r="B2621" s="2">
        <f>INDEX(Parameters!$B$6:$AL$59,MATCH(Inventories!$B$2604,Parameters!$A$6:$A$59,0),MATCH(Inventories!$A2621,Parameters!$B$4:$AL$4,0))</f>
        <v>0</v>
      </c>
      <c r="C2621" t="s">
        <v>336</v>
      </c>
      <c r="D2621" s="2"/>
      <c r="E2621" s="2"/>
      <c r="F2621" s="2"/>
      <c r="G2621" s="2"/>
      <c r="H2621" s="2"/>
      <c r="I2621" s="2"/>
      <c r="J2621" s="2"/>
      <c r="K2621" s="2"/>
      <c r="L2621" s="2"/>
    </row>
    <row r="2622" spans="1:12" customFormat="1" ht="16" x14ac:dyDescent="0.2">
      <c r="A2622" t="s">
        <v>340</v>
      </c>
      <c r="B2622" s="2">
        <f>INDEX(Parameters!$B$6:$AL$59,MATCH(Inventories!$B$2604,Parameters!$A$6:$A$59,0),MATCH(Inventories!$A2622,Parameters!$B$4:$AL$4,0))</f>
        <v>0</v>
      </c>
      <c r="C2622" t="s">
        <v>336</v>
      </c>
      <c r="D2622" s="2"/>
      <c r="E2622" s="2"/>
      <c r="F2622" s="2"/>
      <c r="G2622" s="2"/>
      <c r="H2622" s="2"/>
      <c r="I2622" s="2"/>
      <c r="J2622" s="2"/>
      <c r="K2622" s="2"/>
      <c r="L2622" s="2"/>
    </row>
    <row r="2623" spans="1:12" customFormat="1" ht="16" x14ac:dyDescent="0.2">
      <c r="A2623" t="s">
        <v>341</v>
      </c>
      <c r="B2623" s="2">
        <f>INDEX(Parameters!$B$6:$AL$59,MATCH(Inventories!$B$2604,Parameters!$A$6:$A$59,0),MATCH(Inventories!$A2623,Parameters!$B$4:$AL$4,0))</f>
        <v>0</v>
      </c>
      <c r="C2623" t="s">
        <v>336</v>
      </c>
      <c r="D2623" s="2"/>
      <c r="E2623" s="2"/>
      <c r="F2623" s="2"/>
      <c r="G2623" s="2"/>
      <c r="H2623" s="2"/>
      <c r="I2623" s="2"/>
      <c r="J2623" s="2"/>
      <c r="K2623" s="2"/>
      <c r="L2623" s="2"/>
    </row>
    <row r="2624" spans="1:12" customFormat="1" ht="16" x14ac:dyDescent="0.2">
      <c r="A2624" t="s">
        <v>342</v>
      </c>
      <c r="B2624" s="2">
        <f>INDEX(Parameters!$B$6:$AL$59,MATCH(Inventories!$B$2604,Parameters!$A$6:$A$59,0),MATCH(Inventories!$A2624,Parameters!$B$4:$AL$4,0))</f>
        <v>0</v>
      </c>
      <c r="C2624" t="s">
        <v>336</v>
      </c>
      <c r="D2624" s="2"/>
      <c r="E2624" s="2"/>
      <c r="F2624" s="2"/>
      <c r="G2624" s="2"/>
      <c r="H2624" s="2"/>
      <c r="I2624" s="2"/>
      <c r="J2624" s="2"/>
      <c r="K2624" s="2"/>
      <c r="L2624" s="2"/>
    </row>
    <row r="2625" spans="1:12" customFormat="1" ht="16" x14ac:dyDescent="0.2">
      <c r="A2625" t="s">
        <v>333</v>
      </c>
      <c r="B2625" s="2">
        <f>INDEX(Parameters!$B$6:$AL$59,MATCH(Inventories!$B$2604,Parameters!$A$6:$A$59,0),MATCH(Inventories!$A2625,Parameters!$B$4:$AL$4,0))</f>
        <v>201000</v>
      </c>
      <c r="C2625" t="s">
        <v>336</v>
      </c>
      <c r="D2625" s="2"/>
      <c r="E2625" s="2"/>
      <c r="F2625" s="2"/>
      <c r="G2625" s="2"/>
      <c r="H2625" s="2"/>
      <c r="I2625" s="2"/>
      <c r="J2625" s="2"/>
      <c r="K2625" s="2"/>
      <c r="L2625" s="2"/>
    </row>
    <row r="2626" spans="1:12" customFormat="1" ht="16" x14ac:dyDescent="0.2">
      <c r="A2626" t="s">
        <v>334</v>
      </c>
      <c r="B2626" s="2">
        <f>INDEX(Parameters!$B$6:$AL$59,MATCH(Inventories!$B$2604,Parameters!$A$6:$A$59,0),MATCH(Inventories!$A2626,Parameters!$B$4:$AL$4,0))</f>
        <v>105000</v>
      </c>
      <c r="C2626" t="s">
        <v>336</v>
      </c>
      <c r="D2626" s="2"/>
      <c r="E2626" s="2"/>
      <c r="F2626" s="2"/>
      <c r="G2626" s="2"/>
      <c r="H2626" s="2"/>
      <c r="I2626" s="2"/>
      <c r="J2626" s="2"/>
      <c r="K2626" s="2"/>
      <c r="L2626" s="2"/>
    </row>
    <row r="2627" spans="1:12" customFormat="1" ht="16" x14ac:dyDescent="0.2">
      <c r="A2627" t="s">
        <v>335</v>
      </c>
      <c r="B2627" s="2">
        <f>INDEX(Parameters!$B$6:$AL$59,MATCH(Inventories!$B$2604,Parameters!$A$6:$A$59,0),MATCH(Inventories!$A2627,Parameters!$B$4:$AL$4,0))</f>
        <v>300000</v>
      </c>
      <c r="C2627" t="s">
        <v>336</v>
      </c>
      <c r="D2627" s="2"/>
      <c r="E2627" s="2"/>
      <c r="F2627" s="2"/>
      <c r="G2627" s="2"/>
      <c r="H2627" s="2"/>
      <c r="I2627" s="2"/>
      <c r="J2627" s="2"/>
      <c r="K2627" s="2"/>
      <c r="L2627" s="2"/>
    </row>
    <row r="2628" spans="1:12" customFormat="1" ht="16" x14ac:dyDescent="0.2">
      <c r="A2628" t="s">
        <v>322</v>
      </c>
      <c r="B2628" s="2">
        <f>INDEX(Parameters!$B$6:$AL$59,MATCH(Inventories!$B$2604,Parameters!$A$6:$A$59,0),MATCH(Inventories!$A2628,Parameters!$B$4:$AL$4,0))</f>
        <v>670000</v>
      </c>
      <c r="C2628" t="s">
        <v>315</v>
      </c>
      <c r="D2628" s="2"/>
      <c r="E2628" s="2"/>
      <c r="F2628" s="2"/>
      <c r="G2628" s="2"/>
      <c r="H2628" s="2"/>
      <c r="I2628" s="2"/>
      <c r="J2628" s="2"/>
      <c r="K2628" s="2"/>
      <c r="L2628" s="2"/>
    </row>
    <row r="2629" spans="1:12" customFormat="1" ht="16" x14ac:dyDescent="0.2">
      <c r="A2629" t="s">
        <v>323</v>
      </c>
      <c r="B2629" s="2">
        <f>INDEX(Parameters!$B$6:$AL$59,MATCH(Inventories!$B$2604,Parameters!$A$6:$A$59,0),MATCH(Inventories!$A2629,Parameters!$B$4:$AL$4,0))</f>
        <v>350000</v>
      </c>
      <c r="C2629" t="s">
        <v>315</v>
      </c>
      <c r="D2629" s="2"/>
      <c r="E2629" s="2"/>
      <c r="F2629" s="2"/>
      <c r="G2629" s="2"/>
      <c r="H2629" s="2"/>
      <c r="I2629" s="2"/>
      <c r="J2629" s="2"/>
      <c r="K2629" s="2"/>
      <c r="L2629" s="2"/>
    </row>
    <row r="2630" spans="1:12" customFormat="1" ht="16" x14ac:dyDescent="0.2">
      <c r="A2630" t="s">
        <v>324</v>
      </c>
      <c r="B2630" s="2">
        <f>INDEX(Parameters!$B$6:$AL$59,MATCH(Inventories!$B$2604,Parameters!$A$6:$A$59,0),MATCH(Inventories!$A2630,Parameters!$B$4:$AL$4,0))</f>
        <v>1000000</v>
      </c>
      <c r="C2630" t="s">
        <v>315</v>
      </c>
      <c r="D2630" s="2"/>
      <c r="E2630" s="2"/>
      <c r="F2630" s="2"/>
      <c r="G2630" s="2"/>
      <c r="H2630" s="2"/>
      <c r="I2630" s="2"/>
      <c r="J2630" s="2"/>
      <c r="K2630" s="2"/>
      <c r="L2630" s="2"/>
    </row>
    <row r="2631" spans="1:12" customFormat="1" ht="16" x14ac:dyDescent="0.2">
      <c r="A2631" t="s">
        <v>330</v>
      </c>
      <c r="B2631" s="2">
        <f>INDEX(Parameters!$B$6:$AL$59,MATCH(Inventories!$B$2604,Parameters!$A$6:$A$59,0),MATCH(Inventories!$A2631,Parameters!$B$4:$AL$4,0))</f>
        <v>0</v>
      </c>
      <c r="C2631" t="s">
        <v>8</v>
      </c>
      <c r="D2631" s="2"/>
      <c r="E2631" s="2"/>
      <c r="F2631" s="2"/>
      <c r="G2631" s="2"/>
      <c r="H2631" s="2"/>
      <c r="I2631" s="2"/>
      <c r="J2631" s="2"/>
      <c r="K2631" s="2"/>
      <c r="L2631" s="2"/>
    </row>
    <row r="2632" spans="1:12" customFormat="1" ht="16" x14ac:dyDescent="0.2">
      <c r="A2632" t="s">
        <v>331</v>
      </c>
      <c r="B2632" s="2">
        <f>INDEX(Parameters!$B$6:$AL$59,MATCH(Inventories!$B$2604,Parameters!$A$6:$A$59,0),MATCH(Inventories!$A2632,Parameters!$B$4:$AL$4,0))</f>
        <v>0</v>
      </c>
      <c r="C2632" t="s">
        <v>8</v>
      </c>
      <c r="D2632" s="2"/>
      <c r="E2632" s="2"/>
      <c r="F2632" s="2"/>
      <c r="G2632" s="2"/>
      <c r="H2632" s="2"/>
      <c r="I2632" s="2"/>
      <c r="J2632" s="2"/>
      <c r="K2632" s="2"/>
      <c r="L2632" s="2"/>
    </row>
    <row r="2633" spans="1:12" customFormat="1" ht="16" x14ac:dyDescent="0.2">
      <c r="A2633" t="s">
        <v>332</v>
      </c>
      <c r="B2633" s="2">
        <f>INDEX(Parameters!$B$6:$AL$59,MATCH(Inventories!$B$2604,Parameters!$A$6:$A$59,0),MATCH(Inventories!$A2633,Parameters!$B$4:$AL$4,0))</f>
        <v>0</v>
      </c>
      <c r="C2633" t="s">
        <v>8</v>
      </c>
      <c r="D2633" s="2"/>
      <c r="E2633" s="2"/>
      <c r="F2633" s="2"/>
      <c r="G2633" s="2"/>
      <c r="H2633" s="2"/>
      <c r="I2633" s="2"/>
      <c r="J2633" s="2"/>
      <c r="K2633" s="2"/>
      <c r="L2633" s="2"/>
    </row>
    <row r="2634" spans="1:12" customFormat="1" ht="16" x14ac:dyDescent="0.2">
      <c r="A2634" t="s">
        <v>346</v>
      </c>
      <c r="B2634" s="2">
        <f>INDEX(Parameters!$B$6:$AL$59,MATCH(Inventories!$B$2604,Parameters!$A$6:$A$59,0),MATCH(Inventories!$A2634,Parameters!$B$4:$AL$4,0))</f>
        <v>1600</v>
      </c>
      <c r="C2634" t="s">
        <v>312</v>
      </c>
      <c r="D2634" s="2"/>
      <c r="E2634" s="2"/>
      <c r="F2634" s="2"/>
      <c r="G2634" s="2"/>
      <c r="H2634" s="2"/>
      <c r="I2634" s="2"/>
      <c r="J2634" s="2"/>
      <c r="K2634" s="2"/>
      <c r="L2634" s="2"/>
    </row>
    <row r="2635" spans="1:12" customFormat="1" ht="16" x14ac:dyDescent="0.2">
      <c r="A2635" t="s">
        <v>347</v>
      </c>
      <c r="B2635" s="2">
        <f>INDEX(Parameters!$B$6:$AL$59,MATCH(Inventories!$B$2604,Parameters!$A$6:$A$59,0),MATCH(Inventories!$A2635,Parameters!$B$4:$AL$4,0))</f>
        <v>1250</v>
      </c>
      <c r="C2635" t="s">
        <v>312</v>
      </c>
      <c r="D2635" s="2"/>
      <c r="E2635" s="12"/>
      <c r="F2635" s="2"/>
      <c r="G2635" s="2"/>
      <c r="H2635" s="2"/>
      <c r="I2635" s="2"/>
      <c r="J2635" s="2"/>
      <c r="K2635" s="2"/>
      <c r="L2635" s="2"/>
    </row>
    <row r="2636" spans="1:12" customFormat="1" ht="16" x14ac:dyDescent="0.2">
      <c r="A2636" t="s">
        <v>348</v>
      </c>
      <c r="B2636" s="2">
        <f>INDEX(Parameters!$B$6:$AL$59,MATCH(Inventories!$B$2604,Parameters!$A$6:$A$59,0),MATCH(Inventories!$A2636,Parameters!$B$4:$AL$4,0))</f>
        <v>2500</v>
      </c>
      <c r="C2636" t="s">
        <v>312</v>
      </c>
      <c r="D2636" s="2"/>
      <c r="E2636" s="2"/>
      <c r="F2636" s="2"/>
      <c r="G2636" s="2"/>
      <c r="H2636" s="2"/>
      <c r="I2636" s="2"/>
      <c r="J2636" s="2"/>
      <c r="K2636" s="2"/>
      <c r="L2636" s="2"/>
    </row>
    <row r="2637" spans="1:12" customFormat="1" ht="16" x14ac:dyDescent="0.2">
      <c r="A2637" t="s">
        <v>349</v>
      </c>
      <c r="B2637" s="2">
        <f>INDEX(Parameters!$B$6:$AL$59,MATCH(Inventories!$B$2604,Parameters!$A$6:$A$59,0),MATCH(Inventories!$A2637,Parameters!$B$4:$AL$4,0))</f>
        <v>0</v>
      </c>
      <c r="C2637" t="s">
        <v>8</v>
      </c>
      <c r="D2637" s="2"/>
      <c r="E2637" s="2"/>
      <c r="F2637" s="2"/>
      <c r="G2637" s="2"/>
      <c r="H2637" s="2"/>
      <c r="I2637" s="2"/>
      <c r="J2637" s="2"/>
      <c r="K2637" s="2"/>
      <c r="L2637" s="2"/>
    </row>
    <row r="2638" spans="1:12" customFormat="1" ht="16" x14ac:dyDescent="0.2">
      <c r="A2638" t="s">
        <v>350</v>
      </c>
      <c r="B2638" s="2">
        <f>INDEX(Parameters!$B$6:$AL$59,MATCH(Inventories!$B$2604,Parameters!$A$6:$A$59,0),MATCH(Inventories!$A2638,Parameters!$B$4:$AL$4,0))</f>
        <v>0</v>
      </c>
      <c r="C2638" t="s">
        <v>8</v>
      </c>
      <c r="D2638" s="2"/>
      <c r="E2638" s="2"/>
      <c r="F2638" s="2"/>
      <c r="G2638" s="2"/>
      <c r="H2638" s="2"/>
      <c r="I2638" s="2"/>
      <c r="J2638" s="2"/>
      <c r="K2638" s="2"/>
      <c r="L2638" s="2"/>
    </row>
    <row r="2639" spans="1:12" customFormat="1" ht="16" x14ac:dyDescent="0.2">
      <c r="A2639" t="s">
        <v>351</v>
      </c>
      <c r="B2639" s="2">
        <f>INDEX(Parameters!$B$6:$AL$59,MATCH(Inventories!$B$2604,Parameters!$A$6:$A$59,0),MATCH(Inventories!$A2639,Parameters!$B$4:$AL$4,0))</f>
        <v>0</v>
      </c>
      <c r="C2639" t="s">
        <v>8</v>
      </c>
      <c r="D2639" s="2"/>
      <c r="E2639" s="2"/>
      <c r="F2639" s="2"/>
      <c r="G2639" s="2"/>
      <c r="H2639" s="2"/>
      <c r="I2639" s="2"/>
      <c r="J2639" s="2"/>
      <c r="K2639" s="2"/>
      <c r="L2639" s="2"/>
    </row>
    <row r="2640" spans="1:12" customFormat="1" ht="16" x14ac:dyDescent="0.2">
      <c r="A2640" t="s">
        <v>365</v>
      </c>
      <c r="B2640" s="2">
        <f>INDEX(Parameters!$B$6:$AL$59,MATCH(Inventories!$B$2604,Parameters!$A$6:$A$59,0),MATCH(Inventories!$A2640,Parameters!$B$4:$AL$4,0))</f>
        <v>0</v>
      </c>
      <c r="C2640" t="s">
        <v>336</v>
      </c>
      <c r="D2640" s="2"/>
      <c r="E2640" s="2"/>
      <c r="F2640" s="2"/>
      <c r="G2640" s="2"/>
      <c r="H2640" s="2"/>
      <c r="I2640" s="2"/>
      <c r="J2640" s="2"/>
      <c r="K2640" s="2"/>
      <c r="L2640" s="2"/>
    </row>
    <row r="2641" spans="1:15" customFormat="1" ht="16" x14ac:dyDescent="0.2">
      <c r="A2641" t="s">
        <v>366</v>
      </c>
      <c r="B2641" s="2">
        <f>INDEX(Parameters!$B$6:$AL$59,MATCH(Inventories!$B$2604,Parameters!$A$6:$A$59,0),MATCH(Inventories!$A2641,Parameters!$B$4:$AL$4,0))</f>
        <v>0</v>
      </c>
      <c r="C2641" t="s">
        <v>336</v>
      </c>
      <c r="D2641" s="2"/>
      <c r="E2641" s="2"/>
      <c r="F2641" s="2"/>
      <c r="G2641" s="2"/>
      <c r="H2641" s="2"/>
      <c r="I2641" s="2"/>
      <c r="J2641" s="2"/>
      <c r="K2641" s="2"/>
      <c r="L2641" s="2"/>
    </row>
    <row r="2642" spans="1:15" customFormat="1" ht="16" x14ac:dyDescent="0.2">
      <c r="A2642" t="s">
        <v>367</v>
      </c>
      <c r="B2642" s="2">
        <f>INDEX(Parameters!$B$6:$AL$59,MATCH(Inventories!$B$2604,Parameters!$A$6:$A$59,0),MATCH(Inventories!$A2642,Parameters!$B$4:$AL$4,0))</f>
        <v>0</v>
      </c>
      <c r="C2642" t="s">
        <v>336</v>
      </c>
      <c r="D2642" s="2"/>
      <c r="E2642" s="2"/>
      <c r="F2642" s="2"/>
      <c r="G2642" s="2"/>
      <c r="H2642" s="2"/>
      <c r="I2642" s="2"/>
      <c r="J2642" s="2"/>
      <c r="K2642" s="2"/>
      <c r="L2642" s="2"/>
    </row>
    <row r="2643" spans="1:15" customFormat="1" ht="16" x14ac:dyDescent="0.2">
      <c r="A2643" t="s">
        <v>368</v>
      </c>
      <c r="B2643" s="2">
        <f>INDEX(Parameters!$B$6:$AL$59,MATCH(Inventories!$B$2604,Parameters!$A$6:$A$59,0),MATCH(Inventories!$A2643,Parameters!$B$4:$AL$4,0))</f>
        <v>0</v>
      </c>
      <c r="C2643" t="s">
        <v>336</v>
      </c>
      <c r="D2643" s="2"/>
      <c r="E2643" s="2"/>
      <c r="F2643" s="2"/>
      <c r="G2643" s="2"/>
      <c r="H2643" s="2"/>
      <c r="I2643" s="2"/>
      <c r="J2643" s="2"/>
      <c r="K2643" s="2"/>
      <c r="L2643" s="2"/>
    </row>
    <row r="2644" spans="1:15" customFormat="1" ht="16" x14ac:dyDescent="0.2">
      <c r="A2644" t="s">
        <v>369</v>
      </c>
      <c r="B2644" s="2">
        <f>INDEX(Parameters!$B$6:$AL$59,MATCH(Inventories!$B$2604,Parameters!$A$6:$A$59,0),MATCH(Inventories!$A2644,Parameters!$B$4:$AL$4,0))</f>
        <v>0</v>
      </c>
      <c r="C2644" t="s">
        <v>336</v>
      </c>
      <c r="D2644" s="2"/>
      <c r="E2644" s="2"/>
      <c r="F2644" s="2"/>
      <c r="G2644" s="2"/>
      <c r="H2644" s="2"/>
      <c r="I2644" s="2"/>
      <c r="J2644" s="2"/>
      <c r="K2644" s="2"/>
      <c r="L2644" s="2"/>
    </row>
    <row r="2645" spans="1:15" customFormat="1" ht="16" x14ac:dyDescent="0.2">
      <c r="A2645" t="s">
        <v>344</v>
      </c>
      <c r="B2645" s="12">
        <f>INDEX(Parameters!$B$6:$AL$59,MATCH(Inventories!$B$2604,Parameters!$A$6:$A$59,0),MATCH(Inventories!$A2645,Parameters!$B$4:$AL$4,0))</f>
        <v>0</v>
      </c>
      <c r="C2645" t="s">
        <v>345</v>
      </c>
      <c r="D2645" s="2"/>
      <c r="E2645" s="2"/>
      <c r="F2645" s="2"/>
      <c r="G2645" s="2"/>
      <c r="H2645" s="2"/>
      <c r="I2645" s="2"/>
      <c r="J2645" s="2"/>
      <c r="K2645" s="2"/>
      <c r="L2645" s="2"/>
    </row>
    <row r="2646" spans="1:15" customFormat="1" ht="16" x14ac:dyDescent="0.2">
      <c r="A2646" t="s">
        <v>343</v>
      </c>
      <c r="B2646" s="12">
        <f>INDEX(Parameters!$B$6:$AL$59,MATCH(Inventories!$B$2604,Parameters!$A$6:$A$59,0),MATCH(Inventories!$A2646,Parameters!$B$4:$AL$4,0))</f>
        <v>0</v>
      </c>
      <c r="C2646" t="s">
        <v>345</v>
      </c>
      <c r="D2646" s="2"/>
      <c r="E2646" s="2"/>
      <c r="F2646" s="2"/>
      <c r="G2646" s="2"/>
      <c r="H2646" s="2"/>
      <c r="I2646" s="2"/>
      <c r="J2646" s="2"/>
      <c r="K2646" s="2"/>
      <c r="L2646" s="2"/>
    </row>
    <row r="2647" spans="1:15" customFormat="1" ht="16" x14ac:dyDescent="0.2">
      <c r="A2647" s="1" t="s">
        <v>10</v>
      </c>
      <c r="B2647" s="2"/>
      <c r="C2647" s="2"/>
      <c r="D2647" s="2"/>
      <c r="E2647" s="2"/>
      <c r="F2647" s="2"/>
      <c r="G2647" s="2"/>
      <c r="H2647" s="2"/>
      <c r="I2647" s="2"/>
      <c r="J2647" s="2"/>
      <c r="K2647" s="2"/>
      <c r="L2647" s="2"/>
    </row>
    <row r="2648" spans="1:15" x14ac:dyDescent="0.2">
      <c r="A2648" s="17" t="s">
        <v>11</v>
      </c>
      <c r="B2648" s="17" t="s">
        <v>12</v>
      </c>
      <c r="C2648" s="17" t="s">
        <v>3</v>
      </c>
      <c r="D2648" s="17" t="s">
        <v>13</v>
      </c>
      <c r="E2648" s="17" t="s">
        <v>8</v>
      </c>
      <c r="F2648" s="17" t="s">
        <v>6</v>
      </c>
      <c r="G2648" s="17" t="s">
        <v>5</v>
      </c>
      <c r="H2648" s="17" t="s">
        <v>151</v>
      </c>
      <c r="I2648" s="17" t="s">
        <v>179</v>
      </c>
      <c r="J2648" s="17" t="s">
        <v>180</v>
      </c>
      <c r="K2648" s="17" t="s">
        <v>181</v>
      </c>
      <c r="L2648" s="17" t="s">
        <v>182</v>
      </c>
    </row>
    <row r="2649" spans="1:15" customFormat="1" ht="16" x14ac:dyDescent="0.2">
      <c r="A2649" s="2" t="str">
        <f>B2604</f>
        <v>hydrogen, used in a fuel cell in container ship</v>
      </c>
      <c r="B2649" s="2">
        <v>1</v>
      </c>
      <c r="C2649" s="2" t="str">
        <f>B2605</f>
        <v>RER</v>
      </c>
      <c r="D2649" s="2"/>
      <c r="E2649" s="2" t="str">
        <f>B2609</f>
        <v>megajoule</v>
      </c>
      <c r="F2649" s="2" t="s">
        <v>19</v>
      </c>
      <c r="G2649" s="2" t="str">
        <f>B2607</f>
        <v>heat</v>
      </c>
      <c r="H2649" s="2"/>
      <c r="I2649" s="2"/>
      <c r="J2649" s="2"/>
      <c r="K2649" s="2"/>
      <c r="L2649" s="2"/>
    </row>
    <row r="2650" spans="1:15" s="4" customFormat="1" ht="16" x14ac:dyDescent="0.2">
      <c r="A2650" s="2" t="s">
        <v>158</v>
      </c>
      <c r="B2650" s="11">
        <f>1/120</f>
        <v>8.3333333333333332E-3</v>
      </c>
      <c r="C2650" s="4" t="s">
        <v>18</v>
      </c>
      <c r="E2650" s="4" t="s">
        <v>9</v>
      </c>
      <c r="F2650" s="4" t="s">
        <v>23</v>
      </c>
      <c r="G2650" s="2" t="s">
        <v>159</v>
      </c>
      <c r="L2650" s="6"/>
      <c r="M2650"/>
      <c r="O2650" s="5"/>
    </row>
    <row r="2651" spans="1:15" customFormat="1" ht="16" x14ac:dyDescent="0.2">
      <c r="A2651" s="14" t="s">
        <v>113</v>
      </c>
      <c r="B2651" s="16">
        <f>(B2634/B2613)/(B2616/1000)</f>
        <v>7.8749846191706662E-8</v>
      </c>
      <c r="C2651" t="s">
        <v>114</v>
      </c>
      <c r="E2651" t="s">
        <v>8</v>
      </c>
      <c r="F2651" t="s">
        <v>23</v>
      </c>
      <c r="G2651" t="s">
        <v>115</v>
      </c>
      <c r="H2651" s="2"/>
      <c r="I2651" s="15">
        <v>5</v>
      </c>
      <c r="J2651">
        <f>B2651</f>
        <v>7.8749846191706662E-8</v>
      </c>
      <c r="K2651" s="16">
        <f>(B2635/B2615)/(B2618/1000)</f>
        <v>1.709986320109439E-8</v>
      </c>
      <c r="L2651" s="16">
        <f>(B2636/B2614)/(B2617/1000)</f>
        <v>2.2799817601459189E-7</v>
      </c>
    </row>
    <row r="2652" spans="1:15" customFormat="1" ht="16" x14ac:dyDescent="0.2">
      <c r="A2652" t="s">
        <v>194</v>
      </c>
      <c r="B2652" s="16">
        <f>(B2625/B2613)/(B2616/1000)</f>
        <v>9.8929494278331488E-6</v>
      </c>
      <c r="C2652" t="s">
        <v>18</v>
      </c>
      <c r="E2652" t="s">
        <v>9</v>
      </c>
      <c r="F2652" t="s">
        <v>23</v>
      </c>
      <c r="G2652" t="s">
        <v>195</v>
      </c>
      <c r="H2652" s="2"/>
      <c r="I2652">
        <v>5</v>
      </c>
      <c r="J2652">
        <f>B2652</f>
        <v>9.8929494278331488E-6</v>
      </c>
      <c r="K2652" s="16">
        <f>(B2626/B2615)/(B2618/1000)</f>
        <v>1.436388508891929E-6</v>
      </c>
      <c r="L2652" s="16">
        <f>(B2627/B2614)/(B2617/1000)</f>
        <v>2.7359781121751028E-5</v>
      </c>
    </row>
    <row r="2653" spans="1:15" customFormat="1" ht="16" x14ac:dyDescent="0.2">
      <c r="A2653" t="s">
        <v>189</v>
      </c>
      <c r="B2653" s="3">
        <f>(B2628/B2613)/(B2616/1000)</f>
        <v>3.2976498092777158E-5</v>
      </c>
      <c r="C2653" s="2" t="s">
        <v>114</v>
      </c>
      <c r="E2653" t="s">
        <v>141</v>
      </c>
      <c r="F2653" t="s">
        <v>23</v>
      </c>
      <c r="G2653" t="s">
        <v>190</v>
      </c>
      <c r="H2653" s="2"/>
      <c r="I2653">
        <v>5</v>
      </c>
      <c r="J2653" s="3">
        <f>B2653</f>
        <v>3.2976498092777158E-5</v>
      </c>
      <c r="K2653" s="3">
        <f>(B2629/B2615)/(B2618/1000)</f>
        <v>4.78796169630643E-6</v>
      </c>
      <c r="L2653" s="3">
        <f>(B2630/B2614)/(B2617/1000)</f>
        <v>9.1199270405836752E-5</v>
      </c>
    </row>
    <row r="2654" spans="1:15" customFormat="1" ht="16" x14ac:dyDescent="0.2">
      <c r="A2654" t="s">
        <v>98</v>
      </c>
      <c r="B2654" s="3">
        <f>B2650*9/1000</f>
        <v>7.4999999999999993E-5</v>
      </c>
      <c r="C2654" s="2"/>
      <c r="D2654" t="s">
        <v>116</v>
      </c>
      <c r="E2654" s="2" t="s">
        <v>94</v>
      </c>
      <c r="F2654" t="s">
        <v>15</v>
      </c>
      <c r="H2654" s="2"/>
      <c r="J2654" s="3"/>
      <c r="K2654" s="3"/>
      <c r="L2654" s="3"/>
    </row>
    <row r="2655" spans="1:15" customFormat="1" ht="16" x14ac:dyDescent="0.2">
      <c r="A2655" s="2"/>
      <c r="B2655" s="2"/>
      <c r="C2655" s="2"/>
      <c r="D2655" s="2"/>
      <c r="E2655" s="2"/>
      <c r="F2655" s="2"/>
      <c r="G2655" s="2"/>
      <c r="H2655" s="2"/>
      <c r="I2655" s="2"/>
      <c r="J2655" s="2"/>
      <c r="K2655" s="2"/>
      <c r="L2655" s="2"/>
    </row>
    <row r="2656" spans="1:15" x14ac:dyDescent="0.2">
      <c r="A2656" s="17" t="s">
        <v>2</v>
      </c>
      <c r="B2656" s="17" t="s">
        <v>390</v>
      </c>
    </row>
    <row r="2657" spans="1:15" customFormat="1" ht="16" x14ac:dyDescent="0.2">
      <c r="A2657" s="2" t="s">
        <v>3</v>
      </c>
      <c r="B2657" s="2" t="s">
        <v>18</v>
      </c>
      <c r="C2657" s="2"/>
      <c r="D2657" s="2"/>
      <c r="E2657" s="2"/>
      <c r="F2657" s="2"/>
      <c r="G2657" s="2"/>
      <c r="H2657" s="2"/>
      <c r="I2657" s="2"/>
      <c r="J2657" s="2"/>
      <c r="K2657" s="2"/>
      <c r="L2657" s="2"/>
    </row>
    <row r="2658" spans="1:15" customFormat="1" ht="16" x14ac:dyDescent="0.2">
      <c r="A2658" s="2" t="s">
        <v>4</v>
      </c>
      <c r="B2658" s="2">
        <v>1</v>
      </c>
      <c r="C2658" s="2"/>
      <c r="D2658" s="2"/>
      <c r="E2658" s="2"/>
      <c r="F2658" s="2"/>
      <c r="G2658" s="2"/>
      <c r="H2658" s="2"/>
      <c r="I2658" s="2"/>
      <c r="J2658" s="2"/>
      <c r="K2658" s="2"/>
      <c r="L2658" s="2"/>
    </row>
    <row r="2659" spans="1:15" customFormat="1" ht="16" x14ac:dyDescent="0.2">
      <c r="A2659" s="2" t="s">
        <v>5</v>
      </c>
      <c r="B2659" s="2" t="s">
        <v>1</v>
      </c>
      <c r="C2659" s="2"/>
      <c r="D2659" s="2"/>
      <c r="E2659" s="2"/>
      <c r="F2659" s="2"/>
      <c r="G2659" s="2"/>
      <c r="H2659" s="2"/>
      <c r="I2659" s="2"/>
      <c r="J2659" s="2"/>
    </row>
    <row r="2660" spans="1:15" customFormat="1" ht="16" x14ac:dyDescent="0.2">
      <c r="A2660" s="2" t="s">
        <v>6</v>
      </c>
      <c r="B2660" s="2" t="s">
        <v>7</v>
      </c>
      <c r="C2660" s="2"/>
      <c r="D2660" s="2"/>
      <c r="E2660" s="2"/>
      <c r="F2660" s="2"/>
      <c r="G2660" s="2"/>
      <c r="H2660" s="2"/>
      <c r="I2660" s="2"/>
      <c r="J2660" s="2"/>
      <c r="K2660" s="2"/>
      <c r="L2660" s="2"/>
    </row>
    <row r="2661" spans="1:15" customFormat="1" ht="16" x14ac:dyDescent="0.2">
      <c r="A2661" s="2" t="s">
        <v>8</v>
      </c>
      <c r="B2661" s="2" t="s">
        <v>17</v>
      </c>
      <c r="C2661" s="2"/>
      <c r="D2661" s="2"/>
      <c r="E2661" s="2"/>
      <c r="F2661" s="2"/>
      <c r="G2661" s="2"/>
      <c r="H2661" s="2"/>
      <c r="I2661" s="2"/>
      <c r="J2661" s="2"/>
      <c r="K2661" s="2"/>
      <c r="L2661" s="2"/>
    </row>
    <row r="2662" spans="1:15" customFormat="1" ht="16" x14ac:dyDescent="0.2">
      <c r="A2662" s="1" t="s">
        <v>10</v>
      </c>
      <c r="B2662" s="2"/>
      <c r="C2662" s="2"/>
      <c r="D2662" s="2"/>
      <c r="E2662" s="2"/>
      <c r="F2662" s="2"/>
      <c r="G2662" s="2"/>
      <c r="H2662" s="2"/>
      <c r="I2662" s="2"/>
      <c r="J2662" s="2"/>
      <c r="K2662" s="2"/>
      <c r="L2662" s="2"/>
    </row>
    <row r="2663" spans="1:15" x14ac:dyDescent="0.2">
      <c r="A2663" s="17" t="s">
        <v>11</v>
      </c>
      <c r="B2663" s="17" t="s">
        <v>12</v>
      </c>
      <c r="C2663" s="17" t="s">
        <v>3</v>
      </c>
      <c r="D2663" s="17" t="s">
        <v>13</v>
      </c>
      <c r="E2663" s="17" t="s">
        <v>8</v>
      </c>
      <c r="F2663" s="17" t="s">
        <v>6</v>
      </c>
      <c r="G2663" s="17" t="s">
        <v>5</v>
      </c>
      <c r="H2663" s="17" t="s">
        <v>151</v>
      </c>
      <c r="I2663" s="17"/>
      <c r="J2663" s="17"/>
      <c r="K2663" s="17"/>
    </row>
    <row r="2664" spans="1:15" customFormat="1" ht="16" x14ac:dyDescent="0.2">
      <c r="A2664" s="2" t="str">
        <f>B2656</f>
        <v>hydrogen, used in a fuel cell in a passenger train</v>
      </c>
      <c r="B2664" s="2">
        <v>1</v>
      </c>
      <c r="C2664" s="2" t="str">
        <f>B2657</f>
        <v>RER</v>
      </c>
      <c r="D2664" s="2"/>
      <c r="E2664" s="2" t="str">
        <f>B2661</f>
        <v>megajoule</v>
      </c>
      <c r="F2664" s="2" t="s">
        <v>19</v>
      </c>
      <c r="G2664" s="2" t="str">
        <f>B2659</f>
        <v>heat</v>
      </c>
      <c r="H2664" s="2"/>
      <c r="I2664" s="2"/>
      <c r="J2664" s="2"/>
      <c r="K2664" s="2"/>
      <c r="L2664" s="2"/>
    </row>
    <row r="2665" spans="1:15" s="4" customFormat="1" ht="16" x14ac:dyDescent="0.2">
      <c r="A2665" s="2" t="s">
        <v>158</v>
      </c>
      <c r="B2665" s="11">
        <f>1/120</f>
        <v>8.3333333333333332E-3</v>
      </c>
      <c r="C2665" s="4" t="s">
        <v>18</v>
      </c>
      <c r="E2665" s="4" t="s">
        <v>9</v>
      </c>
      <c r="F2665" s="4" t="s">
        <v>23</v>
      </c>
      <c r="G2665" s="2" t="s">
        <v>159</v>
      </c>
      <c r="L2665" s="6"/>
      <c r="M2665"/>
      <c r="O2665" s="5"/>
    </row>
    <row r="2666" spans="1:15" customFormat="1" ht="16" x14ac:dyDescent="0.2">
      <c r="A2666" t="s">
        <v>391</v>
      </c>
      <c r="B2666">
        <f>(0.00000000024822/0.0748)/3.6</f>
        <v>9.2179144385026724E-10</v>
      </c>
      <c r="C2666" t="s">
        <v>114</v>
      </c>
      <c r="D2666" s="2"/>
      <c r="E2666" t="s">
        <v>8</v>
      </c>
      <c r="F2666" t="s">
        <v>23</v>
      </c>
      <c r="G2666" t="s">
        <v>399</v>
      </c>
      <c r="H2666" t="s">
        <v>392</v>
      </c>
    </row>
    <row r="2667" spans="1:15" s="4" customFormat="1" ht="16" x14ac:dyDescent="0.2">
      <c r="A2667" s="2" t="s">
        <v>118</v>
      </c>
      <c r="B2667" s="7">
        <f>0.56%*B2665</f>
        <v>4.6666666666666672E-5</v>
      </c>
      <c r="D2667" s="4" t="s">
        <v>116</v>
      </c>
      <c r="E2667" s="4" t="s">
        <v>9</v>
      </c>
      <c r="F2667" s="2" t="s">
        <v>15</v>
      </c>
      <c r="L2667" s="6"/>
      <c r="M2667"/>
      <c r="O2667" s="5"/>
    </row>
    <row r="2668" spans="1:15" s="4" customFormat="1" ht="16" x14ac:dyDescent="0.2">
      <c r="A2668" s="2" t="s">
        <v>98</v>
      </c>
      <c r="B2668" s="7">
        <f>B2665*9/1000</f>
        <v>7.4999999999999993E-5</v>
      </c>
      <c r="D2668" s="4" t="s">
        <v>116</v>
      </c>
      <c r="E2668" s="2" t="s">
        <v>94</v>
      </c>
      <c r="F2668" s="2" t="s">
        <v>15</v>
      </c>
      <c r="M2668"/>
      <c r="O2668" s="5"/>
    </row>
    <row r="2669" spans="1:15" customFormat="1" ht="16" x14ac:dyDescent="0.2">
      <c r="A2669" s="2"/>
      <c r="B2669" s="2"/>
      <c r="C2669" s="2"/>
      <c r="D2669" s="2"/>
      <c r="E2669" s="2"/>
      <c r="F2669" s="2"/>
      <c r="G2669" s="2"/>
      <c r="H2669" s="2"/>
      <c r="I2669" s="2"/>
      <c r="J2669" s="2"/>
      <c r="K2669" s="2"/>
      <c r="L2669" s="2"/>
    </row>
    <row r="2670" spans="1:15" x14ac:dyDescent="0.2">
      <c r="A2670" s="17" t="s">
        <v>2</v>
      </c>
      <c r="B2670" s="17" t="s">
        <v>251</v>
      </c>
    </row>
    <row r="2671" spans="1:15" customFormat="1" ht="16" x14ac:dyDescent="0.2">
      <c r="A2671" s="2" t="s">
        <v>3</v>
      </c>
      <c r="B2671" s="2" t="s">
        <v>18</v>
      </c>
      <c r="C2671" s="2"/>
      <c r="D2671" s="2"/>
      <c r="E2671" s="2"/>
      <c r="F2671" s="2"/>
      <c r="G2671" s="2"/>
      <c r="H2671" s="2"/>
      <c r="I2671" s="2"/>
      <c r="J2671" s="2"/>
      <c r="K2671" s="2"/>
      <c r="L2671" s="2"/>
    </row>
    <row r="2672" spans="1:15" customFormat="1" ht="16" x14ac:dyDescent="0.2">
      <c r="A2672" s="2" t="s">
        <v>4</v>
      </c>
      <c r="B2672" s="2">
        <v>1</v>
      </c>
      <c r="C2672" s="2"/>
      <c r="D2672" s="2"/>
      <c r="E2672" s="2"/>
      <c r="F2672" s="2"/>
      <c r="G2672" s="2"/>
      <c r="H2672" s="2"/>
      <c r="I2672" s="2"/>
      <c r="J2672" s="2"/>
      <c r="K2672" s="2"/>
      <c r="L2672" s="2"/>
    </row>
    <row r="2673" spans="1:12" customFormat="1" ht="16" x14ac:dyDescent="0.2">
      <c r="A2673" s="2" t="s">
        <v>5</v>
      </c>
      <c r="B2673" s="2" t="s">
        <v>252</v>
      </c>
      <c r="C2673" s="2"/>
      <c r="D2673" s="2"/>
      <c r="E2673" s="2"/>
      <c r="F2673" s="2"/>
      <c r="G2673" s="2"/>
      <c r="H2673" s="2"/>
      <c r="I2673" s="2"/>
      <c r="J2673" s="2"/>
    </row>
    <row r="2674" spans="1:12" customFormat="1" ht="16" x14ac:dyDescent="0.2">
      <c r="A2674" s="2" t="s">
        <v>6</v>
      </c>
      <c r="B2674" s="2" t="s">
        <v>7</v>
      </c>
      <c r="C2674" s="2"/>
      <c r="D2674" s="2"/>
      <c r="E2674" s="2"/>
      <c r="F2674" s="2"/>
      <c r="G2674" s="2"/>
      <c r="H2674" s="2"/>
      <c r="I2674" s="2"/>
      <c r="J2674" s="2"/>
      <c r="K2674" s="2"/>
      <c r="L2674" s="2"/>
    </row>
    <row r="2675" spans="1:12" customFormat="1" ht="16" x14ac:dyDescent="0.2">
      <c r="A2675" s="2" t="s">
        <v>8</v>
      </c>
      <c r="B2675" s="2" t="s">
        <v>17</v>
      </c>
      <c r="C2675" s="2"/>
      <c r="D2675" s="2"/>
      <c r="E2675" s="2"/>
      <c r="F2675" s="2"/>
      <c r="G2675" s="2"/>
      <c r="H2675" s="2"/>
      <c r="I2675" s="2"/>
      <c r="J2675" s="2"/>
      <c r="K2675" s="2"/>
      <c r="L2675" s="2"/>
    </row>
    <row r="2676" spans="1:12" customFormat="1" ht="16" x14ac:dyDescent="0.2">
      <c r="A2676" s="1" t="s">
        <v>10</v>
      </c>
      <c r="B2676" s="2"/>
      <c r="C2676" s="2"/>
      <c r="D2676" s="2"/>
      <c r="E2676" s="2"/>
      <c r="F2676" s="2"/>
      <c r="G2676" s="2"/>
      <c r="H2676" s="2"/>
      <c r="I2676" s="2"/>
      <c r="J2676" s="2"/>
      <c r="K2676" s="2"/>
      <c r="L2676" s="2"/>
    </row>
    <row r="2677" spans="1:12" x14ac:dyDescent="0.2">
      <c r="A2677" s="17" t="s">
        <v>11</v>
      </c>
      <c r="B2677" s="17" t="s">
        <v>12</v>
      </c>
      <c r="C2677" s="17" t="s">
        <v>3</v>
      </c>
      <c r="D2677" s="17" t="s">
        <v>13</v>
      </c>
      <c r="E2677" s="17" t="s">
        <v>8</v>
      </c>
      <c r="F2677" s="17" t="s">
        <v>6</v>
      </c>
      <c r="G2677" s="17" t="s">
        <v>5</v>
      </c>
      <c r="I2677" s="17"/>
      <c r="J2677" s="17"/>
      <c r="K2677" s="17"/>
    </row>
    <row r="2678" spans="1:12" customFormat="1" ht="16" x14ac:dyDescent="0.2">
      <c r="A2678" s="2" t="str">
        <f>B2670</f>
        <v>electricity, used in passenger train</v>
      </c>
      <c r="B2678" s="2">
        <v>1</v>
      </c>
      <c r="C2678" s="2" t="str">
        <f>B2671</f>
        <v>RER</v>
      </c>
      <c r="D2678" s="2"/>
      <c r="E2678" s="2" t="str">
        <f>B2675</f>
        <v>megajoule</v>
      </c>
      <c r="F2678" s="2" t="s">
        <v>19</v>
      </c>
      <c r="G2678" s="2" t="str">
        <f>B2673</f>
        <v>electricity, high voltage</v>
      </c>
      <c r="H2678" s="2"/>
      <c r="I2678" s="2"/>
      <c r="J2678" s="2"/>
      <c r="K2678" s="2"/>
      <c r="L2678" s="2"/>
    </row>
    <row r="2679" spans="1:12" customFormat="1" ht="16" x14ac:dyDescent="0.2">
      <c r="A2679" s="2" t="s">
        <v>303</v>
      </c>
      <c r="B2679" s="2">
        <f>1/3.6</f>
        <v>0.27777777777777779</v>
      </c>
      <c r="C2679" s="2" t="s">
        <v>18</v>
      </c>
      <c r="D2679" s="2"/>
      <c r="E2679" s="2" t="s">
        <v>141</v>
      </c>
      <c r="F2679" s="2" t="s">
        <v>23</v>
      </c>
      <c r="G2679" s="2" t="s">
        <v>252</v>
      </c>
      <c r="H2679" s="2"/>
      <c r="I2679" s="2"/>
      <c r="J2679" s="2"/>
      <c r="K2679" s="2"/>
      <c r="L2679" s="2"/>
    </row>
    <row r="2680" spans="1:12" customFormat="1" ht="16" x14ac:dyDescent="0.2">
      <c r="F2680" s="2"/>
    </row>
    <row r="2681" spans="1:12" x14ac:dyDescent="0.2">
      <c r="A2681" s="17" t="s">
        <v>2</v>
      </c>
      <c r="B2681" s="17" t="s">
        <v>135</v>
      </c>
    </row>
    <row r="2682" spans="1:12" customFormat="1" ht="16" x14ac:dyDescent="0.2">
      <c r="A2682" s="2" t="s">
        <v>3</v>
      </c>
      <c r="B2682" s="2" t="s">
        <v>18</v>
      </c>
      <c r="C2682" s="2"/>
      <c r="D2682" s="2"/>
      <c r="E2682" s="2"/>
      <c r="F2682" s="2"/>
      <c r="G2682" s="2"/>
      <c r="H2682" s="2"/>
      <c r="I2682" s="2"/>
      <c r="J2682" s="2"/>
      <c r="K2682" s="2"/>
      <c r="L2682" s="2"/>
    </row>
    <row r="2683" spans="1:12" customFormat="1" ht="16" x14ac:dyDescent="0.2">
      <c r="A2683" s="2" t="s">
        <v>4</v>
      </c>
      <c r="B2683" s="2">
        <v>1</v>
      </c>
      <c r="C2683" s="2"/>
      <c r="D2683" s="2"/>
      <c r="E2683" s="2"/>
      <c r="F2683" s="2"/>
      <c r="G2683" s="2"/>
      <c r="H2683" s="2"/>
      <c r="I2683" s="2"/>
      <c r="J2683" s="2"/>
      <c r="K2683" s="2"/>
      <c r="L2683" s="2"/>
    </row>
    <row r="2684" spans="1:12" customFormat="1" ht="16" x14ac:dyDescent="0.2">
      <c r="A2684" s="2" t="s">
        <v>5</v>
      </c>
      <c r="B2684" s="2" t="s">
        <v>1</v>
      </c>
      <c r="C2684" s="2"/>
      <c r="D2684" s="2"/>
      <c r="E2684" s="2"/>
      <c r="F2684" s="2"/>
      <c r="G2684" s="2"/>
      <c r="H2684" s="2"/>
      <c r="I2684" s="2"/>
      <c r="J2684" s="2"/>
    </row>
    <row r="2685" spans="1:12" customFormat="1" ht="16" x14ac:dyDescent="0.2">
      <c r="A2685" s="2" t="s">
        <v>6</v>
      </c>
      <c r="B2685" s="2" t="s">
        <v>7</v>
      </c>
      <c r="C2685" s="2"/>
      <c r="D2685" s="2"/>
      <c r="E2685" s="2"/>
      <c r="F2685" s="2"/>
      <c r="G2685" s="2"/>
      <c r="H2685" s="2"/>
      <c r="I2685" s="2"/>
      <c r="J2685" s="2"/>
      <c r="K2685" s="2"/>
      <c r="L2685" s="2"/>
    </row>
    <row r="2686" spans="1:12" customFormat="1" ht="16" x14ac:dyDescent="0.2">
      <c r="A2686" s="2" t="s">
        <v>8</v>
      </c>
      <c r="B2686" s="2" t="s">
        <v>17</v>
      </c>
      <c r="C2686" s="2"/>
      <c r="D2686" s="2"/>
      <c r="E2686" s="2"/>
      <c r="F2686" s="2"/>
      <c r="G2686" s="2"/>
      <c r="H2686" s="2"/>
      <c r="I2686" s="2"/>
      <c r="J2686" s="2"/>
      <c r="K2686" s="2"/>
      <c r="L2686" s="2"/>
    </row>
    <row r="2687" spans="1:12" customFormat="1" ht="16" x14ac:dyDescent="0.2">
      <c r="A2687" s="1" t="s">
        <v>10</v>
      </c>
      <c r="B2687" s="2"/>
      <c r="C2687" s="2"/>
      <c r="D2687" s="2"/>
      <c r="E2687" s="2"/>
      <c r="F2687" s="2"/>
      <c r="G2687" s="2"/>
      <c r="H2687" s="2"/>
      <c r="I2687" s="2"/>
      <c r="J2687" s="2"/>
      <c r="K2687" s="2"/>
      <c r="L2687" s="2"/>
    </row>
    <row r="2688" spans="1:12" x14ac:dyDescent="0.2">
      <c r="A2688" s="17" t="s">
        <v>11</v>
      </c>
      <c r="B2688" s="17" t="s">
        <v>12</v>
      </c>
      <c r="C2688" s="17" t="s">
        <v>3</v>
      </c>
      <c r="D2688" s="17" t="s">
        <v>13</v>
      </c>
      <c r="E2688" s="17" t="s">
        <v>8</v>
      </c>
      <c r="F2688" s="17" t="s">
        <v>6</v>
      </c>
      <c r="G2688" s="17" t="s">
        <v>5</v>
      </c>
      <c r="I2688" s="17"/>
      <c r="J2688" s="17"/>
      <c r="K2688" s="17"/>
    </row>
    <row r="2689" spans="1:12" customFormat="1" ht="16" x14ac:dyDescent="0.2">
      <c r="A2689" s="2" t="str">
        <f>B2681</f>
        <v>diesel, burned in passenger train</v>
      </c>
      <c r="B2689" s="2">
        <v>1</v>
      </c>
      <c r="C2689" s="2" t="str">
        <f>B2682</f>
        <v>RER</v>
      </c>
      <c r="D2689" s="2"/>
      <c r="E2689" s="2" t="str">
        <f>B2686</f>
        <v>megajoule</v>
      </c>
      <c r="F2689" s="2" t="s">
        <v>19</v>
      </c>
      <c r="G2689" s="2" t="str">
        <f>B2684</f>
        <v>heat</v>
      </c>
      <c r="H2689" s="2"/>
      <c r="I2689" s="2"/>
      <c r="J2689" s="2"/>
      <c r="K2689" s="2"/>
      <c r="L2689" s="2"/>
    </row>
    <row r="2690" spans="1:12" customFormat="1" ht="16" x14ac:dyDescent="0.2">
      <c r="A2690" s="2" t="s">
        <v>119</v>
      </c>
      <c r="B2690" s="9">
        <f>1/43</f>
        <v>2.3255813953488372E-2</v>
      </c>
      <c r="C2690" t="s">
        <v>27</v>
      </c>
      <c r="E2690" t="s">
        <v>9</v>
      </c>
      <c r="F2690" t="s">
        <v>23</v>
      </c>
      <c r="G2690" t="s">
        <v>44</v>
      </c>
      <c r="H2690" s="2"/>
    </row>
    <row r="2691" spans="1:12" customFormat="1" ht="16" x14ac:dyDescent="0.2">
      <c r="A2691" t="s">
        <v>48</v>
      </c>
      <c r="B2691" s="3">
        <v>4.6511627906976748E-7</v>
      </c>
      <c r="D2691" t="s">
        <v>116</v>
      </c>
      <c r="E2691" t="s">
        <v>9</v>
      </c>
      <c r="F2691" s="2" t="s">
        <v>15</v>
      </c>
      <c r="H2691" s="2"/>
      <c r="I2691" s="3"/>
    </row>
    <row r="2692" spans="1:12" customFormat="1" ht="16" x14ac:dyDescent="0.2">
      <c r="A2692" t="s">
        <v>50</v>
      </c>
      <c r="B2692" s="3">
        <v>2.3255813953488372E-6</v>
      </c>
      <c r="D2692" t="s">
        <v>116</v>
      </c>
      <c r="E2692" t="s">
        <v>9</v>
      </c>
      <c r="F2692" s="2" t="s">
        <v>15</v>
      </c>
      <c r="H2692" s="2"/>
      <c r="I2692" s="3"/>
    </row>
    <row r="2693" spans="1:12" customFormat="1" ht="16" x14ac:dyDescent="0.2">
      <c r="A2693" t="s">
        <v>52</v>
      </c>
      <c r="B2693" s="3">
        <v>2.3255813953488374E-10</v>
      </c>
      <c r="D2693" t="s">
        <v>116</v>
      </c>
      <c r="E2693" t="s">
        <v>9</v>
      </c>
      <c r="F2693" s="2" t="s">
        <v>15</v>
      </c>
      <c r="H2693" s="2"/>
      <c r="I2693" s="3"/>
    </row>
    <row r="2694" spans="1:12" customFormat="1" ht="16" x14ac:dyDescent="0.2">
      <c r="A2694" t="s">
        <v>53</v>
      </c>
      <c r="B2694">
        <f>3.15*B2690</f>
        <v>7.3255813953488375E-2</v>
      </c>
      <c r="D2694" t="s">
        <v>116</v>
      </c>
      <c r="E2694" t="s">
        <v>9</v>
      </c>
      <c r="F2694" s="2" t="s">
        <v>15</v>
      </c>
      <c r="H2694" s="2"/>
      <c r="I2694" s="3"/>
    </row>
    <row r="2695" spans="1:12" customFormat="1" ht="16" x14ac:dyDescent="0.2">
      <c r="A2695" t="s">
        <v>54</v>
      </c>
      <c r="B2695">
        <v>3.6731145403173224E-4</v>
      </c>
      <c r="D2695" t="s">
        <v>116</v>
      </c>
      <c r="E2695" t="s">
        <v>9</v>
      </c>
      <c r="F2695" s="2" t="s">
        <v>15</v>
      </c>
      <c r="H2695" s="2"/>
      <c r="I2695" s="3"/>
    </row>
    <row r="2696" spans="1:12" customFormat="1" ht="16" x14ac:dyDescent="0.2">
      <c r="A2696" t="s">
        <v>55</v>
      </c>
      <c r="B2696" s="3">
        <v>1.160617257118018E-9</v>
      </c>
      <c r="D2696" t="s">
        <v>116</v>
      </c>
      <c r="E2696" t="s">
        <v>9</v>
      </c>
      <c r="F2696" s="2" t="s">
        <v>15</v>
      </c>
      <c r="H2696" s="2"/>
      <c r="I2696" s="3"/>
    </row>
    <row r="2697" spans="1:12" customFormat="1" ht="16" x14ac:dyDescent="0.2">
      <c r="A2697" t="s">
        <v>57</v>
      </c>
      <c r="B2697" s="3">
        <v>3.9556618126494245E-8</v>
      </c>
      <c r="D2697" t="s">
        <v>116</v>
      </c>
      <c r="E2697" t="s">
        <v>9</v>
      </c>
      <c r="F2697" s="2" t="s">
        <v>15</v>
      </c>
      <c r="H2697" s="2"/>
      <c r="I2697" s="3"/>
    </row>
    <row r="2698" spans="1:12" customFormat="1" ht="16" x14ac:dyDescent="0.2">
      <c r="A2698" t="s">
        <v>58</v>
      </c>
      <c r="B2698" s="3">
        <v>2.3255813953488372E-6</v>
      </c>
      <c r="D2698" t="s">
        <v>116</v>
      </c>
      <c r="E2698" t="s">
        <v>9</v>
      </c>
      <c r="F2698" s="2" t="s">
        <v>15</v>
      </c>
      <c r="H2698" s="2"/>
      <c r="I2698" s="3"/>
    </row>
    <row r="2699" spans="1:12" customFormat="1" ht="16" x14ac:dyDescent="0.2">
      <c r="A2699" t="s">
        <v>63</v>
      </c>
      <c r="B2699" s="3">
        <v>2.5429254509889156E-12</v>
      </c>
      <c r="D2699" t="s">
        <v>116</v>
      </c>
      <c r="E2699" t="s">
        <v>9</v>
      </c>
      <c r="F2699" s="2" t="s">
        <v>15</v>
      </c>
      <c r="H2699" s="2"/>
      <c r="I2699" s="3"/>
    </row>
    <row r="2700" spans="1:12" customFormat="1" ht="16" x14ac:dyDescent="0.2">
      <c r="A2700" t="s">
        <v>64</v>
      </c>
      <c r="B2700" s="3">
        <v>4.651162790697675E-13</v>
      </c>
      <c r="D2700" t="s">
        <v>116</v>
      </c>
      <c r="E2700" t="s">
        <v>9</v>
      </c>
      <c r="F2700" s="2" t="s">
        <v>15</v>
      </c>
      <c r="H2700" s="2"/>
      <c r="I2700" s="3"/>
    </row>
    <row r="2701" spans="1:12" customFormat="1" ht="16" x14ac:dyDescent="0.2">
      <c r="A2701" t="s">
        <v>65</v>
      </c>
      <c r="B2701" s="3">
        <v>3.0210823733970879E-6</v>
      </c>
      <c r="D2701" t="s">
        <v>116</v>
      </c>
      <c r="E2701" t="s">
        <v>9</v>
      </c>
      <c r="F2701" s="2" t="s">
        <v>15</v>
      </c>
      <c r="H2701" s="2"/>
      <c r="I2701" s="3"/>
    </row>
    <row r="2702" spans="1:12" customFormat="1" ht="16" x14ac:dyDescent="0.2">
      <c r="A2702" t="s">
        <v>67</v>
      </c>
      <c r="B2702" s="3">
        <v>1.1758313410128234E-4</v>
      </c>
      <c r="D2702" t="s">
        <v>116</v>
      </c>
      <c r="E2702" t="s">
        <v>9</v>
      </c>
      <c r="F2702" s="2" t="s">
        <v>15</v>
      </c>
      <c r="H2702" s="2"/>
      <c r="I2702" s="3"/>
    </row>
    <row r="2703" spans="1:12" customFormat="1" ht="16" x14ac:dyDescent="0.2">
      <c r="A2703" t="s">
        <v>68</v>
      </c>
      <c r="B2703" s="3">
        <v>1.6235600956313845E-9</v>
      </c>
      <c r="D2703" t="s">
        <v>116</v>
      </c>
      <c r="E2703" t="s">
        <v>9</v>
      </c>
      <c r="F2703" s="2" t="s">
        <v>15</v>
      </c>
      <c r="H2703" s="2"/>
      <c r="I2703" s="3"/>
    </row>
    <row r="2704" spans="1:12" customFormat="1" ht="16" x14ac:dyDescent="0.2">
      <c r="A2704" t="s">
        <v>69</v>
      </c>
      <c r="B2704" s="9">
        <v>1.2758096066072594E-3</v>
      </c>
      <c r="D2704" t="s">
        <v>116</v>
      </c>
      <c r="E2704" t="s">
        <v>9</v>
      </c>
      <c r="F2704" s="2" t="s">
        <v>15</v>
      </c>
      <c r="H2704" s="2"/>
      <c r="I2704" s="3"/>
    </row>
    <row r="2705" spans="1:12" customFormat="1" ht="16" x14ac:dyDescent="0.2">
      <c r="A2705" t="s">
        <v>71</v>
      </c>
      <c r="B2705" s="3">
        <v>2.9836991958269943E-5</v>
      </c>
      <c r="D2705" t="s">
        <v>116</v>
      </c>
      <c r="E2705" t="s">
        <v>9</v>
      </c>
      <c r="F2705" s="2" t="s">
        <v>15</v>
      </c>
      <c r="H2705" s="2"/>
      <c r="I2705" s="3"/>
    </row>
    <row r="2706" spans="1:12" customFormat="1" ht="16" x14ac:dyDescent="0.2">
      <c r="A2706" t="s">
        <v>106</v>
      </c>
      <c r="B2706" s="3">
        <v>3.5524885894370795E-5</v>
      </c>
      <c r="D2706" t="s">
        <v>116</v>
      </c>
      <c r="E2706" t="s">
        <v>9</v>
      </c>
      <c r="F2706" s="2" t="s">
        <v>15</v>
      </c>
      <c r="H2706" s="2"/>
      <c r="I2706" s="3"/>
    </row>
    <row r="2707" spans="1:12" customFormat="1" ht="16" x14ac:dyDescent="0.2">
      <c r="A2707" t="s">
        <v>107</v>
      </c>
      <c r="B2707" s="3">
        <v>1.6163877417952619E-5</v>
      </c>
      <c r="D2707" t="s">
        <v>116</v>
      </c>
      <c r="E2707" t="s">
        <v>9</v>
      </c>
      <c r="F2707" s="2" t="s">
        <v>15</v>
      </c>
      <c r="H2707" s="2"/>
      <c r="I2707" s="3"/>
    </row>
    <row r="2708" spans="1:12" customFormat="1" ht="16" x14ac:dyDescent="0.2">
      <c r="A2708" t="s">
        <v>75</v>
      </c>
      <c r="B2708" s="3">
        <v>2.3255813953488374E-10</v>
      </c>
      <c r="D2708" t="s">
        <v>116</v>
      </c>
      <c r="E2708" t="s">
        <v>9</v>
      </c>
      <c r="F2708" s="2" t="s">
        <v>15</v>
      </c>
      <c r="H2708" s="2"/>
      <c r="I2708" s="3"/>
    </row>
    <row r="2709" spans="1:12" customFormat="1" ht="16" x14ac:dyDescent="0.2">
      <c r="A2709" t="s">
        <v>77</v>
      </c>
      <c r="B2709" s="3">
        <v>1.3931753966529016E-5</v>
      </c>
      <c r="D2709" t="s">
        <v>116</v>
      </c>
      <c r="E2709" t="s">
        <v>9</v>
      </c>
      <c r="F2709" s="2" t="s">
        <v>15</v>
      </c>
      <c r="H2709" s="2"/>
      <c r="I2709" s="3"/>
    </row>
    <row r="2710" spans="1:12" customFormat="1" ht="16" x14ac:dyDescent="0.2">
      <c r="A2710" t="s">
        <v>78</v>
      </c>
      <c r="B2710" s="3">
        <v>9.2805911758313421E-7</v>
      </c>
      <c r="D2710" t="s">
        <v>116</v>
      </c>
      <c r="E2710" t="s">
        <v>9</v>
      </c>
      <c r="F2710" s="2" t="s">
        <v>15</v>
      </c>
      <c r="H2710" s="2"/>
      <c r="I2710" s="3"/>
    </row>
    <row r="2711" spans="1:12" customFormat="1" ht="16" x14ac:dyDescent="0.2">
      <c r="A2711" t="s">
        <v>136</v>
      </c>
      <c r="B2711" s="3">
        <v>9.2805911758313421E-7</v>
      </c>
      <c r="D2711" t="s">
        <v>116</v>
      </c>
      <c r="E2711" t="s">
        <v>9</v>
      </c>
      <c r="F2711" s="2" t="s">
        <v>15</v>
      </c>
      <c r="H2711" s="2"/>
      <c r="I2711" s="3"/>
    </row>
    <row r="2712" spans="1:12" customFormat="1" ht="16" x14ac:dyDescent="0.2">
      <c r="A2712" t="s">
        <v>79</v>
      </c>
      <c r="B2712" s="3">
        <v>2.3255813953488372E-8</v>
      </c>
      <c r="D2712" t="s">
        <v>116</v>
      </c>
      <c r="E2712" t="s">
        <v>9</v>
      </c>
      <c r="F2712" s="2" t="s">
        <v>15</v>
      </c>
      <c r="H2712" s="2"/>
      <c r="I2712" s="3"/>
    </row>
    <row r="2713" spans="1:12" customFormat="1" ht="16" x14ac:dyDescent="0.2">
      <c r="A2713" t="s">
        <v>137</v>
      </c>
      <c r="B2713" s="3">
        <v>1.3084112149532712E-4</v>
      </c>
      <c r="D2713" t="s">
        <v>138</v>
      </c>
      <c r="E2713" t="s">
        <v>9</v>
      </c>
      <c r="F2713" s="2" t="s">
        <v>15</v>
      </c>
      <c r="H2713" s="2"/>
      <c r="I2713" s="3"/>
    </row>
    <row r="2714" spans="1:12" customFormat="1" ht="16" x14ac:dyDescent="0.2"/>
    <row r="2715" spans="1:12" x14ac:dyDescent="0.2">
      <c r="A2715" s="17" t="s">
        <v>2</v>
      </c>
      <c r="B2715" s="17" t="s">
        <v>275</v>
      </c>
    </row>
    <row r="2716" spans="1:12" customFormat="1" ht="16" x14ac:dyDescent="0.2">
      <c r="A2716" s="2" t="s">
        <v>3</v>
      </c>
      <c r="B2716" s="2" t="s">
        <v>18</v>
      </c>
      <c r="C2716" s="2"/>
      <c r="D2716" s="2"/>
      <c r="E2716" s="2"/>
      <c r="F2716" s="2"/>
      <c r="G2716" s="2"/>
      <c r="H2716" s="2"/>
      <c r="I2716" s="2"/>
      <c r="J2716" s="2"/>
      <c r="K2716" s="2"/>
      <c r="L2716" s="2"/>
    </row>
    <row r="2717" spans="1:12" customFormat="1" ht="16" x14ac:dyDescent="0.2">
      <c r="A2717" s="2" t="s">
        <v>4</v>
      </c>
      <c r="B2717" s="2">
        <v>1</v>
      </c>
      <c r="C2717" s="2"/>
      <c r="D2717" s="2"/>
      <c r="E2717" s="2"/>
      <c r="F2717" s="2"/>
      <c r="G2717" s="2"/>
      <c r="H2717" s="2"/>
      <c r="I2717" s="2"/>
      <c r="J2717" s="2"/>
      <c r="K2717" s="2"/>
      <c r="L2717" s="2"/>
    </row>
    <row r="2718" spans="1:12" customFormat="1" ht="16" x14ac:dyDescent="0.2">
      <c r="A2718" s="2" t="s">
        <v>5</v>
      </c>
      <c r="B2718" s="2" t="s">
        <v>1</v>
      </c>
      <c r="C2718" s="2"/>
      <c r="D2718" s="2"/>
      <c r="E2718" s="2"/>
      <c r="F2718" s="2"/>
      <c r="G2718" s="2"/>
      <c r="H2718" s="2"/>
      <c r="I2718" s="2"/>
      <c r="J2718" s="2"/>
    </row>
    <row r="2719" spans="1:12" customFormat="1" ht="16" x14ac:dyDescent="0.2">
      <c r="A2719" s="2" t="s">
        <v>6</v>
      </c>
      <c r="B2719" s="2" t="s">
        <v>7</v>
      </c>
      <c r="C2719" s="2"/>
      <c r="D2719" s="2"/>
      <c r="E2719" s="2"/>
      <c r="F2719" s="2"/>
      <c r="G2719" s="2"/>
      <c r="H2719" s="2"/>
      <c r="I2719" s="2"/>
      <c r="J2719" s="2"/>
      <c r="K2719" s="2"/>
      <c r="L2719" s="2"/>
    </row>
    <row r="2720" spans="1:12" customFormat="1" ht="16" x14ac:dyDescent="0.2">
      <c r="A2720" s="2" t="s">
        <v>8</v>
      </c>
      <c r="B2720" s="2" t="s">
        <v>17</v>
      </c>
      <c r="C2720" s="2"/>
      <c r="D2720" s="2"/>
      <c r="E2720" s="2"/>
      <c r="F2720" s="2"/>
      <c r="G2720" s="2"/>
      <c r="H2720" s="2"/>
      <c r="I2720" s="2"/>
      <c r="J2720" s="2"/>
      <c r="K2720" s="2"/>
      <c r="L2720" s="2"/>
    </row>
    <row r="2721" spans="1:12" customFormat="1" ht="16" x14ac:dyDescent="0.2">
      <c r="A2721" s="1" t="s">
        <v>10</v>
      </c>
      <c r="B2721" s="2"/>
      <c r="C2721" s="2"/>
      <c r="D2721" s="2"/>
      <c r="E2721" s="2"/>
      <c r="F2721" s="2"/>
      <c r="G2721" s="2"/>
      <c r="H2721" s="2"/>
      <c r="I2721" s="2"/>
      <c r="J2721" s="2"/>
      <c r="K2721" s="2"/>
      <c r="L2721" s="2"/>
    </row>
    <row r="2722" spans="1:12" x14ac:dyDescent="0.2">
      <c r="A2722" s="17" t="s">
        <v>11</v>
      </c>
      <c r="B2722" s="17" t="s">
        <v>12</v>
      </c>
      <c r="C2722" s="17" t="s">
        <v>3</v>
      </c>
      <c r="D2722" s="17" t="s">
        <v>13</v>
      </c>
      <c r="E2722" s="17" t="s">
        <v>8</v>
      </c>
      <c r="F2722" s="17" t="s">
        <v>6</v>
      </c>
      <c r="G2722" s="17" t="s">
        <v>5</v>
      </c>
      <c r="H2722" s="17"/>
      <c r="J2722" s="17"/>
      <c r="K2722" s="17"/>
    </row>
    <row r="2723" spans="1:12" customFormat="1" ht="16" x14ac:dyDescent="0.2">
      <c r="A2723" s="2" t="str">
        <f>B2715</f>
        <v>diesel, synthetic, burned in passenger train</v>
      </c>
      <c r="B2723" s="2">
        <v>1</v>
      </c>
      <c r="C2723" s="2" t="str">
        <f>B2716</f>
        <v>RER</v>
      </c>
      <c r="D2723" s="2"/>
      <c r="E2723" s="2" t="str">
        <f>B2720</f>
        <v>megajoule</v>
      </c>
      <c r="F2723" s="2" t="s">
        <v>19</v>
      </c>
      <c r="G2723" s="2" t="str">
        <f>B2718</f>
        <v>heat</v>
      </c>
      <c r="H2723" s="2"/>
      <c r="I2723" s="2"/>
      <c r="J2723" s="2"/>
      <c r="K2723" s="2"/>
      <c r="L2723" s="2"/>
    </row>
    <row r="2724" spans="1:12" customFormat="1" ht="16" x14ac:dyDescent="0.2">
      <c r="A2724" s="2" t="s">
        <v>273</v>
      </c>
      <c r="B2724" s="9">
        <f>1/43</f>
        <v>2.3255813953488372E-2</v>
      </c>
      <c r="C2724" t="s">
        <v>18</v>
      </c>
      <c r="E2724" t="s">
        <v>9</v>
      </c>
      <c r="F2724" t="s">
        <v>23</v>
      </c>
      <c r="G2724" t="s">
        <v>274</v>
      </c>
      <c r="I2724" s="2"/>
    </row>
    <row r="2725" spans="1:12" customFormat="1" ht="16" x14ac:dyDescent="0.2">
      <c r="A2725" t="s">
        <v>48</v>
      </c>
      <c r="B2725" s="3">
        <v>4.6511627906976748E-7</v>
      </c>
      <c r="D2725" t="s">
        <v>116</v>
      </c>
      <c r="E2725" t="s">
        <v>9</v>
      </c>
      <c r="F2725" s="2" t="s">
        <v>15</v>
      </c>
      <c r="H2725" s="3"/>
      <c r="I2725" s="2"/>
    </row>
    <row r="2726" spans="1:12" customFormat="1" ht="16" x14ac:dyDescent="0.2">
      <c r="A2726" t="s">
        <v>50</v>
      </c>
      <c r="B2726" s="3">
        <v>2.3255813953488372E-6</v>
      </c>
      <c r="D2726" t="s">
        <v>116</v>
      </c>
      <c r="E2726" t="s">
        <v>9</v>
      </c>
      <c r="F2726" s="2" t="s">
        <v>15</v>
      </c>
      <c r="H2726" s="3"/>
      <c r="I2726" s="2"/>
    </row>
    <row r="2727" spans="1:12" customFormat="1" ht="16" x14ac:dyDescent="0.2">
      <c r="A2727" t="s">
        <v>52</v>
      </c>
      <c r="B2727" s="3">
        <v>2.3255813953488374E-10</v>
      </c>
      <c r="D2727" t="s">
        <v>116</v>
      </c>
      <c r="E2727" t="s">
        <v>9</v>
      </c>
      <c r="F2727" s="2" t="s">
        <v>15</v>
      </c>
      <c r="H2727" s="3"/>
      <c r="I2727" s="2"/>
    </row>
    <row r="2728" spans="1:12" customFormat="1" ht="16" x14ac:dyDescent="0.2">
      <c r="A2728" t="s">
        <v>122</v>
      </c>
      <c r="B2728">
        <f>3.15*B2724</f>
        <v>7.3255813953488375E-2</v>
      </c>
      <c r="D2728" t="s">
        <v>116</v>
      </c>
      <c r="E2728" t="s">
        <v>9</v>
      </c>
      <c r="F2728" s="2" t="s">
        <v>15</v>
      </c>
      <c r="H2728" s="3"/>
      <c r="I2728" s="2"/>
    </row>
    <row r="2729" spans="1:12" customFormat="1" ht="16" x14ac:dyDescent="0.2">
      <c r="A2729" t="s">
        <v>123</v>
      </c>
      <c r="B2729">
        <v>3.6731145403173224E-4</v>
      </c>
      <c r="D2729" t="s">
        <v>116</v>
      </c>
      <c r="E2729" t="s">
        <v>9</v>
      </c>
      <c r="F2729" s="2" t="s">
        <v>15</v>
      </c>
      <c r="H2729" s="3"/>
      <c r="I2729" s="2"/>
    </row>
    <row r="2730" spans="1:12" customFormat="1" ht="16" x14ac:dyDescent="0.2">
      <c r="A2730" t="s">
        <v>55</v>
      </c>
      <c r="B2730" s="3">
        <v>1.160617257118018E-9</v>
      </c>
      <c r="D2730" t="s">
        <v>116</v>
      </c>
      <c r="E2730" t="s">
        <v>9</v>
      </c>
      <c r="F2730" s="2" t="s">
        <v>15</v>
      </c>
      <c r="H2730" s="3"/>
      <c r="I2730" s="2"/>
    </row>
    <row r="2731" spans="1:12" customFormat="1" ht="16" x14ac:dyDescent="0.2">
      <c r="A2731" t="s">
        <v>57</v>
      </c>
      <c r="B2731" s="3">
        <v>3.9556618126494245E-8</v>
      </c>
      <c r="D2731" t="s">
        <v>116</v>
      </c>
      <c r="E2731" t="s">
        <v>9</v>
      </c>
      <c r="F2731" s="2" t="s">
        <v>15</v>
      </c>
      <c r="H2731" s="3"/>
      <c r="I2731" s="2"/>
    </row>
    <row r="2732" spans="1:12" customFormat="1" ht="16" x14ac:dyDescent="0.2">
      <c r="A2732" t="s">
        <v>58</v>
      </c>
      <c r="B2732" s="3">
        <v>2.3255813953488372E-6</v>
      </c>
      <c r="D2732" t="s">
        <v>116</v>
      </c>
      <c r="E2732" t="s">
        <v>9</v>
      </c>
      <c r="F2732" s="2" t="s">
        <v>15</v>
      </c>
      <c r="H2732" s="3"/>
      <c r="I2732" s="2"/>
    </row>
    <row r="2733" spans="1:12" customFormat="1" ht="16" x14ac:dyDescent="0.2">
      <c r="A2733" t="s">
        <v>63</v>
      </c>
      <c r="B2733" s="3">
        <v>2.5429254509889156E-12</v>
      </c>
      <c r="D2733" t="s">
        <v>116</v>
      </c>
      <c r="E2733" t="s">
        <v>9</v>
      </c>
      <c r="F2733" s="2" t="s">
        <v>15</v>
      </c>
      <c r="H2733" s="3"/>
      <c r="I2733" s="2"/>
    </row>
    <row r="2734" spans="1:12" customFormat="1" ht="16" x14ac:dyDescent="0.2">
      <c r="A2734" t="s">
        <v>64</v>
      </c>
      <c r="B2734" s="3">
        <v>4.651162790697675E-13</v>
      </c>
      <c r="D2734" t="s">
        <v>116</v>
      </c>
      <c r="E2734" t="s">
        <v>9</v>
      </c>
      <c r="F2734" s="2" t="s">
        <v>15</v>
      </c>
      <c r="H2734" s="3"/>
      <c r="I2734" s="2"/>
    </row>
    <row r="2735" spans="1:12" customFormat="1" ht="16" x14ac:dyDescent="0.2">
      <c r="A2735" t="s">
        <v>177</v>
      </c>
      <c r="B2735" s="3">
        <v>3.0210823733970879E-6</v>
      </c>
      <c r="D2735" t="s">
        <v>116</v>
      </c>
      <c r="E2735" t="s">
        <v>9</v>
      </c>
      <c r="F2735" s="2" t="s">
        <v>15</v>
      </c>
      <c r="H2735" s="3"/>
      <c r="I2735" s="2"/>
    </row>
    <row r="2736" spans="1:12" customFormat="1" ht="16" x14ac:dyDescent="0.2">
      <c r="A2736" t="s">
        <v>67</v>
      </c>
      <c r="B2736" s="3">
        <v>1.1758313410128234E-4</v>
      </c>
      <c r="D2736" t="s">
        <v>116</v>
      </c>
      <c r="E2736" t="s">
        <v>9</v>
      </c>
      <c r="F2736" s="2" t="s">
        <v>15</v>
      </c>
      <c r="H2736" s="3"/>
      <c r="I2736" s="2"/>
    </row>
    <row r="2737" spans="1:12" customFormat="1" ht="16" x14ac:dyDescent="0.2">
      <c r="A2737" t="s">
        <v>68</v>
      </c>
      <c r="B2737" s="3">
        <v>1.6235600956313845E-9</v>
      </c>
      <c r="D2737" t="s">
        <v>116</v>
      </c>
      <c r="E2737" t="s">
        <v>9</v>
      </c>
      <c r="F2737" s="2" t="s">
        <v>15</v>
      </c>
      <c r="H2737" s="3"/>
      <c r="I2737" s="2"/>
    </row>
    <row r="2738" spans="1:12" customFormat="1" ht="16" x14ac:dyDescent="0.2">
      <c r="A2738" t="s">
        <v>69</v>
      </c>
      <c r="B2738">
        <v>1.2758096066072594E-3</v>
      </c>
      <c r="D2738" t="s">
        <v>116</v>
      </c>
      <c r="E2738" t="s">
        <v>9</v>
      </c>
      <c r="F2738" s="2" t="s">
        <v>15</v>
      </c>
      <c r="H2738" s="3"/>
      <c r="I2738" s="2"/>
    </row>
    <row r="2739" spans="1:12" customFormat="1" ht="16" x14ac:dyDescent="0.2">
      <c r="A2739" t="s">
        <v>71</v>
      </c>
      <c r="B2739" s="3">
        <v>2.9836991958269943E-5</v>
      </c>
      <c r="D2739" t="s">
        <v>116</v>
      </c>
      <c r="E2739" t="s">
        <v>9</v>
      </c>
      <c r="F2739" s="2" t="s">
        <v>15</v>
      </c>
      <c r="H2739" s="3"/>
      <c r="I2739" s="2"/>
    </row>
    <row r="2740" spans="1:12" customFormat="1" ht="16" x14ac:dyDescent="0.2">
      <c r="A2740" t="s">
        <v>106</v>
      </c>
      <c r="B2740" s="3">
        <v>3.5524885894370795E-5</v>
      </c>
      <c r="D2740" t="s">
        <v>116</v>
      </c>
      <c r="E2740" t="s">
        <v>9</v>
      </c>
      <c r="F2740" s="2" t="s">
        <v>15</v>
      </c>
      <c r="H2740" s="3"/>
      <c r="I2740" s="2"/>
    </row>
    <row r="2741" spans="1:12" customFormat="1" ht="16" x14ac:dyDescent="0.2">
      <c r="A2741" t="s">
        <v>107</v>
      </c>
      <c r="B2741" s="3">
        <v>1.6163877417952619E-5</v>
      </c>
      <c r="D2741" t="s">
        <v>116</v>
      </c>
      <c r="E2741" t="s">
        <v>9</v>
      </c>
      <c r="F2741" s="2" t="s">
        <v>15</v>
      </c>
      <c r="H2741" s="3"/>
      <c r="I2741" s="2"/>
    </row>
    <row r="2742" spans="1:12" customFormat="1" ht="16" x14ac:dyDescent="0.2">
      <c r="A2742" t="s">
        <v>75</v>
      </c>
      <c r="B2742" s="3">
        <v>2.3255813953488374E-10</v>
      </c>
      <c r="D2742" t="s">
        <v>116</v>
      </c>
      <c r="E2742" t="s">
        <v>9</v>
      </c>
      <c r="F2742" s="2" t="s">
        <v>15</v>
      </c>
      <c r="H2742" s="3"/>
      <c r="I2742" s="2"/>
    </row>
    <row r="2743" spans="1:12" customFormat="1" ht="16" x14ac:dyDescent="0.2">
      <c r="A2743" t="s">
        <v>77</v>
      </c>
      <c r="B2743" s="3">
        <v>1.3931753966529016E-5</v>
      </c>
      <c r="D2743" t="s">
        <v>116</v>
      </c>
      <c r="E2743" t="s">
        <v>9</v>
      </c>
      <c r="F2743" s="2" t="s">
        <v>15</v>
      </c>
      <c r="H2743" s="3"/>
      <c r="I2743" s="2"/>
    </row>
    <row r="2744" spans="1:12" customFormat="1" ht="16" x14ac:dyDescent="0.2">
      <c r="A2744" t="s">
        <v>78</v>
      </c>
      <c r="B2744" s="3">
        <v>9.2805911758313421E-7</v>
      </c>
      <c r="D2744" t="s">
        <v>116</v>
      </c>
      <c r="E2744" t="s">
        <v>9</v>
      </c>
      <c r="F2744" s="2" t="s">
        <v>15</v>
      </c>
      <c r="H2744" s="3"/>
      <c r="I2744" s="2"/>
    </row>
    <row r="2745" spans="1:12" customFormat="1" ht="16" x14ac:dyDescent="0.2">
      <c r="A2745" t="s">
        <v>136</v>
      </c>
      <c r="B2745" s="3">
        <v>9.2805911758313421E-7</v>
      </c>
      <c r="D2745" t="s">
        <v>116</v>
      </c>
      <c r="E2745" t="s">
        <v>9</v>
      </c>
      <c r="F2745" s="2" t="s">
        <v>15</v>
      </c>
      <c r="H2745" s="3"/>
      <c r="I2745" s="2"/>
    </row>
    <row r="2746" spans="1:12" customFormat="1" ht="16" x14ac:dyDescent="0.2">
      <c r="A2746" t="s">
        <v>79</v>
      </c>
      <c r="B2746" s="3">
        <v>2.3255813953488372E-8</v>
      </c>
      <c r="D2746" t="s">
        <v>116</v>
      </c>
      <c r="E2746" t="s">
        <v>9</v>
      </c>
      <c r="F2746" s="2" t="s">
        <v>15</v>
      </c>
      <c r="H2746" s="3"/>
      <c r="I2746" s="2"/>
    </row>
    <row r="2747" spans="1:12" customFormat="1" ht="16" x14ac:dyDescent="0.2">
      <c r="A2747" t="s">
        <v>137</v>
      </c>
      <c r="B2747" s="3">
        <v>1.3084112149532712E-4</v>
      </c>
      <c r="D2747" t="s">
        <v>138</v>
      </c>
      <c r="E2747" t="s">
        <v>9</v>
      </c>
      <c r="F2747" s="2" t="s">
        <v>15</v>
      </c>
      <c r="H2747" s="3"/>
      <c r="I2747" s="2"/>
    </row>
    <row r="2748" spans="1:12" customFormat="1" ht="16" x14ac:dyDescent="0.2"/>
    <row r="2749" spans="1:12" x14ac:dyDescent="0.2">
      <c r="A2749" s="17" t="s">
        <v>2</v>
      </c>
      <c r="B2749" s="17" t="s">
        <v>413</v>
      </c>
    </row>
    <row r="2750" spans="1:12" customFormat="1" ht="16" x14ac:dyDescent="0.2">
      <c r="A2750" s="2" t="s">
        <v>3</v>
      </c>
      <c r="B2750" s="2" t="s">
        <v>18</v>
      </c>
      <c r="C2750" s="2"/>
      <c r="D2750" s="2"/>
      <c r="E2750" s="2"/>
      <c r="F2750" s="2"/>
      <c r="G2750" s="2"/>
      <c r="H2750" s="2"/>
      <c r="I2750" s="2"/>
      <c r="J2750" s="2"/>
      <c r="K2750" s="2"/>
      <c r="L2750" s="2"/>
    </row>
    <row r="2751" spans="1:12" customFormat="1" ht="16" x14ac:dyDescent="0.2">
      <c r="A2751" s="2" t="s">
        <v>4</v>
      </c>
      <c r="B2751" s="2">
        <v>1</v>
      </c>
      <c r="C2751" s="2"/>
      <c r="D2751" s="2"/>
      <c r="E2751" s="2"/>
      <c r="F2751" s="2"/>
      <c r="G2751" s="2"/>
      <c r="H2751" s="2"/>
      <c r="I2751" s="2"/>
      <c r="J2751" s="2"/>
      <c r="K2751" s="2"/>
      <c r="L2751" s="2"/>
    </row>
    <row r="2752" spans="1:12" customFormat="1" ht="16" x14ac:dyDescent="0.2">
      <c r="A2752" s="2" t="s">
        <v>5</v>
      </c>
      <c r="B2752" s="2" t="s">
        <v>1</v>
      </c>
      <c r="C2752" s="2"/>
      <c r="D2752" s="2"/>
      <c r="E2752" s="2"/>
      <c r="F2752" s="2"/>
      <c r="G2752" s="2"/>
      <c r="H2752" s="2"/>
      <c r="I2752" s="2"/>
      <c r="J2752" s="2"/>
    </row>
    <row r="2753" spans="1:12" customFormat="1" ht="16" x14ac:dyDescent="0.2">
      <c r="A2753" s="2" t="s">
        <v>6</v>
      </c>
      <c r="B2753" s="2" t="s">
        <v>7</v>
      </c>
      <c r="C2753" s="2"/>
      <c r="D2753" s="2"/>
      <c r="E2753" s="2"/>
      <c r="F2753" s="2"/>
      <c r="G2753" s="2"/>
      <c r="H2753" s="2"/>
      <c r="I2753" s="2"/>
      <c r="J2753" s="2"/>
      <c r="K2753" s="2"/>
      <c r="L2753" s="2"/>
    </row>
    <row r="2754" spans="1:12" customFormat="1" ht="16" x14ac:dyDescent="0.2">
      <c r="A2754" s="2" t="s">
        <v>8</v>
      </c>
      <c r="B2754" s="2" t="s">
        <v>17</v>
      </c>
      <c r="C2754" s="2"/>
      <c r="D2754" s="2"/>
      <c r="E2754" s="2"/>
      <c r="F2754" s="2"/>
      <c r="G2754" s="2"/>
      <c r="H2754" s="2"/>
      <c r="I2754" s="2"/>
      <c r="J2754" s="2"/>
      <c r="K2754" s="2"/>
      <c r="L2754" s="2"/>
    </row>
    <row r="2755" spans="1:12" customFormat="1" ht="16" x14ac:dyDescent="0.2">
      <c r="A2755" s="1" t="s">
        <v>10</v>
      </c>
      <c r="B2755" s="2"/>
      <c r="C2755" s="2"/>
      <c r="D2755" s="2"/>
      <c r="E2755" s="2"/>
      <c r="F2755" s="2"/>
      <c r="G2755" s="2"/>
      <c r="H2755" s="2"/>
      <c r="I2755" s="2"/>
      <c r="J2755" s="2"/>
      <c r="K2755" s="2"/>
      <c r="L2755" s="2"/>
    </row>
    <row r="2756" spans="1:12" x14ac:dyDescent="0.2">
      <c r="A2756" s="17" t="s">
        <v>11</v>
      </c>
      <c r="B2756" s="17" t="s">
        <v>12</v>
      </c>
      <c r="C2756" s="17" t="s">
        <v>3</v>
      </c>
      <c r="D2756" s="17" t="s">
        <v>13</v>
      </c>
      <c r="E2756" s="17" t="s">
        <v>8</v>
      </c>
      <c r="F2756" s="17" t="s">
        <v>6</v>
      </c>
      <c r="G2756" s="17" t="s">
        <v>5</v>
      </c>
      <c r="H2756" s="17"/>
      <c r="J2756" s="17"/>
      <c r="K2756" s="17"/>
    </row>
    <row r="2757" spans="1:12" customFormat="1" ht="16" x14ac:dyDescent="0.2">
      <c r="A2757" s="2" t="str">
        <f>B2749</f>
        <v>biodiesel, from residual oily biomass, burned in passenger train</v>
      </c>
      <c r="B2757" s="2">
        <v>1</v>
      </c>
      <c r="C2757" s="2" t="str">
        <f>B2750</f>
        <v>RER</v>
      </c>
      <c r="D2757" s="2"/>
      <c r="E2757" s="2" t="str">
        <f>B2754</f>
        <v>megajoule</v>
      </c>
      <c r="F2757" s="2" t="s">
        <v>19</v>
      </c>
      <c r="G2757" s="2" t="str">
        <f>B2752</f>
        <v>heat</v>
      </c>
      <c r="H2757" s="2"/>
      <c r="I2757" s="2"/>
      <c r="J2757" s="2"/>
      <c r="K2757" s="2"/>
      <c r="L2757" s="2"/>
    </row>
    <row r="2758" spans="1:12" customFormat="1" ht="16" x14ac:dyDescent="0.2">
      <c r="A2758" s="2" t="s">
        <v>175</v>
      </c>
      <c r="B2758" s="9">
        <f>1/43</f>
        <v>2.3255813953488372E-2</v>
      </c>
      <c r="C2758" t="s">
        <v>18</v>
      </c>
      <c r="E2758" t="s">
        <v>9</v>
      </c>
      <c r="F2758" t="s">
        <v>23</v>
      </c>
      <c r="G2758" t="s">
        <v>176</v>
      </c>
      <c r="I2758" s="2"/>
    </row>
    <row r="2759" spans="1:12" customFormat="1" ht="16" x14ac:dyDescent="0.2">
      <c r="A2759" t="s">
        <v>48</v>
      </c>
      <c r="B2759" s="3">
        <v>4.6511627906976748E-7</v>
      </c>
      <c r="D2759" t="s">
        <v>116</v>
      </c>
      <c r="E2759" t="s">
        <v>9</v>
      </c>
      <c r="F2759" s="2" t="s">
        <v>15</v>
      </c>
      <c r="H2759" s="3"/>
      <c r="I2759" s="2"/>
    </row>
    <row r="2760" spans="1:12" customFormat="1" ht="16" x14ac:dyDescent="0.2">
      <c r="A2760" t="s">
        <v>50</v>
      </c>
      <c r="B2760" s="3">
        <v>2.3255813953488372E-6</v>
      </c>
      <c r="D2760" t="s">
        <v>116</v>
      </c>
      <c r="E2760" t="s">
        <v>9</v>
      </c>
      <c r="F2760" s="2" t="s">
        <v>15</v>
      </c>
      <c r="H2760" s="3"/>
      <c r="I2760" s="2"/>
    </row>
    <row r="2761" spans="1:12" customFormat="1" ht="16" x14ac:dyDescent="0.2">
      <c r="A2761" t="s">
        <v>52</v>
      </c>
      <c r="B2761" s="3">
        <v>2.3255813953488374E-10</v>
      </c>
      <c r="D2761" t="s">
        <v>116</v>
      </c>
      <c r="E2761" t="s">
        <v>9</v>
      </c>
      <c r="F2761" s="2" t="s">
        <v>15</v>
      </c>
      <c r="H2761" s="3"/>
      <c r="I2761" s="2"/>
    </row>
    <row r="2762" spans="1:12" customFormat="1" ht="16" x14ac:dyDescent="0.2">
      <c r="A2762" t="s">
        <v>122</v>
      </c>
      <c r="B2762">
        <f>3.15*B2758</f>
        <v>7.3255813953488375E-2</v>
      </c>
      <c r="D2762" t="s">
        <v>116</v>
      </c>
      <c r="E2762" t="s">
        <v>9</v>
      </c>
      <c r="F2762" s="2" t="s">
        <v>15</v>
      </c>
      <c r="H2762" s="3"/>
      <c r="I2762" s="2"/>
    </row>
    <row r="2763" spans="1:12" customFormat="1" ht="16" x14ac:dyDescent="0.2">
      <c r="A2763" t="s">
        <v>123</v>
      </c>
      <c r="B2763">
        <v>3.6731145403173224E-4</v>
      </c>
      <c r="D2763" t="s">
        <v>116</v>
      </c>
      <c r="E2763" t="s">
        <v>9</v>
      </c>
      <c r="F2763" s="2" t="s">
        <v>15</v>
      </c>
      <c r="H2763" s="3"/>
      <c r="I2763" s="2"/>
    </row>
    <row r="2764" spans="1:12" customFormat="1" ht="16" x14ac:dyDescent="0.2">
      <c r="A2764" t="s">
        <v>55</v>
      </c>
      <c r="B2764" s="3">
        <v>1.160617257118018E-9</v>
      </c>
      <c r="D2764" t="s">
        <v>116</v>
      </c>
      <c r="E2764" t="s">
        <v>9</v>
      </c>
      <c r="F2764" s="2" t="s">
        <v>15</v>
      </c>
      <c r="H2764" s="3"/>
      <c r="I2764" s="2"/>
    </row>
    <row r="2765" spans="1:12" customFormat="1" ht="16" x14ac:dyDescent="0.2">
      <c r="A2765" t="s">
        <v>57</v>
      </c>
      <c r="B2765" s="3">
        <v>3.9556618126494245E-8</v>
      </c>
      <c r="D2765" t="s">
        <v>116</v>
      </c>
      <c r="E2765" t="s">
        <v>9</v>
      </c>
      <c r="F2765" s="2" t="s">
        <v>15</v>
      </c>
      <c r="H2765" s="3"/>
      <c r="I2765" s="2"/>
    </row>
    <row r="2766" spans="1:12" customFormat="1" ht="16" x14ac:dyDescent="0.2">
      <c r="A2766" t="s">
        <v>58</v>
      </c>
      <c r="B2766" s="3">
        <v>2.3255813953488372E-6</v>
      </c>
      <c r="D2766" t="s">
        <v>116</v>
      </c>
      <c r="E2766" t="s">
        <v>9</v>
      </c>
      <c r="F2766" s="2" t="s">
        <v>15</v>
      </c>
      <c r="H2766" s="3"/>
      <c r="I2766" s="2"/>
    </row>
    <row r="2767" spans="1:12" customFormat="1" ht="16" x14ac:dyDescent="0.2">
      <c r="A2767" t="s">
        <v>63</v>
      </c>
      <c r="B2767" s="3">
        <v>2.5429254509889156E-12</v>
      </c>
      <c r="D2767" t="s">
        <v>116</v>
      </c>
      <c r="E2767" t="s">
        <v>9</v>
      </c>
      <c r="F2767" s="2" t="s">
        <v>15</v>
      </c>
      <c r="H2767" s="3"/>
      <c r="I2767" s="2"/>
    </row>
    <row r="2768" spans="1:12" customFormat="1" ht="16" x14ac:dyDescent="0.2">
      <c r="A2768" t="s">
        <v>64</v>
      </c>
      <c r="B2768" s="3">
        <v>4.651162790697675E-13</v>
      </c>
      <c r="D2768" t="s">
        <v>116</v>
      </c>
      <c r="E2768" t="s">
        <v>9</v>
      </c>
      <c r="F2768" s="2" t="s">
        <v>15</v>
      </c>
      <c r="H2768" s="3"/>
      <c r="I2768" s="2"/>
    </row>
    <row r="2769" spans="1:12" customFormat="1" ht="16" x14ac:dyDescent="0.2">
      <c r="A2769" t="s">
        <v>177</v>
      </c>
      <c r="B2769" s="3">
        <v>3.0210823733970879E-6</v>
      </c>
      <c r="D2769" t="s">
        <v>116</v>
      </c>
      <c r="E2769" t="s">
        <v>9</v>
      </c>
      <c r="F2769" s="2" t="s">
        <v>15</v>
      </c>
      <c r="H2769" s="3"/>
      <c r="I2769" s="2"/>
    </row>
    <row r="2770" spans="1:12" customFormat="1" ht="16" x14ac:dyDescent="0.2">
      <c r="A2770" t="s">
        <v>67</v>
      </c>
      <c r="B2770" s="3">
        <v>1.1758313410128234E-4</v>
      </c>
      <c r="D2770" t="s">
        <v>116</v>
      </c>
      <c r="E2770" t="s">
        <v>9</v>
      </c>
      <c r="F2770" s="2" t="s">
        <v>15</v>
      </c>
      <c r="H2770" s="3"/>
      <c r="I2770" s="2"/>
    </row>
    <row r="2771" spans="1:12" customFormat="1" ht="16" x14ac:dyDescent="0.2">
      <c r="A2771" t="s">
        <v>68</v>
      </c>
      <c r="B2771" s="3">
        <v>1.6235600956313845E-9</v>
      </c>
      <c r="D2771" t="s">
        <v>116</v>
      </c>
      <c r="E2771" t="s">
        <v>9</v>
      </c>
      <c r="F2771" s="2" t="s">
        <v>15</v>
      </c>
      <c r="H2771" s="3"/>
      <c r="I2771" s="2"/>
    </row>
    <row r="2772" spans="1:12" customFormat="1" ht="16" x14ac:dyDescent="0.2">
      <c r="A2772" t="s">
        <v>69</v>
      </c>
      <c r="B2772">
        <v>1.2758096066072594E-3</v>
      </c>
      <c r="D2772" t="s">
        <v>116</v>
      </c>
      <c r="E2772" t="s">
        <v>9</v>
      </c>
      <c r="F2772" s="2" t="s">
        <v>15</v>
      </c>
      <c r="H2772" s="3"/>
      <c r="I2772" s="2"/>
    </row>
    <row r="2773" spans="1:12" customFormat="1" ht="16" x14ac:dyDescent="0.2">
      <c r="A2773" t="s">
        <v>71</v>
      </c>
      <c r="B2773" s="3">
        <v>2.9836991958269943E-5</v>
      </c>
      <c r="D2773" t="s">
        <v>116</v>
      </c>
      <c r="E2773" t="s">
        <v>9</v>
      </c>
      <c r="F2773" s="2" t="s">
        <v>15</v>
      </c>
      <c r="H2773" s="3"/>
      <c r="I2773" s="2"/>
    </row>
    <row r="2774" spans="1:12" customFormat="1" ht="16" x14ac:dyDescent="0.2">
      <c r="A2774" t="s">
        <v>106</v>
      </c>
      <c r="B2774" s="3">
        <v>3.5524885894370795E-5</v>
      </c>
      <c r="D2774" t="s">
        <v>116</v>
      </c>
      <c r="E2774" t="s">
        <v>9</v>
      </c>
      <c r="F2774" s="2" t="s">
        <v>15</v>
      </c>
      <c r="H2774" s="3"/>
      <c r="I2774" s="2"/>
    </row>
    <row r="2775" spans="1:12" customFormat="1" ht="16" x14ac:dyDescent="0.2">
      <c r="A2775" t="s">
        <v>107</v>
      </c>
      <c r="B2775" s="3">
        <v>1.6163877417952619E-5</v>
      </c>
      <c r="D2775" t="s">
        <v>116</v>
      </c>
      <c r="E2775" t="s">
        <v>9</v>
      </c>
      <c r="F2775" s="2" t="s">
        <v>15</v>
      </c>
      <c r="H2775" s="3"/>
      <c r="I2775" s="2"/>
    </row>
    <row r="2776" spans="1:12" customFormat="1" ht="16" x14ac:dyDescent="0.2">
      <c r="A2776" t="s">
        <v>75</v>
      </c>
      <c r="B2776" s="3">
        <v>2.3255813953488374E-10</v>
      </c>
      <c r="D2776" t="s">
        <v>116</v>
      </c>
      <c r="E2776" t="s">
        <v>9</v>
      </c>
      <c r="F2776" s="2" t="s">
        <v>15</v>
      </c>
      <c r="H2776" s="3"/>
      <c r="I2776" s="2"/>
    </row>
    <row r="2777" spans="1:12" customFormat="1" ht="16" x14ac:dyDescent="0.2">
      <c r="A2777" t="s">
        <v>77</v>
      </c>
      <c r="B2777" s="3">
        <v>1.3931753966529016E-5</v>
      </c>
      <c r="D2777" t="s">
        <v>116</v>
      </c>
      <c r="E2777" t="s">
        <v>9</v>
      </c>
      <c r="F2777" s="2" t="s">
        <v>15</v>
      </c>
      <c r="H2777" s="3"/>
      <c r="I2777" s="2"/>
    </row>
    <row r="2778" spans="1:12" customFormat="1" ht="16" x14ac:dyDescent="0.2">
      <c r="A2778" t="s">
        <v>78</v>
      </c>
      <c r="B2778" s="3">
        <v>9.2805911758313421E-7</v>
      </c>
      <c r="D2778" t="s">
        <v>116</v>
      </c>
      <c r="E2778" t="s">
        <v>9</v>
      </c>
      <c r="F2778" s="2" t="s">
        <v>15</v>
      </c>
      <c r="H2778" s="3"/>
      <c r="I2778" s="2"/>
    </row>
    <row r="2779" spans="1:12" customFormat="1" ht="16" x14ac:dyDescent="0.2">
      <c r="A2779" t="s">
        <v>136</v>
      </c>
      <c r="B2779" s="3">
        <v>9.2805911758313421E-7</v>
      </c>
      <c r="D2779" t="s">
        <v>116</v>
      </c>
      <c r="E2779" t="s">
        <v>9</v>
      </c>
      <c r="F2779" s="2" t="s">
        <v>15</v>
      </c>
      <c r="H2779" s="3"/>
      <c r="I2779" s="2"/>
    </row>
    <row r="2780" spans="1:12" customFormat="1" ht="16" x14ac:dyDescent="0.2">
      <c r="A2780" t="s">
        <v>79</v>
      </c>
      <c r="B2780" s="3">
        <v>2.3255813953488372E-8</v>
      </c>
      <c r="D2780" t="s">
        <v>116</v>
      </c>
      <c r="E2780" t="s">
        <v>9</v>
      </c>
      <c r="F2780" s="2" t="s">
        <v>15</v>
      </c>
      <c r="H2780" s="3"/>
      <c r="I2780" s="2"/>
    </row>
    <row r="2781" spans="1:12" customFormat="1" ht="16" x14ac:dyDescent="0.2">
      <c r="A2781" t="s">
        <v>137</v>
      </c>
      <c r="B2781" s="3">
        <v>1.3084112149532712E-4</v>
      </c>
      <c r="D2781" t="s">
        <v>138</v>
      </c>
      <c r="E2781" t="s">
        <v>9</v>
      </c>
      <c r="F2781" s="2" t="s">
        <v>15</v>
      </c>
      <c r="H2781" s="3"/>
      <c r="I2781" s="2"/>
    </row>
    <row r="2782" spans="1:12" customFormat="1" ht="16" x14ac:dyDescent="0.2"/>
    <row r="2783" spans="1:12" x14ac:dyDescent="0.2">
      <c r="A2783" s="17" t="s">
        <v>2</v>
      </c>
      <c r="B2783" s="17" t="s">
        <v>420</v>
      </c>
    </row>
    <row r="2784" spans="1:12" customFormat="1" ht="16" x14ac:dyDescent="0.2">
      <c r="A2784" s="2" t="s">
        <v>3</v>
      </c>
      <c r="B2784" s="2" t="s">
        <v>18</v>
      </c>
      <c r="C2784" s="2"/>
      <c r="D2784" s="2"/>
      <c r="E2784" s="2"/>
      <c r="F2784" s="2"/>
      <c r="G2784" s="2"/>
      <c r="H2784" s="2"/>
      <c r="I2784" s="2"/>
      <c r="J2784" s="2"/>
      <c r="K2784" s="2"/>
      <c r="L2784" s="2"/>
    </row>
    <row r="2785" spans="1:12" customFormat="1" ht="16" x14ac:dyDescent="0.2">
      <c r="A2785" s="2" t="s">
        <v>4</v>
      </c>
      <c r="B2785" s="2">
        <v>1</v>
      </c>
      <c r="C2785" s="2"/>
      <c r="D2785" s="2"/>
      <c r="E2785" s="2"/>
      <c r="F2785" s="2"/>
      <c r="G2785" s="2"/>
      <c r="H2785" s="2"/>
      <c r="I2785" s="2"/>
      <c r="J2785" s="2"/>
      <c r="K2785" s="2"/>
      <c r="L2785" s="2"/>
    </row>
    <row r="2786" spans="1:12" customFormat="1" ht="16" x14ac:dyDescent="0.2">
      <c r="A2786" s="2" t="s">
        <v>5</v>
      </c>
      <c r="B2786" s="2" t="s">
        <v>1</v>
      </c>
      <c r="C2786" s="2"/>
      <c r="D2786" s="2"/>
      <c r="E2786" s="2"/>
      <c r="F2786" s="2"/>
      <c r="G2786" s="2"/>
      <c r="H2786" s="2"/>
      <c r="I2786" s="2"/>
      <c r="J2786" s="2"/>
    </row>
    <row r="2787" spans="1:12" customFormat="1" ht="16" x14ac:dyDescent="0.2">
      <c r="A2787" s="2" t="s">
        <v>6</v>
      </c>
      <c r="B2787" s="2" t="s">
        <v>7</v>
      </c>
      <c r="C2787" s="2"/>
      <c r="D2787" s="2"/>
      <c r="E2787" s="2"/>
      <c r="F2787" s="2"/>
      <c r="G2787" s="2"/>
      <c r="H2787" s="2"/>
      <c r="I2787" s="2"/>
      <c r="J2787" s="2"/>
      <c r="K2787" s="2"/>
      <c r="L2787" s="2"/>
    </row>
    <row r="2788" spans="1:12" customFormat="1" ht="16" x14ac:dyDescent="0.2">
      <c r="A2788" s="2" t="s">
        <v>8</v>
      </c>
      <c r="B2788" s="2" t="s">
        <v>17</v>
      </c>
      <c r="C2788" s="2"/>
      <c r="D2788" s="2"/>
      <c r="E2788" s="2"/>
      <c r="F2788" s="2"/>
      <c r="G2788" s="2"/>
      <c r="H2788" s="2"/>
      <c r="I2788" s="2"/>
      <c r="J2788" s="2"/>
      <c r="K2788" s="2"/>
      <c r="L2788" s="2"/>
    </row>
    <row r="2789" spans="1:12" customFormat="1" ht="16" x14ac:dyDescent="0.2">
      <c r="A2789" s="1" t="s">
        <v>10</v>
      </c>
      <c r="B2789" s="2"/>
      <c r="C2789" s="2"/>
      <c r="D2789" s="2"/>
      <c r="E2789" s="2"/>
      <c r="F2789" s="2"/>
      <c r="G2789" s="2"/>
      <c r="H2789" s="2"/>
      <c r="I2789" s="2"/>
      <c r="J2789" s="2"/>
      <c r="K2789" s="2"/>
      <c r="L2789" s="2"/>
    </row>
    <row r="2790" spans="1:12" x14ac:dyDescent="0.2">
      <c r="A2790" s="17" t="s">
        <v>11</v>
      </c>
      <c r="B2790" s="17" t="s">
        <v>12</v>
      </c>
      <c r="C2790" s="17" t="s">
        <v>3</v>
      </c>
      <c r="D2790" s="17" t="s">
        <v>13</v>
      </c>
      <c r="E2790" s="17" t="s">
        <v>8</v>
      </c>
      <c r="F2790" s="17" t="s">
        <v>6</v>
      </c>
      <c r="G2790" s="17" t="s">
        <v>5</v>
      </c>
      <c r="H2790" s="17"/>
      <c r="J2790" s="17"/>
      <c r="K2790" s="17"/>
    </row>
    <row r="2791" spans="1:12" customFormat="1" ht="16" x14ac:dyDescent="0.2">
      <c r="A2791" s="2" t="str">
        <f>B2783</f>
        <v>biodiesel, from non-residual oily biomass, burned in passenger train</v>
      </c>
      <c r="B2791" s="2">
        <v>1</v>
      </c>
      <c r="C2791" s="2" t="str">
        <f>B2784</f>
        <v>RER</v>
      </c>
      <c r="D2791" s="2"/>
      <c r="E2791" s="2" t="str">
        <f>B2788</f>
        <v>megajoule</v>
      </c>
      <c r="F2791" s="2" t="s">
        <v>19</v>
      </c>
      <c r="G2791" s="2" t="str">
        <f>B2786</f>
        <v>heat</v>
      </c>
      <c r="H2791" s="2"/>
      <c r="I2791" s="2"/>
      <c r="J2791" s="2"/>
      <c r="K2791" s="2"/>
      <c r="L2791" s="2"/>
    </row>
    <row r="2792" spans="1:12" customFormat="1" ht="16" x14ac:dyDescent="0.2">
      <c r="A2792" s="2" t="s">
        <v>421</v>
      </c>
      <c r="B2792" s="9">
        <f>1/43</f>
        <v>2.3255813953488372E-2</v>
      </c>
      <c r="C2792" t="s">
        <v>18</v>
      </c>
      <c r="E2792" t="s">
        <v>9</v>
      </c>
      <c r="F2792" t="s">
        <v>23</v>
      </c>
      <c r="G2792" t="s">
        <v>422</v>
      </c>
      <c r="I2792" s="2"/>
    </row>
    <row r="2793" spans="1:12" customFormat="1" ht="16" x14ac:dyDescent="0.2">
      <c r="A2793" t="s">
        <v>48</v>
      </c>
      <c r="B2793" s="3">
        <v>4.6511627906976748E-7</v>
      </c>
      <c r="D2793" t="s">
        <v>116</v>
      </c>
      <c r="E2793" t="s">
        <v>9</v>
      </c>
      <c r="F2793" s="2" t="s">
        <v>15</v>
      </c>
      <c r="H2793" s="3"/>
      <c r="I2793" s="2"/>
    </row>
    <row r="2794" spans="1:12" customFormat="1" ht="16" x14ac:dyDescent="0.2">
      <c r="A2794" t="s">
        <v>50</v>
      </c>
      <c r="B2794" s="3">
        <v>2.3255813953488372E-6</v>
      </c>
      <c r="D2794" t="s">
        <v>116</v>
      </c>
      <c r="E2794" t="s">
        <v>9</v>
      </c>
      <c r="F2794" s="2" t="s">
        <v>15</v>
      </c>
      <c r="H2794" s="3"/>
      <c r="I2794" s="2"/>
    </row>
    <row r="2795" spans="1:12" customFormat="1" ht="16" x14ac:dyDescent="0.2">
      <c r="A2795" t="s">
        <v>52</v>
      </c>
      <c r="B2795" s="3">
        <v>2.3255813953488374E-10</v>
      </c>
      <c r="D2795" t="s">
        <v>116</v>
      </c>
      <c r="E2795" t="s">
        <v>9</v>
      </c>
      <c r="F2795" s="2" t="s">
        <v>15</v>
      </c>
      <c r="H2795" s="3"/>
      <c r="I2795" s="2"/>
    </row>
    <row r="2796" spans="1:12" customFormat="1" ht="16" x14ac:dyDescent="0.2">
      <c r="A2796" t="s">
        <v>122</v>
      </c>
      <c r="B2796">
        <f>3.15*B2792</f>
        <v>7.3255813953488375E-2</v>
      </c>
      <c r="D2796" t="s">
        <v>116</v>
      </c>
      <c r="E2796" t="s">
        <v>9</v>
      </c>
      <c r="F2796" s="2" t="s">
        <v>15</v>
      </c>
      <c r="H2796" s="3"/>
      <c r="I2796" s="2"/>
    </row>
    <row r="2797" spans="1:12" customFormat="1" ht="16" x14ac:dyDescent="0.2">
      <c r="A2797" t="s">
        <v>123</v>
      </c>
      <c r="B2797">
        <v>3.6731145403173224E-4</v>
      </c>
      <c r="D2797" t="s">
        <v>116</v>
      </c>
      <c r="E2797" t="s">
        <v>9</v>
      </c>
      <c r="F2797" s="2" t="s">
        <v>15</v>
      </c>
      <c r="H2797" s="3"/>
      <c r="I2797" s="2"/>
    </row>
    <row r="2798" spans="1:12" customFormat="1" ht="16" x14ac:dyDescent="0.2">
      <c r="A2798" t="s">
        <v>55</v>
      </c>
      <c r="B2798" s="3">
        <v>1.160617257118018E-9</v>
      </c>
      <c r="D2798" t="s">
        <v>116</v>
      </c>
      <c r="E2798" t="s">
        <v>9</v>
      </c>
      <c r="F2798" s="2" t="s">
        <v>15</v>
      </c>
      <c r="H2798" s="3"/>
      <c r="I2798" s="2"/>
    </row>
    <row r="2799" spans="1:12" customFormat="1" ht="16" x14ac:dyDescent="0.2">
      <c r="A2799" t="s">
        <v>57</v>
      </c>
      <c r="B2799" s="3">
        <v>3.9556618126494245E-8</v>
      </c>
      <c r="D2799" t="s">
        <v>116</v>
      </c>
      <c r="E2799" t="s">
        <v>9</v>
      </c>
      <c r="F2799" s="2" t="s">
        <v>15</v>
      </c>
      <c r="H2799" s="3"/>
      <c r="I2799" s="2"/>
    </row>
    <row r="2800" spans="1:12" customFormat="1" ht="16" x14ac:dyDescent="0.2">
      <c r="A2800" t="s">
        <v>58</v>
      </c>
      <c r="B2800" s="3">
        <v>2.3255813953488372E-6</v>
      </c>
      <c r="D2800" t="s">
        <v>116</v>
      </c>
      <c r="E2800" t="s">
        <v>9</v>
      </c>
      <c r="F2800" s="2" t="s">
        <v>15</v>
      </c>
      <c r="H2800" s="3"/>
      <c r="I2800" s="2"/>
    </row>
    <row r="2801" spans="1:9" customFormat="1" ht="16" x14ac:dyDescent="0.2">
      <c r="A2801" t="s">
        <v>63</v>
      </c>
      <c r="B2801" s="3">
        <v>2.5429254509889156E-12</v>
      </c>
      <c r="D2801" t="s">
        <v>116</v>
      </c>
      <c r="E2801" t="s">
        <v>9</v>
      </c>
      <c r="F2801" s="2" t="s">
        <v>15</v>
      </c>
      <c r="H2801" s="3"/>
      <c r="I2801" s="2"/>
    </row>
    <row r="2802" spans="1:9" customFormat="1" ht="16" x14ac:dyDescent="0.2">
      <c r="A2802" t="s">
        <v>64</v>
      </c>
      <c r="B2802" s="3">
        <v>4.651162790697675E-13</v>
      </c>
      <c r="D2802" t="s">
        <v>116</v>
      </c>
      <c r="E2802" t="s">
        <v>9</v>
      </c>
      <c r="F2802" s="2" t="s">
        <v>15</v>
      </c>
      <c r="H2802" s="3"/>
      <c r="I2802" s="2"/>
    </row>
    <row r="2803" spans="1:9" customFormat="1" ht="16" x14ac:dyDescent="0.2">
      <c r="A2803" t="s">
        <v>177</v>
      </c>
      <c r="B2803" s="3">
        <v>3.0210823733970879E-6</v>
      </c>
      <c r="D2803" t="s">
        <v>116</v>
      </c>
      <c r="E2803" t="s">
        <v>9</v>
      </c>
      <c r="F2803" s="2" t="s">
        <v>15</v>
      </c>
      <c r="H2803" s="3"/>
      <c r="I2803" s="2"/>
    </row>
    <row r="2804" spans="1:9" customFormat="1" ht="16" x14ac:dyDescent="0.2">
      <c r="A2804" t="s">
        <v>67</v>
      </c>
      <c r="B2804" s="3">
        <v>1.1758313410128234E-4</v>
      </c>
      <c r="D2804" t="s">
        <v>116</v>
      </c>
      <c r="E2804" t="s">
        <v>9</v>
      </c>
      <c r="F2804" s="2" t="s">
        <v>15</v>
      </c>
      <c r="H2804" s="3"/>
      <c r="I2804" s="2"/>
    </row>
    <row r="2805" spans="1:9" customFormat="1" ht="16" x14ac:dyDescent="0.2">
      <c r="A2805" t="s">
        <v>68</v>
      </c>
      <c r="B2805" s="3">
        <v>1.6235600956313845E-9</v>
      </c>
      <c r="D2805" t="s">
        <v>116</v>
      </c>
      <c r="E2805" t="s">
        <v>9</v>
      </c>
      <c r="F2805" s="2" t="s">
        <v>15</v>
      </c>
      <c r="H2805" s="3"/>
      <c r="I2805" s="2"/>
    </row>
    <row r="2806" spans="1:9" customFormat="1" ht="16" x14ac:dyDescent="0.2">
      <c r="A2806" t="s">
        <v>69</v>
      </c>
      <c r="B2806">
        <v>1.2758096066072594E-3</v>
      </c>
      <c r="D2806" t="s">
        <v>116</v>
      </c>
      <c r="E2806" t="s">
        <v>9</v>
      </c>
      <c r="F2806" s="2" t="s">
        <v>15</v>
      </c>
      <c r="H2806" s="3"/>
      <c r="I2806" s="2"/>
    </row>
    <row r="2807" spans="1:9" customFormat="1" ht="16" x14ac:dyDescent="0.2">
      <c r="A2807" t="s">
        <v>71</v>
      </c>
      <c r="B2807" s="3">
        <v>2.9836991958269943E-5</v>
      </c>
      <c r="D2807" t="s">
        <v>116</v>
      </c>
      <c r="E2807" t="s">
        <v>9</v>
      </c>
      <c r="F2807" s="2" t="s">
        <v>15</v>
      </c>
      <c r="H2807" s="3"/>
      <c r="I2807" s="2"/>
    </row>
    <row r="2808" spans="1:9" customFormat="1" ht="16" x14ac:dyDescent="0.2">
      <c r="A2808" t="s">
        <v>106</v>
      </c>
      <c r="B2808" s="3">
        <v>3.5524885894370795E-5</v>
      </c>
      <c r="D2808" t="s">
        <v>116</v>
      </c>
      <c r="E2808" t="s">
        <v>9</v>
      </c>
      <c r="F2808" s="2" t="s">
        <v>15</v>
      </c>
      <c r="H2808" s="3"/>
      <c r="I2808" s="2"/>
    </row>
    <row r="2809" spans="1:9" customFormat="1" ht="16" x14ac:dyDescent="0.2">
      <c r="A2809" t="s">
        <v>107</v>
      </c>
      <c r="B2809" s="3">
        <v>1.6163877417952619E-5</v>
      </c>
      <c r="D2809" t="s">
        <v>116</v>
      </c>
      <c r="E2809" t="s">
        <v>9</v>
      </c>
      <c r="F2809" s="2" t="s">
        <v>15</v>
      </c>
      <c r="H2809" s="3"/>
      <c r="I2809" s="2"/>
    </row>
    <row r="2810" spans="1:9" customFormat="1" ht="16" x14ac:dyDescent="0.2">
      <c r="A2810" t="s">
        <v>75</v>
      </c>
      <c r="B2810" s="3">
        <v>2.3255813953488374E-10</v>
      </c>
      <c r="D2810" t="s">
        <v>116</v>
      </c>
      <c r="E2810" t="s">
        <v>9</v>
      </c>
      <c r="F2810" s="2" t="s">
        <v>15</v>
      </c>
      <c r="H2810" s="3"/>
      <c r="I2810" s="2"/>
    </row>
    <row r="2811" spans="1:9" customFormat="1" ht="16" x14ac:dyDescent="0.2">
      <c r="A2811" t="s">
        <v>77</v>
      </c>
      <c r="B2811" s="3">
        <v>1.3931753966529016E-5</v>
      </c>
      <c r="D2811" t="s">
        <v>116</v>
      </c>
      <c r="E2811" t="s">
        <v>9</v>
      </c>
      <c r="F2811" s="2" t="s">
        <v>15</v>
      </c>
      <c r="H2811" s="3"/>
      <c r="I2811" s="2"/>
    </row>
    <row r="2812" spans="1:9" customFormat="1" ht="16" x14ac:dyDescent="0.2">
      <c r="A2812" t="s">
        <v>78</v>
      </c>
      <c r="B2812" s="3">
        <v>9.2805911758313421E-7</v>
      </c>
      <c r="D2812" t="s">
        <v>116</v>
      </c>
      <c r="E2812" t="s">
        <v>9</v>
      </c>
      <c r="F2812" s="2" t="s">
        <v>15</v>
      </c>
      <c r="H2812" s="3"/>
      <c r="I2812" s="2"/>
    </row>
    <row r="2813" spans="1:9" customFormat="1" ht="16" x14ac:dyDescent="0.2">
      <c r="A2813" t="s">
        <v>136</v>
      </c>
      <c r="B2813" s="3">
        <v>9.2805911758313421E-7</v>
      </c>
      <c r="D2813" t="s">
        <v>116</v>
      </c>
      <c r="E2813" t="s">
        <v>9</v>
      </c>
      <c r="F2813" s="2" t="s">
        <v>15</v>
      </c>
      <c r="H2813" s="3"/>
      <c r="I2813" s="2"/>
    </row>
    <row r="2814" spans="1:9" customFormat="1" ht="16" x14ac:dyDescent="0.2">
      <c r="A2814" t="s">
        <v>79</v>
      </c>
      <c r="B2814" s="3">
        <v>2.3255813953488372E-8</v>
      </c>
      <c r="D2814" t="s">
        <v>116</v>
      </c>
      <c r="E2814" t="s">
        <v>9</v>
      </c>
      <c r="F2814" s="2" t="s">
        <v>15</v>
      </c>
      <c r="H2814" s="3"/>
      <c r="I2814" s="2"/>
    </row>
    <row r="2815" spans="1:9" customFormat="1" ht="16" x14ac:dyDescent="0.2">
      <c r="A2815" t="s">
        <v>137</v>
      </c>
      <c r="B2815" s="3">
        <v>1.3084112149532712E-4</v>
      </c>
      <c r="D2815" t="s">
        <v>138</v>
      </c>
      <c r="E2815" t="s">
        <v>9</v>
      </c>
      <c r="F2815" s="2" t="s">
        <v>15</v>
      </c>
      <c r="H2815" s="3"/>
      <c r="I2815" s="2"/>
    </row>
    <row r="2816" spans="1:9" customFormat="1" ht="16" x14ac:dyDescent="0.2"/>
    <row r="2817" spans="1:12" x14ac:dyDescent="0.2">
      <c r="A2817" s="17" t="s">
        <v>2</v>
      </c>
      <c r="B2817" s="17" t="s">
        <v>409</v>
      </c>
    </row>
    <row r="2818" spans="1:12" customFormat="1" ht="16" x14ac:dyDescent="0.2">
      <c r="A2818" s="2" t="s">
        <v>3</v>
      </c>
      <c r="B2818" s="2" t="s">
        <v>18</v>
      </c>
      <c r="C2818" s="2"/>
      <c r="D2818" s="2"/>
      <c r="E2818" s="2"/>
      <c r="F2818" s="2"/>
      <c r="G2818" s="2"/>
      <c r="H2818" s="2"/>
      <c r="I2818" s="2"/>
      <c r="J2818" s="2"/>
      <c r="K2818" s="2"/>
      <c r="L2818" s="2"/>
    </row>
    <row r="2819" spans="1:12" customFormat="1" ht="16" x14ac:dyDescent="0.2">
      <c r="A2819" s="2" t="s">
        <v>4</v>
      </c>
      <c r="B2819" s="2">
        <v>1</v>
      </c>
      <c r="C2819" s="2"/>
      <c r="D2819" s="2"/>
      <c r="E2819" s="2"/>
      <c r="F2819" s="2"/>
      <c r="G2819" s="2"/>
      <c r="H2819" s="2"/>
      <c r="I2819" s="2"/>
      <c r="J2819" s="2"/>
      <c r="K2819" s="2"/>
      <c r="L2819" s="2"/>
    </row>
    <row r="2820" spans="1:12" customFormat="1" ht="16" x14ac:dyDescent="0.2">
      <c r="A2820" s="2" t="s">
        <v>5</v>
      </c>
      <c r="B2820" s="2" t="s">
        <v>1</v>
      </c>
      <c r="C2820" s="2"/>
      <c r="D2820" s="2"/>
      <c r="E2820" s="2"/>
      <c r="F2820" s="2"/>
      <c r="G2820" s="2"/>
      <c r="H2820" s="2"/>
      <c r="I2820" s="2"/>
      <c r="J2820" s="2"/>
    </row>
    <row r="2821" spans="1:12" customFormat="1" ht="16" x14ac:dyDescent="0.2">
      <c r="A2821" s="2" t="s">
        <v>6</v>
      </c>
      <c r="B2821" s="2" t="s">
        <v>7</v>
      </c>
      <c r="C2821" s="2"/>
      <c r="D2821" s="2"/>
      <c r="E2821" s="2"/>
      <c r="F2821" s="2"/>
      <c r="G2821" s="2"/>
      <c r="H2821" s="2"/>
      <c r="I2821" s="2"/>
      <c r="J2821" s="2"/>
      <c r="K2821" s="2"/>
      <c r="L2821" s="2"/>
    </row>
    <row r="2822" spans="1:12" customFormat="1" ht="16" x14ac:dyDescent="0.2">
      <c r="A2822" s="2" t="s">
        <v>8</v>
      </c>
      <c r="B2822" s="2" t="s">
        <v>17</v>
      </c>
      <c r="C2822" s="2"/>
      <c r="D2822" s="2"/>
      <c r="E2822" s="2"/>
      <c r="F2822" s="2"/>
      <c r="G2822" s="2"/>
      <c r="H2822" s="2"/>
      <c r="I2822" s="2"/>
      <c r="J2822" s="2"/>
      <c r="K2822" s="2"/>
      <c r="L2822" s="2"/>
    </row>
    <row r="2823" spans="1:12" customFormat="1" ht="16" x14ac:dyDescent="0.2">
      <c r="A2823" s="1" t="s">
        <v>10</v>
      </c>
      <c r="B2823" s="2"/>
      <c r="C2823" s="2"/>
      <c r="D2823" s="2"/>
      <c r="E2823" s="2"/>
      <c r="F2823" s="2"/>
      <c r="G2823" s="2"/>
      <c r="H2823" s="2"/>
      <c r="I2823" s="2"/>
      <c r="J2823" s="2"/>
      <c r="K2823" s="2"/>
      <c r="L2823" s="2"/>
    </row>
    <row r="2824" spans="1:12" x14ac:dyDescent="0.2">
      <c r="A2824" s="17" t="s">
        <v>11</v>
      </c>
      <c r="B2824" s="17" t="s">
        <v>12</v>
      </c>
      <c r="C2824" s="17" t="s">
        <v>3</v>
      </c>
      <c r="D2824" s="17" t="s">
        <v>13</v>
      </c>
      <c r="E2824" s="17" t="s">
        <v>8</v>
      </c>
      <c r="F2824" s="17" t="s">
        <v>6</v>
      </c>
      <c r="G2824" s="17" t="s">
        <v>5</v>
      </c>
      <c r="H2824" s="17"/>
      <c r="J2824" s="17"/>
      <c r="K2824" s="17"/>
    </row>
    <row r="2825" spans="1:12" customFormat="1" ht="16" x14ac:dyDescent="0.2">
      <c r="A2825" s="2" t="str">
        <f>B2817</f>
        <v>biodiesel, from non-residual cellulosic biomass, burned in passenger train</v>
      </c>
      <c r="B2825" s="2">
        <v>1</v>
      </c>
      <c r="C2825" s="2" t="str">
        <f>B2818</f>
        <v>RER</v>
      </c>
      <c r="D2825" s="2"/>
      <c r="E2825" s="2" t="str">
        <f>B2822</f>
        <v>megajoule</v>
      </c>
      <c r="F2825" s="2" t="s">
        <v>19</v>
      </c>
      <c r="G2825" s="2" t="str">
        <f>B2820</f>
        <v>heat</v>
      </c>
      <c r="H2825" s="2"/>
      <c r="I2825" s="2"/>
      <c r="J2825" s="2"/>
      <c r="K2825" s="2"/>
      <c r="L2825" s="2"/>
    </row>
    <row r="2826" spans="1:12" customFormat="1" ht="16" x14ac:dyDescent="0.2">
      <c r="A2826" s="2" t="s">
        <v>406</v>
      </c>
      <c r="B2826" s="9">
        <f>1/43</f>
        <v>2.3255813953488372E-2</v>
      </c>
      <c r="C2826" t="s">
        <v>18</v>
      </c>
      <c r="E2826" t="s">
        <v>9</v>
      </c>
      <c r="F2826" t="s">
        <v>23</v>
      </c>
      <c r="G2826" t="s">
        <v>408</v>
      </c>
      <c r="I2826" s="2"/>
    </row>
    <row r="2827" spans="1:12" customFormat="1" ht="16" x14ac:dyDescent="0.2">
      <c r="A2827" t="s">
        <v>48</v>
      </c>
      <c r="B2827" s="3">
        <v>4.6511627906976748E-7</v>
      </c>
      <c r="D2827" t="s">
        <v>116</v>
      </c>
      <c r="E2827" t="s">
        <v>9</v>
      </c>
      <c r="F2827" s="2" t="s">
        <v>15</v>
      </c>
      <c r="H2827" s="3"/>
      <c r="I2827" s="2"/>
    </row>
    <row r="2828" spans="1:12" customFormat="1" ht="16" x14ac:dyDescent="0.2">
      <c r="A2828" t="s">
        <v>50</v>
      </c>
      <c r="B2828" s="3">
        <v>2.3255813953488372E-6</v>
      </c>
      <c r="D2828" t="s">
        <v>116</v>
      </c>
      <c r="E2828" t="s">
        <v>9</v>
      </c>
      <c r="F2828" s="2" t="s">
        <v>15</v>
      </c>
      <c r="H2828" s="3"/>
      <c r="I2828" s="2"/>
    </row>
    <row r="2829" spans="1:12" customFormat="1" ht="16" x14ac:dyDescent="0.2">
      <c r="A2829" t="s">
        <v>52</v>
      </c>
      <c r="B2829" s="3">
        <v>2.3255813953488374E-10</v>
      </c>
      <c r="D2829" t="s">
        <v>116</v>
      </c>
      <c r="E2829" t="s">
        <v>9</v>
      </c>
      <c r="F2829" s="2" t="s">
        <v>15</v>
      </c>
      <c r="H2829" s="3"/>
      <c r="I2829" s="2"/>
    </row>
    <row r="2830" spans="1:12" customFormat="1" ht="16" x14ac:dyDescent="0.2">
      <c r="A2830" t="s">
        <v>122</v>
      </c>
      <c r="B2830">
        <f>3.15*B2826</f>
        <v>7.3255813953488375E-2</v>
      </c>
      <c r="D2830" t="s">
        <v>116</v>
      </c>
      <c r="E2830" t="s">
        <v>9</v>
      </c>
      <c r="F2830" s="2" t="s">
        <v>15</v>
      </c>
      <c r="H2830" s="3"/>
      <c r="I2830" s="2"/>
    </row>
    <row r="2831" spans="1:12" customFormat="1" ht="16" x14ac:dyDescent="0.2">
      <c r="A2831" t="s">
        <v>123</v>
      </c>
      <c r="B2831">
        <v>3.6731145403173224E-4</v>
      </c>
      <c r="D2831" t="s">
        <v>116</v>
      </c>
      <c r="E2831" t="s">
        <v>9</v>
      </c>
      <c r="F2831" s="2" t="s">
        <v>15</v>
      </c>
      <c r="H2831" s="3"/>
      <c r="I2831" s="2"/>
    </row>
    <row r="2832" spans="1:12" customFormat="1" ht="16" x14ac:dyDescent="0.2">
      <c r="A2832" t="s">
        <v>55</v>
      </c>
      <c r="B2832" s="3">
        <v>1.160617257118018E-9</v>
      </c>
      <c r="D2832" t="s">
        <v>116</v>
      </c>
      <c r="E2832" t="s">
        <v>9</v>
      </c>
      <c r="F2832" s="2" t="s">
        <v>15</v>
      </c>
      <c r="H2832" s="3"/>
      <c r="I2832" s="2"/>
    </row>
    <row r="2833" spans="1:9" customFormat="1" ht="16" x14ac:dyDescent="0.2">
      <c r="A2833" t="s">
        <v>57</v>
      </c>
      <c r="B2833" s="3">
        <v>3.9556618126494245E-8</v>
      </c>
      <c r="D2833" t="s">
        <v>116</v>
      </c>
      <c r="E2833" t="s">
        <v>9</v>
      </c>
      <c r="F2833" s="2" t="s">
        <v>15</v>
      </c>
      <c r="H2833" s="3"/>
      <c r="I2833" s="2"/>
    </row>
    <row r="2834" spans="1:9" customFormat="1" ht="16" x14ac:dyDescent="0.2">
      <c r="A2834" t="s">
        <v>58</v>
      </c>
      <c r="B2834" s="3">
        <v>2.3255813953488372E-6</v>
      </c>
      <c r="D2834" t="s">
        <v>116</v>
      </c>
      <c r="E2834" t="s">
        <v>9</v>
      </c>
      <c r="F2834" s="2" t="s">
        <v>15</v>
      </c>
      <c r="H2834" s="3"/>
      <c r="I2834" s="2"/>
    </row>
    <row r="2835" spans="1:9" customFormat="1" ht="16" x14ac:dyDescent="0.2">
      <c r="A2835" t="s">
        <v>63</v>
      </c>
      <c r="B2835" s="3">
        <v>2.5429254509889156E-12</v>
      </c>
      <c r="D2835" t="s">
        <v>116</v>
      </c>
      <c r="E2835" t="s">
        <v>9</v>
      </c>
      <c r="F2835" s="2" t="s">
        <v>15</v>
      </c>
      <c r="H2835" s="3"/>
      <c r="I2835" s="2"/>
    </row>
    <row r="2836" spans="1:9" customFormat="1" ht="16" x14ac:dyDescent="0.2">
      <c r="A2836" t="s">
        <v>64</v>
      </c>
      <c r="B2836" s="3">
        <v>4.651162790697675E-13</v>
      </c>
      <c r="D2836" t="s">
        <v>116</v>
      </c>
      <c r="E2836" t="s">
        <v>9</v>
      </c>
      <c r="F2836" s="2" t="s">
        <v>15</v>
      </c>
      <c r="H2836" s="3"/>
      <c r="I2836" s="2"/>
    </row>
    <row r="2837" spans="1:9" customFormat="1" ht="16" x14ac:dyDescent="0.2">
      <c r="A2837" t="s">
        <v>177</v>
      </c>
      <c r="B2837" s="3">
        <v>3.0210823733970879E-6</v>
      </c>
      <c r="D2837" t="s">
        <v>116</v>
      </c>
      <c r="E2837" t="s">
        <v>9</v>
      </c>
      <c r="F2837" s="2" t="s">
        <v>15</v>
      </c>
      <c r="H2837" s="3"/>
      <c r="I2837" s="2"/>
    </row>
    <row r="2838" spans="1:9" customFormat="1" ht="16" x14ac:dyDescent="0.2">
      <c r="A2838" t="s">
        <v>67</v>
      </c>
      <c r="B2838" s="3">
        <v>1.1758313410128234E-4</v>
      </c>
      <c r="D2838" t="s">
        <v>116</v>
      </c>
      <c r="E2838" t="s">
        <v>9</v>
      </c>
      <c r="F2838" s="2" t="s">
        <v>15</v>
      </c>
      <c r="H2838" s="3"/>
      <c r="I2838" s="2"/>
    </row>
    <row r="2839" spans="1:9" customFormat="1" ht="16" x14ac:dyDescent="0.2">
      <c r="A2839" t="s">
        <v>68</v>
      </c>
      <c r="B2839" s="3">
        <v>1.6235600956313845E-9</v>
      </c>
      <c r="D2839" t="s">
        <v>116</v>
      </c>
      <c r="E2839" t="s">
        <v>9</v>
      </c>
      <c r="F2839" s="2" t="s">
        <v>15</v>
      </c>
      <c r="H2839" s="3"/>
      <c r="I2839" s="2"/>
    </row>
    <row r="2840" spans="1:9" customFormat="1" ht="16" x14ac:dyDescent="0.2">
      <c r="A2840" t="s">
        <v>69</v>
      </c>
      <c r="B2840">
        <v>1.2758096066072594E-3</v>
      </c>
      <c r="D2840" t="s">
        <v>116</v>
      </c>
      <c r="E2840" t="s">
        <v>9</v>
      </c>
      <c r="F2840" s="2" t="s">
        <v>15</v>
      </c>
      <c r="H2840" s="3"/>
      <c r="I2840" s="2"/>
    </row>
    <row r="2841" spans="1:9" customFormat="1" ht="16" x14ac:dyDescent="0.2">
      <c r="A2841" t="s">
        <v>71</v>
      </c>
      <c r="B2841" s="3">
        <v>2.9836991958269943E-5</v>
      </c>
      <c r="D2841" t="s">
        <v>116</v>
      </c>
      <c r="E2841" t="s">
        <v>9</v>
      </c>
      <c r="F2841" s="2" t="s">
        <v>15</v>
      </c>
      <c r="H2841" s="3"/>
      <c r="I2841" s="2"/>
    </row>
    <row r="2842" spans="1:9" customFormat="1" ht="16" x14ac:dyDescent="0.2">
      <c r="A2842" t="s">
        <v>106</v>
      </c>
      <c r="B2842" s="3">
        <v>3.5524885894370795E-5</v>
      </c>
      <c r="D2842" t="s">
        <v>116</v>
      </c>
      <c r="E2842" t="s">
        <v>9</v>
      </c>
      <c r="F2842" s="2" t="s">
        <v>15</v>
      </c>
      <c r="H2842" s="3"/>
      <c r="I2842" s="2"/>
    </row>
    <row r="2843" spans="1:9" customFormat="1" ht="16" x14ac:dyDescent="0.2">
      <c r="A2843" t="s">
        <v>107</v>
      </c>
      <c r="B2843" s="3">
        <v>1.6163877417952619E-5</v>
      </c>
      <c r="D2843" t="s">
        <v>116</v>
      </c>
      <c r="E2843" t="s">
        <v>9</v>
      </c>
      <c r="F2843" s="2" t="s">
        <v>15</v>
      </c>
      <c r="H2843" s="3"/>
      <c r="I2843" s="2"/>
    </row>
    <row r="2844" spans="1:9" customFormat="1" ht="16" x14ac:dyDescent="0.2">
      <c r="A2844" t="s">
        <v>75</v>
      </c>
      <c r="B2844" s="3">
        <v>2.3255813953488374E-10</v>
      </c>
      <c r="D2844" t="s">
        <v>116</v>
      </c>
      <c r="E2844" t="s">
        <v>9</v>
      </c>
      <c r="F2844" s="2" t="s">
        <v>15</v>
      </c>
      <c r="H2844" s="3"/>
      <c r="I2844" s="2"/>
    </row>
    <row r="2845" spans="1:9" customFormat="1" ht="16" x14ac:dyDescent="0.2">
      <c r="A2845" t="s">
        <v>77</v>
      </c>
      <c r="B2845" s="3">
        <v>1.3931753966529016E-5</v>
      </c>
      <c r="D2845" t="s">
        <v>116</v>
      </c>
      <c r="E2845" t="s">
        <v>9</v>
      </c>
      <c r="F2845" s="2" t="s">
        <v>15</v>
      </c>
      <c r="H2845" s="3"/>
      <c r="I2845" s="2"/>
    </row>
    <row r="2846" spans="1:9" customFormat="1" ht="16" x14ac:dyDescent="0.2">
      <c r="A2846" t="s">
        <v>78</v>
      </c>
      <c r="B2846" s="3">
        <v>9.2805911758313421E-7</v>
      </c>
      <c r="D2846" t="s">
        <v>116</v>
      </c>
      <c r="E2846" t="s">
        <v>9</v>
      </c>
      <c r="F2846" s="2" t="s">
        <v>15</v>
      </c>
      <c r="H2846" s="3"/>
      <c r="I2846" s="2"/>
    </row>
    <row r="2847" spans="1:9" customFormat="1" ht="16" x14ac:dyDescent="0.2">
      <c r="A2847" t="s">
        <v>136</v>
      </c>
      <c r="B2847" s="3">
        <v>9.2805911758313421E-7</v>
      </c>
      <c r="D2847" t="s">
        <v>116</v>
      </c>
      <c r="E2847" t="s">
        <v>9</v>
      </c>
      <c r="F2847" s="2" t="s">
        <v>15</v>
      </c>
      <c r="H2847" s="3"/>
      <c r="I2847" s="2"/>
    </row>
    <row r="2848" spans="1:9" customFormat="1" ht="16" x14ac:dyDescent="0.2">
      <c r="A2848" t="s">
        <v>79</v>
      </c>
      <c r="B2848" s="3">
        <v>2.3255813953488372E-8</v>
      </c>
      <c r="D2848" t="s">
        <v>116</v>
      </c>
      <c r="E2848" t="s">
        <v>9</v>
      </c>
      <c r="F2848" s="2" t="s">
        <v>15</v>
      </c>
      <c r="H2848" s="3"/>
      <c r="I2848" s="2"/>
    </row>
    <row r="2849" spans="1:12" customFormat="1" ht="16" x14ac:dyDescent="0.2">
      <c r="A2849" t="s">
        <v>137</v>
      </c>
      <c r="B2849" s="3">
        <v>1.3084112149532712E-4</v>
      </c>
      <c r="D2849" t="s">
        <v>138</v>
      </c>
      <c r="E2849" t="s">
        <v>9</v>
      </c>
      <c r="F2849" s="2" t="s">
        <v>15</v>
      </c>
      <c r="H2849" s="3"/>
      <c r="I2849" s="2"/>
    </row>
    <row r="2850" spans="1:12" customFormat="1" ht="16" x14ac:dyDescent="0.2"/>
    <row r="2851" spans="1:12" x14ac:dyDescent="0.2">
      <c r="A2851" s="17" t="s">
        <v>2</v>
      </c>
      <c r="B2851" s="17" t="s">
        <v>418</v>
      </c>
    </row>
    <row r="2852" spans="1:12" customFormat="1" ht="16" x14ac:dyDescent="0.2">
      <c r="A2852" s="2" t="s">
        <v>3</v>
      </c>
      <c r="B2852" s="2" t="s">
        <v>18</v>
      </c>
      <c r="C2852" s="2"/>
      <c r="D2852" s="2"/>
      <c r="E2852" s="2"/>
      <c r="F2852" s="2"/>
      <c r="G2852" s="2"/>
      <c r="H2852" s="2"/>
      <c r="I2852" s="2"/>
      <c r="J2852" s="2"/>
      <c r="K2852" s="2"/>
      <c r="L2852" s="2"/>
    </row>
    <row r="2853" spans="1:12" customFormat="1" ht="16" x14ac:dyDescent="0.2">
      <c r="A2853" s="2" t="s">
        <v>4</v>
      </c>
      <c r="B2853" s="2">
        <v>1</v>
      </c>
      <c r="C2853" s="2"/>
      <c r="D2853" s="2"/>
      <c r="E2853" s="2"/>
      <c r="F2853" s="2"/>
      <c r="G2853" s="2"/>
      <c r="H2853" s="2"/>
      <c r="I2853" s="2"/>
      <c r="J2853" s="2"/>
      <c r="K2853" s="2"/>
      <c r="L2853" s="2"/>
    </row>
    <row r="2854" spans="1:12" customFormat="1" ht="16" x14ac:dyDescent="0.2">
      <c r="A2854" s="2" t="s">
        <v>5</v>
      </c>
      <c r="B2854" s="2" t="s">
        <v>1</v>
      </c>
      <c r="C2854" s="2"/>
      <c r="D2854" s="2"/>
      <c r="E2854" s="2"/>
      <c r="F2854" s="2"/>
      <c r="G2854" s="2"/>
      <c r="H2854" s="2"/>
      <c r="I2854" s="2"/>
      <c r="J2854" s="2"/>
    </row>
    <row r="2855" spans="1:12" customFormat="1" ht="16" x14ac:dyDescent="0.2">
      <c r="A2855" s="2" t="s">
        <v>6</v>
      </c>
      <c r="B2855" s="2" t="s">
        <v>7</v>
      </c>
      <c r="C2855" s="2"/>
      <c r="D2855" s="2"/>
      <c r="E2855" s="2"/>
      <c r="F2855" s="2"/>
      <c r="G2855" s="2"/>
      <c r="H2855" s="2"/>
      <c r="I2855" s="2"/>
      <c r="J2855" s="2"/>
      <c r="K2855" s="2"/>
      <c r="L2855" s="2"/>
    </row>
    <row r="2856" spans="1:12" customFormat="1" ht="16" x14ac:dyDescent="0.2">
      <c r="A2856" s="2" t="s">
        <v>8</v>
      </c>
      <c r="B2856" s="2" t="s">
        <v>17</v>
      </c>
      <c r="C2856" s="2"/>
      <c r="D2856" s="2"/>
      <c r="E2856" s="2"/>
      <c r="F2856" s="2"/>
      <c r="G2856" s="2"/>
      <c r="H2856" s="2"/>
      <c r="I2856" s="2"/>
      <c r="J2856" s="2"/>
      <c r="K2856" s="2"/>
      <c r="L2856" s="2"/>
    </row>
    <row r="2857" spans="1:12" customFormat="1" ht="16" x14ac:dyDescent="0.2">
      <c r="A2857" s="1" t="s">
        <v>10</v>
      </c>
      <c r="B2857" s="2"/>
      <c r="C2857" s="2"/>
      <c r="D2857" s="2"/>
      <c r="E2857" s="2"/>
      <c r="F2857" s="2"/>
      <c r="G2857" s="2"/>
      <c r="H2857" s="2"/>
      <c r="I2857" s="2"/>
      <c r="J2857" s="2"/>
      <c r="K2857" s="2"/>
      <c r="L2857" s="2"/>
    </row>
    <row r="2858" spans="1:12" x14ac:dyDescent="0.2">
      <c r="A2858" s="17" t="s">
        <v>11</v>
      </c>
      <c r="B2858" s="17" t="s">
        <v>12</v>
      </c>
      <c r="C2858" s="17" t="s">
        <v>3</v>
      </c>
      <c r="D2858" s="17" t="s">
        <v>13</v>
      </c>
      <c r="E2858" s="17" t="s">
        <v>8</v>
      </c>
      <c r="F2858" s="17" t="s">
        <v>6</v>
      </c>
      <c r="G2858" s="17" t="s">
        <v>5</v>
      </c>
      <c r="H2858" s="17"/>
      <c r="J2858" s="17"/>
      <c r="K2858" s="17"/>
    </row>
    <row r="2859" spans="1:12" customFormat="1" ht="16" x14ac:dyDescent="0.2">
      <c r="A2859" s="2" t="str">
        <f>B2851</f>
        <v>biodiesel, from residual cellulosic biomass, burned in passenger train</v>
      </c>
      <c r="B2859" s="2">
        <v>1</v>
      </c>
      <c r="C2859" s="2" t="str">
        <f>B2852</f>
        <v>RER</v>
      </c>
      <c r="D2859" s="2"/>
      <c r="E2859" s="2" t="str">
        <f>B2856</f>
        <v>megajoule</v>
      </c>
      <c r="F2859" s="2" t="s">
        <v>19</v>
      </c>
      <c r="G2859" s="2" t="str">
        <f>B2854</f>
        <v>heat</v>
      </c>
      <c r="H2859" s="2"/>
      <c r="I2859" s="2"/>
      <c r="J2859" s="2"/>
      <c r="K2859" s="2"/>
      <c r="L2859" s="2"/>
    </row>
    <row r="2860" spans="1:12" customFormat="1" ht="16" x14ac:dyDescent="0.2">
      <c r="A2860" s="2" t="s">
        <v>416</v>
      </c>
      <c r="B2860" s="9">
        <f>1/43</f>
        <v>2.3255813953488372E-2</v>
      </c>
      <c r="C2860" t="s">
        <v>18</v>
      </c>
      <c r="E2860" t="s">
        <v>9</v>
      </c>
      <c r="F2860" t="s">
        <v>23</v>
      </c>
      <c r="G2860" t="s">
        <v>408</v>
      </c>
      <c r="I2860" s="2"/>
    </row>
    <row r="2861" spans="1:12" customFormat="1" ht="16" x14ac:dyDescent="0.2">
      <c r="A2861" t="s">
        <v>48</v>
      </c>
      <c r="B2861" s="3">
        <v>4.6511627906976748E-7</v>
      </c>
      <c r="D2861" t="s">
        <v>116</v>
      </c>
      <c r="E2861" t="s">
        <v>9</v>
      </c>
      <c r="F2861" s="2" t="s">
        <v>15</v>
      </c>
      <c r="H2861" s="3"/>
      <c r="I2861" s="2"/>
    </row>
    <row r="2862" spans="1:12" customFormat="1" ht="16" x14ac:dyDescent="0.2">
      <c r="A2862" t="s">
        <v>50</v>
      </c>
      <c r="B2862" s="3">
        <v>2.3255813953488372E-6</v>
      </c>
      <c r="D2862" t="s">
        <v>116</v>
      </c>
      <c r="E2862" t="s">
        <v>9</v>
      </c>
      <c r="F2862" s="2" t="s">
        <v>15</v>
      </c>
      <c r="H2862" s="3"/>
      <c r="I2862" s="2"/>
    </row>
    <row r="2863" spans="1:12" customFormat="1" ht="16" x14ac:dyDescent="0.2">
      <c r="A2863" t="s">
        <v>52</v>
      </c>
      <c r="B2863" s="3">
        <v>2.3255813953488374E-10</v>
      </c>
      <c r="D2863" t="s">
        <v>116</v>
      </c>
      <c r="E2863" t="s">
        <v>9</v>
      </c>
      <c r="F2863" s="2" t="s">
        <v>15</v>
      </c>
      <c r="H2863" s="3"/>
      <c r="I2863" s="2"/>
    </row>
    <row r="2864" spans="1:12" customFormat="1" ht="16" x14ac:dyDescent="0.2">
      <c r="A2864" t="s">
        <v>122</v>
      </c>
      <c r="B2864">
        <f>3.15*B2860</f>
        <v>7.3255813953488375E-2</v>
      </c>
      <c r="D2864" t="s">
        <v>116</v>
      </c>
      <c r="E2864" t="s">
        <v>9</v>
      </c>
      <c r="F2864" s="2" t="s">
        <v>15</v>
      </c>
      <c r="H2864" s="3"/>
      <c r="I2864" s="2"/>
    </row>
    <row r="2865" spans="1:9" customFormat="1" ht="16" x14ac:dyDescent="0.2">
      <c r="A2865" t="s">
        <v>123</v>
      </c>
      <c r="B2865">
        <v>3.6731145403173224E-4</v>
      </c>
      <c r="D2865" t="s">
        <v>116</v>
      </c>
      <c r="E2865" t="s">
        <v>9</v>
      </c>
      <c r="F2865" s="2" t="s">
        <v>15</v>
      </c>
      <c r="H2865" s="3"/>
      <c r="I2865" s="2"/>
    </row>
    <row r="2866" spans="1:9" customFormat="1" ht="16" x14ac:dyDescent="0.2">
      <c r="A2866" t="s">
        <v>55</v>
      </c>
      <c r="B2866" s="3">
        <v>1.160617257118018E-9</v>
      </c>
      <c r="D2866" t="s">
        <v>116</v>
      </c>
      <c r="E2866" t="s">
        <v>9</v>
      </c>
      <c r="F2866" s="2" t="s">
        <v>15</v>
      </c>
      <c r="H2866" s="3"/>
      <c r="I2866" s="2"/>
    </row>
    <row r="2867" spans="1:9" customFormat="1" ht="16" x14ac:dyDescent="0.2">
      <c r="A2867" t="s">
        <v>57</v>
      </c>
      <c r="B2867" s="3">
        <v>3.9556618126494245E-8</v>
      </c>
      <c r="D2867" t="s">
        <v>116</v>
      </c>
      <c r="E2867" t="s">
        <v>9</v>
      </c>
      <c r="F2867" s="2" t="s">
        <v>15</v>
      </c>
      <c r="H2867" s="3"/>
      <c r="I2867" s="2"/>
    </row>
    <row r="2868" spans="1:9" customFormat="1" ht="16" x14ac:dyDescent="0.2">
      <c r="A2868" t="s">
        <v>58</v>
      </c>
      <c r="B2868" s="3">
        <v>2.3255813953488372E-6</v>
      </c>
      <c r="D2868" t="s">
        <v>116</v>
      </c>
      <c r="E2868" t="s">
        <v>9</v>
      </c>
      <c r="F2868" s="2" t="s">
        <v>15</v>
      </c>
      <c r="H2868" s="3"/>
      <c r="I2868" s="2"/>
    </row>
    <row r="2869" spans="1:9" customFormat="1" ht="16" x14ac:dyDescent="0.2">
      <c r="A2869" t="s">
        <v>63</v>
      </c>
      <c r="B2869" s="3">
        <v>2.5429254509889156E-12</v>
      </c>
      <c r="D2869" t="s">
        <v>116</v>
      </c>
      <c r="E2869" t="s">
        <v>9</v>
      </c>
      <c r="F2869" s="2" t="s">
        <v>15</v>
      </c>
      <c r="H2869" s="3"/>
      <c r="I2869" s="2"/>
    </row>
    <row r="2870" spans="1:9" customFormat="1" ht="16" x14ac:dyDescent="0.2">
      <c r="A2870" t="s">
        <v>64</v>
      </c>
      <c r="B2870" s="3">
        <v>4.651162790697675E-13</v>
      </c>
      <c r="D2870" t="s">
        <v>116</v>
      </c>
      <c r="E2870" t="s">
        <v>9</v>
      </c>
      <c r="F2870" s="2" t="s">
        <v>15</v>
      </c>
      <c r="H2870" s="3"/>
      <c r="I2870" s="2"/>
    </row>
    <row r="2871" spans="1:9" customFormat="1" ht="16" x14ac:dyDescent="0.2">
      <c r="A2871" t="s">
        <v>177</v>
      </c>
      <c r="B2871" s="3">
        <v>3.0210823733970879E-6</v>
      </c>
      <c r="D2871" t="s">
        <v>116</v>
      </c>
      <c r="E2871" t="s">
        <v>9</v>
      </c>
      <c r="F2871" s="2" t="s">
        <v>15</v>
      </c>
      <c r="H2871" s="3"/>
      <c r="I2871" s="2"/>
    </row>
    <row r="2872" spans="1:9" customFormat="1" ht="16" x14ac:dyDescent="0.2">
      <c r="A2872" t="s">
        <v>67</v>
      </c>
      <c r="B2872" s="3">
        <v>1.1758313410128234E-4</v>
      </c>
      <c r="D2872" t="s">
        <v>116</v>
      </c>
      <c r="E2872" t="s">
        <v>9</v>
      </c>
      <c r="F2872" s="2" t="s">
        <v>15</v>
      </c>
      <c r="H2872" s="3"/>
      <c r="I2872" s="2"/>
    </row>
    <row r="2873" spans="1:9" customFormat="1" ht="16" x14ac:dyDescent="0.2">
      <c r="A2873" t="s">
        <v>68</v>
      </c>
      <c r="B2873" s="3">
        <v>1.6235600956313845E-9</v>
      </c>
      <c r="D2873" t="s">
        <v>116</v>
      </c>
      <c r="E2873" t="s">
        <v>9</v>
      </c>
      <c r="F2873" s="2" t="s">
        <v>15</v>
      </c>
      <c r="H2873" s="3"/>
      <c r="I2873" s="2"/>
    </row>
    <row r="2874" spans="1:9" customFormat="1" ht="16" x14ac:dyDescent="0.2">
      <c r="A2874" t="s">
        <v>69</v>
      </c>
      <c r="B2874">
        <v>1.2758096066072594E-3</v>
      </c>
      <c r="D2874" t="s">
        <v>116</v>
      </c>
      <c r="E2874" t="s">
        <v>9</v>
      </c>
      <c r="F2874" s="2" t="s">
        <v>15</v>
      </c>
      <c r="H2874" s="3"/>
      <c r="I2874" s="2"/>
    </row>
    <row r="2875" spans="1:9" customFormat="1" ht="16" x14ac:dyDescent="0.2">
      <c r="A2875" t="s">
        <v>71</v>
      </c>
      <c r="B2875" s="3">
        <v>2.9836991958269943E-5</v>
      </c>
      <c r="D2875" t="s">
        <v>116</v>
      </c>
      <c r="E2875" t="s">
        <v>9</v>
      </c>
      <c r="F2875" s="2" t="s">
        <v>15</v>
      </c>
      <c r="H2875" s="3"/>
      <c r="I2875" s="2"/>
    </row>
    <row r="2876" spans="1:9" customFormat="1" ht="16" x14ac:dyDescent="0.2">
      <c r="A2876" t="s">
        <v>106</v>
      </c>
      <c r="B2876" s="3">
        <v>3.5524885894370795E-5</v>
      </c>
      <c r="D2876" t="s">
        <v>116</v>
      </c>
      <c r="E2876" t="s">
        <v>9</v>
      </c>
      <c r="F2876" s="2" t="s">
        <v>15</v>
      </c>
      <c r="H2876" s="3"/>
      <c r="I2876" s="2"/>
    </row>
    <row r="2877" spans="1:9" customFormat="1" ht="16" x14ac:dyDescent="0.2">
      <c r="A2877" t="s">
        <v>107</v>
      </c>
      <c r="B2877" s="3">
        <v>1.6163877417952619E-5</v>
      </c>
      <c r="D2877" t="s">
        <v>116</v>
      </c>
      <c r="E2877" t="s">
        <v>9</v>
      </c>
      <c r="F2877" s="2" t="s">
        <v>15</v>
      </c>
      <c r="H2877" s="3"/>
      <c r="I2877" s="2"/>
    </row>
    <row r="2878" spans="1:9" customFormat="1" ht="16" x14ac:dyDescent="0.2">
      <c r="A2878" t="s">
        <v>75</v>
      </c>
      <c r="B2878" s="3">
        <v>2.3255813953488374E-10</v>
      </c>
      <c r="D2878" t="s">
        <v>116</v>
      </c>
      <c r="E2878" t="s">
        <v>9</v>
      </c>
      <c r="F2878" s="2" t="s">
        <v>15</v>
      </c>
      <c r="H2878" s="3"/>
      <c r="I2878" s="2"/>
    </row>
    <row r="2879" spans="1:9" customFormat="1" ht="16" x14ac:dyDescent="0.2">
      <c r="A2879" t="s">
        <v>77</v>
      </c>
      <c r="B2879" s="3">
        <v>1.3931753966529016E-5</v>
      </c>
      <c r="D2879" t="s">
        <v>116</v>
      </c>
      <c r="E2879" t="s">
        <v>9</v>
      </c>
      <c r="F2879" s="2" t="s">
        <v>15</v>
      </c>
      <c r="H2879" s="3"/>
      <c r="I2879" s="2"/>
    </row>
    <row r="2880" spans="1:9" customFormat="1" ht="16" x14ac:dyDescent="0.2">
      <c r="A2880" t="s">
        <v>78</v>
      </c>
      <c r="B2880" s="3">
        <v>9.2805911758313421E-7</v>
      </c>
      <c r="D2880" t="s">
        <v>116</v>
      </c>
      <c r="E2880" t="s">
        <v>9</v>
      </c>
      <c r="F2880" s="2" t="s">
        <v>15</v>
      </c>
      <c r="H2880" s="3"/>
      <c r="I2880" s="2"/>
    </row>
    <row r="2881" spans="1:12" customFormat="1" ht="16" x14ac:dyDescent="0.2">
      <c r="A2881" t="s">
        <v>136</v>
      </c>
      <c r="B2881" s="3">
        <v>9.2805911758313421E-7</v>
      </c>
      <c r="D2881" t="s">
        <v>116</v>
      </c>
      <c r="E2881" t="s">
        <v>9</v>
      </c>
      <c r="F2881" s="2" t="s">
        <v>15</v>
      </c>
      <c r="H2881" s="3"/>
      <c r="I2881" s="2"/>
    </row>
    <row r="2882" spans="1:12" customFormat="1" ht="16" x14ac:dyDescent="0.2">
      <c r="A2882" t="s">
        <v>79</v>
      </c>
      <c r="B2882" s="3">
        <v>2.3255813953488372E-8</v>
      </c>
      <c r="D2882" t="s">
        <v>116</v>
      </c>
      <c r="E2882" t="s">
        <v>9</v>
      </c>
      <c r="F2882" s="2" t="s">
        <v>15</v>
      </c>
      <c r="H2882" s="3"/>
      <c r="I2882" s="2"/>
    </row>
    <row r="2883" spans="1:12" customFormat="1" ht="16" x14ac:dyDescent="0.2">
      <c r="A2883" t="s">
        <v>137</v>
      </c>
      <c r="B2883" s="3">
        <v>1.3084112149532712E-4</v>
      </c>
      <c r="D2883" t="s">
        <v>138</v>
      </c>
      <c r="E2883" t="s">
        <v>9</v>
      </c>
      <c r="F2883" s="2" t="s">
        <v>15</v>
      </c>
      <c r="H2883" s="3"/>
      <c r="I2883" s="2"/>
    </row>
    <row r="2884" spans="1:12" customFormat="1" ht="16" x14ac:dyDescent="0.2"/>
    <row r="2885" spans="1:12" x14ac:dyDescent="0.2">
      <c r="A2885" s="17" t="s">
        <v>2</v>
      </c>
      <c r="B2885" s="17" t="s">
        <v>87</v>
      </c>
    </row>
    <row r="2886" spans="1:12" customFormat="1" ht="16" x14ac:dyDescent="0.2">
      <c r="A2886" s="2" t="s">
        <v>3</v>
      </c>
      <c r="B2886" s="2" t="s">
        <v>18</v>
      </c>
      <c r="C2886" s="2"/>
      <c r="D2886" s="2"/>
      <c r="E2886" s="2"/>
      <c r="F2886" s="2"/>
      <c r="G2886" s="2"/>
      <c r="H2886" s="2"/>
      <c r="I2886" s="2"/>
      <c r="J2886" s="2"/>
      <c r="K2886" s="2"/>
      <c r="L2886" s="2"/>
    </row>
    <row r="2887" spans="1:12" customFormat="1" ht="16" x14ac:dyDescent="0.2">
      <c r="A2887" s="2" t="s">
        <v>4</v>
      </c>
      <c r="B2887" s="2">
        <v>1</v>
      </c>
      <c r="C2887" s="2"/>
      <c r="D2887" s="2"/>
      <c r="E2887" s="2"/>
      <c r="F2887" s="2"/>
      <c r="G2887" s="2"/>
      <c r="H2887" s="2"/>
      <c r="I2887" s="2"/>
      <c r="J2887" s="2"/>
      <c r="K2887" s="2"/>
      <c r="L2887" s="2"/>
    </row>
    <row r="2888" spans="1:12" customFormat="1" ht="16" x14ac:dyDescent="0.2">
      <c r="A2888" s="2" t="s">
        <v>5</v>
      </c>
      <c r="B2888" s="2" t="s">
        <v>1</v>
      </c>
      <c r="C2888" s="2"/>
      <c r="D2888" s="2"/>
      <c r="E2888" s="2"/>
      <c r="F2888" s="2"/>
      <c r="G2888" s="2"/>
      <c r="H2888" s="2"/>
      <c r="I2888" s="2"/>
      <c r="J2888" s="2"/>
    </row>
    <row r="2889" spans="1:12" customFormat="1" ht="16" x14ac:dyDescent="0.2">
      <c r="A2889" s="2" t="s">
        <v>6</v>
      </c>
      <c r="B2889" s="2" t="s">
        <v>7</v>
      </c>
      <c r="C2889" s="2"/>
      <c r="D2889" s="2"/>
      <c r="E2889" s="2"/>
      <c r="F2889" s="2"/>
      <c r="G2889" s="2"/>
      <c r="H2889" s="2"/>
      <c r="I2889" s="2"/>
      <c r="J2889" s="2"/>
      <c r="K2889" s="2"/>
      <c r="L2889" s="2"/>
    </row>
    <row r="2890" spans="1:12" customFormat="1" ht="16" x14ac:dyDescent="0.2">
      <c r="A2890" s="2" t="s">
        <v>8</v>
      </c>
      <c r="B2890" s="2" t="s">
        <v>17</v>
      </c>
      <c r="C2890" s="2"/>
      <c r="D2890" s="2"/>
      <c r="E2890" s="2"/>
      <c r="F2890" s="2"/>
      <c r="G2890" s="2"/>
      <c r="H2890" s="2"/>
      <c r="I2890" s="2"/>
      <c r="J2890" s="2"/>
      <c r="K2890" s="2"/>
      <c r="L2890" s="2"/>
    </row>
    <row r="2891" spans="1:12" customFormat="1" ht="16" x14ac:dyDescent="0.2">
      <c r="A2891" t="s">
        <v>352</v>
      </c>
      <c r="B2891" s="2">
        <f>INDEX(Parameters!$B$6:$AL$57,MATCH(Inventories!$B$2885,Parameters!$A$6:$A$57,0),MATCH(Inventories!$A2891,Parameters!$B$4:$AL$4,0))</f>
        <v>126</v>
      </c>
      <c r="C2891" t="s">
        <v>312</v>
      </c>
      <c r="D2891" s="2"/>
      <c r="E2891" s="2"/>
      <c r="F2891" s="2"/>
      <c r="G2891" s="2"/>
      <c r="H2891" s="2"/>
      <c r="I2891" s="2"/>
      <c r="J2891" s="2"/>
      <c r="K2891" s="2"/>
      <c r="L2891" s="2"/>
    </row>
    <row r="2892" spans="1:12" customFormat="1" ht="16" x14ac:dyDescent="0.2">
      <c r="A2892" t="s">
        <v>353</v>
      </c>
      <c r="B2892" s="2">
        <f>INDEX(Parameters!$B$6:$AL$57,MATCH(Inventories!$B$2885,Parameters!$A$6:$A$57,0),MATCH(Inventories!$A2892,Parameters!$B$4:$AL$4,0))</f>
        <v>54</v>
      </c>
      <c r="C2892" t="s">
        <v>312</v>
      </c>
      <c r="D2892" s="2"/>
      <c r="E2892" s="2"/>
      <c r="F2892" s="2"/>
      <c r="G2892" s="2"/>
      <c r="H2892" s="2"/>
      <c r="I2892" s="2"/>
      <c r="J2892" s="2"/>
      <c r="K2892" s="2"/>
      <c r="L2892" s="2"/>
    </row>
    <row r="2893" spans="1:12" customFormat="1" ht="16" x14ac:dyDescent="0.2">
      <c r="A2893" t="s">
        <v>354</v>
      </c>
      <c r="B2893" s="2">
        <f>INDEX(Parameters!$B$6:$AL$57,MATCH(Inventories!$B$2885,Parameters!$A$6:$A$57,0),MATCH(Inventories!$A2893,Parameters!$B$4:$AL$4,0))</f>
        <v>158</v>
      </c>
      <c r="C2893" t="s">
        <v>312</v>
      </c>
      <c r="D2893" s="2"/>
      <c r="E2893" s="2"/>
      <c r="F2893" s="2"/>
      <c r="G2893" s="2"/>
      <c r="H2893" s="2"/>
      <c r="I2893" s="2"/>
      <c r="J2893" s="2"/>
      <c r="K2893" s="2"/>
      <c r="L2893" s="2"/>
    </row>
    <row r="2894" spans="1:12" customFormat="1" ht="16" x14ac:dyDescent="0.2">
      <c r="A2894" t="s">
        <v>316</v>
      </c>
      <c r="B2894" s="24">
        <f>INDEX(Parameters!$B$6:$AL$57,MATCH(Inventories!$B$2885,Parameters!$A$6:$A$57,0),MATCH(Inventories!$A2894,Parameters!$B$4:$AL$4,0))</f>
        <v>200000</v>
      </c>
      <c r="C2894" t="s">
        <v>313</v>
      </c>
      <c r="D2894" s="2"/>
      <c r="E2894" s="2"/>
      <c r="F2894" s="2"/>
      <c r="G2894" s="2"/>
      <c r="H2894" s="2"/>
      <c r="I2894" s="2"/>
      <c r="J2894" s="2"/>
      <c r="K2894" s="2"/>
      <c r="L2894" s="2"/>
    </row>
    <row r="2895" spans="1:12" customFormat="1" ht="16" x14ac:dyDescent="0.2">
      <c r="A2895" t="s">
        <v>317</v>
      </c>
      <c r="B2895" s="24">
        <f>INDEX(Parameters!$B$6:$AL$57,MATCH(Inventories!$B$2885,Parameters!$A$6:$A$57,0),MATCH(Inventories!$A2895,Parameters!$B$4:$AL$4,0))</f>
        <v>160000</v>
      </c>
      <c r="C2895" t="s">
        <v>313</v>
      </c>
      <c r="D2895" s="2"/>
      <c r="E2895" s="2"/>
      <c r="F2895" s="2"/>
      <c r="G2895" s="2"/>
      <c r="H2895" s="2"/>
      <c r="I2895" s="2"/>
      <c r="J2895" s="2"/>
      <c r="K2895" s="2"/>
      <c r="L2895" s="2"/>
    </row>
    <row r="2896" spans="1:12" customFormat="1" ht="16" x14ac:dyDescent="0.2">
      <c r="A2896" t="s">
        <v>318</v>
      </c>
      <c r="B2896" s="24">
        <f>INDEX(Parameters!$B$6:$AL$57,MATCH(Inventories!$B$2885,Parameters!$A$6:$A$57,0),MATCH(Inventories!$A2896,Parameters!$B$4:$AL$4,0))</f>
        <v>250000</v>
      </c>
      <c r="C2896" t="s">
        <v>313</v>
      </c>
      <c r="D2896" s="2"/>
      <c r="E2896" s="2"/>
      <c r="F2896" s="2"/>
      <c r="G2896" s="2"/>
      <c r="H2896" s="2"/>
      <c r="I2896" s="2"/>
      <c r="J2896" s="2"/>
      <c r="K2896" s="2"/>
      <c r="L2896" s="2"/>
    </row>
    <row r="2897" spans="1:12" customFormat="1" ht="16" x14ac:dyDescent="0.2">
      <c r="A2897" t="s">
        <v>319</v>
      </c>
      <c r="B2897" s="2">
        <f>INDEX(Parameters!$B$6:$AL$57,MATCH(Inventories!$B$2885,Parameters!$A$6:$A$57,0),MATCH(Inventories!$A2897,Parameters!$B$4:$AL$4,0))</f>
        <v>2250</v>
      </c>
      <c r="C2897" t="s">
        <v>314</v>
      </c>
      <c r="D2897" s="2"/>
      <c r="E2897" s="2"/>
      <c r="F2897" s="2"/>
      <c r="G2897" s="2"/>
      <c r="H2897" s="2"/>
      <c r="I2897" s="2"/>
      <c r="J2897" s="2"/>
      <c r="K2897" s="2"/>
      <c r="L2897" s="2"/>
    </row>
    <row r="2898" spans="1:12" customFormat="1" ht="16" x14ac:dyDescent="0.2">
      <c r="A2898" t="s">
        <v>320</v>
      </c>
      <c r="B2898" s="2">
        <f>INDEX(Parameters!$B$6:$AL$57,MATCH(Inventories!$B$2885,Parameters!$A$6:$A$57,0),MATCH(Inventories!$A2898,Parameters!$B$4:$AL$4,0))</f>
        <v>1500</v>
      </c>
      <c r="C2898" t="s">
        <v>314</v>
      </c>
      <c r="D2898" s="2"/>
      <c r="E2898" s="2"/>
      <c r="F2898" s="2"/>
      <c r="G2898" s="2"/>
      <c r="H2898" s="2"/>
      <c r="I2898" s="2"/>
      <c r="J2898" s="2"/>
      <c r="K2898" s="2"/>
      <c r="L2898" s="2"/>
    </row>
    <row r="2899" spans="1:12" customFormat="1" ht="16" x14ac:dyDescent="0.2">
      <c r="A2899" t="s">
        <v>321</v>
      </c>
      <c r="B2899" s="2">
        <f>INDEX(Parameters!$B$6:$AL$57,MATCH(Inventories!$B$2885,Parameters!$A$6:$A$57,0),MATCH(Inventories!$A2899,Parameters!$B$4:$AL$4,0))</f>
        <v>2900</v>
      </c>
      <c r="C2899" t="s">
        <v>314</v>
      </c>
      <c r="D2899" s="2"/>
      <c r="E2899" s="2"/>
      <c r="F2899" s="2"/>
      <c r="G2899" s="2"/>
      <c r="H2899" s="2"/>
      <c r="I2899" s="2"/>
      <c r="J2899" s="2"/>
      <c r="K2899" s="2"/>
      <c r="L2899" s="2"/>
    </row>
    <row r="2900" spans="1:12" customFormat="1" ht="16" x14ac:dyDescent="0.2">
      <c r="A2900" t="s">
        <v>337</v>
      </c>
      <c r="B2900" s="2">
        <f>INDEX(Parameters!$B$6:$AL$57,MATCH(Inventories!$B$2885,Parameters!$A$6:$A$57,0),MATCH(Inventories!$A2900,Parameters!$B$4:$AL$4,0))</f>
        <v>0</v>
      </c>
      <c r="C2900" t="s">
        <v>336</v>
      </c>
      <c r="D2900" s="2"/>
      <c r="E2900" s="2"/>
      <c r="F2900" s="2"/>
      <c r="G2900" s="2"/>
      <c r="H2900" s="2"/>
      <c r="I2900" s="2"/>
      <c r="J2900" s="2"/>
      <c r="K2900" s="2"/>
      <c r="L2900" s="2"/>
    </row>
    <row r="2901" spans="1:12" customFormat="1" ht="16" x14ac:dyDescent="0.2">
      <c r="A2901" t="s">
        <v>338</v>
      </c>
      <c r="B2901" s="2">
        <f>INDEX(Parameters!$B$6:$AL$57,MATCH(Inventories!$B$2885,Parameters!$A$6:$A$57,0),MATCH(Inventories!$A2901,Parameters!$B$4:$AL$4,0))</f>
        <v>0</v>
      </c>
      <c r="C2901" t="s">
        <v>336</v>
      </c>
      <c r="D2901" s="2"/>
      <c r="E2901" s="2"/>
      <c r="F2901" s="2"/>
      <c r="G2901" s="2"/>
      <c r="H2901" s="2"/>
      <c r="I2901" s="2"/>
      <c r="J2901" s="2"/>
      <c r="K2901" s="2"/>
      <c r="L2901" s="2"/>
    </row>
    <row r="2902" spans="1:12" customFormat="1" ht="16" x14ac:dyDescent="0.2">
      <c r="A2902" t="s">
        <v>339</v>
      </c>
      <c r="B2902" s="2">
        <f>INDEX(Parameters!$B$6:$AL$57,MATCH(Inventories!$B$2885,Parameters!$A$6:$A$57,0),MATCH(Inventories!$A2902,Parameters!$B$4:$AL$4,0))</f>
        <v>0</v>
      </c>
      <c r="C2902" t="s">
        <v>336</v>
      </c>
      <c r="D2902" s="2"/>
      <c r="E2902" s="2"/>
      <c r="F2902" s="2"/>
      <c r="G2902" s="2"/>
      <c r="H2902" s="2"/>
      <c r="I2902" s="2"/>
      <c r="J2902" s="2"/>
      <c r="K2902" s="2"/>
      <c r="L2902" s="2"/>
    </row>
    <row r="2903" spans="1:12" customFormat="1" ht="16" x14ac:dyDescent="0.2">
      <c r="A2903" t="s">
        <v>340</v>
      </c>
      <c r="B2903" s="2">
        <f>INDEX(Parameters!$B$6:$AL$57,MATCH(Inventories!$B$2885,Parameters!$A$6:$A$57,0),MATCH(Inventories!$A2903,Parameters!$B$4:$AL$4,0))</f>
        <v>169</v>
      </c>
      <c r="C2903" t="s">
        <v>336</v>
      </c>
      <c r="D2903" s="2"/>
      <c r="E2903" s="2"/>
      <c r="F2903" s="2"/>
      <c r="G2903" s="2"/>
      <c r="H2903" s="2"/>
      <c r="I2903" s="2"/>
      <c r="J2903" s="2"/>
      <c r="K2903" s="2"/>
      <c r="L2903" s="2"/>
    </row>
    <row r="2904" spans="1:12" customFormat="1" ht="16" x14ac:dyDescent="0.2">
      <c r="A2904" t="s">
        <v>341</v>
      </c>
      <c r="B2904" s="2">
        <f>INDEX(Parameters!$B$6:$AL$57,MATCH(Inventories!$B$2885,Parameters!$A$6:$A$57,0),MATCH(Inventories!$A2904,Parameters!$B$4:$AL$4,0))</f>
        <v>111</v>
      </c>
      <c r="C2904" t="s">
        <v>336</v>
      </c>
      <c r="D2904" s="2"/>
      <c r="E2904" s="2"/>
      <c r="F2904" s="2"/>
      <c r="G2904" s="2"/>
      <c r="H2904" s="2"/>
      <c r="I2904" s="2"/>
      <c r="J2904" s="2"/>
      <c r="K2904" s="2"/>
      <c r="L2904" s="2"/>
    </row>
    <row r="2905" spans="1:12" customFormat="1" ht="16" x14ac:dyDescent="0.2">
      <c r="A2905" t="s">
        <v>342</v>
      </c>
      <c r="B2905" s="2">
        <f>INDEX(Parameters!$B$6:$AL$57,MATCH(Inventories!$B$2885,Parameters!$A$6:$A$57,0),MATCH(Inventories!$A2905,Parameters!$B$4:$AL$4,0))</f>
        <v>194</v>
      </c>
      <c r="C2905" t="s">
        <v>336</v>
      </c>
      <c r="D2905" s="2"/>
      <c r="E2905" s="2"/>
      <c r="F2905" s="2"/>
      <c r="G2905" s="2"/>
      <c r="H2905" s="2"/>
      <c r="I2905" s="2"/>
      <c r="J2905" s="2"/>
      <c r="K2905" s="2"/>
      <c r="L2905" s="2"/>
    </row>
    <row r="2906" spans="1:12" customFormat="1" ht="16" x14ac:dyDescent="0.2">
      <c r="A2906" t="s">
        <v>333</v>
      </c>
      <c r="B2906" s="2">
        <f>INDEX(Parameters!$B$6:$AL$57,MATCH(Inventories!$B$2885,Parameters!$A$6:$A$57,0),MATCH(Inventories!$A2906,Parameters!$B$4:$AL$4,0))</f>
        <v>48</v>
      </c>
      <c r="C2906" t="s">
        <v>336</v>
      </c>
      <c r="D2906" s="2"/>
      <c r="E2906" s="2"/>
      <c r="F2906" s="2"/>
      <c r="G2906" s="2"/>
      <c r="H2906" s="2"/>
      <c r="I2906" s="2"/>
      <c r="J2906" s="2"/>
      <c r="K2906" s="2"/>
      <c r="L2906" s="2"/>
    </row>
    <row r="2907" spans="1:12" customFormat="1" ht="16" x14ac:dyDescent="0.2">
      <c r="A2907" t="s">
        <v>334</v>
      </c>
      <c r="B2907" s="2">
        <f>INDEX(Parameters!$B$6:$AL$57,MATCH(Inventories!$B$2885,Parameters!$A$6:$A$57,0),MATCH(Inventories!$A2907,Parameters!$B$4:$AL$4,0))</f>
        <v>30</v>
      </c>
      <c r="C2907" t="s">
        <v>336</v>
      </c>
      <c r="D2907" s="2"/>
      <c r="E2907" s="2"/>
      <c r="F2907" s="2"/>
      <c r="G2907" s="2"/>
      <c r="H2907" s="2"/>
      <c r="I2907" s="2"/>
      <c r="J2907" s="2"/>
      <c r="K2907" s="2"/>
      <c r="L2907" s="2"/>
    </row>
    <row r="2908" spans="1:12" customFormat="1" ht="16" x14ac:dyDescent="0.2">
      <c r="A2908" t="s">
        <v>335</v>
      </c>
      <c r="B2908" s="2">
        <f>INDEX(Parameters!$B$6:$AL$57,MATCH(Inventories!$B$2885,Parameters!$A$6:$A$57,0),MATCH(Inventories!$A2908,Parameters!$B$4:$AL$4,0))</f>
        <v>48</v>
      </c>
      <c r="C2908" t="s">
        <v>336</v>
      </c>
      <c r="D2908" s="2"/>
      <c r="E2908" s="2"/>
      <c r="F2908" s="2"/>
      <c r="G2908" s="2"/>
      <c r="H2908" s="2"/>
      <c r="I2908" s="2"/>
      <c r="J2908" s="2"/>
      <c r="K2908" s="2"/>
      <c r="L2908" s="2"/>
    </row>
    <row r="2909" spans="1:12" customFormat="1" ht="16" x14ac:dyDescent="0.2">
      <c r="A2909" t="s">
        <v>322</v>
      </c>
      <c r="B2909" s="2">
        <f>INDEX(Parameters!$B$6:$AL$57,MATCH(Inventories!$B$2885,Parameters!$A$6:$A$57,0),MATCH(Inventories!$A2909,Parameters!$B$4:$AL$4,0))</f>
        <v>0</v>
      </c>
      <c r="C2909" t="s">
        <v>315</v>
      </c>
      <c r="D2909" s="2"/>
      <c r="E2909" s="2"/>
      <c r="F2909" s="2"/>
      <c r="G2909" s="2"/>
      <c r="H2909" s="2"/>
      <c r="I2909" s="2"/>
      <c r="J2909" s="2"/>
      <c r="K2909" s="2"/>
      <c r="L2909" s="2"/>
    </row>
    <row r="2910" spans="1:12" customFormat="1" ht="16" x14ac:dyDescent="0.2">
      <c r="A2910" t="s">
        <v>323</v>
      </c>
      <c r="B2910" s="2">
        <f>INDEX(Parameters!$B$6:$AL$57,MATCH(Inventories!$B$2885,Parameters!$A$6:$A$57,0),MATCH(Inventories!$A2910,Parameters!$B$4:$AL$4,0))</f>
        <v>0</v>
      </c>
      <c r="C2910" t="s">
        <v>315</v>
      </c>
      <c r="D2910" s="2"/>
      <c r="E2910" s="2"/>
      <c r="F2910" s="2"/>
      <c r="G2910" s="2"/>
      <c r="H2910" s="2"/>
      <c r="I2910" s="2"/>
      <c r="J2910" s="2"/>
      <c r="K2910" s="2"/>
      <c r="L2910" s="2"/>
    </row>
    <row r="2911" spans="1:12" customFormat="1" ht="16" x14ac:dyDescent="0.2">
      <c r="A2911" t="s">
        <v>324</v>
      </c>
      <c r="B2911" s="2">
        <f>INDEX(Parameters!$B$6:$AL$57,MATCH(Inventories!$B$2885,Parameters!$A$6:$A$57,0),MATCH(Inventories!$A2911,Parameters!$B$4:$AL$4,0))</f>
        <v>0</v>
      </c>
      <c r="C2911" t="s">
        <v>315</v>
      </c>
      <c r="D2911" s="2"/>
      <c r="E2911" s="2"/>
      <c r="F2911" s="2"/>
      <c r="G2911" s="2"/>
      <c r="H2911" s="2"/>
      <c r="I2911" s="2"/>
      <c r="J2911" s="2"/>
      <c r="K2911" s="2"/>
      <c r="L2911" s="2"/>
    </row>
    <row r="2912" spans="1:12" customFormat="1" ht="16" x14ac:dyDescent="0.2">
      <c r="A2912" t="s">
        <v>330</v>
      </c>
      <c r="B2912" s="2">
        <f>INDEX(Parameters!$B$6:$AL$57,MATCH(Inventories!$B$2885,Parameters!$A$6:$A$57,0),MATCH(Inventories!$A2912,Parameters!$B$4:$AL$4,0))</f>
        <v>0</v>
      </c>
      <c r="C2912" t="s">
        <v>8</v>
      </c>
      <c r="D2912" s="2"/>
      <c r="E2912" s="2"/>
      <c r="F2912" s="2"/>
      <c r="G2912" s="2"/>
      <c r="H2912" s="2"/>
      <c r="I2912" s="2"/>
      <c r="J2912" s="2"/>
      <c r="K2912" s="2"/>
      <c r="L2912" s="2"/>
    </row>
    <row r="2913" spans="1:12" customFormat="1" ht="16" x14ac:dyDescent="0.2">
      <c r="A2913" t="s">
        <v>331</v>
      </c>
      <c r="B2913" s="2">
        <f>INDEX(Parameters!$B$6:$AL$57,MATCH(Inventories!$B$2885,Parameters!$A$6:$A$57,0),MATCH(Inventories!$A2913,Parameters!$B$4:$AL$4,0))</f>
        <v>0</v>
      </c>
      <c r="C2913" t="s">
        <v>8</v>
      </c>
      <c r="D2913" s="2"/>
      <c r="E2913" s="2"/>
      <c r="F2913" s="2"/>
      <c r="G2913" s="2"/>
      <c r="H2913" s="2"/>
      <c r="I2913" s="2"/>
      <c r="J2913" s="2"/>
      <c r="K2913" s="2"/>
      <c r="L2913" s="2"/>
    </row>
    <row r="2914" spans="1:12" customFormat="1" ht="16" x14ac:dyDescent="0.2">
      <c r="A2914" t="s">
        <v>332</v>
      </c>
      <c r="B2914" s="2">
        <f>INDEX(Parameters!$B$6:$AL$57,MATCH(Inventories!$B$2885,Parameters!$A$6:$A$57,0),MATCH(Inventories!$A2914,Parameters!$B$4:$AL$4,0))</f>
        <v>0</v>
      </c>
      <c r="C2914" t="s">
        <v>8</v>
      </c>
      <c r="D2914" s="2"/>
      <c r="E2914" s="2"/>
      <c r="F2914" s="2"/>
      <c r="G2914" s="2"/>
      <c r="H2914" s="2"/>
      <c r="I2914" s="2"/>
      <c r="J2914" s="2"/>
      <c r="K2914" s="2"/>
      <c r="L2914" s="2"/>
    </row>
    <row r="2915" spans="1:12" customFormat="1" ht="16" x14ac:dyDescent="0.2">
      <c r="A2915" t="s">
        <v>346</v>
      </c>
      <c r="B2915" s="2">
        <f>INDEX(Parameters!$B$6:$AL$57,MATCH(Inventories!$B$2885,Parameters!$A$6:$A$57,0),MATCH(Inventories!$A2915,Parameters!$B$4:$AL$4,0))</f>
        <v>0</v>
      </c>
      <c r="C2915" t="s">
        <v>312</v>
      </c>
      <c r="D2915" s="2"/>
      <c r="E2915" s="2"/>
      <c r="F2915" s="2"/>
      <c r="G2915" s="2"/>
      <c r="H2915" s="2"/>
      <c r="I2915" s="2"/>
      <c r="J2915" s="2"/>
      <c r="K2915" s="2"/>
      <c r="L2915" s="2"/>
    </row>
    <row r="2916" spans="1:12" customFormat="1" ht="16" x14ac:dyDescent="0.2">
      <c r="A2916" t="s">
        <v>347</v>
      </c>
      <c r="B2916" s="2">
        <f>INDEX(Parameters!$B$6:$AL$57,MATCH(Inventories!$B$2885,Parameters!$A$6:$A$57,0),MATCH(Inventories!$A2916,Parameters!$B$4:$AL$4,0))</f>
        <v>0</v>
      </c>
      <c r="C2916" t="s">
        <v>312</v>
      </c>
      <c r="D2916" s="2"/>
      <c r="E2916" s="12"/>
      <c r="F2916" s="2"/>
      <c r="G2916" s="2"/>
      <c r="H2916" s="2"/>
      <c r="I2916" s="2"/>
      <c r="J2916" s="2"/>
      <c r="K2916" s="2"/>
      <c r="L2916" s="2"/>
    </row>
    <row r="2917" spans="1:12" customFormat="1" ht="16" x14ac:dyDescent="0.2">
      <c r="A2917" t="s">
        <v>348</v>
      </c>
      <c r="B2917" s="2">
        <f>INDEX(Parameters!$B$6:$AL$57,MATCH(Inventories!$B$2885,Parameters!$A$6:$A$57,0),MATCH(Inventories!$A2917,Parameters!$B$4:$AL$4,0))</f>
        <v>0</v>
      </c>
      <c r="C2917" t="s">
        <v>312</v>
      </c>
      <c r="D2917" s="2"/>
      <c r="E2917" s="2"/>
      <c r="F2917" s="2"/>
      <c r="G2917" s="2"/>
      <c r="H2917" s="2"/>
      <c r="I2917" s="2"/>
      <c r="J2917" s="2"/>
      <c r="K2917" s="2"/>
      <c r="L2917" s="2"/>
    </row>
    <row r="2918" spans="1:12" customFormat="1" ht="16" x14ac:dyDescent="0.2">
      <c r="A2918" t="s">
        <v>349</v>
      </c>
      <c r="B2918" s="2">
        <f>INDEX(Parameters!$B$6:$AL$57,MATCH(Inventories!$B$2885,Parameters!$A$6:$A$57,0),MATCH(Inventories!$A2918,Parameters!$B$4:$AL$4,0))</f>
        <v>0</v>
      </c>
      <c r="C2918" t="s">
        <v>8</v>
      </c>
      <c r="D2918" s="2"/>
      <c r="E2918" s="2"/>
      <c r="F2918" s="2"/>
      <c r="G2918" s="2"/>
      <c r="H2918" s="2"/>
      <c r="I2918" s="2"/>
      <c r="J2918" s="2"/>
      <c r="K2918" s="2"/>
      <c r="L2918" s="2"/>
    </row>
    <row r="2919" spans="1:12" customFormat="1" ht="16" x14ac:dyDescent="0.2">
      <c r="A2919" t="s">
        <v>350</v>
      </c>
      <c r="B2919" s="2">
        <f>INDEX(Parameters!$B$6:$AL$57,MATCH(Inventories!$B$2885,Parameters!$A$6:$A$57,0),MATCH(Inventories!$A2919,Parameters!$B$4:$AL$4,0))</f>
        <v>0</v>
      </c>
      <c r="C2919" t="s">
        <v>8</v>
      </c>
      <c r="D2919" s="2"/>
      <c r="E2919" s="2"/>
      <c r="F2919" s="2"/>
      <c r="G2919" s="2"/>
      <c r="H2919" s="2"/>
      <c r="I2919" s="2"/>
      <c r="J2919" s="2"/>
      <c r="K2919" s="2"/>
      <c r="L2919" s="2"/>
    </row>
    <row r="2920" spans="1:12" customFormat="1" ht="16" x14ac:dyDescent="0.2">
      <c r="A2920" t="s">
        <v>351</v>
      </c>
      <c r="B2920" s="2">
        <f>INDEX(Parameters!$B$6:$AL$57,MATCH(Inventories!$B$2885,Parameters!$A$6:$A$57,0),MATCH(Inventories!$A2920,Parameters!$B$4:$AL$4,0))</f>
        <v>0</v>
      </c>
      <c r="C2920" t="s">
        <v>8</v>
      </c>
      <c r="D2920" s="2"/>
      <c r="E2920" s="2"/>
      <c r="F2920" s="2"/>
      <c r="G2920" s="2"/>
      <c r="H2920" s="2"/>
      <c r="I2920" s="2"/>
      <c r="J2920" s="2"/>
      <c r="K2920" s="2"/>
      <c r="L2920" s="2"/>
    </row>
    <row r="2921" spans="1:12" customFormat="1" ht="16" x14ac:dyDescent="0.2">
      <c r="A2921" t="s">
        <v>365</v>
      </c>
      <c r="B2921" s="2">
        <f>INDEX(Parameters!$B$6:$AL$57,MATCH(Inventories!$B$2885,Parameters!$A$6:$A$57,0),MATCH(Inventories!$A2921,Parameters!$B$4:$AL$4,0))</f>
        <v>0</v>
      </c>
      <c r="C2921" t="s">
        <v>336</v>
      </c>
      <c r="D2921" s="2"/>
      <c r="E2921" s="2"/>
      <c r="F2921" s="2"/>
      <c r="G2921" s="2"/>
      <c r="H2921" s="2"/>
      <c r="I2921" s="2"/>
      <c r="J2921" s="2"/>
      <c r="K2921" s="2"/>
      <c r="L2921" s="2"/>
    </row>
    <row r="2922" spans="1:12" customFormat="1" ht="16" x14ac:dyDescent="0.2">
      <c r="A2922" t="s">
        <v>366</v>
      </c>
      <c r="B2922" s="2">
        <f>INDEX(Parameters!$B$6:$AL$57,MATCH(Inventories!$B$2885,Parameters!$A$6:$A$57,0),MATCH(Inventories!$A2922,Parameters!$B$4:$AL$4,0))</f>
        <v>0</v>
      </c>
      <c r="C2922" t="s">
        <v>336</v>
      </c>
      <c r="D2922" s="2"/>
      <c r="E2922" s="2"/>
      <c r="F2922" s="2"/>
      <c r="G2922" s="2"/>
      <c r="H2922" s="2"/>
      <c r="I2922" s="2"/>
      <c r="J2922" s="2"/>
      <c r="K2922" s="2"/>
      <c r="L2922" s="2"/>
    </row>
    <row r="2923" spans="1:12" customFormat="1" ht="16" x14ac:dyDescent="0.2">
      <c r="A2923" t="s">
        <v>367</v>
      </c>
      <c r="B2923" s="2">
        <f>INDEX(Parameters!$B$6:$AL$57,MATCH(Inventories!$B$2885,Parameters!$A$6:$A$57,0),MATCH(Inventories!$A2923,Parameters!$B$4:$AL$4,0))</f>
        <v>0</v>
      </c>
      <c r="C2923" t="s">
        <v>336</v>
      </c>
      <c r="D2923" s="2"/>
      <c r="E2923" s="2"/>
      <c r="F2923" s="2"/>
      <c r="G2923" s="2"/>
      <c r="H2923" s="2"/>
      <c r="I2923" s="2"/>
      <c r="J2923" s="2"/>
      <c r="K2923" s="2"/>
      <c r="L2923" s="2"/>
    </row>
    <row r="2924" spans="1:12" customFormat="1" ht="16" x14ac:dyDescent="0.2">
      <c r="A2924" t="s">
        <v>368</v>
      </c>
      <c r="B2924" s="2">
        <f>INDEX(Parameters!$B$6:$AL$57,MATCH(Inventories!$B$2885,Parameters!$A$6:$A$57,0),MATCH(Inventories!$A2924,Parameters!$B$4:$AL$4,0))</f>
        <v>0</v>
      </c>
      <c r="C2924" t="s">
        <v>336</v>
      </c>
      <c r="D2924" s="2"/>
      <c r="E2924" s="2"/>
      <c r="F2924" s="2"/>
      <c r="G2924" s="2"/>
      <c r="H2924" s="2"/>
      <c r="I2924" s="2"/>
      <c r="J2924" s="2"/>
      <c r="K2924" s="2"/>
      <c r="L2924" s="2"/>
    </row>
    <row r="2925" spans="1:12" customFormat="1" ht="16" x14ac:dyDescent="0.2">
      <c r="A2925" t="s">
        <v>369</v>
      </c>
      <c r="B2925" s="2">
        <f>INDEX(Parameters!$B$6:$AL$57,MATCH(Inventories!$B$2885,Parameters!$A$6:$A$57,0),MATCH(Inventories!$A2925,Parameters!$B$4:$AL$4,0))</f>
        <v>0</v>
      </c>
      <c r="C2925" t="s">
        <v>336</v>
      </c>
      <c r="D2925" s="2"/>
      <c r="E2925" s="2"/>
      <c r="F2925" s="2"/>
      <c r="G2925" s="2"/>
      <c r="H2925" s="2"/>
      <c r="I2925" s="2"/>
      <c r="J2925" s="2"/>
      <c r="K2925" s="2"/>
      <c r="L2925" s="2"/>
    </row>
    <row r="2926" spans="1:12" customFormat="1" ht="16" x14ac:dyDescent="0.2">
      <c r="A2926" t="s">
        <v>344</v>
      </c>
      <c r="B2926" s="12">
        <f>INDEX(Parameters!$B$6:$AL$57,MATCH(Inventories!$B$2885,Parameters!$A$6:$A$57,0),MATCH(Inventories!$A2926,Parameters!$B$4:$AL$4,0))</f>
        <v>7.5871860000000001E-3</v>
      </c>
      <c r="C2926" t="s">
        <v>345</v>
      </c>
      <c r="D2926" s="2"/>
      <c r="E2926" s="2"/>
      <c r="F2926" s="2"/>
      <c r="G2926" s="2"/>
      <c r="H2926" s="2"/>
      <c r="I2926" s="2"/>
      <c r="J2926" s="2"/>
      <c r="K2926" s="2"/>
      <c r="L2926" s="2"/>
    </row>
    <row r="2927" spans="1:12" customFormat="1" ht="16" x14ac:dyDescent="0.2">
      <c r="A2927" t="s">
        <v>343</v>
      </c>
      <c r="B2927" s="12">
        <f>INDEX(Parameters!$B$6:$AL$57,MATCH(Inventories!$B$2885,Parameters!$A$6:$A$57,0),MATCH(Inventories!$A2927,Parameters!$B$4:$AL$4,0))</f>
        <v>2.21361E-4</v>
      </c>
      <c r="C2927" t="s">
        <v>345</v>
      </c>
      <c r="D2927" s="2"/>
      <c r="E2927" s="2"/>
      <c r="F2927" s="2"/>
      <c r="G2927" s="2"/>
      <c r="H2927" s="2"/>
      <c r="I2927" s="2"/>
      <c r="J2927" s="2"/>
      <c r="K2927" s="2"/>
      <c r="L2927" s="2"/>
    </row>
    <row r="2928" spans="1:12" customFormat="1" ht="16" x14ac:dyDescent="0.2">
      <c r="A2928" s="1" t="s">
        <v>10</v>
      </c>
      <c r="B2928" s="2"/>
      <c r="C2928" s="2"/>
      <c r="D2928" s="2"/>
      <c r="E2928" s="2"/>
      <c r="F2928" s="2"/>
      <c r="G2928" s="2"/>
      <c r="H2928" s="2"/>
      <c r="I2928" s="2"/>
      <c r="J2928" s="2"/>
      <c r="K2928" s="2"/>
      <c r="L2928" s="2"/>
    </row>
    <row r="2929" spans="1:13" x14ac:dyDescent="0.2">
      <c r="A2929" s="17" t="s">
        <v>11</v>
      </c>
      <c r="B2929" s="17" t="s">
        <v>12</v>
      </c>
      <c r="C2929" s="17" t="s">
        <v>3</v>
      </c>
      <c r="D2929" s="17" t="s">
        <v>13</v>
      </c>
      <c r="E2929" s="17" t="s">
        <v>8</v>
      </c>
      <c r="F2929" s="17" t="s">
        <v>6</v>
      </c>
      <c r="G2929" s="17" t="s">
        <v>5</v>
      </c>
      <c r="H2929" s="17" t="s">
        <v>151</v>
      </c>
      <c r="I2929" s="17" t="s">
        <v>179</v>
      </c>
      <c r="J2929" s="17" t="s">
        <v>180</v>
      </c>
      <c r="K2929" s="17" t="s">
        <v>181</v>
      </c>
      <c r="L2929" s="17" t="s">
        <v>182</v>
      </c>
      <c r="M2929" s="17"/>
    </row>
    <row r="2930" spans="1:13" customFormat="1" ht="16" x14ac:dyDescent="0.2">
      <c r="A2930" s="2" t="str">
        <f>B2885</f>
        <v>diesel, burned in passenger car</v>
      </c>
      <c r="B2930" s="2">
        <v>1</v>
      </c>
      <c r="C2930" s="2" t="str">
        <f>B2886</f>
        <v>RER</v>
      </c>
      <c r="D2930" s="2"/>
      <c r="E2930" s="2" t="str">
        <f>B2890</f>
        <v>megajoule</v>
      </c>
      <c r="F2930" s="2" t="s">
        <v>19</v>
      </c>
      <c r="G2930" s="2" t="str">
        <f>B2888</f>
        <v>heat</v>
      </c>
      <c r="H2930" s="2"/>
      <c r="I2930" s="2"/>
      <c r="J2930" s="2"/>
      <c r="K2930" s="2"/>
      <c r="L2930" s="2"/>
    </row>
    <row r="2931" spans="1:13" customFormat="1" ht="16" x14ac:dyDescent="0.2">
      <c r="A2931" s="2" t="s">
        <v>119</v>
      </c>
      <c r="B2931">
        <f>1/43</f>
        <v>2.3255813953488372E-2</v>
      </c>
      <c r="C2931" t="s">
        <v>27</v>
      </c>
      <c r="E2931" t="s">
        <v>9</v>
      </c>
      <c r="F2931" t="s">
        <v>23</v>
      </c>
      <c r="G2931" t="s">
        <v>44</v>
      </c>
      <c r="I2931" s="2"/>
    </row>
    <row r="2932" spans="1:13" customFormat="1" ht="16" x14ac:dyDescent="0.2">
      <c r="A2932" s="2" t="s">
        <v>143</v>
      </c>
      <c r="B2932" s="28">
        <f>(B2903/B2894)/(B2897/1000)</f>
        <v>3.7555555555555557E-4</v>
      </c>
      <c r="C2932" t="s">
        <v>114</v>
      </c>
      <c r="E2932" t="s">
        <v>9</v>
      </c>
      <c r="F2932" t="s">
        <v>23</v>
      </c>
      <c r="G2932" t="s">
        <v>144</v>
      </c>
      <c r="I2932" s="2">
        <v>5</v>
      </c>
      <c r="J2932" s="3">
        <f>B2932</f>
        <v>3.7555555555555557E-4</v>
      </c>
      <c r="K2932" s="3">
        <f>(B2904/B2896)/(B2899/1000)</f>
        <v>1.5310344827586207E-4</v>
      </c>
      <c r="L2932" s="3">
        <f>(B2905/B2895)/(B2898/1000)</f>
        <v>8.0833333333333332E-4</v>
      </c>
    </row>
    <row r="2933" spans="1:13" customFormat="1" ht="16" x14ac:dyDescent="0.2">
      <c r="A2933" s="2" t="s">
        <v>358</v>
      </c>
      <c r="B2933" s="3">
        <f>(B2906/B2894)/(B2897/1000)</f>
        <v>1.0666666666666667E-4</v>
      </c>
      <c r="C2933" t="s">
        <v>114</v>
      </c>
      <c r="E2933" t="s">
        <v>9</v>
      </c>
      <c r="F2933" t="s">
        <v>23</v>
      </c>
      <c r="G2933" s="2" t="s">
        <v>357</v>
      </c>
      <c r="H2933" s="2" t="s">
        <v>361</v>
      </c>
      <c r="I2933">
        <v>5</v>
      </c>
      <c r="J2933" s="3">
        <f>B2933</f>
        <v>1.0666666666666667E-4</v>
      </c>
      <c r="K2933" s="3">
        <f>(B2907/B2896)/(B2899/1000)</f>
        <v>4.1379310344827587E-5</v>
      </c>
      <c r="L2933" s="3">
        <f>(B2908/B2895)/(B2898/1000)</f>
        <v>1.9999999999999998E-4</v>
      </c>
    </row>
    <row r="2934" spans="1:13" customFormat="1" ht="16" x14ac:dyDescent="0.2">
      <c r="A2934" s="2" t="s">
        <v>359</v>
      </c>
      <c r="B2934" s="3">
        <f>B2933</f>
        <v>1.0666666666666667E-4</v>
      </c>
      <c r="C2934" t="s">
        <v>114</v>
      </c>
      <c r="E2934" t="s">
        <v>9</v>
      </c>
      <c r="F2934" t="s">
        <v>23</v>
      </c>
      <c r="G2934" s="2" t="s">
        <v>360</v>
      </c>
      <c r="H2934" s="2" t="s">
        <v>361</v>
      </c>
      <c r="I2934">
        <v>5</v>
      </c>
      <c r="J2934" s="3">
        <f>B2934</f>
        <v>1.0666666666666667E-4</v>
      </c>
      <c r="K2934" s="3">
        <f>K2933</f>
        <v>4.1379310344827587E-5</v>
      </c>
      <c r="L2934" s="3">
        <f>L2933</f>
        <v>1.9999999999999998E-4</v>
      </c>
    </row>
    <row r="2935" spans="1:13" customFormat="1" ht="16" x14ac:dyDescent="0.2">
      <c r="A2935" t="s">
        <v>45</v>
      </c>
      <c r="B2935" s="3">
        <v>7.1455665432553858E-7</v>
      </c>
      <c r="D2935" t="s">
        <v>14</v>
      </c>
      <c r="E2935" t="s">
        <v>9</v>
      </c>
      <c r="F2935" s="2" t="s">
        <v>15</v>
      </c>
      <c r="I2935" s="2"/>
    </row>
    <row r="2936" spans="1:13" customFormat="1" ht="16" x14ac:dyDescent="0.2">
      <c r="A2936" t="s">
        <v>46</v>
      </c>
      <c r="B2936" s="3">
        <v>3.2468920124586623E-7</v>
      </c>
      <c r="D2936" t="s">
        <v>14</v>
      </c>
      <c r="E2936" t="s">
        <v>9</v>
      </c>
      <c r="F2936" s="2" t="s">
        <v>15</v>
      </c>
      <c r="I2936" s="2"/>
    </row>
    <row r="2937" spans="1:13" customFormat="1" ht="16" x14ac:dyDescent="0.2">
      <c r="A2937" t="s">
        <v>47</v>
      </c>
      <c r="B2937" s="3">
        <v>3.9534349472964383E-7</v>
      </c>
      <c r="D2937" t="s">
        <v>14</v>
      </c>
      <c r="E2937" t="s">
        <v>9</v>
      </c>
      <c r="F2937" s="2" t="s">
        <v>15</v>
      </c>
      <c r="I2937" s="2"/>
    </row>
    <row r="2938" spans="1:13" customFormat="1" ht="16" x14ac:dyDescent="0.2">
      <c r="A2938" t="s">
        <v>48</v>
      </c>
      <c r="B2938" s="3">
        <v>3.7209280955662761E-7</v>
      </c>
      <c r="D2938" t="s">
        <v>14</v>
      </c>
      <c r="E2938" t="s">
        <v>9</v>
      </c>
      <c r="F2938" s="2" t="s">
        <v>15</v>
      </c>
      <c r="I2938" s="2"/>
    </row>
    <row r="2939" spans="1:13" customFormat="1" ht="16" x14ac:dyDescent="0.2">
      <c r="A2939" t="s">
        <v>49</v>
      </c>
      <c r="B2939" s="3">
        <v>9.4995966427857817E-8</v>
      </c>
      <c r="D2939" t="s">
        <v>14</v>
      </c>
      <c r="E2939" t="s">
        <v>9</v>
      </c>
      <c r="F2939" s="2" t="s">
        <v>15</v>
      </c>
      <c r="I2939" s="2"/>
    </row>
    <row r="2940" spans="1:13" customFormat="1" ht="16" x14ac:dyDescent="0.2">
      <c r="A2940" t="s">
        <v>50</v>
      </c>
      <c r="B2940" s="3">
        <v>2.186743705223342E-7</v>
      </c>
      <c r="D2940" t="s">
        <v>14</v>
      </c>
      <c r="E2940" t="s">
        <v>9</v>
      </c>
      <c r="F2940" s="2" t="s">
        <v>15</v>
      </c>
      <c r="I2940" s="2"/>
    </row>
    <row r="2941" spans="1:13" customFormat="1" ht="16" x14ac:dyDescent="0.2">
      <c r="A2941" t="s">
        <v>51</v>
      </c>
      <c r="B2941" s="3">
        <v>1.2147463123534157E-8</v>
      </c>
      <c r="D2941" t="s">
        <v>14</v>
      </c>
      <c r="E2941" t="s">
        <v>9</v>
      </c>
      <c r="F2941" s="2" t="s">
        <v>15</v>
      </c>
      <c r="I2941" s="2"/>
    </row>
    <row r="2942" spans="1:13" customFormat="1" ht="16" x14ac:dyDescent="0.2">
      <c r="A2942" t="s">
        <v>52</v>
      </c>
      <c r="B2942" s="3">
        <v>2.3255800597289225E-10</v>
      </c>
      <c r="D2942" t="s">
        <v>14</v>
      </c>
      <c r="E2942" t="s">
        <v>9</v>
      </c>
      <c r="F2942" s="2" t="s">
        <v>15</v>
      </c>
      <c r="I2942" s="2"/>
    </row>
    <row r="2943" spans="1:13" customFormat="1" ht="16" x14ac:dyDescent="0.2">
      <c r="A2943" t="s">
        <v>53</v>
      </c>
      <c r="B2943">
        <f>B2931*3.15</f>
        <v>7.3255813953488375E-2</v>
      </c>
      <c r="D2943" t="s">
        <v>14</v>
      </c>
      <c r="E2943" t="s">
        <v>9</v>
      </c>
      <c r="F2943" s="2" t="s">
        <v>15</v>
      </c>
      <c r="I2943" s="2"/>
    </row>
    <row r="2944" spans="1:13" customFormat="1" ht="16" x14ac:dyDescent="0.2">
      <c r="A2944" t="s">
        <v>54</v>
      </c>
      <c r="B2944" s="3">
        <v>2.1069404153243686E-5</v>
      </c>
      <c r="D2944" t="s">
        <v>14</v>
      </c>
      <c r="E2944" t="s">
        <v>9</v>
      </c>
      <c r="F2944" s="2" t="s">
        <v>15</v>
      </c>
      <c r="I2944" s="2"/>
    </row>
    <row r="2945" spans="1:9" customFormat="1" ht="16" x14ac:dyDescent="0.2">
      <c r="A2945" t="s">
        <v>55</v>
      </c>
      <c r="B2945" s="3">
        <v>1.1627900298644613E-9</v>
      </c>
      <c r="D2945" t="s">
        <v>14</v>
      </c>
      <c r="E2945" t="s">
        <v>9</v>
      </c>
      <c r="F2945" s="2" t="s">
        <v>15</v>
      </c>
      <c r="I2945" s="2"/>
    </row>
    <row r="2946" spans="1:9" customFormat="1" ht="16" x14ac:dyDescent="0.2">
      <c r="A2946" t="s">
        <v>56</v>
      </c>
      <c r="B2946" s="3">
        <v>2.3255800597289222E-12</v>
      </c>
      <c r="D2946" t="s">
        <v>14</v>
      </c>
      <c r="E2946" t="s">
        <v>9</v>
      </c>
      <c r="F2946" s="2" t="s">
        <v>15</v>
      </c>
      <c r="I2946" s="2"/>
    </row>
    <row r="2947" spans="1:9" customFormat="1" ht="16" x14ac:dyDescent="0.2">
      <c r="A2947" t="s">
        <v>57</v>
      </c>
      <c r="B2947" s="3">
        <v>3.9534861015391682E-8</v>
      </c>
      <c r="D2947" t="s">
        <v>14</v>
      </c>
      <c r="E2947" t="s">
        <v>9</v>
      </c>
      <c r="F2947" s="2" t="s">
        <v>15</v>
      </c>
      <c r="I2947" s="2"/>
    </row>
    <row r="2948" spans="1:9" customFormat="1" ht="16" x14ac:dyDescent="0.2">
      <c r="A2948" t="s">
        <v>150</v>
      </c>
      <c r="B2948" s="3">
        <v>7.1789570411210658E-8</v>
      </c>
      <c r="D2948" t="s">
        <v>14</v>
      </c>
      <c r="E2948" t="s">
        <v>9</v>
      </c>
      <c r="F2948" s="2" t="s">
        <v>15</v>
      </c>
      <c r="I2948" s="2"/>
    </row>
    <row r="2949" spans="1:9" customFormat="1" ht="16" x14ac:dyDescent="0.2">
      <c r="A2949" t="s">
        <v>58</v>
      </c>
      <c r="B2949" s="3">
        <v>1.1627900298644611E-6</v>
      </c>
      <c r="D2949" t="s">
        <v>14</v>
      </c>
      <c r="E2949" t="s">
        <v>9</v>
      </c>
      <c r="F2949" s="2" t="s">
        <v>15</v>
      </c>
      <c r="I2949" s="2"/>
    </row>
    <row r="2950" spans="1:9" customFormat="1" ht="16" x14ac:dyDescent="0.2">
      <c r="A2950" t="s">
        <v>59</v>
      </c>
      <c r="B2950" s="3">
        <v>3.646242366932188E-8</v>
      </c>
      <c r="D2950" t="s">
        <v>14</v>
      </c>
      <c r="E2950" t="s">
        <v>9</v>
      </c>
      <c r="F2950" s="2" t="s">
        <v>15</v>
      </c>
      <c r="I2950" s="2"/>
    </row>
    <row r="2951" spans="1:9" customFormat="1" ht="16" x14ac:dyDescent="0.2">
      <c r="A2951" t="s">
        <v>60</v>
      </c>
      <c r="B2951" s="3">
        <v>1.2114072625668476E-6</v>
      </c>
      <c r="D2951" t="s">
        <v>14</v>
      </c>
      <c r="E2951" t="s">
        <v>9</v>
      </c>
      <c r="F2951" s="2" t="s">
        <v>15</v>
      </c>
      <c r="I2951" s="2"/>
    </row>
    <row r="2952" spans="1:9" customFormat="1" ht="16" x14ac:dyDescent="0.2">
      <c r="A2952" t="s">
        <v>61</v>
      </c>
      <c r="B2952" s="3">
        <v>1.3252688602888143E-6</v>
      </c>
      <c r="D2952" t="s">
        <v>14</v>
      </c>
      <c r="E2952" t="s">
        <v>9</v>
      </c>
      <c r="F2952" s="2" t="s">
        <v>15</v>
      </c>
      <c r="I2952" s="2"/>
    </row>
    <row r="2953" spans="1:9" customFormat="1" ht="16" x14ac:dyDescent="0.2">
      <c r="A2953" t="s">
        <v>62</v>
      </c>
      <c r="B2953" s="3">
        <v>2.2087814338146904E-8</v>
      </c>
      <c r="D2953" t="s">
        <v>14</v>
      </c>
      <c r="E2953" t="s">
        <v>9</v>
      </c>
      <c r="F2953" s="2" t="s">
        <v>15</v>
      </c>
      <c r="I2953" s="2"/>
    </row>
    <row r="2954" spans="1:9" customFormat="1" ht="16" x14ac:dyDescent="0.2">
      <c r="A2954" t="s">
        <v>63</v>
      </c>
      <c r="B2954" s="3">
        <v>1.9186035492763611E-15</v>
      </c>
      <c r="D2954" t="s">
        <v>14</v>
      </c>
      <c r="E2954" t="s">
        <v>9</v>
      </c>
      <c r="F2954" s="2" t="s">
        <v>15</v>
      </c>
      <c r="I2954" s="2"/>
    </row>
    <row r="2955" spans="1:9" customFormat="1" ht="16" x14ac:dyDescent="0.2">
      <c r="A2955" t="s">
        <v>64</v>
      </c>
      <c r="B2955" s="3">
        <v>4.6511601194578451E-13</v>
      </c>
      <c r="D2955" t="s">
        <v>14</v>
      </c>
      <c r="E2955" t="s">
        <v>9</v>
      </c>
      <c r="F2955" s="2" t="s">
        <v>15</v>
      </c>
      <c r="I2955" s="2"/>
    </row>
    <row r="2956" spans="1:9" customFormat="1" ht="16" x14ac:dyDescent="0.2">
      <c r="A2956" t="s">
        <v>65</v>
      </c>
      <c r="B2956" s="3">
        <v>6.6447090752701953E-7</v>
      </c>
      <c r="D2956" t="s">
        <v>14</v>
      </c>
      <c r="E2956" t="s">
        <v>9</v>
      </c>
      <c r="F2956" s="2" t="s">
        <v>15</v>
      </c>
      <c r="I2956" s="2"/>
    </row>
    <row r="2957" spans="1:9" customFormat="1" ht="16" x14ac:dyDescent="0.2">
      <c r="A2957" t="s">
        <v>66</v>
      </c>
      <c r="B2957" s="3">
        <v>1.3252688602888143E-7</v>
      </c>
      <c r="D2957" t="s">
        <v>14</v>
      </c>
      <c r="E2957" t="s">
        <v>9</v>
      </c>
      <c r="F2957" s="2" t="s">
        <v>15</v>
      </c>
      <c r="I2957" s="2"/>
    </row>
    <row r="2958" spans="1:9" customFormat="1" ht="16" x14ac:dyDescent="0.2">
      <c r="A2958" t="s">
        <v>67</v>
      </c>
      <c r="B2958" s="3">
        <v>5.8566933256401625E-6</v>
      </c>
      <c r="D2958" t="s">
        <v>14</v>
      </c>
      <c r="E2958" t="s">
        <v>9</v>
      </c>
      <c r="F2958" s="2" t="s">
        <v>15</v>
      </c>
      <c r="I2958" s="2"/>
    </row>
    <row r="2959" spans="1:9" customFormat="1" ht="16" x14ac:dyDescent="0.2">
      <c r="A2959" t="s">
        <v>68</v>
      </c>
      <c r="B2959" s="3">
        <v>1.6279060418102458E-9</v>
      </c>
      <c r="D2959" t="s">
        <v>14</v>
      </c>
      <c r="E2959" t="s">
        <v>9</v>
      </c>
      <c r="F2959" s="2" t="s">
        <v>15</v>
      </c>
      <c r="I2959" s="2"/>
    </row>
    <row r="2960" spans="1:9" customFormat="1" ht="16" x14ac:dyDescent="0.2">
      <c r="A2960" t="s">
        <v>69</v>
      </c>
      <c r="B2960">
        <f>B2926/1000</f>
        <v>7.587186E-6</v>
      </c>
      <c r="D2960" t="s">
        <v>14</v>
      </c>
      <c r="E2960" t="s">
        <v>9</v>
      </c>
      <c r="F2960" s="2" t="s">
        <v>15</v>
      </c>
      <c r="I2960" s="2"/>
    </row>
    <row r="2961" spans="1:12" customFormat="1" ht="16" x14ac:dyDescent="0.2">
      <c r="A2961" t="s">
        <v>70</v>
      </c>
      <c r="B2961" s="3">
        <v>4.2883696301401334E-9</v>
      </c>
      <c r="D2961" t="s">
        <v>14</v>
      </c>
      <c r="E2961" t="s">
        <v>9</v>
      </c>
      <c r="F2961" s="2" t="s">
        <v>15</v>
      </c>
      <c r="I2961" s="2"/>
    </row>
    <row r="2962" spans="1:12" customFormat="1" ht="16" x14ac:dyDescent="0.2">
      <c r="A2962" t="s">
        <v>71</v>
      </c>
      <c r="B2962" s="3">
        <f>B2927/1000</f>
        <v>2.2136099999999999E-7</v>
      </c>
      <c r="D2962" t="s">
        <v>14</v>
      </c>
      <c r="E2962" t="s">
        <v>9</v>
      </c>
      <c r="F2962" s="2" t="s">
        <v>15</v>
      </c>
      <c r="I2962" s="2"/>
    </row>
    <row r="2963" spans="1:12" customFormat="1" ht="16" x14ac:dyDescent="0.2">
      <c r="A2963" t="s">
        <v>72</v>
      </c>
      <c r="B2963" s="3">
        <v>4.417562867629381E-9</v>
      </c>
      <c r="D2963" t="s">
        <v>14</v>
      </c>
      <c r="E2963" t="s">
        <v>9</v>
      </c>
      <c r="F2963" s="2" t="s">
        <v>15</v>
      </c>
      <c r="I2963" s="2"/>
    </row>
    <row r="2964" spans="1:12" customFormat="1" ht="16" x14ac:dyDescent="0.2">
      <c r="A2964" t="s">
        <v>73</v>
      </c>
      <c r="B2964" s="3">
        <v>1.2147463123534157E-8</v>
      </c>
      <c r="D2964" t="s">
        <v>14</v>
      </c>
      <c r="E2964" t="s">
        <v>9</v>
      </c>
      <c r="F2964" s="2" t="s">
        <v>15</v>
      </c>
      <c r="I2964" s="2"/>
    </row>
    <row r="2965" spans="1:12" customFormat="1" ht="16" x14ac:dyDescent="0.2">
      <c r="A2965" t="s">
        <v>74</v>
      </c>
      <c r="B2965" s="3">
        <v>3.9768082958024133E-7</v>
      </c>
      <c r="D2965" t="s">
        <v>14</v>
      </c>
      <c r="E2965" t="s">
        <v>9</v>
      </c>
      <c r="F2965" s="2" t="s">
        <v>15</v>
      </c>
      <c r="I2965" s="2"/>
    </row>
    <row r="2966" spans="1:12" customFormat="1" ht="16" x14ac:dyDescent="0.2">
      <c r="A2966" t="s">
        <v>75</v>
      </c>
      <c r="B2966" s="3">
        <v>2.3255800597289225E-10</v>
      </c>
      <c r="D2966" t="s">
        <v>14</v>
      </c>
      <c r="E2966" t="s">
        <v>9</v>
      </c>
      <c r="F2966" s="2" t="s">
        <v>15</v>
      </c>
      <c r="I2966" s="2"/>
    </row>
    <row r="2967" spans="1:12" customFormat="1" ht="16" x14ac:dyDescent="0.2">
      <c r="A2967" t="s">
        <v>76</v>
      </c>
      <c r="B2967" s="3">
        <v>4.0869969387591558E-8</v>
      </c>
      <c r="D2967" t="s">
        <v>14</v>
      </c>
      <c r="E2967" t="s">
        <v>9</v>
      </c>
      <c r="F2967" s="2" t="s">
        <v>15</v>
      </c>
      <c r="I2967" s="2"/>
    </row>
    <row r="2968" spans="1:12" customFormat="1" ht="16" x14ac:dyDescent="0.2">
      <c r="A2968" t="s">
        <v>77</v>
      </c>
      <c r="B2968" s="3">
        <v>4.651160119457845E-7</v>
      </c>
      <c r="D2968" t="s">
        <v>14</v>
      </c>
      <c r="E2968" t="s">
        <v>9</v>
      </c>
      <c r="F2968" s="2" t="s">
        <v>15</v>
      </c>
      <c r="I2968" s="2"/>
    </row>
    <row r="2969" spans="1:12" customFormat="1" ht="16" x14ac:dyDescent="0.2">
      <c r="A2969" t="s">
        <v>78</v>
      </c>
      <c r="B2969" s="3">
        <v>7.619711612948033E-8</v>
      </c>
      <c r="D2969" t="s">
        <v>14</v>
      </c>
      <c r="E2969" t="s">
        <v>9</v>
      </c>
      <c r="F2969" s="2" t="s">
        <v>15</v>
      </c>
      <c r="I2969" s="2"/>
    </row>
    <row r="2970" spans="1:12" customFormat="1" ht="16" x14ac:dyDescent="0.2">
      <c r="A2970" t="s">
        <v>79</v>
      </c>
      <c r="B2970" s="3">
        <v>2.3255800597289226E-8</v>
      </c>
      <c r="D2970" t="s">
        <v>14</v>
      </c>
      <c r="E2970" t="s">
        <v>9</v>
      </c>
      <c r="F2970" s="2" t="s">
        <v>15</v>
      </c>
      <c r="I2970" s="2"/>
    </row>
    <row r="2971" spans="1:12" customFormat="1" ht="16" x14ac:dyDescent="0.2">
      <c r="A2971" t="s">
        <v>80</v>
      </c>
      <c r="B2971" s="3">
        <v>6.7382024692940973E-8</v>
      </c>
      <c r="D2971" t="s">
        <v>14</v>
      </c>
      <c r="E2971" t="s">
        <v>9</v>
      </c>
      <c r="F2971" s="2" t="s">
        <v>15</v>
      </c>
      <c r="I2971" s="2"/>
    </row>
    <row r="2972" spans="1:12" customFormat="1" ht="16" x14ac:dyDescent="0.2">
      <c r="A2972" t="s">
        <v>81</v>
      </c>
      <c r="B2972" s="3">
        <v>2.9821053643838246E-8</v>
      </c>
      <c r="D2972" t="s">
        <v>14</v>
      </c>
      <c r="E2972" t="s">
        <v>9</v>
      </c>
      <c r="F2972" s="2" t="s">
        <v>15</v>
      </c>
      <c r="I2972" s="2"/>
    </row>
    <row r="2973" spans="1:12" customFormat="1" ht="16" x14ac:dyDescent="0.2">
      <c r="F2973" s="2"/>
      <c r="H2973" s="3"/>
    </row>
    <row r="2974" spans="1:12" x14ac:dyDescent="0.2">
      <c r="A2974" s="17" t="s">
        <v>2</v>
      </c>
      <c r="B2974" s="17" t="s">
        <v>414</v>
      </c>
    </row>
    <row r="2975" spans="1:12" customFormat="1" ht="16" x14ac:dyDescent="0.2">
      <c r="A2975" s="2" t="s">
        <v>3</v>
      </c>
      <c r="B2975" s="2" t="s">
        <v>18</v>
      </c>
      <c r="C2975" s="2"/>
      <c r="D2975" s="2"/>
      <c r="E2975" s="2"/>
      <c r="F2975" s="2"/>
      <c r="G2975" s="2"/>
      <c r="H2975" s="2"/>
      <c r="I2975" s="2"/>
      <c r="J2975" s="2"/>
      <c r="K2975" s="2"/>
      <c r="L2975" s="2"/>
    </row>
    <row r="2976" spans="1:12" customFormat="1" ht="16" x14ac:dyDescent="0.2">
      <c r="A2976" s="2" t="s">
        <v>4</v>
      </c>
      <c r="B2976" s="2">
        <v>1</v>
      </c>
      <c r="C2976" s="2"/>
      <c r="D2976" s="2"/>
      <c r="E2976" s="2"/>
      <c r="F2976" s="2"/>
      <c r="G2976" s="2"/>
      <c r="H2976" s="2"/>
      <c r="I2976" s="2"/>
      <c r="J2976" s="2"/>
      <c r="K2976" s="2"/>
      <c r="L2976" s="2"/>
    </row>
    <row r="2977" spans="1:12" customFormat="1" ht="16" x14ac:dyDescent="0.2">
      <c r="A2977" s="2" t="s">
        <v>5</v>
      </c>
      <c r="B2977" s="2" t="s">
        <v>1</v>
      </c>
      <c r="C2977" s="2"/>
      <c r="D2977" s="2"/>
      <c r="E2977" s="2"/>
      <c r="F2977" s="2"/>
      <c r="G2977" s="2"/>
      <c r="H2977" s="2"/>
      <c r="I2977" s="2"/>
      <c r="J2977" s="2"/>
    </row>
    <row r="2978" spans="1:12" customFormat="1" ht="16" x14ac:dyDescent="0.2">
      <c r="A2978" s="2" t="s">
        <v>6</v>
      </c>
      <c r="B2978" s="2" t="s">
        <v>7</v>
      </c>
      <c r="C2978" s="2"/>
      <c r="D2978" s="2"/>
      <c r="E2978" s="2"/>
      <c r="F2978" s="2"/>
      <c r="G2978" s="2"/>
      <c r="H2978" s="2"/>
      <c r="I2978" s="2"/>
      <c r="J2978" s="2"/>
      <c r="K2978" s="2"/>
      <c r="L2978" s="2"/>
    </row>
    <row r="2979" spans="1:12" customFormat="1" ht="16" x14ac:dyDescent="0.2">
      <c r="A2979" s="2" t="s">
        <v>8</v>
      </c>
      <c r="B2979" s="2" t="s">
        <v>17</v>
      </c>
      <c r="C2979" s="2"/>
      <c r="D2979" s="2"/>
      <c r="E2979" s="2"/>
      <c r="F2979" s="2"/>
      <c r="G2979" s="2"/>
      <c r="H2979" s="2"/>
      <c r="I2979" s="2"/>
      <c r="J2979" s="2"/>
      <c r="K2979" s="2"/>
      <c r="L2979" s="2"/>
    </row>
    <row r="2980" spans="1:12" customFormat="1" ht="16" x14ac:dyDescent="0.2">
      <c r="A2980" t="s">
        <v>352</v>
      </c>
      <c r="B2980" s="2">
        <v>126</v>
      </c>
      <c r="C2980" t="s">
        <v>312</v>
      </c>
      <c r="D2980" s="2"/>
      <c r="E2980" s="2"/>
      <c r="F2980" s="2"/>
      <c r="G2980" s="2"/>
      <c r="H2980" s="2"/>
      <c r="I2980" s="2"/>
      <c r="J2980" s="2"/>
      <c r="K2980" s="2"/>
      <c r="L2980" s="2"/>
    </row>
    <row r="2981" spans="1:12" customFormat="1" ht="16" x14ac:dyDescent="0.2">
      <c r="A2981" t="s">
        <v>353</v>
      </c>
      <c r="B2981" s="2">
        <v>54</v>
      </c>
      <c r="C2981" t="s">
        <v>312</v>
      </c>
      <c r="D2981" s="2"/>
      <c r="E2981" s="2"/>
      <c r="F2981" s="2"/>
      <c r="G2981" s="2"/>
      <c r="H2981" s="2"/>
      <c r="I2981" s="2"/>
      <c r="J2981" s="2"/>
      <c r="K2981" s="2"/>
      <c r="L2981" s="2"/>
    </row>
    <row r="2982" spans="1:12" customFormat="1" ht="16" x14ac:dyDescent="0.2">
      <c r="A2982" t="s">
        <v>354</v>
      </c>
      <c r="B2982" s="2">
        <v>158</v>
      </c>
      <c r="C2982" t="s">
        <v>312</v>
      </c>
      <c r="D2982" s="2"/>
      <c r="E2982" s="2"/>
      <c r="F2982" s="2"/>
      <c r="G2982" s="2"/>
      <c r="H2982" s="2"/>
      <c r="I2982" s="2"/>
      <c r="J2982" s="2"/>
      <c r="K2982" s="2"/>
      <c r="L2982" s="2"/>
    </row>
    <row r="2983" spans="1:12" customFormat="1" ht="16" x14ac:dyDescent="0.2">
      <c r="A2983" t="s">
        <v>316</v>
      </c>
      <c r="B2983" s="24">
        <v>200000</v>
      </c>
      <c r="C2983" t="s">
        <v>313</v>
      </c>
      <c r="D2983" s="2"/>
      <c r="E2983" s="2"/>
      <c r="F2983" s="2"/>
      <c r="G2983" s="2"/>
      <c r="H2983" s="2"/>
      <c r="I2983" s="2"/>
      <c r="J2983" s="2"/>
      <c r="K2983" s="2"/>
      <c r="L2983" s="2"/>
    </row>
    <row r="2984" spans="1:12" customFormat="1" ht="16" x14ac:dyDescent="0.2">
      <c r="A2984" t="s">
        <v>317</v>
      </c>
      <c r="B2984" s="24">
        <v>160000</v>
      </c>
      <c r="C2984" t="s">
        <v>313</v>
      </c>
      <c r="D2984" s="2"/>
      <c r="E2984" s="2"/>
      <c r="F2984" s="2"/>
      <c r="G2984" s="2"/>
      <c r="H2984" s="2"/>
      <c r="I2984" s="2"/>
      <c r="J2984" s="2"/>
      <c r="K2984" s="2"/>
      <c r="L2984" s="2"/>
    </row>
    <row r="2985" spans="1:12" customFormat="1" ht="16" x14ac:dyDescent="0.2">
      <c r="A2985" t="s">
        <v>318</v>
      </c>
      <c r="B2985" s="24">
        <v>250000</v>
      </c>
      <c r="C2985" t="s">
        <v>313</v>
      </c>
      <c r="D2985" s="2"/>
      <c r="E2985" s="2"/>
      <c r="F2985" s="2"/>
      <c r="G2985" s="2"/>
      <c r="H2985" s="2"/>
      <c r="I2985" s="2"/>
      <c r="J2985" s="2"/>
      <c r="K2985" s="2"/>
      <c r="L2985" s="2"/>
    </row>
    <row r="2986" spans="1:12" customFormat="1" ht="16" x14ac:dyDescent="0.2">
      <c r="A2986" t="s">
        <v>319</v>
      </c>
      <c r="B2986" s="2">
        <v>2250</v>
      </c>
      <c r="C2986" t="s">
        <v>314</v>
      </c>
      <c r="D2986" s="2"/>
      <c r="E2986" s="2"/>
      <c r="F2986" s="2"/>
      <c r="G2986" s="2"/>
      <c r="H2986" s="2"/>
      <c r="I2986" s="2"/>
      <c r="J2986" s="2"/>
      <c r="K2986" s="2"/>
      <c r="L2986" s="2"/>
    </row>
    <row r="2987" spans="1:12" customFormat="1" ht="16" x14ac:dyDescent="0.2">
      <c r="A2987" t="s">
        <v>320</v>
      </c>
      <c r="B2987" s="2">
        <v>1500</v>
      </c>
      <c r="C2987" t="s">
        <v>314</v>
      </c>
      <c r="D2987" s="2"/>
      <c r="E2987" s="2"/>
      <c r="F2987" s="2"/>
      <c r="G2987" s="2"/>
      <c r="H2987" s="2"/>
      <c r="I2987" s="2"/>
      <c r="J2987" s="2"/>
      <c r="K2987" s="2"/>
      <c r="L2987" s="2"/>
    </row>
    <row r="2988" spans="1:12" customFormat="1" ht="16" x14ac:dyDescent="0.2">
      <c r="A2988" t="s">
        <v>321</v>
      </c>
      <c r="B2988" s="2">
        <v>2900</v>
      </c>
      <c r="C2988" t="s">
        <v>314</v>
      </c>
      <c r="D2988" s="2"/>
      <c r="E2988" s="2"/>
      <c r="F2988" s="2"/>
      <c r="G2988" s="2"/>
      <c r="H2988" s="2"/>
      <c r="I2988" s="2"/>
      <c r="J2988" s="2"/>
      <c r="K2988" s="2"/>
      <c r="L2988" s="2"/>
    </row>
    <row r="2989" spans="1:12" customFormat="1" ht="16" x14ac:dyDescent="0.2">
      <c r="A2989" t="s">
        <v>337</v>
      </c>
      <c r="B2989" s="2">
        <v>0</v>
      </c>
      <c r="C2989" t="s">
        <v>336</v>
      </c>
      <c r="D2989" s="2"/>
      <c r="E2989" s="2"/>
      <c r="F2989" s="2"/>
      <c r="G2989" s="2"/>
      <c r="H2989" s="2"/>
      <c r="I2989" s="2"/>
      <c r="J2989" s="2"/>
      <c r="K2989" s="2"/>
      <c r="L2989" s="2"/>
    </row>
    <row r="2990" spans="1:12" customFormat="1" ht="16" x14ac:dyDescent="0.2">
      <c r="A2990" t="s">
        <v>338</v>
      </c>
      <c r="B2990" s="2">
        <v>0</v>
      </c>
      <c r="C2990" t="s">
        <v>336</v>
      </c>
      <c r="D2990" s="2"/>
      <c r="E2990" s="2"/>
      <c r="F2990" s="2"/>
      <c r="G2990" s="2"/>
      <c r="H2990" s="2"/>
      <c r="I2990" s="2"/>
      <c r="J2990" s="2"/>
      <c r="K2990" s="2"/>
      <c r="L2990" s="2"/>
    </row>
    <row r="2991" spans="1:12" customFormat="1" ht="16" x14ac:dyDescent="0.2">
      <c r="A2991" t="s">
        <v>339</v>
      </c>
      <c r="B2991" s="2">
        <v>0</v>
      </c>
      <c r="C2991" t="s">
        <v>336</v>
      </c>
      <c r="D2991" s="2"/>
      <c r="E2991" s="2"/>
      <c r="F2991" s="2"/>
      <c r="G2991" s="2"/>
      <c r="H2991" s="2"/>
      <c r="I2991" s="2"/>
      <c r="J2991" s="2"/>
      <c r="K2991" s="2"/>
      <c r="L2991" s="2"/>
    </row>
    <row r="2992" spans="1:12" customFormat="1" ht="16" x14ac:dyDescent="0.2">
      <c r="A2992" t="s">
        <v>340</v>
      </c>
      <c r="B2992" s="2">
        <v>169</v>
      </c>
      <c r="C2992" t="s">
        <v>336</v>
      </c>
      <c r="D2992" s="2"/>
      <c r="E2992" s="2"/>
      <c r="F2992" s="2"/>
      <c r="G2992" s="2"/>
      <c r="H2992" s="2"/>
      <c r="I2992" s="2"/>
      <c r="J2992" s="2"/>
      <c r="K2992" s="2"/>
      <c r="L2992" s="2"/>
    </row>
    <row r="2993" spans="1:12" customFormat="1" ht="16" x14ac:dyDescent="0.2">
      <c r="A2993" t="s">
        <v>341</v>
      </c>
      <c r="B2993" s="2">
        <v>111</v>
      </c>
      <c r="C2993" t="s">
        <v>336</v>
      </c>
      <c r="D2993" s="2"/>
      <c r="E2993" s="2"/>
      <c r="F2993" s="2"/>
      <c r="G2993" s="2"/>
      <c r="H2993" s="2"/>
      <c r="I2993" s="2"/>
      <c r="J2993" s="2"/>
      <c r="K2993" s="2"/>
      <c r="L2993" s="2"/>
    </row>
    <row r="2994" spans="1:12" customFormat="1" ht="16" x14ac:dyDescent="0.2">
      <c r="A2994" t="s">
        <v>342</v>
      </c>
      <c r="B2994" s="2">
        <v>194</v>
      </c>
      <c r="C2994" t="s">
        <v>336</v>
      </c>
      <c r="D2994" s="2"/>
      <c r="E2994" s="2"/>
      <c r="F2994" s="2"/>
      <c r="G2994" s="2"/>
      <c r="H2994" s="2"/>
      <c r="I2994" s="2"/>
      <c r="J2994" s="2"/>
      <c r="K2994" s="2"/>
      <c r="L2994" s="2"/>
    </row>
    <row r="2995" spans="1:12" customFormat="1" ht="16" x14ac:dyDescent="0.2">
      <c r="A2995" t="s">
        <v>333</v>
      </c>
      <c r="B2995" s="2">
        <v>48</v>
      </c>
      <c r="C2995" t="s">
        <v>336</v>
      </c>
      <c r="D2995" s="2"/>
      <c r="E2995" s="2"/>
      <c r="F2995" s="2"/>
      <c r="G2995" s="2"/>
      <c r="H2995" s="2"/>
      <c r="I2995" s="2"/>
      <c r="J2995" s="2"/>
      <c r="K2995" s="2"/>
      <c r="L2995" s="2"/>
    </row>
    <row r="2996" spans="1:12" customFormat="1" ht="16" x14ac:dyDescent="0.2">
      <c r="A2996" t="s">
        <v>334</v>
      </c>
      <c r="B2996" s="2">
        <v>30</v>
      </c>
      <c r="C2996" t="s">
        <v>336</v>
      </c>
      <c r="D2996" s="2"/>
      <c r="E2996" s="2"/>
      <c r="F2996" s="2"/>
      <c r="G2996" s="2"/>
      <c r="H2996" s="2"/>
      <c r="I2996" s="2"/>
      <c r="J2996" s="2"/>
      <c r="K2996" s="2"/>
      <c r="L2996" s="2"/>
    </row>
    <row r="2997" spans="1:12" customFormat="1" ht="16" x14ac:dyDescent="0.2">
      <c r="A2997" t="s">
        <v>335</v>
      </c>
      <c r="B2997" s="2">
        <v>48</v>
      </c>
      <c r="C2997" t="s">
        <v>336</v>
      </c>
      <c r="D2997" s="2"/>
      <c r="E2997" s="2"/>
      <c r="F2997" s="2"/>
      <c r="G2997" s="2"/>
      <c r="H2997" s="2"/>
      <c r="I2997" s="2"/>
      <c r="J2997" s="2"/>
      <c r="K2997" s="2"/>
      <c r="L2997" s="2"/>
    </row>
    <row r="2998" spans="1:12" customFormat="1" ht="16" x14ac:dyDescent="0.2">
      <c r="A2998" t="s">
        <v>322</v>
      </c>
      <c r="B2998" s="2">
        <v>0</v>
      </c>
      <c r="C2998" t="s">
        <v>315</v>
      </c>
      <c r="D2998" s="2"/>
      <c r="E2998" s="2"/>
      <c r="F2998" s="2"/>
      <c r="G2998" s="2"/>
      <c r="H2998" s="2"/>
      <c r="I2998" s="2"/>
      <c r="J2998" s="2"/>
      <c r="K2998" s="2"/>
      <c r="L2998" s="2"/>
    </row>
    <row r="2999" spans="1:12" customFormat="1" ht="16" x14ac:dyDescent="0.2">
      <c r="A2999" t="s">
        <v>323</v>
      </c>
      <c r="B2999" s="2">
        <v>0</v>
      </c>
      <c r="C2999" t="s">
        <v>315</v>
      </c>
      <c r="D2999" s="2"/>
      <c r="E2999" s="2"/>
      <c r="F2999" s="2"/>
      <c r="G2999" s="2"/>
      <c r="H2999" s="2"/>
      <c r="I2999" s="2"/>
      <c r="J2999" s="2"/>
      <c r="K2999" s="2"/>
      <c r="L2999" s="2"/>
    </row>
    <row r="3000" spans="1:12" customFormat="1" ht="16" x14ac:dyDescent="0.2">
      <c r="A3000" t="s">
        <v>324</v>
      </c>
      <c r="B3000" s="2">
        <v>0</v>
      </c>
      <c r="C3000" t="s">
        <v>315</v>
      </c>
      <c r="D3000" s="2"/>
      <c r="E3000" s="2"/>
      <c r="F3000" s="2"/>
      <c r="G3000" s="2"/>
      <c r="H3000" s="2"/>
      <c r="I3000" s="2"/>
      <c r="J3000" s="2"/>
      <c r="K3000" s="2"/>
      <c r="L3000" s="2"/>
    </row>
    <row r="3001" spans="1:12" customFormat="1" ht="16" x14ac:dyDescent="0.2">
      <c r="A3001" t="s">
        <v>330</v>
      </c>
      <c r="B3001" s="2">
        <v>0</v>
      </c>
      <c r="C3001" t="s">
        <v>8</v>
      </c>
      <c r="D3001" s="2"/>
      <c r="E3001" s="2"/>
      <c r="F3001" s="2"/>
      <c r="G3001" s="2"/>
      <c r="H3001" s="2"/>
      <c r="I3001" s="2"/>
      <c r="J3001" s="2"/>
      <c r="K3001" s="2"/>
      <c r="L3001" s="2"/>
    </row>
    <row r="3002" spans="1:12" customFormat="1" ht="16" x14ac:dyDescent="0.2">
      <c r="A3002" t="s">
        <v>331</v>
      </c>
      <c r="B3002" s="2">
        <v>0</v>
      </c>
      <c r="C3002" t="s">
        <v>8</v>
      </c>
      <c r="D3002" s="2"/>
      <c r="E3002" s="2"/>
      <c r="F3002" s="2"/>
      <c r="G3002" s="2"/>
      <c r="H3002" s="2"/>
      <c r="I3002" s="2"/>
      <c r="J3002" s="2"/>
      <c r="K3002" s="2"/>
      <c r="L3002" s="2"/>
    </row>
    <row r="3003" spans="1:12" customFormat="1" ht="16" x14ac:dyDescent="0.2">
      <c r="A3003" t="s">
        <v>332</v>
      </c>
      <c r="B3003" s="2">
        <v>0</v>
      </c>
      <c r="C3003" t="s">
        <v>8</v>
      </c>
      <c r="D3003" s="2"/>
      <c r="E3003" s="2"/>
      <c r="F3003" s="2"/>
      <c r="G3003" s="2"/>
      <c r="H3003" s="2"/>
      <c r="I3003" s="2"/>
      <c r="J3003" s="2"/>
      <c r="K3003" s="2"/>
      <c r="L3003" s="2"/>
    </row>
    <row r="3004" spans="1:12" customFormat="1" ht="16" x14ac:dyDescent="0.2">
      <c r="A3004" t="s">
        <v>346</v>
      </c>
      <c r="B3004" s="2">
        <v>0</v>
      </c>
      <c r="C3004" t="s">
        <v>312</v>
      </c>
      <c r="D3004" s="2"/>
      <c r="E3004" s="2"/>
      <c r="F3004" s="2"/>
      <c r="G3004" s="2"/>
      <c r="H3004" s="2"/>
      <c r="I3004" s="2"/>
      <c r="J3004" s="2"/>
      <c r="K3004" s="2"/>
      <c r="L3004" s="2"/>
    </row>
    <row r="3005" spans="1:12" customFormat="1" ht="16" x14ac:dyDescent="0.2">
      <c r="A3005" t="s">
        <v>347</v>
      </c>
      <c r="B3005" s="2">
        <v>0</v>
      </c>
      <c r="C3005" t="s">
        <v>312</v>
      </c>
      <c r="D3005" s="2"/>
      <c r="E3005" s="12"/>
      <c r="F3005" s="2"/>
      <c r="G3005" s="2"/>
      <c r="H3005" s="2"/>
      <c r="I3005" s="2"/>
      <c r="J3005" s="2"/>
      <c r="K3005" s="2"/>
      <c r="L3005" s="2"/>
    </row>
    <row r="3006" spans="1:12" customFormat="1" ht="16" x14ac:dyDescent="0.2">
      <c r="A3006" t="s">
        <v>348</v>
      </c>
      <c r="B3006" s="2">
        <v>0</v>
      </c>
      <c r="C3006" t="s">
        <v>312</v>
      </c>
      <c r="D3006" s="2"/>
      <c r="E3006" s="2"/>
      <c r="F3006" s="2"/>
      <c r="G3006" s="2"/>
      <c r="H3006" s="2"/>
      <c r="I3006" s="2"/>
      <c r="J3006" s="2"/>
      <c r="K3006" s="2"/>
      <c r="L3006" s="2"/>
    </row>
    <row r="3007" spans="1:12" customFormat="1" ht="16" x14ac:dyDescent="0.2">
      <c r="A3007" t="s">
        <v>349</v>
      </c>
      <c r="B3007" s="2">
        <v>0</v>
      </c>
      <c r="C3007" t="s">
        <v>8</v>
      </c>
      <c r="D3007" s="2"/>
      <c r="E3007" s="2"/>
      <c r="F3007" s="2"/>
      <c r="G3007" s="2"/>
      <c r="H3007" s="2"/>
      <c r="I3007" s="2"/>
      <c r="J3007" s="2"/>
      <c r="K3007" s="2"/>
      <c r="L3007" s="2"/>
    </row>
    <row r="3008" spans="1:12" customFormat="1" ht="16" x14ac:dyDescent="0.2">
      <c r="A3008" t="s">
        <v>350</v>
      </c>
      <c r="B3008" s="2">
        <v>0</v>
      </c>
      <c r="C3008" t="s">
        <v>8</v>
      </c>
      <c r="D3008" s="2"/>
      <c r="E3008" s="2"/>
      <c r="F3008" s="2"/>
      <c r="G3008" s="2"/>
      <c r="H3008" s="2"/>
      <c r="I3008" s="2"/>
      <c r="J3008" s="2"/>
      <c r="K3008" s="2"/>
      <c r="L3008" s="2"/>
    </row>
    <row r="3009" spans="1:12" customFormat="1" ht="16" x14ac:dyDescent="0.2">
      <c r="A3009" t="s">
        <v>351</v>
      </c>
      <c r="B3009" s="2">
        <v>0</v>
      </c>
      <c r="C3009" t="s">
        <v>8</v>
      </c>
      <c r="D3009" s="2"/>
      <c r="E3009" s="2"/>
      <c r="F3009" s="2"/>
      <c r="G3009" s="2"/>
      <c r="H3009" s="2"/>
      <c r="I3009" s="2"/>
      <c r="J3009" s="2"/>
      <c r="K3009" s="2"/>
      <c r="L3009" s="2"/>
    </row>
    <row r="3010" spans="1:12" customFormat="1" ht="16" x14ac:dyDescent="0.2">
      <c r="A3010" t="s">
        <v>365</v>
      </c>
      <c r="B3010" s="2">
        <v>0</v>
      </c>
      <c r="C3010" t="s">
        <v>336</v>
      </c>
      <c r="D3010" s="2"/>
      <c r="E3010" s="2"/>
      <c r="F3010" s="2"/>
      <c r="G3010" s="2"/>
      <c r="H3010" s="2"/>
      <c r="I3010" s="2"/>
      <c r="J3010" s="2"/>
      <c r="K3010" s="2"/>
      <c r="L3010" s="2"/>
    </row>
    <row r="3011" spans="1:12" customFormat="1" ht="16" x14ac:dyDescent="0.2">
      <c r="A3011" t="s">
        <v>366</v>
      </c>
      <c r="B3011" s="2">
        <v>0</v>
      </c>
      <c r="C3011" t="s">
        <v>336</v>
      </c>
      <c r="D3011" s="2"/>
      <c r="E3011" s="2"/>
      <c r="F3011" s="2"/>
      <c r="G3011" s="2"/>
      <c r="H3011" s="2"/>
      <c r="I3011" s="2"/>
      <c r="J3011" s="2"/>
      <c r="K3011" s="2"/>
      <c r="L3011" s="2"/>
    </row>
    <row r="3012" spans="1:12" customFormat="1" ht="16" x14ac:dyDescent="0.2">
      <c r="A3012" t="s">
        <v>367</v>
      </c>
      <c r="B3012" s="2">
        <v>0</v>
      </c>
      <c r="C3012" t="s">
        <v>336</v>
      </c>
      <c r="D3012" s="2"/>
      <c r="E3012" s="2"/>
      <c r="F3012" s="2"/>
      <c r="G3012" s="2"/>
      <c r="H3012" s="2"/>
      <c r="I3012" s="2"/>
      <c r="J3012" s="2"/>
      <c r="K3012" s="2"/>
      <c r="L3012" s="2"/>
    </row>
    <row r="3013" spans="1:12" customFormat="1" ht="16" x14ac:dyDescent="0.2">
      <c r="A3013" t="s">
        <v>368</v>
      </c>
      <c r="B3013" s="2">
        <v>0</v>
      </c>
      <c r="C3013" t="s">
        <v>336</v>
      </c>
      <c r="D3013" s="2"/>
      <c r="E3013" s="2"/>
      <c r="F3013" s="2"/>
      <c r="G3013" s="2"/>
      <c r="H3013" s="2"/>
      <c r="I3013" s="2"/>
      <c r="J3013" s="2"/>
      <c r="K3013" s="2"/>
      <c r="L3013" s="2"/>
    </row>
    <row r="3014" spans="1:12" customFormat="1" ht="16" x14ac:dyDescent="0.2">
      <c r="A3014" t="s">
        <v>369</v>
      </c>
      <c r="B3014" s="2">
        <v>0</v>
      </c>
      <c r="C3014" t="s">
        <v>336</v>
      </c>
      <c r="D3014" s="2"/>
      <c r="E3014" s="2"/>
      <c r="F3014" s="2"/>
      <c r="G3014" s="2"/>
      <c r="H3014" s="2"/>
      <c r="I3014" s="2"/>
      <c r="J3014" s="2"/>
      <c r="K3014" s="2"/>
      <c r="L3014" s="2"/>
    </row>
    <row r="3015" spans="1:12" customFormat="1" ht="16" x14ac:dyDescent="0.2">
      <c r="A3015" t="s">
        <v>344</v>
      </c>
      <c r="B3015" s="12">
        <v>7.5871860000000001E-3</v>
      </c>
      <c r="C3015" t="s">
        <v>345</v>
      </c>
      <c r="D3015" s="2"/>
      <c r="E3015" s="2"/>
      <c r="F3015" s="2"/>
      <c r="G3015" s="2"/>
      <c r="H3015" s="2"/>
      <c r="I3015" s="2"/>
      <c r="J3015" s="2"/>
      <c r="K3015" s="2"/>
      <c r="L3015" s="2"/>
    </row>
    <row r="3016" spans="1:12" customFormat="1" ht="16" x14ac:dyDescent="0.2">
      <c r="A3016" t="s">
        <v>343</v>
      </c>
      <c r="B3016" s="12">
        <v>2.21361E-4</v>
      </c>
      <c r="C3016" t="s">
        <v>345</v>
      </c>
      <c r="D3016" s="2"/>
      <c r="E3016" s="2"/>
      <c r="F3016" s="2"/>
      <c r="G3016" s="2"/>
      <c r="H3016" s="2"/>
      <c r="I3016" s="2"/>
      <c r="J3016" s="2"/>
      <c r="K3016" s="2"/>
      <c r="L3016" s="2"/>
    </row>
    <row r="3017" spans="1:12" customFormat="1" ht="16" x14ac:dyDescent="0.2">
      <c r="A3017" s="1" t="s">
        <v>10</v>
      </c>
      <c r="B3017" s="2"/>
      <c r="C3017" s="2"/>
      <c r="D3017" s="2"/>
      <c r="E3017" s="2"/>
      <c r="F3017" s="2"/>
      <c r="G3017" s="2"/>
      <c r="H3017" s="2"/>
      <c r="I3017" s="2"/>
      <c r="J3017" s="2"/>
      <c r="K3017" s="2"/>
      <c r="L3017" s="2"/>
    </row>
    <row r="3018" spans="1:12" x14ac:dyDescent="0.2">
      <c r="A3018" s="17" t="s">
        <v>11</v>
      </c>
      <c r="B3018" s="17" t="s">
        <v>12</v>
      </c>
      <c r="C3018" s="17" t="s">
        <v>3</v>
      </c>
      <c r="D3018" s="17" t="s">
        <v>13</v>
      </c>
      <c r="E3018" s="17" t="s">
        <v>8</v>
      </c>
      <c r="F3018" s="17" t="s">
        <v>6</v>
      </c>
      <c r="G3018" s="17" t="s">
        <v>5</v>
      </c>
      <c r="H3018" s="17" t="s">
        <v>151</v>
      </c>
      <c r="I3018" s="17" t="s">
        <v>179</v>
      </c>
      <c r="J3018" s="17" t="s">
        <v>180</v>
      </c>
      <c r="K3018" s="17" t="s">
        <v>181</v>
      </c>
      <c r="L3018" s="17" t="s">
        <v>182</v>
      </c>
    </row>
    <row r="3019" spans="1:12" customFormat="1" ht="16" x14ac:dyDescent="0.2">
      <c r="A3019" s="2" t="str">
        <f>B2974</f>
        <v>biodiesel, from residual oily biomass, burned in passenger car</v>
      </c>
      <c r="B3019" s="2">
        <v>1</v>
      </c>
      <c r="C3019" s="2" t="str">
        <f>B2975</f>
        <v>RER</v>
      </c>
      <c r="D3019" s="2"/>
      <c r="E3019" s="2" t="str">
        <f>B2979</f>
        <v>megajoule</v>
      </c>
      <c r="F3019" s="2" t="s">
        <v>19</v>
      </c>
      <c r="G3019" s="2" t="str">
        <f>B2977</f>
        <v>heat</v>
      </c>
      <c r="H3019" s="2"/>
      <c r="I3019" s="2"/>
      <c r="J3019" s="2"/>
      <c r="K3019" s="2"/>
      <c r="L3019" s="2"/>
    </row>
    <row r="3020" spans="1:12" customFormat="1" ht="16" x14ac:dyDescent="0.2">
      <c r="A3020" s="2" t="s">
        <v>175</v>
      </c>
      <c r="B3020">
        <f>1/43</f>
        <v>2.3255813953488372E-2</v>
      </c>
      <c r="C3020" t="s">
        <v>18</v>
      </c>
      <c r="E3020" t="s">
        <v>9</v>
      </c>
      <c r="F3020" t="s">
        <v>23</v>
      </c>
      <c r="G3020" t="s">
        <v>176</v>
      </c>
      <c r="I3020" s="2"/>
    </row>
    <row r="3021" spans="1:12" customFormat="1" ht="16" x14ac:dyDescent="0.2">
      <c r="A3021" s="2" t="s">
        <v>143</v>
      </c>
      <c r="B3021" s="27">
        <f>(B2992/B2983)/(B2986/1000)</f>
        <v>3.7555555555555557E-4</v>
      </c>
      <c r="C3021" t="s">
        <v>114</v>
      </c>
      <c r="E3021" t="s">
        <v>9</v>
      </c>
      <c r="F3021" t="s">
        <v>23</v>
      </c>
      <c r="G3021" t="s">
        <v>144</v>
      </c>
      <c r="I3021" s="2">
        <v>5</v>
      </c>
      <c r="J3021" s="27">
        <f>B3021</f>
        <v>3.7555555555555557E-4</v>
      </c>
      <c r="K3021" s="3">
        <f>(B2993/B2985)/(B2988/1000)</f>
        <v>1.5310344827586207E-4</v>
      </c>
      <c r="L3021" s="3">
        <f>(B2994/B2984)/(B2987/1000)</f>
        <v>8.0833333333333332E-4</v>
      </c>
    </row>
    <row r="3022" spans="1:12" customFormat="1" ht="16" x14ac:dyDescent="0.2">
      <c r="A3022" s="2" t="s">
        <v>358</v>
      </c>
      <c r="B3022" s="3">
        <f>(B2995/B2983)/(B2986/1000)</f>
        <v>1.0666666666666667E-4</v>
      </c>
      <c r="C3022" t="s">
        <v>114</v>
      </c>
      <c r="E3022" t="s">
        <v>9</v>
      </c>
      <c r="F3022" t="s">
        <v>23</v>
      </c>
      <c r="G3022" s="2" t="s">
        <v>357</v>
      </c>
      <c r="H3022" s="2" t="s">
        <v>361</v>
      </c>
      <c r="I3022">
        <v>5</v>
      </c>
      <c r="J3022" s="27">
        <f>B3022</f>
        <v>1.0666666666666667E-4</v>
      </c>
      <c r="K3022" s="3">
        <f>J3022*0.8</f>
        <v>8.5333333333333339E-5</v>
      </c>
      <c r="L3022" s="3">
        <f>J3022*1.2</f>
        <v>1.2799999999999999E-4</v>
      </c>
    </row>
    <row r="3023" spans="1:12" customFormat="1" ht="16" x14ac:dyDescent="0.2">
      <c r="A3023" s="2" t="s">
        <v>359</v>
      </c>
      <c r="B3023" s="3">
        <f>B3022</f>
        <v>1.0666666666666667E-4</v>
      </c>
      <c r="C3023" t="s">
        <v>114</v>
      </c>
      <c r="E3023" t="s">
        <v>9</v>
      </c>
      <c r="F3023" t="s">
        <v>23</v>
      </c>
      <c r="G3023" s="2" t="s">
        <v>360</v>
      </c>
      <c r="H3023" s="2" t="s">
        <v>361</v>
      </c>
      <c r="I3023">
        <v>5</v>
      </c>
      <c r="J3023" s="27">
        <f>B3023</f>
        <v>1.0666666666666667E-4</v>
      </c>
      <c r="K3023" s="3">
        <f>K3022</f>
        <v>8.5333333333333339E-5</v>
      </c>
      <c r="L3023" s="3">
        <f>L3022</f>
        <v>1.2799999999999999E-4</v>
      </c>
    </row>
    <row r="3024" spans="1:12" customFormat="1" ht="16" x14ac:dyDescent="0.2">
      <c r="A3024" t="s">
        <v>45</v>
      </c>
      <c r="B3024" s="3">
        <v>7.1455665432553858E-7</v>
      </c>
      <c r="D3024" t="s">
        <v>14</v>
      </c>
      <c r="E3024" t="s">
        <v>9</v>
      </c>
      <c r="F3024" s="2" t="s">
        <v>15</v>
      </c>
      <c r="I3024" s="2"/>
    </row>
    <row r="3025" spans="1:9" customFormat="1" ht="16" x14ac:dyDescent="0.2">
      <c r="A3025" t="s">
        <v>46</v>
      </c>
      <c r="B3025" s="3">
        <v>3.2468920124586623E-7</v>
      </c>
      <c r="D3025" t="s">
        <v>14</v>
      </c>
      <c r="E3025" t="s">
        <v>9</v>
      </c>
      <c r="F3025" s="2" t="s">
        <v>15</v>
      </c>
      <c r="I3025" s="2"/>
    </row>
    <row r="3026" spans="1:9" customFormat="1" ht="16" x14ac:dyDescent="0.2">
      <c r="A3026" t="s">
        <v>47</v>
      </c>
      <c r="B3026" s="3">
        <v>3.9534349472964383E-7</v>
      </c>
      <c r="D3026" t="s">
        <v>14</v>
      </c>
      <c r="E3026" t="s">
        <v>9</v>
      </c>
      <c r="F3026" s="2" t="s">
        <v>15</v>
      </c>
      <c r="I3026" s="2"/>
    </row>
    <row r="3027" spans="1:9" customFormat="1" ht="16" x14ac:dyDescent="0.2">
      <c r="A3027" t="s">
        <v>48</v>
      </c>
      <c r="B3027" s="3">
        <v>3.7209280955662761E-7</v>
      </c>
      <c r="D3027" t="s">
        <v>14</v>
      </c>
      <c r="E3027" t="s">
        <v>9</v>
      </c>
      <c r="F3027" s="2" t="s">
        <v>15</v>
      </c>
      <c r="I3027" s="2"/>
    </row>
    <row r="3028" spans="1:9" customFormat="1" ht="16" x14ac:dyDescent="0.2">
      <c r="A3028" t="s">
        <v>49</v>
      </c>
      <c r="B3028" s="3">
        <v>9.4995966427857817E-8</v>
      </c>
      <c r="D3028" t="s">
        <v>14</v>
      </c>
      <c r="E3028" t="s">
        <v>9</v>
      </c>
      <c r="F3028" s="2" t="s">
        <v>15</v>
      </c>
      <c r="I3028" s="2"/>
    </row>
    <row r="3029" spans="1:9" customFormat="1" ht="16" x14ac:dyDescent="0.2">
      <c r="A3029" t="s">
        <v>50</v>
      </c>
      <c r="B3029" s="3">
        <v>2.186743705223342E-7</v>
      </c>
      <c r="D3029" t="s">
        <v>14</v>
      </c>
      <c r="E3029" t="s">
        <v>9</v>
      </c>
      <c r="F3029" s="2" t="s">
        <v>15</v>
      </c>
      <c r="I3029" s="2"/>
    </row>
    <row r="3030" spans="1:9" customFormat="1" ht="16" x14ac:dyDescent="0.2">
      <c r="A3030" t="s">
        <v>51</v>
      </c>
      <c r="B3030" s="3">
        <v>1.2147463123534157E-8</v>
      </c>
      <c r="D3030" t="s">
        <v>14</v>
      </c>
      <c r="E3030" t="s">
        <v>9</v>
      </c>
      <c r="F3030" s="2" t="s">
        <v>15</v>
      </c>
      <c r="I3030" s="2"/>
    </row>
    <row r="3031" spans="1:9" customFormat="1" ht="16" x14ac:dyDescent="0.2">
      <c r="A3031" t="s">
        <v>52</v>
      </c>
      <c r="B3031" s="3">
        <v>2.3255800597289225E-10</v>
      </c>
      <c r="D3031" t="s">
        <v>14</v>
      </c>
      <c r="E3031" t="s">
        <v>9</v>
      </c>
      <c r="F3031" s="2" t="s">
        <v>15</v>
      </c>
      <c r="I3031" s="2"/>
    </row>
    <row r="3032" spans="1:9" customFormat="1" ht="16" x14ac:dyDescent="0.2">
      <c r="A3032" t="s">
        <v>122</v>
      </c>
      <c r="B3032" s="25">
        <f>B3020*3.15</f>
        <v>7.3255813953488375E-2</v>
      </c>
      <c r="D3032" t="s">
        <v>14</v>
      </c>
      <c r="E3032" t="s">
        <v>9</v>
      </c>
      <c r="F3032" s="2" t="s">
        <v>15</v>
      </c>
      <c r="I3032" s="2"/>
    </row>
    <row r="3033" spans="1:9" customFormat="1" ht="16" x14ac:dyDescent="0.2">
      <c r="A3033" t="s">
        <v>123</v>
      </c>
      <c r="B3033" s="3">
        <v>2.1069404153243686E-5</v>
      </c>
      <c r="D3033" t="s">
        <v>14</v>
      </c>
      <c r="E3033" t="s">
        <v>9</v>
      </c>
      <c r="F3033" s="2" t="s">
        <v>15</v>
      </c>
      <c r="I3033" s="2"/>
    </row>
    <row r="3034" spans="1:9" customFormat="1" ht="16" x14ac:dyDescent="0.2">
      <c r="A3034" t="s">
        <v>55</v>
      </c>
      <c r="B3034" s="3">
        <v>1.1627900298644613E-9</v>
      </c>
      <c r="D3034" t="s">
        <v>14</v>
      </c>
      <c r="E3034" t="s">
        <v>9</v>
      </c>
      <c r="F3034" s="2" t="s">
        <v>15</v>
      </c>
      <c r="I3034" s="2"/>
    </row>
    <row r="3035" spans="1:9" customFormat="1" ht="16" x14ac:dyDescent="0.2">
      <c r="A3035" t="s">
        <v>56</v>
      </c>
      <c r="B3035" s="3">
        <v>2.3255800597289222E-12</v>
      </c>
      <c r="D3035" t="s">
        <v>14</v>
      </c>
      <c r="E3035" t="s">
        <v>9</v>
      </c>
      <c r="F3035" s="2" t="s">
        <v>15</v>
      </c>
      <c r="I3035" s="2"/>
    </row>
    <row r="3036" spans="1:9" customFormat="1" ht="16" x14ac:dyDescent="0.2">
      <c r="A3036" t="s">
        <v>57</v>
      </c>
      <c r="B3036" s="3">
        <v>3.9534861015391682E-8</v>
      </c>
      <c r="D3036" t="s">
        <v>14</v>
      </c>
      <c r="E3036" t="s">
        <v>9</v>
      </c>
      <c r="F3036" s="2" t="s">
        <v>15</v>
      </c>
      <c r="I3036" s="2"/>
    </row>
    <row r="3037" spans="1:9" customFormat="1" ht="16" x14ac:dyDescent="0.2">
      <c r="A3037" t="s">
        <v>150</v>
      </c>
      <c r="B3037" s="3">
        <v>7.1789570411210658E-8</v>
      </c>
      <c r="D3037" t="s">
        <v>14</v>
      </c>
      <c r="E3037" t="s">
        <v>9</v>
      </c>
      <c r="F3037" s="2" t="s">
        <v>15</v>
      </c>
      <c r="I3037" s="2"/>
    </row>
    <row r="3038" spans="1:9" customFormat="1" ht="16" x14ac:dyDescent="0.2">
      <c r="A3038" t="s">
        <v>58</v>
      </c>
      <c r="B3038" s="3">
        <v>1.1627900298644611E-6</v>
      </c>
      <c r="D3038" t="s">
        <v>14</v>
      </c>
      <c r="E3038" t="s">
        <v>9</v>
      </c>
      <c r="F3038" s="2" t="s">
        <v>15</v>
      </c>
      <c r="I3038" s="2"/>
    </row>
    <row r="3039" spans="1:9" customFormat="1" ht="16" x14ac:dyDescent="0.2">
      <c r="A3039" t="s">
        <v>59</v>
      </c>
      <c r="B3039" s="3">
        <v>3.646242366932188E-8</v>
      </c>
      <c r="D3039" t="s">
        <v>14</v>
      </c>
      <c r="E3039" t="s">
        <v>9</v>
      </c>
      <c r="F3039" s="2" t="s">
        <v>15</v>
      </c>
      <c r="I3039" s="2"/>
    </row>
    <row r="3040" spans="1:9" customFormat="1" ht="16" x14ac:dyDescent="0.2">
      <c r="A3040" t="s">
        <v>60</v>
      </c>
      <c r="B3040" s="3">
        <v>1.2114072625668476E-6</v>
      </c>
      <c r="D3040" t="s">
        <v>14</v>
      </c>
      <c r="E3040" t="s">
        <v>9</v>
      </c>
      <c r="F3040" s="2" t="s">
        <v>15</v>
      </c>
      <c r="I3040" s="2"/>
    </row>
    <row r="3041" spans="1:9" customFormat="1" ht="16" x14ac:dyDescent="0.2">
      <c r="A3041" t="s">
        <v>61</v>
      </c>
      <c r="B3041" s="3">
        <v>1.3252688602888143E-6</v>
      </c>
      <c r="D3041" t="s">
        <v>14</v>
      </c>
      <c r="E3041" t="s">
        <v>9</v>
      </c>
      <c r="F3041" s="2" t="s">
        <v>15</v>
      </c>
      <c r="I3041" s="2"/>
    </row>
    <row r="3042" spans="1:9" customFormat="1" ht="16" x14ac:dyDescent="0.2">
      <c r="A3042" t="s">
        <v>62</v>
      </c>
      <c r="B3042" s="3">
        <v>2.2087814338146904E-8</v>
      </c>
      <c r="D3042" t="s">
        <v>14</v>
      </c>
      <c r="E3042" t="s">
        <v>9</v>
      </c>
      <c r="F3042" s="2" t="s">
        <v>15</v>
      </c>
      <c r="I3042" s="2"/>
    </row>
    <row r="3043" spans="1:9" customFormat="1" ht="16" x14ac:dyDescent="0.2">
      <c r="A3043" t="s">
        <v>63</v>
      </c>
      <c r="B3043" s="3">
        <v>1.9186035492763611E-15</v>
      </c>
      <c r="D3043" t="s">
        <v>14</v>
      </c>
      <c r="E3043" t="s">
        <v>9</v>
      </c>
      <c r="F3043" s="2" t="s">
        <v>15</v>
      </c>
      <c r="I3043" s="2"/>
    </row>
    <row r="3044" spans="1:9" customFormat="1" ht="16" x14ac:dyDescent="0.2">
      <c r="A3044" t="s">
        <v>64</v>
      </c>
      <c r="B3044" s="3">
        <v>4.6511601194578451E-13</v>
      </c>
      <c r="D3044" t="s">
        <v>14</v>
      </c>
      <c r="E3044" t="s">
        <v>9</v>
      </c>
      <c r="F3044" s="2" t="s">
        <v>15</v>
      </c>
      <c r="I3044" s="2"/>
    </row>
    <row r="3045" spans="1:9" customFormat="1" ht="16" x14ac:dyDescent="0.2">
      <c r="A3045" t="s">
        <v>177</v>
      </c>
      <c r="B3045" s="3">
        <v>6.6447090752701953E-7</v>
      </c>
      <c r="D3045" t="s">
        <v>14</v>
      </c>
      <c r="E3045" t="s">
        <v>9</v>
      </c>
      <c r="F3045" s="2" t="s">
        <v>15</v>
      </c>
      <c r="I3045" s="2"/>
    </row>
    <row r="3046" spans="1:9" customFormat="1" ht="16" x14ac:dyDescent="0.2">
      <c r="A3046" t="s">
        <v>66</v>
      </c>
      <c r="B3046" s="3">
        <v>1.3252688602888143E-7</v>
      </c>
      <c r="D3046" t="s">
        <v>14</v>
      </c>
      <c r="E3046" t="s">
        <v>9</v>
      </c>
      <c r="F3046" s="2" t="s">
        <v>15</v>
      </c>
      <c r="I3046" s="2"/>
    </row>
    <row r="3047" spans="1:9" customFormat="1" ht="16" x14ac:dyDescent="0.2">
      <c r="A3047" t="s">
        <v>67</v>
      </c>
      <c r="B3047" s="3">
        <v>5.8566933256401625E-6</v>
      </c>
      <c r="D3047" t="s">
        <v>14</v>
      </c>
      <c r="E3047" t="s">
        <v>9</v>
      </c>
      <c r="F3047" s="2" t="s">
        <v>15</v>
      </c>
      <c r="I3047" s="2"/>
    </row>
    <row r="3048" spans="1:9" customFormat="1" ht="16" x14ac:dyDescent="0.2">
      <c r="A3048" t="s">
        <v>68</v>
      </c>
      <c r="B3048" s="3">
        <v>1.6279060418102458E-9</v>
      </c>
      <c r="D3048" t="s">
        <v>14</v>
      </c>
      <c r="E3048" t="s">
        <v>9</v>
      </c>
      <c r="F3048" s="2" t="s">
        <v>15</v>
      </c>
      <c r="I3048" s="2"/>
    </row>
    <row r="3049" spans="1:9" customFormat="1" ht="16" x14ac:dyDescent="0.2">
      <c r="A3049" t="s">
        <v>69</v>
      </c>
      <c r="B3049" s="3">
        <f>B3015/1000</f>
        <v>7.587186E-6</v>
      </c>
      <c r="D3049" t="s">
        <v>14</v>
      </c>
      <c r="E3049" t="s">
        <v>9</v>
      </c>
      <c r="F3049" s="2" t="s">
        <v>15</v>
      </c>
      <c r="I3049" s="2"/>
    </row>
    <row r="3050" spans="1:9" customFormat="1" ht="16" x14ac:dyDescent="0.2">
      <c r="A3050" t="s">
        <v>70</v>
      </c>
      <c r="B3050" s="3">
        <v>4.2883696301401334E-9</v>
      </c>
      <c r="D3050" t="s">
        <v>14</v>
      </c>
      <c r="E3050" t="s">
        <v>9</v>
      </c>
      <c r="F3050" s="2" t="s">
        <v>15</v>
      </c>
      <c r="I3050" s="2"/>
    </row>
    <row r="3051" spans="1:9" customFormat="1" ht="16" x14ac:dyDescent="0.2">
      <c r="A3051" t="s">
        <v>71</v>
      </c>
      <c r="B3051" s="3">
        <f>B3016/1000</f>
        <v>2.2136099999999999E-7</v>
      </c>
      <c r="D3051" t="s">
        <v>14</v>
      </c>
      <c r="E3051" t="s">
        <v>9</v>
      </c>
      <c r="F3051" s="2" t="s">
        <v>15</v>
      </c>
      <c r="I3051" s="2"/>
    </row>
    <row r="3052" spans="1:9" customFormat="1" ht="16" x14ac:dyDescent="0.2">
      <c r="A3052" t="s">
        <v>72</v>
      </c>
      <c r="B3052" s="3">
        <v>4.417562867629381E-9</v>
      </c>
      <c r="D3052" t="s">
        <v>14</v>
      </c>
      <c r="E3052" t="s">
        <v>9</v>
      </c>
      <c r="F3052" s="2" t="s">
        <v>15</v>
      </c>
      <c r="I3052" s="2"/>
    </row>
    <row r="3053" spans="1:9" customFormat="1" ht="16" x14ac:dyDescent="0.2">
      <c r="A3053" t="s">
        <v>73</v>
      </c>
      <c r="B3053" s="3">
        <v>1.2147463123534157E-8</v>
      </c>
      <c r="D3053" t="s">
        <v>14</v>
      </c>
      <c r="E3053" t="s">
        <v>9</v>
      </c>
      <c r="F3053" s="2" t="s">
        <v>15</v>
      </c>
      <c r="I3053" s="2"/>
    </row>
    <row r="3054" spans="1:9" customFormat="1" ht="16" x14ac:dyDescent="0.2">
      <c r="A3054" t="s">
        <v>74</v>
      </c>
      <c r="B3054" s="3">
        <v>3.9768082958024133E-7</v>
      </c>
      <c r="D3054" t="s">
        <v>14</v>
      </c>
      <c r="E3054" t="s">
        <v>9</v>
      </c>
      <c r="F3054" s="2" t="s">
        <v>15</v>
      </c>
      <c r="I3054" s="2"/>
    </row>
    <row r="3055" spans="1:9" customFormat="1" ht="16" x14ac:dyDescent="0.2">
      <c r="A3055" t="s">
        <v>75</v>
      </c>
      <c r="B3055" s="3">
        <v>2.3255800597289225E-10</v>
      </c>
      <c r="D3055" t="s">
        <v>14</v>
      </c>
      <c r="E3055" t="s">
        <v>9</v>
      </c>
      <c r="F3055" s="2" t="s">
        <v>15</v>
      </c>
      <c r="I3055" s="2"/>
    </row>
    <row r="3056" spans="1:9" customFormat="1" ht="16" x14ac:dyDescent="0.2">
      <c r="A3056" t="s">
        <v>76</v>
      </c>
      <c r="B3056" s="3">
        <v>4.0869969387591558E-8</v>
      </c>
      <c r="D3056" t="s">
        <v>14</v>
      </c>
      <c r="E3056" t="s">
        <v>9</v>
      </c>
      <c r="F3056" s="2" t="s">
        <v>15</v>
      </c>
      <c r="I3056" s="2"/>
    </row>
    <row r="3057" spans="1:12" customFormat="1" ht="16" x14ac:dyDescent="0.2">
      <c r="A3057" t="s">
        <v>77</v>
      </c>
      <c r="B3057" s="3">
        <v>4.651160119457845E-7</v>
      </c>
      <c r="D3057" t="s">
        <v>14</v>
      </c>
      <c r="E3057" t="s">
        <v>9</v>
      </c>
      <c r="F3057" s="2" t="s">
        <v>15</v>
      </c>
      <c r="I3057" s="2"/>
    </row>
    <row r="3058" spans="1:12" customFormat="1" ht="16" x14ac:dyDescent="0.2">
      <c r="A3058" t="s">
        <v>78</v>
      </c>
      <c r="B3058" s="3">
        <v>7.619711612948033E-8</v>
      </c>
      <c r="D3058" t="s">
        <v>14</v>
      </c>
      <c r="E3058" t="s">
        <v>9</v>
      </c>
      <c r="F3058" s="2" t="s">
        <v>15</v>
      </c>
      <c r="I3058" s="2"/>
    </row>
    <row r="3059" spans="1:12" customFormat="1" ht="16" x14ac:dyDescent="0.2">
      <c r="A3059" t="s">
        <v>79</v>
      </c>
      <c r="B3059" s="3">
        <v>2.3255800597289226E-8</v>
      </c>
      <c r="D3059" t="s">
        <v>14</v>
      </c>
      <c r="E3059" t="s">
        <v>9</v>
      </c>
      <c r="F3059" s="2" t="s">
        <v>15</v>
      </c>
      <c r="I3059" s="2"/>
    </row>
    <row r="3060" spans="1:12" customFormat="1" ht="16" x14ac:dyDescent="0.2">
      <c r="A3060" t="s">
        <v>80</v>
      </c>
      <c r="B3060" s="3">
        <v>6.7382024692940973E-8</v>
      </c>
      <c r="D3060" t="s">
        <v>14</v>
      </c>
      <c r="E3060" t="s">
        <v>9</v>
      </c>
      <c r="F3060" s="2" t="s">
        <v>15</v>
      </c>
      <c r="I3060" s="2"/>
    </row>
    <row r="3061" spans="1:12" customFormat="1" ht="16" x14ac:dyDescent="0.2">
      <c r="A3061" t="s">
        <v>81</v>
      </c>
      <c r="B3061" s="3">
        <v>2.9821053643838246E-8</v>
      </c>
      <c r="D3061" t="s">
        <v>14</v>
      </c>
      <c r="E3061" t="s">
        <v>9</v>
      </c>
      <c r="F3061" s="2" t="s">
        <v>15</v>
      </c>
      <c r="I3061" s="2"/>
    </row>
    <row r="3062" spans="1:12" customFormat="1" ht="16" x14ac:dyDescent="0.2">
      <c r="F3062" s="2"/>
      <c r="H3062" s="3"/>
    </row>
    <row r="3063" spans="1:12" x14ac:dyDescent="0.2">
      <c r="A3063" s="17" t="s">
        <v>2</v>
      </c>
      <c r="B3063" s="17" t="s">
        <v>410</v>
      </c>
    </row>
    <row r="3064" spans="1:12" customFormat="1" ht="16" x14ac:dyDescent="0.2">
      <c r="A3064" s="2" t="s">
        <v>3</v>
      </c>
      <c r="B3064" s="2" t="s">
        <v>18</v>
      </c>
      <c r="C3064" s="2"/>
      <c r="D3064" s="2"/>
      <c r="E3064" s="2"/>
      <c r="F3064" s="2"/>
      <c r="G3064" s="2"/>
      <c r="H3064" s="2"/>
      <c r="I3064" s="2"/>
      <c r="J3064" s="2"/>
      <c r="K3064" s="2"/>
      <c r="L3064" s="2"/>
    </row>
    <row r="3065" spans="1:12" customFormat="1" ht="16" x14ac:dyDescent="0.2">
      <c r="A3065" s="2" t="s">
        <v>4</v>
      </c>
      <c r="B3065" s="2">
        <v>1</v>
      </c>
      <c r="C3065" s="2"/>
      <c r="D3065" s="2"/>
      <c r="E3065" s="2"/>
      <c r="F3065" s="2"/>
      <c r="G3065" s="2"/>
      <c r="H3065" s="2"/>
      <c r="I3065" s="2"/>
      <c r="J3065" s="2"/>
      <c r="K3065" s="2"/>
      <c r="L3065" s="2"/>
    </row>
    <row r="3066" spans="1:12" customFormat="1" ht="16" x14ac:dyDescent="0.2">
      <c r="A3066" s="2" t="s">
        <v>5</v>
      </c>
      <c r="B3066" s="2" t="s">
        <v>1</v>
      </c>
      <c r="C3066" s="2"/>
      <c r="D3066" s="2"/>
      <c r="E3066" s="2"/>
      <c r="F3066" s="2"/>
      <c r="G3066" s="2"/>
      <c r="H3066" s="2"/>
      <c r="I3066" s="2"/>
      <c r="J3066" s="2"/>
    </row>
    <row r="3067" spans="1:12" customFormat="1" ht="16" x14ac:dyDescent="0.2">
      <c r="A3067" s="2" t="s">
        <v>6</v>
      </c>
      <c r="B3067" s="2" t="s">
        <v>7</v>
      </c>
      <c r="C3067" s="2"/>
      <c r="D3067" s="2"/>
      <c r="E3067" s="2"/>
      <c r="F3067" s="2"/>
      <c r="G3067" s="2"/>
      <c r="H3067" s="2"/>
      <c r="I3067" s="2"/>
      <c r="J3067" s="2"/>
      <c r="K3067" s="2"/>
      <c r="L3067" s="2"/>
    </row>
    <row r="3068" spans="1:12" customFormat="1" ht="16" x14ac:dyDescent="0.2">
      <c r="A3068" s="2" t="s">
        <v>8</v>
      </c>
      <c r="B3068" s="2" t="s">
        <v>17</v>
      </c>
      <c r="C3068" s="2"/>
      <c r="D3068" s="2"/>
      <c r="E3068" s="2"/>
      <c r="F3068" s="2"/>
      <c r="G3068" s="2"/>
      <c r="H3068" s="2"/>
      <c r="I3068" s="2"/>
      <c r="J3068" s="2"/>
      <c r="K3068" s="2"/>
      <c r="L3068" s="2"/>
    </row>
    <row r="3069" spans="1:12" customFormat="1" ht="16" x14ac:dyDescent="0.2">
      <c r="A3069" t="s">
        <v>352</v>
      </c>
      <c r="B3069" s="2">
        <v>126</v>
      </c>
      <c r="C3069" t="s">
        <v>312</v>
      </c>
      <c r="D3069" s="2"/>
      <c r="E3069" s="2"/>
      <c r="F3069" s="2"/>
      <c r="G3069" s="2"/>
      <c r="H3069" s="2"/>
      <c r="I3069" s="2"/>
      <c r="J3069" s="2"/>
      <c r="K3069" s="2"/>
      <c r="L3069" s="2"/>
    </row>
    <row r="3070" spans="1:12" customFormat="1" ht="16" x14ac:dyDescent="0.2">
      <c r="A3070" t="s">
        <v>353</v>
      </c>
      <c r="B3070" s="2">
        <v>54</v>
      </c>
      <c r="C3070" t="s">
        <v>312</v>
      </c>
      <c r="D3070" s="2"/>
      <c r="E3070" s="2"/>
      <c r="F3070" s="2"/>
      <c r="G3070" s="2"/>
      <c r="H3070" s="2"/>
      <c r="I3070" s="2"/>
      <c r="J3070" s="2"/>
      <c r="K3070" s="2"/>
      <c r="L3070" s="2"/>
    </row>
    <row r="3071" spans="1:12" customFormat="1" ht="16" x14ac:dyDescent="0.2">
      <c r="A3071" t="s">
        <v>354</v>
      </c>
      <c r="B3071" s="2">
        <v>158</v>
      </c>
      <c r="C3071" t="s">
        <v>312</v>
      </c>
      <c r="D3071" s="2"/>
      <c r="E3071" s="2"/>
      <c r="F3071" s="2"/>
      <c r="G3071" s="2"/>
      <c r="H3071" s="2"/>
      <c r="I3071" s="2"/>
      <c r="J3071" s="2"/>
      <c r="K3071" s="2"/>
      <c r="L3071" s="2"/>
    </row>
    <row r="3072" spans="1:12" customFormat="1" ht="16" x14ac:dyDescent="0.2">
      <c r="A3072" t="s">
        <v>316</v>
      </c>
      <c r="B3072" s="24">
        <v>200000</v>
      </c>
      <c r="C3072" t="s">
        <v>313</v>
      </c>
      <c r="D3072" s="2"/>
      <c r="E3072" s="2"/>
      <c r="F3072" s="2"/>
      <c r="G3072" s="2"/>
      <c r="H3072" s="2"/>
      <c r="I3072" s="2"/>
      <c r="J3072" s="2"/>
      <c r="K3072" s="2"/>
      <c r="L3072" s="2"/>
    </row>
    <row r="3073" spans="1:12" customFormat="1" ht="16" x14ac:dyDescent="0.2">
      <c r="A3073" t="s">
        <v>317</v>
      </c>
      <c r="B3073" s="24">
        <v>160000</v>
      </c>
      <c r="C3073" t="s">
        <v>313</v>
      </c>
      <c r="D3073" s="2"/>
      <c r="E3073" s="2"/>
      <c r="F3073" s="2"/>
      <c r="G3073" s="2"/>
      <c r="H3073" s="2"/>
      <c r="I3073" s="2"/>
      <c r="J3073" s="2"/>
      <c r="K3073" s="2"/>
      <c r="L3073" s="2"/>
    </row>
    <row r="3074" spans="1:12" customFormat="1" ht="16" x14ac:dyDescent="0.2">
      <c r="A3074" t="s">
        <v>318</v>
      </c>
      <c r="B3074" s="24">
        <v>250000</v>
      </c>
      <c r="C3074" t="s">
        <v>313</v>
      </c>
      <c r="D3074" s="2"/>
      <c r="E3074" s="2"/>
      <c r="F3074" s="2"/>
      <c r="G3074" s="2"/>
      <c r="H3074" s="2"/>
      <c r="I3074" s="2"/>
      <c r="J3074" s="2"/>
      <c r="K3074" s="2"/>
      <c r="L3074" s="2"/>
    </row>
    <row r="3075" spans="1:12" customFormat="1" ht="16" x14ac:dyDescent="0.2">
      <c r="A3075" t="s">
        <v>319</v>
      </c>
      <c r="B3075" s="2">
        <v>2250</v>
      </c>
      <c r="C3075" t="s">
        <v>314</v>
      </c>
      <c r="D3075" s="2"/>
      <c r="E3075" s="2"/>
      <c r="F3075" s="2"/>
      <c r="G3075" s="2"/>
      <c r="H3075" s="2"/>
      <c r="I3075" s="2"/>
      <c r="J3075" s="2"/>
      <c r="K3075" s="2"/>
      <c r="L3075" s="2"/>
    </row>
    <row r="3076" spans="1:12" customFormat="1" ht="16" x14ac:dyDescent="0.2">
      <c r="A3076" t="s">
        <v>320</v>
      </c>
      <c r="B3076" s="2">
        <v>1500</v>
      </c>
      <c r="C3076" t="s">
        <v>314</v>
      </c>
      <c r="D3076" s="2"/>
      <c r="E3076" s="2"/>
      <c r="F3076" s="2"/>
      <c r="G3076" s="2"/>
      <c r="H3076" s="2"/>
      <c r="I3076" s="2"/>
      <c r="J3076" s="2"/>
      <c r="K3076" s="2"/>
      <c r="L3076" s="2"/>
    </row>
    <row r="3077" spans="1:12" customFormat="1" ht="16" x14ac:dyDescent="0.2">
      <c r="A3077" t="s">
        <v>321</v>
      </c>
      <c r="B3077" s="2">
        <v>2900</v>
      </c>
      <c r="C3077" t="s">
        <v>314</v>
      </c>
      <c r="D3077" s="2"/>
      <c r="E3077" s="2"/>
      <c r="F3077" s="2"/>
      <c r="G3077" s="2"/>
      <c r="H3077" s="2"/>
      <c r="I3077" s="2"/>
      <c r="J3077" s="2"/>
      <c r="K3077" s="2"/>
      <c r="L3077" s="2"/>
    </row>
    <row r="3078" spans="1:12" customFormat="1" ht="16" x14ac:dyDescent="0.2">
      <c r="A3078" t="s">
        <v>337</v>
      </c>
      <c r="B3078" s="2">
        <v>0</v>
      </c>
      <c r="C3078" t="s">
        <v>336</v>
      </c>
      <c r="D3078" s="2"/>
      <c r="E3078" s="2"/>
      <c r="F3078" s="2"/>
      <c r="G3078" s="2"/>
      <c r="H3078" s="2"/>
      <c r="I3078" s="2"/>
      <c r="J3078" s="2"/>
      <c r="K3078" s="2"/>
      <c r="L3078" s="2"/>
    </row>
    <row r="3079" spans="1:12" customFormat="1" ht="16" x14ac:dyDescent="0.2">
      <c r="A3079" t="s">
        <v>338</v>
      </c>
      <c r="B3079" s="2">
        <v>0</v>
      </c>
      <c r="C3079" t="s">
        <v>336</v>
      </c>
      <c r="D3079" s="2"/>
      <c r="E3079" s="2"/>
      <c r="F3079" s="2"/>
      <c r="G3079" s="2"/>
      <c r="H3079" s="2"/>
      <c r="I3079" s="2"/>
      <c r="J3079" s="2"/>
      <c r="K3079" s="2"/>
      <c r="L3079" s="2"/>
    </row>
    <row r="3080" spans="1:12" customFormat="1" ht="16" x14ac:dyDescent="0.2">
      <c r="A3080" t="s">
        <v>339</v>
      </c>
      <c r="B3080" s="2">
        <v>0</v>
      </c>
      <c r="C3080" t="s">
        <v>336</v>
      </c>
      <c r="D3080" s="2"/>
      <c r="E3080" s="2"/>
      <c r="F3080" s="2"/>
      <c r="G3080" s="2"/>
      <c r="H3080" s="2"/>
      <c r="I3080" s="2"/>
      <c r="J3080" s="2"/>
      <c r="K3080" s="2"/>
      <c r="L3080" s="2"/>
    </row>
    <row r="3081" spans="1:12" customFormat="1" ht="16" x14ac:dyDescent="0.2">
      <c r="A3081" t="s">
        <v>340</v>
      </c>
      <c r="B3081" s="2">
        <v>169</v>
      </c>
      <c r="C3081" t="s">
        <v>336</v>
      </c>
      <c r="D3081" s="2"/>
      <c r="E3081" s="2"/>
      <c r="F3081" s="2"/>
      <c r="G3081" s="2"/>
      <c r="H3081" s="2"/>
      <c r="I3081" s="2"/>
      <c r="J3081" s="2"/>
      <c r="K3081" s="2"/>
      <c r="L3081" s="2"/>
    </row>
    <row r="3082" spans="1:12" customFormat="1" ht="16" x14ac:dyDescent="0.2">
      <c r="A3082" t="s">
        <v>341</v>
      </c>
      <c r="B3082" s="2">
        <v>111</v>
      </c>
      <c r="C3082" t="s">
        <v>336</v>
      </c>
      <c r="D3082" s="2"/>
      <c r="E3082" s="2"/>
      <c r="F3082" s="2"/>
      <c r="G3082" s="2"/>
      <c r="H3082" s="2"/>
      <c r="I3082" s="2"/>
      <c r="J3082" s="2"/>
      <c r="K3082" s="2"/>
      <c r="L3082" s="2"/>
    </row>
    <row r="3083" spans="1:12" customFormat="1" ht="16" x14ac:dyDescent="0.2">
      <c r="A3083" t="s">
        <v>342</v>
      </c>
      <c r="B3083" s="2">
        <v>194</v>
      </c>
      <c r="C3083" t="s">
        <v>336</v>
      </c>
      <c r="D3083" s="2"/>
      <c r="E3083" s="2"/>
      <c r="F3083" s="2"/>
      <c r="G3083" s="2"/>
      <c r="H3083" s="2"/>
      <c r="I3083" s="2"/>
      <c r="J3083" s="2"/>
      <c r="K3083" s="2"/>
      <c r="L3083" s="2"/>
    </row>
    <row r="3084" spans="1:12" customFormat="1" ht="16" x14ac:dyDescent="0.2">
      <c r="A3084" t="s">
        <v>333</v>
      </c>
      <c r="B3084" s="2">
        <v>48</v>
      </c>
      <c r="C3084" t="s">
        <v>336</v>
      </c>
      <c r="D3084" s="2"/>
      <c r="E3084" s="2"/>
      <c r="F3084" s="2"/>
      <c r="G3084" s="2"/>
      <c r="H3084" s="2"/>
      <c r="I3084" s="2"/>
      <c r="J3084" s="2"/>
      <c r="K3084" s="2"/>
      <c r="L3084" s="2"/>
    </row>
    <row r="3085" spans="1:12" customFormat="1" ht="16" x14ac:dyDescent="0.2">
      <c r="A3085" t="s">
        <v>334</v>
      </c>
      <c r="B3085" s="2">
        <v>30</v>
      </c>
      <c r="C3085" t="s">
        <v>336</v>
      </c>
      <c r="D3085" s="2"/>
      <c r="E3085" s="2"/>
      <c r="F3085" s="2"/>
      <c r="G3085" s="2"/>
      <c r="H3085" s="2"/>
      <c r="I3085" s="2"/>
      <c r="J3085" s="2"/>
      <c r="K3085" s="2"/>
      <c r="L3085" s="2"/>
    </row>
    <row r="3086" spans="1:12" customFormat="1" ht="16" x14ac:dyDescent="0.2">
      <c r="A3086" t="s">
        <v>335</v>
      </c>
      <c r="B3086" s="2">
        <v>48</v>
      </c>
      <c r="C3086" t="s">
        <v>336</v>
      </c>
      <c r="D3086" s="2"/>
      <c r="E3086" s="2"/>
      <c r="F3086" s="2"/>
      <c r="G3086" s="2"/>
      <c r="H3086" s="2"/>
      <c r="I3086" s="2"/>
      <c r="J3086" s="2"/>
      <c r="K3086" s="2"/>
      <c r="L3086" s="2"/>
    </row>
    <row r="3087" spans="1:12" customFormat="1" ht="16" x14ac:dyDescent="0.2">
      <c r="A3087" t="s">
        <v>322</v>
      </c>
      <c r="B3087" s="2">
        <v>0</v>
      </c>
      <c r="C3087" t="s">
        <v>315</v>
      </c>
      <c r="D3087" s="2"/>
      <c r="E3087" s="2"/>
      <c r="F3087" s="2"/>
      <c r="G3087" s="2"/>
      <c r="H3087" s="2"/>
      <c r="I3087" s="2"/>
      <c r="J3087" s="2"/>
      <c r="K3087" s="2"/>
      <c r="L3087" s="2"/>
    </row>
    <row r="3088" spans="1:12" customFormat="1" ht="16" x14ac:dyDescent="0.2">
      <c r="A3088" t="s">
        <v>323</v>
      </c>
      <c r="B3088" s="2">
        <v>0</v>
      </c>
      <c r="C3088" t="s">
        <v>315</v>
      </c>
      <c r="D3088" s="2"/>
      <c r="E3088" s="2"/>
      <c r="F3088" s="2"/>
      <c r="G3088" s="2"/>
      <c r="H3088" s="2"/>
      <c r="I3088" s="2"/>
      <c r="J3088" s="2"/>
      <c r="K3088" s="2"/>
      <c r="L3088" s="2"/>
    </row>
    <row r="3089" spans="1:12" customFormat="1" ht="16" x14ac:dyDescent="0.2">
      <c r="A3089" t="s">
        <v>324</v>
      </c>
      <c r="B3089" s="2">
        <v>0</v>
      </c>
      <c r="C3089" t="s">
        <v>315</v>
      </c>
      <c r="D3089" s="2"/>
      <c r="E3089" s="2"/>
      <c r="F3089" s="2"/>
      <c r="G3089" s="2"/>
      <c r="H3089" s="2"/>
      <c r="I3089" s="2"/>
      <c r="J3089" s="2"/>
      <c r="K3089" s="2"/>
      <c r="L3089" s="2"/>
    </row>
    <row r="3090" spans="1:12" customFormat="1" ht="16" x14ac:dyDescent="0.2">
      <c r="A3090" t="s">
        <v>330</v>
      </c>
      <c r="B3090" s="2">
        <v>0</v>
      </c>
      <c r="C3090" t="s">
        <v>8</v>
      </c>
      <c r="D3090" s="2"/>
      <c r="E3090" s="2"/>
      <c r="F3090" s="2"/>
      <c r="G3090" s="2"/>
      <c r="H3090" s="2"/>
      <c r="I3090" s="2"/>
      <c r="J3090" s="2"/>
      <c r="K3090" s="2"/>
      <c r="L3090" s="2"/>
    </row>
    <row r="3091" spans="1:12" customFormat="1" ht="16" x14ac:dyDescent="0.2">
      <c r="A3091" t="s">
        <v>331</v>
      </c>
      <c r="B3091" s="2">
        <v>0</v>
      </c>
      <c r="C3091" t="s">
        <v>8</v>
      </c>
      <c r="D3091" s="2"/>
      <c r="E3091" s="2"/>
      <c r="F3091" s="2"/>
      <c r="G3091" s="2"/>
      <c r="H3091" s="2"/>
      <c r="I3091" s="2"/>
      <c r="J3091" s="2"/>
      <c r="K3091" s="2"/>
      <c r="L3091" s="2"/>
    </row>
    <row r="3092" spans="1:12" customFormat="1" ht="16" x14ac:dyDescent="0.2">
      <c r="A3092" t="s">
        <v>332</v>
      </c>
      <c r="B3092" s="2">
        <v>0</v>
      </c>
      <c r="C3092" t="s">
        <v>8</v>
      </c>
      <c r="D3092" s="2"/>
      <c r="E3092" s="2"/>
      <c r="F3092" s="2"/>
      <c r="G3092" s="2"/>
      <c r="H3092" s="2"/>
      <c r="I3092" s="2"/>
      <c r="J3092" s="2"/>
      <c r="K3092" s="2"/>
      <c r="L3092" s="2"/>
    </row>
    <row r="3093" spans="1:12" customFormat="1" ht="16" x14ac:dyDescent="0.2">
      <c r="A3093" t="s">
        <v>346</v>
      </c>
      <c r="B3093" s="2">
        <v>0</v>
      </c>
      <c r="C3093" t="s">
        <v>312</v>
      </c>
      <c r="D3093" s="2"/>
      <c r="E3093" s="2"/>
      <c r="F3093" s="2"/>
      <c r="G3093" s="2"/>
      <c r="H3093" s="2"/>
      <c r="I3093" s="2"/>
      <c r="J3093" s="2"/>
      <c r="K3093" s="2"/>
      <c r="L3093" s="2"/>
    </row>
    <row r="3094" spans="1:12" customFormat="1" ht="16" x14ac:dyDescent="0.2">
      <c r="A3094" t="s">
        <v>347</v>
      </c>
      <c r="B3094" s="2">
        <v>0</v>
      </c>
      <c r="C3094" t="s">
        <v>312</v>
      </c>
      <c r="D3094" s="2"/>
      <c r="E3094" s="12"/>
      <c r="F3094" s="2"/>
      <c r="G3094" s="2"/>
      <c r="H3094" s="2"/>
      <c r="I3094" s="2"/>
      <c r="J3094" s="2"/>
      <c r="K3094" s="2"/>
      <c r="L3094" s="2"/>
    </row>
    <row r="3095" spans="1:12" customFormat="1" ht="16" x14ac:dyDescent="0.2">
      <c r="A3095" t="s">
        <v>348</v>
      </c>
      <c r="B3095" s="2">
        <v>0</v>
      </c>
      <c r="C3095" t="s">
        <v>312</v>
      </c>
      <c r="D3095" s="2"/>
      <c r="E3095" s="2"/>
      <c r="F3095" s="2"/>
      <c r="G3095" s="2"/>
      <c r="H3095" s="2"/>
      <c r="I3095" s="2"/>
      <c r="J3095" s="2"/>
      <c r="K3095" s="2"/>
      <c r="L3095" s="2"/>
    </row>
    <row r="3096" spans="1:12" customFormat="1" ht="16" x14ac:dyDescent="0.2">
      <c r="A3096" t="s">
        <v>349</v>
      </c>
      <c r="B3096" s="2">
        <v>0</v>
      </c>
      <c r="C3096" t="s">
        <v>8</v>
      </c>
      <c r="D3096" s="2"/>
      <c r="E3096" s="2"/>
      <c r="F3096" s="2"/>
      <c r="G3096" s="2"/>
      <c r="H3096" s="2"/>
      <c r="I3096" s="2"/>
      <c r="J3096" s="2"/>
      <c r="K3096" s="2"/>
      <c r="L3096" s="2"/>
    </row>
    <row r="3097" spans="1:12" customFormat="1" ht="16" x14ac:dyDescent="0.2">
      <c r="A3097" t="s">
        <v>350</v>
      </c>
      <c r="B3097" s="2">
        <v>0</v>
      </c>
      <c r="C3097" t="s">
        <v>8</v>
      </c>
      <c r="D3097" s="2"/>
      <c r="E3097" s="2"/>
      <c r="F3097" s="2"/>
      <c r="G3097" s="2"/>
      <c r="H3097" s="2"/>
      <c r="I3097" s="2"/>
      <c r="J3097" s="2"/>
      <c r="K3097" s="2"/>
      <c r="L3097" s="2"/>
    </row>
    <row r="3098" spans="1:12" customFormat="1" ht="16" x14ac:dyDescent="0.2">
      <c r="A3098" t="s">
        <v>351</v>
      </c>
      <c r="B3098" s="2">
        <v>0</v>
      </c>
      <c r="C3098" t="s">
        <v>8</v>
      </c>
      <c r="D3098" s="2"/>
      <c r="E3098" s="2"/>
      <c r="F3098" s="2"/>
      <c r="G3098" s="2"/>
      <c r="H3098" s="2"/>
      <c r="I3098" s="2"/>
      <c r="J3098" s="2"/>
      <c r="K3098" s="2"/>
      <c r="L3098" s="2"/>
    </row>
    <row r="3099" spans="1:12" customFormat="1" ht="16" x14ac:dyDescent="0.2">
      <c r="A3099" t="s">
        <v>365</v>
      </c>
      <c r="B3099" s="2">
        <v>0</v>
      </c>
      <c r="C3099" t="s">
        <v>336</v>
      </c>
      <c r="D3099" s="2"/>
      <c r="E3099" s="2"/>
      <c r="F3099" s="2"/>
      <c r="G3099" s="2"/>
      <c r="H3099" s="2"/>
      <c r="I3099" s="2"/>
      <c r="J3099" s="2"/>
      <c r="K3099" s="2"/>
      <c r="L3099" s="2"/>
    </row>
    <row r="3100" spans="1:12" customFormat="1" ht="16" x14ac:dyDescent="0.2">
      <c r="A3100" t="s">
        <v>366</v>
      </c>
      <c r="B3100" s="2">
        <v>0</v>
      </c>
      <c r="C3100" t="s">
        <v>336</v>
      </c>
      <c r="D3100" s="2"/>
      <c r="E3100" s="2"/>
      <c r="F3100" s="2"/>
      <c r="G3100" s="2"/>
      <c r="H3100" s="2"/>
      <c r="I3100" s="2"/>
      <c r="J3100" s="2"/>
      <c r="K3100" s="2"/>
      <c r="L3100" s="2"/>
    </row>
    <row r="3101" spans="1:12" customFormat="1" ht="16" x14ac:dyDescent="0.2">
      <c r="A3101" t="s">
        <v>367</v>
      </c>
      <c r="B3101" s="2">
        <v>0</v>
      </c>
      <c r="C3101" t="s">
        <v>336</v>
      </c>
      <c r="D3101" s="2"/>
      <c r="E3101" s="2"/>
      <c r="F3101" s="2"/>
      <c r="G3101" s="2"/>
      <c r="H3101" s="2"/>
      <c r="I3101" s="2"/>
      <c r="J3101" s="2"/>
      <c r="K3101" s="2"/>
      <c r="L3101" s="2"/>
    </row>
    <row r="3102" spans="1:12" customFormat="1" ht="16" x14ac:dyDescent="0.2">
      <c r="A3102" t="s">
        <v>368</v>
      </c>
      <c r="B3102" s="2">
        <v>0</v>
      </c>
      <c r="C3102" t="s">
        <v>336</v>
      </c>
      <c r="D3102" s="2"/>
      <c r="E3102" s="2"/>
      <c r="F3102" s="2"/>
      <c r="G3102" s="2"/>
      <c r="H3102" s="2"/>
      <c r="I3102" s="2"/>
      <c r="J3102" s="2"/>
      <c r="K3102" s="2"/>
      <c r="L3102" s="2"/>
    </row>
    <row r="3103" spans="1:12" customFormat="1" ht="16" x14ac:dyDescent="0.2">
      <c r="A3103" t="s">
        <v>369</v>
      </c>
      <c r="B3103" s="2">
        <v>0</v>
      </c>
      <c r="C3103" t="s">
        <v>336</v>
      </c>
      <c r="D3103" s="2"/>
      <c r="E3103" s="2"/>
      <c r="F3103" s="2"/>
      <c r="G3103" s="2"/>
      <c r="H3103" s="2"/>
      <c r="I3103" s="2"/>
      <c r="J3103" s="2"/>
      <c r="K3103" s="2"/>
      <c r="L3103" s="2"/>
    </row>
    <row r="3104" spans="1:12" customFormat="1" ht="16" x14ac:dyDescent="0.2">
      <c r="A3104" t="s">
        <v>344</v>
      </c>
      <c r="B3104" s="12">
        <v>7.5871860000000001E-3</v>
      </c>
      <c r="C3104" t="s">
        <v>345</v>
      </c>
      <c r="D3104" s="2"/>
      <c r="E3104" s="2"/>
      <c r="F3104" s="2"/>
      <c r="G3104" s="2"/>
      <c r="H3104" s="2"/>
      <c r="I3104" s="2"/>
      <c r="J3104" s="2"/>
      <c r="K3104" s="2"/>
      <c r="L3104" s="2"/>
    </row>
    <row r="3105" spans="1:12" customFormat="1" ht="16" x14ac:dyDescent="0.2">
      <c r="A3105" t="s">
        <v>343</v>
      </c>
      <c r="B3105" s="12">
        <v>2.21361E-4</v>
      </c>
      <c r="C3105" t="s">
        <v>345</v>
      </c>
      <c r="D3105" s="2"/>
      <c r="E3105" s="2"/>
      <c r="F3105" s="2"/>
      <c r="G3105" s="2"/>
      <c r="H3105" s="2"/>
      <c r="I3105" s="2"/>
      <c r="J3105" s="2"/>
      <c r="K3105" s="2"/>
      <c r="L3105" s="2"/>
    </row>
    <row r="3106" spans="1:12" customFormat="1" ht="16" x14ac:dyDescent="0.2">
      <c r="A3106" s="1" t="s">
        <v>10</v>
      </c>
      <c r="B3106" s="2"/>
      <c r="C3106" s="2"/>
      <c r="D3106" s="2"/>
      <c r="E3106" s="2"/>
      <c r="F3106" s="2"/>
      <c r="G3106" s="2"/>
      <c r="H3106" s="2"/>
      <c r="I3106" s="2"/>
      <c r="J3106" s="2"/>
      <c r="K3106" s="2"/>
      <c r="L3106" s="2"/>
    </row>
    <row r="3107" spans="1:12" x14ac:dyDescent="0.2">
      <c r="A3107" s="17" t="s">
        <v>11</v>
      </c>
      <c r="B3107" s="17" t="s">
        <v>12</v>
      </c>
      <c r="C3107" s="17" t="s">
        <v>3</v>
      </c>
      <c r="D3107" s="17" t="s">
        <v>13</v>
      </c>
      <c r="E3107" s="17" t="s">
        <v>8</v>
      </c>
      <c r="F3107" s="17" t="s">
        <v>6</v>
      </c>
      <c r="G3107" s="17" t="s">
        <v>5</v>
      </c>
      <c r="H3107" s="17" t="s">
        <v>151</v>
      </c>
      <c r="I3107" s="17" t="s">
        <v>179</v>
      </c>
      <c r="J3107" s="17" t="s">
        <v>180</v>
      </c>
      <c r="K3107" s="17" t="s">
        <v>181</v>
      </c>
      <c r="L3107" s="17" t="s">
        <v>182</v>
      </c>
    </row>
    <row r="3108" spans="1:12" customFormat="1" ht="16" x14ac:dyDescent="0.2">
      <c r="A3108" s="2" t="str">
        <f>B3063</f>
        <v>biodiesel, from non-residual cellulosic biomass, burned in passenger car</v>
      </c>
      <c r="B3108" s="2">
        <v>1</v>
      </c>
      <c r="C3108" s="2" t="str">
        <f>B3064</f>
        <v>RER</v>
      </c>
      <c r="D3108" s="2"/>
      <c r="E3108" s="2" t="str">
        <f>B3068</f>
        <v>megajoule</v>
      </c>
      <c r="F3108" s="2" t="s">
        <v>19</v>
      </c>
      <c r="G3108" s="2" t="str">
        <f>B3066</f>
        <v>heat</v>
      </c>
      <c r="H3108" s="2"/>
      <c r="I3108" s="2"/>
      <c r="J3108" s="2"/>
      <c r="K3108" s="2"/>
      <c r="L3108" s="2"/>
    </row>
    <row r="3109" spans="1:12" customFormat="1" ht="16" x14ac:dyDescent="0.2">
      <c r="A3109" s="2" t="s">
        <v>406</v>
      </c>
      <c r="B3109">
        <f>1/43</f>
        <v>2.3255813953488372E-2</v>
      </c>
      <c r="C3109" t="s">
        <v>18</v>
      </c>
      <c r="E3109" t="s">
        <v>9</v>
      </c>
      <c r="F3109" t="s">
        <v>23</v>
      </c>
      <c r="G3109" t="s">
        <v>408</v>
      </c>
      <c r="I3109" s="2"/>
    </row>
    <row r="3110" spans="1:12" customFormat="1" ht="16" x14ac:dyDescent="0.2">
      <c r="A3110" s="2" t="s">
        <v>143</v>
      </c>
      <c r="B3110" s="27">
        <f>(B3081/B3072)/(B3075/1000)</f>
        <v>3.7555555555555557E-4</v>
      </c>
      <c r="C3110" t="s">
        <v>114</v>
      </c>
      <c r="E3110" t="s">
        <v>9</v>
      </c>
      <c r="F3110" t="s">
        <v>23</v>
      </c>
      <c r="G3110" t="s">
        <v>144</v>
      </c>
      <c r="I3110" s="2">
        <v>5</v>
      </c>
      <c r="J3110" s="27">
        <f>B3110</f>
        <v>3.7555555555555557E-4</v>
      </c>
      <c r="K3110" s="3">
        <f>(B3082/B3074)/(B3077/1000)</f>
        <v>1.5310344827586207E-4</v>
      </c>
      <c r="L3110" s="3">
        <f>(B3083/B3073)/(B3076/1000)</f>
        <v>8.0833333333333332E-4</v>
      </c>
    </row>
    <row r="3111" spans="1:12" customFormat="1" ht="16" x14ac:dyDescent="0.2">
      <c r="A3111" s="2" t="s">
        <v>358</v>
      </c>
      <c r="B3111" s="3">
        <f>(B3084/B3072)/(B3075/1000)</f>
        <v>1.0666666666666667E-4</v>
      </c>
      <c r="C3111" t="s">
        <v>114</v>
      </c>
      <c r="E3111" t="s">
        <v>9</v>
      </c>
      <c r="F3111" t="s">
        <v>23</v>
      </c>
      <c r="G3111" s="2" t="s">
        <v>357</v>
      </c>
      <c r="H3111" s="2" t="s">
        <v>361</v>
      </c>
      <c r="I3111">
        <v>5</v>
      </c>
      <c r="J3111" s="27">
        <f>B3111</f>
        <v>1.0666666666666667E-4</v>
      </c>
      <c r="K3111" s="3">
        <f>J3111*0.8</f>
        <v>8.5333333333333339E-5</v>
      </c>
      <c r="L3111" s="3">
        <f>J3111*1.2</f>
        <v>1.2799999999999999E-4</v>
      </c>
    </row>
    <row r="3112" spans="1:12" customFormat="1" ht="16" x14ac:dyDescent="0.2">
      <c r="A3112" s="2" t="s">
        <v>359</v>
      </c>
      <c r="B3112" s="3">
        <f>B3111</f>
        <v>1.0666666666666667E-4</v>
      </c>
      <c r="C3112" t="s">
        <v>114</v>
      </c>
      <c r="E3112" t="s">
        <v>9</v>
      </c>
      <c r="F3112" t="s">
        <v>23</v>
      </c>
      <c r="G3112" s="2" t="s">
        <v>360</v>
      </c>
      <c r="H3112" s="2" t="s">
        <v>361</v>
      </c>
      <c r="I3112">
        <v>5</v>
      </c>
      <c r="J3112" s="27">
        <f>B3112</f>
        <v>1.0666666666666667E-4</v>
      </c>
      <c r="K3112" s="3">
        <f>K3111</f>
        <v>8.5333333333333339E-5</v>
      </c>
      <c r="L3112" s="3">
        <f>L3111</f>
        <v>1.2799999999999999E-4</v>
      </c>
    </row>
    <row r="3113" spans="1:12" customFormat="1" ht="16" x14ac:dyDescent="0.2">
      <c r="A3113" t="s">
        <v>45</v>
      </c>
      <c r="B3113" s="3">
        <v>7.1455665432553858E-7</v>
      </c>
      <c r="D3113" t="s">
        <v>14</v>
      </c>
      <c r="E3113" t="s">
        <v>9</v>
      </c>
      <c r="F3113" s="2" t="s">
        <v>15</v>
      </c>
      <c r="I3113" s="2"/>
    </row>
    <row r="3114" spans="1:12" customFormat="1" ht="16" x14ac:dyDescent="0.2">
      <c r="A3114" t="s">
        <v>46</v>
      </c>
      <c r="B3114" s="3">
        <v>3.2468920124586623E-7</v>
      </c>
      <c r="D3114" t="s">
        <v>14</v>
      </c>
      <c r="E3114" t="s">
        <v>9</v>
      </c>
      <c r="F3114" s="2" t="s">
        <v>15</v>
      </c>
      <c r="I3114" s="2"/>
    </row>
    <row r="3115" spans="1:12" customFormat="1" ht="16" x14ac:dyDescent="0.2">
      <c r="A3115" t="s">
        <v>47</v>
      </c>
      <c r="B3115" s="3">
        <v>3.9534349472964383E-7</v>
      </c>
      <c r="D3115" t="s">
        <v>14</v>
      </c>
      <c r="E3115" t="s">
        <v>9</v>
      </c>
      <c r="F3115" s="2" t="s">
        <v>15</v>
      </c>
      <c r="I3115" s="2"/>
    </row>
    <row r="3116" spans="1:12" customFormat="1" ht="16" x14ac:dyDescent="0.2">
      <c r="A3116" t="s">
        <v>48</v>
      </c>
      <c r="B3116" s="3">
        <v>3.7209280955662761E-7</v>
      </c>
      <c r="D3116" t="s">
        <v>14</v>
      </c>
      <c r="E3116" t="s">
        <v>9</v>
      </c>
      <c r="F3116" s="2" t="s">
        <v>15</v>
      </c>
      <c r="I3116" s="2"/>
    </row>
    <row r="3117" spans="1:12" customFormat="1" ht="16" x14ac:dyDescent="0.2">
      <c r="A3117" t="s">
        <v>49</v>
      </c>
      <c r="B3117" s="3">
        <v>9.4995966427857817E-8</v>
      </c>
      <c r="D3117" t="s">
        <v>14</v>
      </c>
      <c r="E3117" t="s">
        <v>9</v>
      </c>
      <c r="F3117" s="2" t="s">
        <v>15</v>
      </c>
      <c r="I3117" s="2"/>
    </row>
    <row r="3118" spans="1:12" customFormat="1" ht="16" x14ac:dyDescent="0.2">
      <c r="A3118" t="s">
        <v>50</v>
      </c>
      <c r="B3118" s="3">
        <v>2.186743705223342E-7</v>
      </c>
      <c r="D3118" t="s">
        <v>14</v>
      </c>
      <c r="E3118" t="s">
        <v>9</v>
      </c>
      <c r="F3118" s="2" t="s">
        <v>15</v>
      </c>
      <c r="I3118" s="2"/>
    </row>
    <row r="3119" spans="1:12" customFormat="1" ht="16" x14ac:dyDescent="0.2">
      <c r="A3119" t="s">
        <v>51</v>
      </c>
      <c r="B3119" s="3">
        <v>1.2147463123534157E-8</v>
      </c>
      <c r="D3119" t="s">
        <v>14</v>
      </c>
      <c r="E3119" t="s">
        <v>9</v>
      </c>
      <c r="F3119" s="2" t="s">
        <v>15</v>
      </c>
      <c r="I3119" s="2"/>
    </row>
    <row r="3120" spans="1:12" customFormat="1" ht="16" x14ac:dyDescent="0.2">
      <c r="A3120" t="s">
        <v>52</v>
      </c>
      <c r="B3120" s="3">
        <v>2.3255800597289225E-10</v>
      </c>
      <c r="D3120" t="s">
        <v>14</v>
      </c>
      <c r="E3120" t="s">
        <v>9</v>
      </c>
      <c r="F3120" s="2" t="s">
        <v>15</v>
      </c>
      <c r="I3120" s="2"/>
    </row>
    <row r="3121" spans="1:9" customFormat="1" ht="16" x14ac:dyDescent="0.2">
      <c r="A3121" t="s">
        <v>122</v>
      </c>
      <c r="B3121" s="25">
        <f>B3109*3.15</f>
        <v>7.3255813953488375E-2</v>
      </c>
      <c r="D3121" t="s">
        <v>14</v>
      </c>
      <c r="E3121" t="s">
        <v>9</v>
      </c>
      <c r="F3121" s="2" t="s">
        <v>15</v>
      </c>
      <c r="I3121" s="2"/>
    </row>
    <row r="3122" spans="1:9" customFormat="1" ht="16" x14ac:dyDescent="0.2">
      <c r="A3122" t="s">
        <v>123</v>
      </c>
      <c r="B3122" s="3">
        <v>2.1069404153243686E-5</v>
      </c>
      <c r="D3122" t="s">
        <v>14</v>
      </c>
      <c r="E3122" t="s">
        <v>9</v>
      </c>
      <c r="F3122" s="2" t="s">
        <v>15</v>
      </c>
      <c r="I3122" s="2"/>
    </row>
    <row r="3123" spans="1:9" customFormat="1" ht="16" x14ac:dyDescent="0.2">
      <c r="A3123" t="s">
        <v>55</v>
      </c>
      <c r="B3123" s="3">
        <v>1.1627900298644613E-9</v>
      </c>
      <c r="D3123" t="s">
        <v>14</v>
      </c>
      <c r="E3123" t="s">
        <v>9</v>
      </c>
      <c r="F3123" s="2" t="s">
        <v>15</v>
      </c>
      <c r="I3123" s="2"/>
    </row>
    <row r="3124" spans="1:9" customFormat="1" ht="16" x14ac:dyDescent="0.2">
      <c r="A3124" t="s">
        <v>56</v>
      </c>
      <c r="B3124" s="3">
        <v>2.3255800597289222E-12</v>
      </c>
      <c r="D3124" t="s">
        <v>14</v>
      </c>
      <c r="E3124" t="s">
        <v>9</v>
      </c>
      <c r="F3124" s="2" t="s">
        <v>15</v>
      </c>
      <c r="I3124" s="2"/>
    </row>
    <row r="3125" spans="1:9" customFormat="1" ht="16" x14ac:dyDescent="0.2">
      <c r="A3125" t="s">
        <v>57</v>
      </c>
      <c r="B3125" s="3">
        <v>3.9534861015391682E-8</v>
      </c>
      <c r="D3125" t="s">
        <v>14</v>
      </c>
      <c r="E3125" t="s">
        <v>9</v>
      </c>
      <c r="F3125" s="2" t="s">
        <v>15</v>
      </c>
      <c r="I3125" s="2"/>
    </row>
    <row r="3126" spans="1:9" customFormat="1" ht="16" x14ac:dyDescent="0.2">
      <c r="A3126" t="s">
        <v>150</v>
      </c>
      <c r="B3126" s="3">
        <v>7.1789570411210658E-8</v>
      </c>
      <c r="D3126" t="s">
        <v>14</v>
      </c>
      <c r="E3126" t="s">
        <v>9</v>
      </c>
      <c r="F3126" s="2" t="s">
        <v>15</v>
      </c>
      <c r="I3126" s="2"/>
    </row>
    <row r="3127" spans="1:9" customFormat="1" ht="16" x14ac:dyDescent="0.2">
      <c r="A3127" t="s">
        <v>58</v>
      </c>
      <c r="B3127" s="3">
        <v>1.1627900298644611E-6</v>
      </c>
      <c r="D3127" t="s">
        <v>14</v>
      </c>
      <c r="E3127" t="s">
        <v>9</v>
      </c>
      <c r="F3127" s="2" t="s">
        <v>15</v>
      </c>
      <c r="I3127" s="2"/>
    </row>
    <row r="3128" spans="1:9" customFormat="1" ht="16" x14ac:dyDescent="0.2">
      <c r="A3128" t="s">
        <v>59</v>
      </c>
      <c r="B3128" s="3">
        <v>3.646242366932188E-8</v>
      </c>
      <c r="D3128" t="s">
        <v>14</v>
      </c>
      <c r="E3128" t="s">
        <v>9</v>
      </c>
      <c r="F3128" s="2" t="s">
        <v>15</v>
      </c>
      <c r="I3128" s="2"/>
    </row>
    <row r="3129" spans="1:9" customFormat="1" ht="16" x14ac:dyDescent="0.2">
      <c r="A3129" t="s">
        <v>60</v>
      </c>
      <c r="B3129" s="3">
        <v>1.2114072625668476E-6</v>
      </c>
      <c r="D3129" t="s">
        <v>14</v>
      </c>
      <c r="E3129" t="s">
        <v>9</v>
      </c>
      <c r="F3129" s="2" t="s">
        <v>15</v>
      </c>
      <c r="I3129" s="2"/>
    </row>
    <row r="3130" spans="1:9" customFormat="1" ht="16" x14ac:dyDescent="0.2">
      <c r="A3130" t="s">
        <v>61</v>
      </c>
      <c r="B3130" s="3">
        <v>1.3252688602888143E-6</v>
      </c>
      <c r="D3130" t="s">
        <v>14</v>
      </c>
      <c r="E3130" t="s">
        <v>9</v>
      </c>
      <c r="F3130" s="2" t="s">
        <v>15</v>
      </c>
      <c r="I3130" s="2"/>
    </row>
    <row r="3131" spans="1:9" customFormat="1" ht="16" x14ac:dyDescent="0.2">
      <c r="A3131" t="s">
        <v>62</v>
      </c>
      <c r="B3131" s="3">
        <v>2.2087814338146904E-8</v>
      </c>
      <c r="D3131" t="s">
        <v>14</v>
      </c>
      <c r="E3131" t="s">
        <v>9</v>
      </c>
      <c r="F3131" s="2" t="s">
        <v>15</v>
      </c>
      <c r="I3131" s="2"/>
    </row>
    <row r="3132" spans="1:9" customFormat="1" ht="16" x14ac:dyDescent="0.2">
      <c r="A3132" t="s">
        <v>63</v>
      </c>
      <c r="B3132" s="3">
        <v>1.9186035492763611E-15</v>
      </c>
      <c r="D3132" t="s">
        <v>14</v>
      </c>
      <c r="E3132" t="s">
        <v>9</v>
      </c>
      <c r="F3132" s="2" t="s">
        <v>15</v>
      </c>
      <c r="I3132" s="2"/>
    </row>
    <row r="3133" spans="1:9" customFormat="1" ht="16" x14ac:dyDescent="0.2">
      <c r="A3133" t="s">
        <v>64</v>
      </c>
      <c r="B3133" s="3">
        <v>4.6511601194578451E-13</v>
      </c>
      <c r="D3133" t="s">
        <v>14</v>
      </c>
      <c r="E3133" t="s">
        <v>9</v>
      </c>
      <c r="F3133" s="2" t="s">
        <v>15</v>
      </c>
      <c r="I3133" s="2"/>
    </row>
    <row r="3134" spans="1:9" customFormat="1" ht="16" x14ac:dyDescent="0.2">
      <c r="A3134" t="s">
        <v>177</v>
      </c>
      <c r="B3134" s="3">
        <v>6.6447090752701953E-7</v>
      </c>
      <c r="D3134" t="s">
        <v>14</v>
      </c>
      <c r="E3134" t="s">
        <v>9</v>
      </c>
      <c r="F3134" s="2" t="s">
        <v>15</v>
      </c>
      <c r="I3134" s="2"/>
    </row>
    <row r="3135" spans="1:9" customFormat="1" ht="16" x14ac:dyDescent="0.2">
      <c r="A3135" t="s">
        <v>66</v>
      </c>
      <c r="B3135" s="3">
        <v>1.3252688602888143E-7</v>
      </c>
      <c r="D3135" t="s">
        <v>14</v>
      </c>
      <c r="E3135" t="s">
        <v>9</v>
      </c>
      <c r="F3135" s="2" t="s">
        <v>15</v>
      </c>
      <c r="I3135" s="2"/>
    </row>
    <row r="3136" spans="1:9" customFormat="1" ht="16" x14ac:dyDescent="0.2">
      <c r="A3136" t="s">
        <v>67</v>
      </c>
      <c r="B3136" s="3">
        <v>5.8566933256401625E-6</v>
      </c>
      <c r="D3136" t="s">
        <v>14</v>
      </c>
      <c r="E3136" t="s">
        <v>9</v>
      </c>
      <c r="F3136" s="2" t="s">
        <v>15</v>
      </c>
      <c r="I3136" s="2"/>
    </row>
    <row r="3137" spans="1:9" customFormat="1" ht="16" x14ac:dyDescent="0.2">
      <c r="A3137" t="s">
        <v>68</v>
      </c>
      <c r="B3137" s="3">
        <v>1.6279060418102458E-9</v>
      </c>
      <c r="D3137" t="s">
        <v>14</v>
      </c>
      <c r="E3137" t="s">
        <v>9</v>
      </c>
      <c r="F3137" s="2" t="s">
        <v>15</v>
      </c>
      <c r="I3137" s="2"/>
    </row>
    <row r="3138" spans="1:9" customFormat="1" ht="16" x14ac:dyDescent="0.2">
      <c r="A3138" t="s">
        <v>69</v>
      </c>
      <c r="B3138" s="3">
        <f>B3104/1000</f>
        <v>7.587186E-6</v>
      </c>
      <c r="D3138" t="s">
        <v>14</v>
      </c>
      <c r="E3138" t="s">
        <v>9</v>
      </c>
      <c r="F3138" s="2" t="s">
        <v>15</v>
      </c>
      <c r="I3138" s="2"/>
    </row>
    <row r="3139" spans="1:9" customFormat="1" ht="16" x14ac:dyDescent="0.2">
      <c r="A3139" t="s">
        <v>70</v>
      </c>
      <c r="B3139" s="3">
        <v>4.2883696301401334E-9</v>
      </c>
      <c r="D3139" t="s">
        <v>14</v>
      </c>
      <c r="E3139" t="s">
        <v>9</v>
      </c>
      <c r="F3139" s="2" t="s">
        <v>15</v>
      </c>
      <c r="I3139" s="2"/>
    </row>
    <row r="3140" spans="1:9" customFormat="1" ht="16" x14ac:dyDescent="0.2">
      <c r="A3140" t="s">
        <v>71</v>
      </c>
      <c r="B3140" s="3">
        <f>B3105/1000</f>
        <v>2.2136099999999999E-7</v>
      </c>
      <c r="D3140" t="s">
        <v>14</v>
      </c>
      <c r="E3140" t="s">
        <v>9</v>
      </c>
      <c r="F3140" s="2" t="s">
        <v>15</v>
      </c>
      <c r="I3140" s="2"/>
    </row>
    <row r="3141" spans="1:9" customFormat="1" ht="16" x14ac:dyDescent="0.2">
      <c r="A3141" t="s">
        <v>72</v>
      </c>
      <c r="B3141" s="3">
        <v>4.417562867629381E-9</v>
      </c>
      <c r="D3141" t="s">
        <v>14</v>
      </c>
      <c r="E3141" t="s">
        <v>9</v>
      </c>
      <c r="F3141" s="2" t="s">
        <v>15</v>
      </c>
      <c r="I3141" s="2"/>
    </row>
    <row r="3142" spans="1:9" customFormat="1" ht="16" x14ac:dyDescent="0.2">
      <c r="A3142" t="s">
        <v>73</v>
      </c>
      <c r="B3142" s="3">
        <v>1.2147463123534157E-8</v>
      </c>
      <c r="D3142" t="s">
        <v>14</v>
      </c>
      <c r="E3142" t="s">
        <v>9</v>
      </c>
      <c r="F3142" s="2" t="s">
        <v>15</v>
      </c>
      <c r="I3142" s="2"/>
    </row>
    <row r="3143" spans="1:9" customFormat="1" ht="16" x14ac:dyDescent="0.2">
      <c r="A3143" t="s">
        <v>74</v>
      </c>
      <c r="B3143" s="3">
        <v>3.9768082958024133E-7</v>
      </c>
      <c r="D3143" t="s">
        <v>14</v>
      </c>
      <c r="E3143" t="s">
        <v>9</v>
      </c>
      <c r="F3143" s="2" t="s">
        <v>15</v>
      </c>
      <c r="I3143" s="2"/>
    </row>
    <row r="3144" spans="1:9" customFormat="1" ht="16" x14ac:dyDescent="0.2">
      <c r="A3144" t="s">
        <v>75</v>
      </c>
      <c r="B3144" s="3">
        <v>2.3255800597289225E-10</v>
      </c>
      <c r="D3144" t="s">
        <v>14</v>
      </c>
      <c r="E3144" t="s">
        <v>9</v>
      </c>
      <c r="F3144" s="2" t="s">
        <v>15</v>
      </c>
      <c r="I3144" s="2"/>
    </row>
    <row r="3145" spans="1:9" customFormat="1" ht="16" x14ac:dyDescent="0.2">
      <c r="A3145" t="s">
        <v>76</v>
      </c>
      <c r="B3145" s="3">
        <v>4.0869969387591558E-8</v>
      </c>
      <c r="D3145" t="s">
        <v>14</v>
      </c>
      <c r="E3145" t="s">
        <v>9</v>
      </c>
      <c r="F3145" s="2" t="s">
        <v>15</v>
      </c>
      <c r="I3145" s="2"/>
    </row>
    <row r="3146" spans="1:9" customFormat="1" ht="16" x14ac:dyDescent="0.2">
      <c r="A3146" t="s">
        <v>77</v>
      </c>
      <c r="B3146" s="3">
        <v>4.651160119457845E-7</v>
      </c>
      <c r="D3146" t="s">
        <v>14</v>
      </c>
      <c r="E3146" t="s">
        <v>9</v>
      </c>
      <c r="F3146" s="2" t="s">
        <v>15</v>
      </c>
      <c r="I3146" s="2"/>
    </row>
    <row r="3147" spans="1:9" customFormat="1" ht="16" x14ac:dyDescent="0.2">
      <c r="A3147" t="s">
        <v>78</v>
      </c>
      <c r="B3147" s="3">
        <v>7.619711612948033E-8</v>
      </c>
      <c r="D3147" t="s">
        <v>14</v>
      </c>
      <c r="E3147" t="s">
        <v>9</v>
      </c>
      <c r="F3147" s="2" t="s">
        <v>15</v>
      </c>
      <c r="I3147" s="2"/>
    </row>
    <row r="3148" spans="1:9" customFormat="1" ht="16" x14ac:dyDescent="0.2">
      <c r="A3148" t="s">
        <v>79</v>
      </c>
      <c r="B3148" s="3">
        <v>2.3255800597289226E-8</v>
      </c>
      <c r="D3148" t="s">
        <v>14</v>
      </c>
      <c r="E3148" t="s">
        <v>9</v>
      </c>
      <c r="F3148" s="2" t="s">
        <v>15</v>
      </c>
      <c r="I3148" s="2"/>
    </row>
    <row r="3149" spans="1:9" customFormat="1" ht="16" x14ac:dyDescent="0.2">
      <c r="A3149" t="s">
        <v>80</v>
      </c>
      <c r="B3149" s="3">
        <v>6.7382024692940973E-8</v>
      </c>
      <c r="D3149" t="s">
        <v>14</v>
      </c>
      <c r="E3149" t="s">
        <v>9</v>
      </c>
      <c r="F3149" s="2" t="s">
        <v>15</v>
      </c>
      <c r="I3149" s="2"/>
    </row>
    <row r="3150" spans="1:9" customFormat="1" ht="16" x14ac:dyDescent="0.2">
      <c r="A3150" t="s">
        <v>81</v>
      </c>
      <c r="B3150" s="3">
        <v>2.9821053643838246E-8</v>
      </c>
      <c r="D3150" t="s">
        <v>14</v>
      </c>
      <c r="E3150" t="s">
        <v>9</v>
      </c>
      <c r="F3150" s="2" t="s">
        <v>15</v>
      </c>
      <c r="I3150" s="2"/>
    </row>
    <row r="3151" spans="1:9" customFormat="1" ht="16" x14ac:dyDescent="0.2">
      <c r="F3151" s="2"/>
      <c r="H3151" s="3"/>
    </row>
    <row r="3152" spans="1:9" x14ac:dyDescent="0.2">
      <c r="A3152" s="17" t="s">
        <v>2</v>
      </c>
      <c r="B3152" s="17" t="s">
        <v>419</v>
      </c>
    </row>
    <row r="3153" spans="1:12" customFormat="1" ht="16" x14ac:dyDescent="0.2">
      <c r="A3153" s="2" t="s">
        <v>3</v>
      </c>
      <c r="B3153" s="2" t="s">
        <v>18</v>
      </c>
      <c r="C3153" s="2"/>
      <c r="D3153" s="2"/>
      <c r="E3153" s="2"/>
      <c r="F3153" s="2"/>
      <c r="G3153" s="2"/>
      <c r="H3153" s="2"/>
      <c r="I3153" s="2"/>
      <c r="J3153" s="2"/>
      <c r="K3153" s="2"/>
      <c r="L3153" s="2"/>
    </row>
    <row r="3154" spans="1:12" customFormat="1" ht="16" x14ac:dyDescent="0.2">
      <c r="A3154" s="2" t="s">
        <v>4</v>
      </c>
      <c r="B3154" s="2">
        <v>1</v>
      </c>
      <c r="C3154" s="2"/>
      <c r="D3154" s="2"/>
      <c r="E3154" s="2"/>
      <c r="F3154" s="2"/>
      <c r="G3154" s="2"/>
      <c r="H3154" s="2"/>
      <c r="I3154" s="2"/>
      <c r="J3154" s="2"/>
      <c r="K3154" s="2"/>
      <c r="L3154" s="2"/>
    </row>
    <row r="3155" spans="1:12" customFormat="1" ht="16" x14ac:dyDescent="0.2">
      <c r="A3155" s="2" t="s">
        <v>5</v>
      </c>
      <c r="B3155" s="2" t="s">
        <v>1</v>
      </c>
      <c r="C3155" s="2"/>
      <c r="D3155" s="2"/>
      <c r="E3155" s="2"/>
      <c r="F3155" s="2"/>
      <c r="G3155" s="2"/>
      <c r="H3155" s="2"/>
      <c r="I3155" s="2"/>
      <c r="J3155" s="2"/>
    </row>
    <row r="3156" spans="1:12" customFormat="1" ht="16" x14ac:dyDescent="0.2">
      <c r="A3156" s="2" t="s">
        <v>6</v>
      </c>
      <c r="B3156" s="2" t="s">
        <v>7</v>
      </c>
      <c r="C3156" s="2"/>
      <c r="D3156" s="2"/>
      <c r="E3156" s="2"/>
      <c r="F3156" s="2"/>
      <c r="G3156" s="2"/>
      <c r="H3156" s="2"/>
      <c r="I3156" s="2"/>
      <c r="J3156" s="2"/>
      <c r="K3156" s="2"/>
      <c r="L3156" s="2"/>
    </row>
    <row r="3157" spans="1:12" customFormat="1" ht="16" x14ac:dyDescent="0.2">
      <c r="A3157" s="2" t="s">
        <v>8</v>
      </c>
      <c r="B3157" s="2" t="s">
        <v>17</v>
      </c>
      <c r="C3157" s="2"/>
      <c r="D3157" s="2"/>
      <c r="E3157" s="2"/>
      <c r="F3157" s="2"/>
      <c r="G3157" s="2"/>
      <c r="H3157" s="2"/>
      <c r="I3157" s="2"/>
      <c r="J3157" s="2"/>
      <c r="K3157" s="2"/>
      <c r="L3157" s="2"/>
    </row>
    <row r="3158" spans="1:12" customFormat="1" ht="16" x14ac:dyDescent="0.2">
      <c r="A3158" t="s">
        <v>352</v>
      </c>
      <c r="B3158" s="2">
        <v>126</v>
      </c>
      <c r="C3158" t="s">
        <v>312</v>
      </c>
      <c r="D3158" s="2"/>
      <c r="E3158" s="2"/>
      <c r="F3158" s="2"/>
      <c r="G3158" s="2"/>
      <c r="H3158" s="2"/>
      <c r="I3158" s="2"/>
      <c r="J3158" s="2"/>
      <c r="K3158" s="2"/>
      <c r="L3158" s="2"/>
    </row>
    <row r="3159" spans="1:12" customFormat="1" ht="16" x14ac:dyDescent="0.2">
      <c r="A3159" t="s">
        <v>353</v>
      </c>
      <c r="B3159" s="2">
        <v>54</v>
      </c>
      <c r="C3159" t="s">
        <v>312</v>
      </c>
      <c r="D3159" s="2"/>
      <c r="E3159" s="2"/>
      <c r="F3159" s="2"/>
      <c r="G3159" s="2"/>
      <c r="H3159" s="2"/>
      <c r="I3159" s="2"/>
      <c r="J3159" s="2"/>
      <c r="K3159" s="2"/>
      <c r="L3159" s="2"/>
    </row>
    <row r="3160" spans="1:12" customFormat="1" ht="16" x14ac:dyDescent="0.2">
      <c r="A3160" t="s">
        <v>354</v>
      </c>
      <c r="B3160" s="2">
        <v>158</v>
      </c>
      <c r="C3160" t="s">
        <v>312</v>
      </c>
      <c r="D3160" s="2"/>
      <c r="E3160" s="2"/>
      <c r="F3160" s="2"/>
      <c r="G3160" s="2"/>
      <c r="H3160" s="2"/>
      <c r="I3160" s="2"/>
      <c r="J3160" s="2"/>
      <c r="K3160" s="2"/>
      <c r="L3160" s="2"/>
    </row>
    <row r="3161" spans="1:12" customFormat="1" ht="16" x14ac:dyDescent="0.2">
      <c r="A3161" t="s">
        <v>316</v>
      </c>
      <c r="B3161" s="24">
        <v>200000</v>
      </c>
      <c r="C3161" t="s">
        <v>313</v>
      </c>
      <c r="D3161" s="2"/>
      <c r="E3161" s="2"/>
      <c r="F3161" s="2"/>
      <c r="G3161" s="2"/>
      <c r="H3161" s="2"/>
      <c r="I3161" s="2"/>
      <c r="J3161" s="2"/>
      <c r="K3161" s="2"/>
      <c r="L3161" s="2"/>
    </row>
    <row r="3162" spans="1:12" customFormat="1" ht="16" x14ac:dyDescent="0.2">
      <c r="A3162" t="s">
        <v>317</v>
      </c>
      <c r="B3162" s="24">
        <v>160000</v>
      </c>
      <c r="C3162" t="s">
        <v>313</v>
      </c>
      <c r="D3162" s="2"/>
      <c r="E3162" s="2"/>
      <c r="F3162" s="2"/>
      <c r="G3162" s="2"/>
      <c r="H3162" s="2"/>
      <c r="I3162" s="2"/>
      <c r="J3162" s="2"/>
      <c r="K3162" s="2"/>
      <c r="L3162" s="2"/>
    </row>
    <row r="3163" spans="1:12" customFormat="1" ht="16" x14ac:dyDescent="0.2">
      <c r="A3163" t="s">
        <v>318</v>
      </c>
      <c r="B3163" s="24">
        <v>250000</v>
      </c>
      <c r="C3163" t="s">
        <v>313</v>
      </c>
      <c r="D3163" s="2"/>
      <c r="E3163" s="2"/>
      <c r="F3163" s="2"/>
      <c r="G3163" s="2"/>
      <c r="H3163" s="2"/>
      <c r="I3163" s="2"/>
      <c r="J3163" s="2"/>
      <c r="K3163" s="2"/>
      <c r="L3163" s="2"/>
    </row>
    <row r="3164" spans="1:12" customFormat="1" ht="16" x14ac:dyDescent="0.2">
      <c r="A3164" t="s">
        <v>319</v>
      </c>
      <c r="B3164" s="2">
        <v>2250</v>
      </c>
      <c r="C3164" t="s">
        <v>314</v>
      </c>
      <c r="D3164" s="2"/>
      <c r="E3164" s="2"/>
      <c r="F3164" s="2"/>
      <c r="G3164" s="2"/>
      <c r="H3164" s="2"/>
      <c r="I3164" s="2"/>
      <c r="J3164" s="2"/>
      <c r="K3164" s="2"/>
      <c r="L3164" s="2"/>
    </row>
    <row r="3165" spans="1:12" customFormat="1" ht="16" x14ac:dyDescent="0.2">
      <c r="A3165" t="s">
        <v>320</v>
      </c>
      <c r="B3165" s="2">
        <v>1500</v>
      </c>
      <c r="C3165" t="s">
        <v>314</v>
      </c>
      <c r="D3165" s="2"/>
      <c r="E3165" s="2"/>
      <c r="F3165" s="2"/>
      <c r="G3165" s="2"/>
      <c r="H3165" s="2"/>
      <c r="I3165" s="2"/>
      <c r="J3165" s="2"/>
      <c r="K3165" s="2"/>
      <c r="L3165" s="2"/>
    </row>
    <row r="3166" spans="1:12" customFormat="1" ht="16" x14ac:dyDescent="0.2">
      <c r="A3166" t="s">
        <v>321</v>
      </c>
      <c r="B3166" s="2">
        <v>2900</v>
      </c>
      <c r="C3166" t="s">
        <v>314</v>
      </c>
      <c r="D3166" s="2"/>
      <c r="E3166" s="2"/>
      <c r="F3166" s="2"/>
      <c r="G3166" s="2"/>
      <c r="H3166" s="2"/>
      <c r="I3166" s="2"/>
      <c r="J3166" s="2"/>
      <c r="K3166" s="2"/>
      <c r="L3166" s="2"/>
    </row>
    <row r="3167" spans="1:12" customFormat="1" ht="16" x14ac:dyDescent="0.2">
      <c r="A3167" t="s">
        <v>337</v>
      </c>
      <c r="B3167" s="2">
        <v>0</v>
      </c>
      <c r="C3167" t="s">
        <v>336</v>
      </c>
      <c r="D3167" s="2"/>
      <c r="E3167" s="2"/>
      <c r="F3167" s="2"/>
      <c r="G3167" s="2"/>
      <c r="H3167" s="2"/>
      <c r="I3167" s="2"/>
      <c r="J3167" s="2"/>
      <c r="K3167" s="2"/>
      <c r="L3167" s="2"/>
    </row>
    <row r="3168" spans="1:12" customFormat="1" ht="16" x14ac:dyDescent="0.2">
      <c r="A3168" t="s">
        <v>338</v>
      </c>
      <c r="B3168" s="2">
        <v>0</v>
      </c>
      <c r="C3168" t="s">
        <v>336</v>
      </c>
      <c r="D3168" s="2"/>
      <c r="E3168" s="2"/>
      <c r="F3168" s="2"/>
      <c r="G3168" s="2"/>
      <c r="H3168" s="2"/>
      <c r="I3168" s="2"/>
      <c r="J3168" s="2"/>
      <c r="K3168" s="2"/>
      <c r="L3168" s="2"/>
    </row>
    <row r="3169" spans="1:12" customFormat="1" ht="16" x14ac:dyDescent="0.2">
      <c r="A3169" t="s">
        <v>339</v>
      </c>
      <c r="B3169" s="2">
        <v>0</v>
      </c>
      <c r="C3169" t="s">
        <v>336</v>
      </c>
      <c r="D3169" s="2"/>
      <c r="E3169" s="2"/>
      <c r="F3169" s="2"/>
      <c r="G3169" s="2"/>
      <c r="H3169" s="2"/>
      <c r="I3169" s="2"/>
      <c r="J3169" s="2"/>
      <c r="K3169" s="2"/>
      <c r="L3169" s="2"/>
    </row>
    <row r="3170" spans="1:12" customFormat="1" ht="16" x14ac:dyDescent="0.2">
      <c r="A3170" t="s">
        <v>340</v>
      </c>
      <c r="B3170" s="2">
        <v>169</v>
      </c>
      <c r="C3170" t="s">
        <v>336</v>
      </c>
      <c r="D3170" s="2"/>
      <c r="E3170" s="2"/>
      <c r="F3170" s="2"/>
      <c r="G3170" s="2"/>
      <c r="H3170" s="2"/>
      <c r="I3170" s="2"/>
      <c r="J3170" s="2"/>
      <c r="K3170" s="2"/>
      <c r="L3170" s="2"/>
    </row>
    <row r="3171" spans="1:12" customFormat="1" ht="16" x14ac:dyDescent="0.2">
      <c r="A3171" t="s">
        <v>341</v>
      </c>
      <c r="B3171" s="2">
        <v>111</v>
      </c>
      <c r="C3171" t="s">
        <v>336</v>
      </c>
      <c r="D3171" s="2"/>
      <c r="E3171" s="2"/>
      <c r="F3171" s="2"/>
      <c r="G3171" s="2"/>
      <c r="H3171" s="2"/>
      <c r="I3171" s="2"/>
      <c r="J3171" s="2"/>
      <c r="K3171" s="2"/>
      <c r="L3171" s="2"/>
    </row>
    <row r="3172" spans="1:12" customFormat="1" ht="16" x14ac:dyDescent="0.2">
      <c r="A3172" t="s">
        <v>342</v>
      </c>
      <c r="B3172" s="2">
        <v>194</v>
      </c>
      <c r="C3172" t="s">
        <v>336</v>
      </c>
      <c r="D3172" s="2"/>
      <c r="E3172" s="2"/>
      <c r="F3172" s="2"/>
      <c r="G3172" s="2"/>
      <c r="H3172" s="2"/>
      <c r="I3172" s="2"/>
      <c r="J3172" s="2"/>
      <c r="K3172" s="2"/>
      <c r="L3172" s="2"/>
    </row>
    <row r="3173" spans="1:12" customFormat="1" ht="16" x14ac:dyDescent="0.2">
      <c r="A3173" t="s">
        <v>333</v>
      </c>
      <c r="B3173" s="2">
        <v>48</v>
      </c>
      <c r="C3173" t="s">
        <v>336</v>
      </c>
      <c r="D3173" s="2"/>
      <c r="E3173" s="2"/>
      <c r="F3173" s="2"/>
      <c r="G3173" s="2"/>
      <c r="H3173" s="2"/>
      <c r="I3173" s="2"/>
      <c r="J3173" s="2"/>
      <c r="K3173" s="2"/>
      <c r="L3173" s="2"/>
    </row>
    <row r="3174" spans="1:12" customFormat="1" ht="16" x14ac:dyDescent="0.2">
      <c r="A3174" t="s">
        <v>334</v>
      </c>
      <c r="B3174" s="2">
        <v>30</v>
      </c>
      <c r="C3174" t="s">
        <v>336</v>
      </c>
      <c r="D3174" s="2"/>
      <c r="E3174" s="2"/>
      <c r="F3174" s="2"/>
      <c r="G3174" s="2"/>
      <c r="H3174" s="2"/>
      <c r="I3174" s="2"/>
      <c r="J3174" s="2"/>
      <c r="K3174" s="2"/>
      <c r="L3174" s="2"/>
    </row>
    <row r="3175" spans="1:12" customFormat="1" ht="16" x14ac:dyDescent="0.2">
      <c r="A3175" t="s">
        <v>335</v>
      </c>
      <c r="B3175" s="2">
        <v>48</v>
      </c>
      <c r="C3175" t="s">
        <v>336</v>
      </c>
      <c r="D3175" s="2"/>
      <c r="E3175" s="2"/>
      <c r="F3175" s="2"/>
      <c r="G3175" s="2"/>
      <c r="H3175" s="2"/>
      <c r="I3175" s="2"/>
      <c r="J3175" s="2"/>
      <c r="K3175" s="2"/>
      <c r="L3175" s="2"/>
    </row>
    <row r="3176" spans="1:12" customFormat="1" ht="16" x14ac:dyDescent="0.2">
      <c r="A3176" t="s">
        <v>322</v>
      </c>
      <c r="B3176" s="2">
        <v>0</v>
      </c>
      <c r="C3176" t="s">
        <v>315</v>
      </c>
      <c r="D3176" s="2"/>
      <c r="E3176" s="2"/>
      <c r="F3176" s="2"/>
      <c r="G3176" s="2"/>
      <c r="H3176" s="2"/>
      <c r="I3176" s="2"/>
      <c r="J3176" s="2"/>
      <c r="K3176" s="2"/>
      <c r="L3176" s="2"/>
    </row>
    <row r="3177" spans="1:12" customFormat="1" ht="16" x14ac:dyDescent="0.2">
      <c r="A3177" t="s">
        <v>323</v>
      </c>
      <c r="B3177" s="2">
        <v>0</v>
      </c>
      <c r="C3177" t="s">
        <v>315</v>
      </c>
      <c r="D3177" s="2"/>
      <c r="E3177" s="2"/>
      <c r="F3177" s="2"/>
      <c r="G3177" s="2"/>
      <c r="H3177" s="2"/>
      <c r="I3177" s="2"/>
      <c r="J3177" s="2"/>
      <c r="K3177" s="2"/>
      <c r="L3177" s="2"/>
    </row>
    <row r="3178" spans="1:12" customFormat="1" ht="16" x14ac:dyDescent="0.2">
      <c r="A3178" t="s">
        <v>324</v>
      </c>
      <c r="B3178" s="2">
        <v>0</v>
      </c>
      <c r="C3178" t="s">
        <v>315</v>
      </c>
      <c r="D3178" s="2"/>
      <c r="E3178" s="2"/>
      <c r="F3178" s="2"/>
      <c r="G3178" s="2"/>
      <c r="H3178" s="2"/>
      <c r="I3178" s="2"/>
      <c r="J3178" s="2"/>
      <c r="K3178" s="2"/>
      <c r="L3178" s="2"/>
    </row>
    <row r="3179" spans="1:12" customFormat="1" ht="16" x14ac:dyDescent="0.2">
      <c r="A3179" t="s">
        <v>330</v>
      </c>
      <c r="B3179" s="2">
        <v>0</v>
      </c>
      <c r="C3179" t="s">
        <v>8</v>
      </c>
      <c r="D3179" s="2"/>
      <c r="E3179" s="2"/>
      <c r="F3179" s="2"/>
      <c r="G3179" s="2"/>
      <c r="H3179" s="2"/>
      <c r="I3179" s="2"/>
      <c r="J3179" s="2"/>
      <c r="K3179" s="2"/>
      <c r="L3179" s="2"/>
    </row>
    <row r="3180" spans="1:12" customFormat="1" ht="16" x14ac:dyDescent="0.2">
      <c r="A3180" t="s">
        <v>331</v>
      </c>
      <c r="B3180" s="2">
        <v>0</v>
      </c>
      <c r="C3180" t="s">
        <v>8</v>
      </c>
      <c r="D3180" s="2"/>
      <c r="E3180" s="2"/>
      <c r="F3180" s="2"/>
      <c r="G3180" s="2"/>
      <c r="H3180" s="2"/>
      <c r="I3180" s="2"/>
      <c r="J3180" s="2"/>
      <c r="K3180" s="2"/>
      <c r="L3180" s="2"/>
    </row>
    <row r="3181" spans="1:12" customFormat="1" ht="16" x14ac:dyDescent="0.2">
      <c r="A3181" t="s">
        <v>332</v>
      </c>
      <c r="B3181" s="2">
        <v>0</v>
      </c>
      <c r="C3181" t="s">
        <v>8</v>
      </c>
      <c r="D3181" s="2"/>
      <c r="E3181" s="2"/>
      <c r="F3181" s="2"/>
      <c r="G3181" s="2"/>
      <c r="H3181" s="2"/>
      <c r="I3181" s="2"/>
      <c r="J3181" s="2"/>
      <c r="K3181" s="2"/>
      <c r="L3181" s="2"/>
    </row>
    <row r="3182" spans="1:12" customFormat="1" ht="16" x14ac:dyDescent="0.2">
      <c r="A3182" t="s">
        <v>346</v>
      </c>
      <c r="B3182" s="2">
        <v>0</v>
      </c>
      <c r="C3182" t="s">
        <v>312</v>
      </c>
      <c r="D3182" s="2"/>
      <c r="E3182" s="2"/>
      <c r="F3182" s="2"/>
      <c r="G3182" s="2"/>
      <c r="H3182" s="2"/>
      <c r="I3182" s="2"/>
      <c r="J3182" s="2"/>
      <c r="K3182" s="2"/>
      <c r="L3182" s="2"/>
    </row>
    <row r="3183" spans="1:12" customFormat="1" ht="16" x14ac:dyDescent="0.2">
      <c r="A3183" t="s">
        <v>347</v>
      </c>
      <c r="B3183" s="2">
        <v>0</v>
      </c>
      <c r="C3183" t="s">
        <v>312</v>
      </c>
      <c r="D3183" s="2"/>
      <c r="E3183" s="12"/>
      <c r="F3183" s="2"/>
      <c r="G3183" s="2"/>
      <c r="H3183" s="2"/>
      <c r="I3183" s="2"/>
      <c r="J3183" s="2"/>
      <c r="K3183" s="2"/>
      <c r="L3183" s="2"/>
    </row>
    <row r="3184" spans="1:12" customFormat="1" ht="16" x14ac:dyDescent="0.2">
      <c r="A3184" t="s">
        <v>348</v>
      </c>
      <c r="B3184" s="2">
        <v>0</v>
      </c>
      <c r="C3184" t="s">
        <v>312</v>
      </c>
      <c r="D3184" s="2"/>
      <c r="E3184" s="2"/>
      <c r="F3184" s="2"/>
      <c r="G3184" s="2"/>
      <c r="H3184" s="2"/>
      <c r="I3184" s="2"/>
      <c r="J3184" s="2"/>
      <c r="K3184" s="2"/>
      <c r="L3184" s="2"/>
    </row>
    <row r="3185" spans="1:12" customFormat="1" ht="16" x14ac:dyDescent="0.2">
      <c r="A3185" t="s">
        <v>349</v>
      </c>
      <c r="B3185" s="2">
        <v>0</v>
      </c>
      <c r="C3185" t="s">
        <v>8</v>
      </c>
      <c r="D3185" s="2"/>
      <c r="E3185" s="2"/>
      <c r="F3185" s="2"/>
      <c r="G3185" s="2"/>
      <c r="H3185" s="2"/>
      <c r="I3185" s="2"/>
      <c r="J3185" s="2"/>
      <c r="K3185" s="2"/>
      <c r="L3185" s="2"/>
    </row>
    <row r="3186" spans="1:12" customFormat="1" ht="16" x14ac:dyDescent="0.2">
      <c r="A3186" t="s">
        <v>350</v>
      </c>
      <c r="B3186" s="2">
        <v>0</v>
      </c>
      <c r="C3186" t="s">
        <v>8</v>
      </c>
      <c r="D3186" s="2"/>
      <c r="E3186" s="2"/>
      <c r="F3186" s="2"/>
      <c r="G3186" s="2"/>
      <c r="H3186" s="2"/>
      <c r="I3186" s="2"/>
      <c r="J3186" s="2"/>
      <c r="K3186" s="2"/>
      <c r="L3186" s="2"/>
    </row>
    <row r="3187" spans="1:12" customFormat="1" ht="16" x14ac:dyDescent="0.2">
      <c r="A3187" t="s">
        <v>351</v>
      </c>
      <c r="B3187" s="2">
        <v>0</v>
      </c>
      <c r="C3187" t="s">
        <v>8</v>
      </c>
      <c r="D3187" s="2"/>
      <c r="E3187" s="2"/>
      <c r="F3187" s="2"/>
      <c r="G3187" s="2"/>
      <c r="H3187" s="2"/>
      <c r="I3187" s="2"/>
      <c r="J3187" s="2"/>
      <c r="K3187" s="2"/>
      <c r="L3187" s="2"/>
    </row>
    <row r="3188" spans="1:12" customFormat="1" ht="16" x14ac:dyDescent="0.2">
      <c r="A3188" t="s">
        <v>365</v>
      </c>
      <c r="B3188" s="2">
        <v>0</v>
      </c>
      <c r="C3188" t="s">
        <v>336</v>
      </c>
      <c r="D3188" s="2"/>
      <c r="E3188" s="2"/>
      <c r="F3188" s="2"/>
      <c r="G3188" s="2"/>
      <c r="H3188" s="2"/>
      <c r="I3188" s="2"/>
      <c r="J3188" s="2"/>
      <c r="K3188" s="2"/>
      <c r="L3188" s="2"/>
    </row>
    <row r="3189" spans="1:12" customFormat="1" ht="16" x14ac:dyDescent="0.2">
      <c r="A3189" t="s">
        <v>366</v>
      </c>
      <c r="B3189" s="2">
        <v>0</v>
      </c>
      <c r="C3189" t="s">
        <v>336</v>
      </c>
      <c r="D3189" s="2"/>
      <c r="E3189" s="2"/>
      <c r="F3189" s="2"/>
      <c r="G3189" s="2"/>
      <c r="H3189" s="2"/>
      <c r="I3189" s="2"/>
      <c r="J3189" s="2"/>
      <c r="K3189" s="2"/>
      <c r="L3189" s="2"/>
    </row>
    <row r="3190" spans="1:12" customFormat="1" ht="16" x14ac:dyDescent="0.2">
      <c r="A3190" t="s">
        <v>367</v>
      </c>
      <c r="B3190" s="2">
        <v>0</v>
      </c>
      <c r="C3190" t="s">
        <v>336</v>
      </c>
      <c r="D3190" s="2"/>
      <c r="E3190" s="2"/>
      <c r="F3190" s="2"/>
      <c r="G3190" s="2"/>
      <c r="H3190" s="2"/>
      <c r="I3190" s="2"/>
      <c r="J3190" s="2"/>
      <c r="K3190" s="2"/>
      <c r="L3190" s="2"/>
    </row>
    <row r="3191" spans="1:12" customFormat="1" ht="16" x14ac:dyDescent="0.2">
      <c r="A3191" t="s">
        <v>368</v>
      </c>
      <c r="B3191" s="2">
        <v>0</v>
      </c>
      <c r="C3191" t="s">
        <v>336</v>
      </c>
      <c r="D3191" s="2"/>
      <c r="E3191" s="2"/>
      <c r="F3191" s="2"/>
      <c r="G3191" s="2"/>
      <c r="H3191" s="2"/>
      <c r="I3191" s="2"/>
      <c r="J3191" s="2"/>
      <c r="K3191" s="2"/>
      <c r="L3191" s="2"/>
    </row>
    <row r="3192" spans="1:12" customFormat="1" ht="16" x14ac:dyDescent="0.2">
      <c r="A3192" t="s">
        <v>369</v>
      </c>
      <c r="B3192" s="2">
        <v>0</v>
      </c>
      <c r="C3192" t="s">
        <v>336</v>
      </c>
      <c r="D3192" s="2"/>
      <c r="E3192" s="2"/>
      <c r="F3192" s="2"/>
      <c r="G3192" s="2"/>
      <c r="H3192" s="2"/>
      <c r="I3192" s="2"/>
      <c r="J3192" s="2"/>
      <c r="K3192" s="2"/>
      <c r="L3192" s="2"/>
    </row>
    <row r="3193" spans="1:12" customFormat="1" ht="16" x14ac:dyDescent="0.2">
      <c r="A3193" t="s">
        <v>344</v>
      </c>
      <c r="B3193" s="12">
        <v>7.5871860000000001E-3</v>
      </c>
      <c r="C3193" t="s">
        <v>345</v>
      </c>
      <c r="D3193" s="2"/>
      <c r="E3193" s="2"/>
      <c r="F3193" s="2"/>
      <c r="G3193" s="2"/>
      <c r="H3193" s="2"/>
      <c r="I3193" s="2"/>
      <c r="J3193" s="2"/>
      <c r="K3193" s="2"/>
      <c r="L3193" s="2"/>
    </row>
    <row r="3194" spans="1:12" customFormat="1" ht="16" x14ac:dyDescent="0.2">
      <c r="A3194" t="s">
        <v>343</v>
      </c>
      <c r="B3194" s="12">
        <v>2.21361E-4</v>
      </c>
      <c r="C3194" t="s">
        <v>345</v>
      </c>
      <c r="D3194" s="2"/>
      <c r="E3194" s="2"/>
      <c r="F3194" s="2"/>
      <c r="G3194" s="2"/>
      <c r="H3194" s="2"/>
      <c r="I3194" s="2"/>
      <c r="J3194" s="2"/>
      <c r="K3194" s="2"/>
      <c r="L3194" s="2"/>
    </row>
    <row r="3195" spans="1:12" customFormat="1" ht="16" x14ac:dyDescent="0.2">
      <c r="A3195" s="1" t="s">
        <v>10</v>
      </c>
      <c r="B3195" s="2"/>
      <c r="C3195" s="2"/>
      <c r="D3195" s="2"/>
      <c r="E3195" s="2"/>
      <c r="F3195" s="2"/>
      <c r="G3195" s="2"/>
      <c r="H3195" s="2"/>
      <c r="I3195" s="2"/>
      <c r="J3195" s="2"/>
      <c r="K3195" s="2"/>
      <c r="L3195" s="2"/>
    </row>
    <row r="3196" spans="1:12" x14ac:dyDescent="0.2">
      <c r="A3196" s="17" t="s">
        <v>11</v>
      </c>
      <c r="B3196" s="17" t="s">
        <v>12</v>
      </c>
      <c r="C3196" s="17" t="s">
        <v>3</v>
      </c>
      <c r="D3196" s="17" t="s">
        <v>13</v>
      </c>
      <c r="E3196" s="17" t="s">
        <v>8</v>
      </c>
      <c r="F3196" s="17" t="s">
        <v>6</v>
      </c>
      <c r="G3196" s="17" t="s">
        <v>5</v>
      </c>
      <c r="H3196" s="17" t="s">
        <v>151</v>
      </c>
      <c r="I3196" s="17" t="s">
        <v>179</v>
      </c>
      <c r="J3196" s="17" t="s">
        <v>180</v>
      </c>
      <c r="K3196" s="17" t="s">
        <v>181</v>
      </c>
      <c r="L3196" s="17" t="s">
        <v>182</v>
      </c>
    </row>
    <row r="3197" spans="1:12" customFormat="1" ht="16" x14ac:dyDescent="0.2">
      <c r="A3197" s="2" t="str">
        <f>B3152</f>
        <v>biodiesel, from residual cellulosic biomass, burned in passenger car</v>
      </c>
      <c r="B3197" s="2">
        <v>1</v>
      </c>
      <c r="C3197" s="2" t="str">
        <f>B3153</f>
        <v>RER</v>
      </c>
      <c r="D3197" s="2"/>
      <c r="E3197" s="2" t="str">
        <f>B3157</f>
        <v>megajoule</v>
      </c>
      <c r="F3197" s="2" t="s">
        <v>19</v>
      </c>
      <c r="G3197" s="2" t="str">
        <f>B3155</f>
        <v>heat</v>
      </c>
      <c r="H3197" s="2"/>
      <c r="I3197" s="2"/>
      <c r="J3197" s="2"/>
      <c r="K3197" s="2"/>
      <c r="L3197" s="2"/>
    </row>
    <row r="3198" spans="1:12" customFormat="1" ht="16" x14ac:dyDescent="0.2">
      <c r="A3198" s="2" t="s">
        <v>416</v>
      </c>
      <c r="B3198">
        <f>1/43</f>
        <v>2.3255813953488372E-2</v>
      </c>
      <c r="C3198" t="s">
        <v>18</v>
      </c>
      <c r="E3198" t="s">
        <v>9</v>
      </c>
      <c r="F3198" t="s">
        <v>23</v>
      </c>
      <c r="G3198" t="s">
        <v>408</v>
      </c>
      <c r="I3198" s="2"/>
    </row>
    <row r="3199" spans="1:12" customFormat="1" ht="16" x14ac:dyDescent="0.2">
      <c r="A3199" s="2" t="s">
        <v>143</v>
      </c>
      <c r="B3199" s="27">
        <f>(B3170/B3161)/(B3164/1000)</f>
        <v>3.7555555555555557E-4</v>
      </c>
      <c r="C3199" t="s">
        <v>114</v>
      </c>
      <c r="E3199" t="s">
        <v>9</v>
      </c>
      <c r="F3199" t="s">
        <v>23</v>
      </c>
      <c r="G3199" t="s">
        <v>144</v>
      </c>
      <c r="I3199" s="2">
        <v>5</v>
      </c>
      <c r="J3199" s="27">
        <f>B3199</f>
        <v>3.7555555555555557E-4</v>
      </c>
      <c r="K3199" s="3">
        <f>(B3171/B3163)/(B3166/1000)</f>
        <v>1.5310344827586207E-4</v>
      </c>
      <c r="L3199" s="3">
        <f>(B3172/B3162)/(B3165/1000)</f>
        <v>8.0833333333333332E-4</v>
      </c>
    </row>
    <row r="3200" spans="1:12" customFormat="1" ht="16" x14ac:dyDescent="0.2">
      <c r="A3200" s="2" t="s">
        <v>358</v>
      </c>
      <c r="B3200" s="3">
        <f>(B3173/B3161)/(B3164/1000)</f>
        <v>1.0666666666666667E-4</v>
      </c>
      <c r="C3200" t="s">
        <v>114</v>
      </c>
      <c r="E3200" t="s">
        <v>9</v>
      </c>
      <c r="F3200" t="s">
        <v>23</v>
      </c>
      <c r="G3200" s="2" t="s">
        <v>357</v>
      </c>
      <c r="H3200" s="2" t="s">
        <v>361</v>
      </c>
      <c r="I3200">
        <v>5</v>
      </c>
      <c r="J3200" s="27">
        <f>B3200</f>
        <v>1.0666666666666667E-4</v>
      </c>
      <c r="K3200" s="3">
        <f>J3200*0.8</f>
        <v>8.5333333333333339E-5</v>
      </c>
      <c r="L3200" s="3">
        <f>J3200*1.2</f>
        <v>1.2799999999999999E-4</v>
      </c>
    </row>
    <row r="3201" spans="1:12" customFormat="1" ht="16" x14ac:dyDescent="0.2">
      <c r="A3201" s="2" t="s">
        <v>359</v>
      </c>
      <c r="B3201" s="3">
        <f>B3200</f>
        <v>1.0666666666666667E-4</v>
      </c>
      <c r="C3201" t="s">
        <v>114</v>
      </c>
      <c r="E3201" t="s">
        <v>9</v>
      </c>
      <c r="F3201" t="s">
        <v>23</v>
      </c>
      <c r="G3201" s="2" t="s">
        <v>360</v>
      </c>
      <c r="H3201" s="2" t="s">
        <v>361</v>
      </c>
      <c r="I3201">
        <v>5</v>
      </c>
      <c r="J3201" s="27">
        <f>B3201</f>
        <v>1.0666666666666667E-4</v>
      </c>
      <c r="K3201" s="3">
        <f>K3200</f>
        <v>8.5333333333333339E-5</v>
      </c>
      <c r="L3201" s="3">
        <f>L3200</f>
        <v>1.2799999999999999E-4</v>
      </c>
    </row>
    <row r="3202" spans="1:12" customFormat="1" ht="16" x14ac:dyDescent="0.2">
      <c r="A3202" t="s">
        <v>45</v>
      </c>
      <c r="B3202" s="3">
        <v>7.1455665432553858E-7</v>
      </c>
      <c r="D3202" t="s">
        <v>14</v>
      </c>
      <c r="E3202" t="s">
        <v>9</v>
      </c>
      <c r="F3202" s="2" t="s">
        <v>15</v>
      </c>
      <c r="I3202" s="2"/>
    </row>
    <row r="3203" spans="1:12" customFormat="1" ht="16" x14ac:dyDescent="0.2">
      <c r="A3203" t="s">
        <v>46</v>
      </c>
      <c r="B3203" s="3">
        <v>3.2468920124586623E-7</v>
      </c>
      <c r="D3203" t="s">
        <v>14</v>
      </c>
      <c r="E3203" t="s">
        <v>9</v>
      </c>
      <c r="F3203" s="2" t="s">
        <v>15</v>
      </c>
      <c r="I3203" s="2"/>
    </row>
    <row r="3204" spans="1:12" customFormat="1" ht="16" x14ac:dyDescent="0.2">
      <c r="A3204" t="s">
        <v>47</v>
      </c>
      <c r="B3204" s="3">
        <v>3.9534349472964383E-7</v>
      </c>
      <c r="D3204" t="s">
        <v>14</v>
      </c>
      <c r="E3204" t="s">
        <v>9</v>
      </c>
      <c r="F3204" s="2" t="s">
        <v>15</v>
      </c>
      <c r="I3204" s="2"/>
    </row>
    <row r="3205" spans="1:12" customFormat="1" ht="16" x14ac:dyDescent="0.2">
      <c r="A3205" t="s">
        <v>48</v>
      </c>
      <c r="B3205" s="3">
        <v>3.7209280955662761E-7</v>
      </c>
      <c r="D3205" t="s">
        <v>14</v>
      </c>
      <c r="E3205" t="s">
        <v>9</v>
      </c>
      <c r="F3205" s="2" t="s">
        <v>15</v>
      </c>
      <c r="I3205" s="2"/>
    </row>
    <row r="3206" spans="1:12" customFormat="1" ht="16" x14ac:dyDescent="0.2">
      <c r="A3206" t="s">
        <v>49</v>
      </c>
      <c r="B3206" s="3">
        <v>9.4995966427857817E-8</v>
      </c>
      <c r="D3206" t="s">
        <v>14</v>
      </c>
      <c r="E3206" t="s">
        <v>9</v>
      </c>
      <c r="F3206" s="2" t="s">
        <v>15</v>
      </c>
      <c r="I3206" s="2"/>
    </row>
    <row r="3207" spans="1:12" customFormat="1" ht="16" x14ac:dyDescent="0.2">
      <c r="A3207" t="s">
        <v>50</v>
      </c>
      <c r="B3207" s="3">
        <v>2.186743705223342E-7</v>
      </c>
      <c r="D3207" t="s">
        <v>14</v>
      </c>
      <c r="E3207" t="s">
        <v>9</v>
      </c>
      <c r="F3207" s="2" t="s">
        <v>15</v>
      </c>
      <c r="I3207" s="2"/>
    </row>
    <row r="3208" spans="1:12" customFormat="1" ht="16" x14ac:dyDescent="0.2">
      <c r="A3208" t="s">
        <v>51</v>
      </c>
      <c r="B3208" s="3">
        <v>1.2147463123534157E-8</v>
      </c>
      <c r="D3208" t="s">
        <v>14</v>
      </c>
      <c r="E3208" t="s">
        <v>9</v>
      </c>
      <c r="F3208" s="2" t="s">
        <v>15</v>
      </c>
      <c r="I3208" s="2"/>
    </row>
    <row r="3209" spans="1:12" customFormat="1" ht="16" x14ac:dyDescent="0.2">
      <c r="A3209" t="s">
        <v>52</v>
      </c>
      <c r="B3209" s="3">
        <v>2.3255800597289225E-10</v>
      </c>
      <c r="D3209" t="s">
        <v>14</v>
      </c>
      <c r="E3209" t="s">
        <v>9</v>
      </c>
      <c r="F3209" s="2" t="s">
        <v>15</v>
      </c>
      <c r="I3209" s="2"/>
    </row>
    <row r="3210" spans="1:12" customFormat="1" ht="16" x14ac:dyDescent="0.2">
      <c r="A3210" t="s">
        <v>122</v>
      </c>
      <c r="B3210" s="25">
        <f>B3198*3.15</f>
        <v>7.3255813953488375E-2</v>
      </c>
      <c r="D3210" t="s">
        <v>14</v>
      </c>
      <c r="E3210" t="s">
        <v>9</v>
      </c>
      <c r="F3210" s="2" t="s">
        <v>15</v>
      </c>
      <c r="I3210" s="2"/>
    </row>
    <row r="3211" spans="1:12" customFormat="1" ht="16" x14ac:dyDescent="0.2">
      <c r="A3211" t="s">
        <v>123</v>
      </c>
      <c r="B3211" s="3">
        <v>2.1069404153243686E-5</v>
      </c>
      <c r="D3211" t="s">
        <v>14</v>
      </c>
      <c r="E3211" t="s">
        <v>9</v>
      </c>
      <c r="F3211" s="2" t="s">
        <v>15</v>
      </c>
      <c r="I3211" s="2"/>
    </row>
    <row r="3212" spans="1:12" customFormat="1" ht="16" x14ac:dyDescent="0.2">
      <c r="A3212" t="s">
        <v>55</v>
      </c>
      <c r="B3212" s="3">
        <v>1.1627900298644613E-9</v>
      </c>
      <c r="D3212" t="s">
        <v>14</v>
      </c>
      <c r="E3212" t="s">
        <v>9</v>
      </c>
      <c r="F3212" s="2" t="s">
        <v>15</v>
      </c>
      <c r="I3212" s="2"/>
    </row>
    <row r="3213" spans="1:12" customFormat="1" ht="16" x14ac:dyDescent="0.2">
      <c r="A3213" t="s">
        <v>56</v>
      </c>
      <c r="B3213" s="3">
        <v>2.3255800597289222E-12</v>
      </c>
      <c r="D3213" t="s">
        <v>14</v>
      </c>
      <c r="E3213" t="s">
        <v>9</v>
      </c>
      <c r="F3213" s="2" t="s">
        <v>15</v>
      </c>
      <c r="I3213" s="2"/>
    </row>
    <row r="3214" spans="1:12" customFormat="1" ht="16" x14ac:dyDescent="0.2">
      <c r="A3214" t="s">
        <v>57</v>
      </c>
      <c r="B3214" s="3">
        <v>3.9534861015391682E-8</v>
      </c>
      <c r="D3214" t="s">
        <v>14</v>
      </c>
      <c r="E3214" t="s">
        <v>9</v>
      </c>
      <c r="F3214" s="2" t="s">
        <v>15</v>
      </c>
      <c r="I3214" s="2"/>
    </row>
    <row r="3215" spans="1:12" customFormat="1" ht="16" x14ac:dyDescent="0.2">
      <c r="A3215" t="s">
        <v>150</v>
      </c>
      <c r="B3215" s="3">
        <v>7.1789570411210658E-8</v>
      </c>
      <c r="D3215" t="s">
        <v>14</v>
      </c>
      <c r="E3215" t="s">
        <v>9</v>
      </c>
      <c r="F3215" s="2" t="s">
        <v>15</v>
      </c>
      <c r="I3215" s="2"/>
    </row>
    <row r="3216" spans="1:12" customFormat="1" ht="16" x14ac:dyDescent="0.2">
      <c r="A3216" t="s">
        <v>58</v>
      </c>
      <c r="B3216" s="3">
        <v>1.1627900298644611E-6</v>
      </c>
      <c r="D3216" t="s">
        <v>14</v>
      </c>
      <c r="E3216" t="s">
        <v>9</v>
      </c>
      <c r="F3216" s="2" t="s">
        <v>15</v>
      </c>
      <c r="I3216" s="2"/>
    </row>
    <row r="3217" spans="1:9" customFormat="1" ht="16" x14ac:dyDescent="0.2">
      <c r="A3217" t="s">
        <v>59</v>
      </c>
      <c r="B3217" s="3">
        <v>3.646242366932188E-8</v>
      </c>
      <c r="D3217" t="s">
        <v>14</v>
      </c>
      <c r="E3217" t="s">
        <v>9</v>
      </c>
      <c r="F3217" s="2" t="s">
        <v>15</v>
      </c>
      <c r="I3217" s="2"/>
    </row>
    <row r="3218" spans="1:9" customFormat="1" ht="16" x14ac:dyDescent="0.2">
      <c r="A3218" t="s">
        <v>60</v>
      </c>
      <c r="B3218" s="3">
        <v>1.2114072625668476E-6</v>
      </c>
      <c r="D3218" t="s">
        <v>14</v>
      </c>
      <c r="E3218" t="s">
        <v>9</v>
      </c>
      <c r="F3218" s="2" t="s">
        <v>15</v>
      </c>
      <c r="I3218" s="2"/>
    </row>
    <row r="3219" spans="1:9" customFormat="1" ht="16" x14ac:dyDescent="0.2">
      <c r="A3219" t="s">
        <v>61</v>
      </c>
      <c r="B3219" s="3">
        <v>1.3252688602888143E-6</v>
      </c>
      <c r="D3219" t="s">
        <v>14</v>
      </c>
      <c r="E3219" t="s">
        <v>9</v>
      </c>
      <c r="F3219" s="2" t="s">
        <v>15</v>
      </c>
      <c r="I3219" s="2"/>
    </row>
    <row r="3220" spans="1:9" customFormat="1" ht="16" x14ac:dyDescent="0.2">
      <c r="A3220" t="s">
        <v>62</v>
      </c>
      <c r="B3220" s="3">
        <v>2.2087814338146904E-8</v>
      </c>
      <c r="D3220" t="s">
        <v>14</v>
      </c>
      <c r="E3220" t="s">
        <v>9</v>
      </c>
      <c r="F3220" s="2" t="s">
        <v>15</v>
      </c>
      <c r="I3220" s="2"/>
    </row>
    <row r="3221" spans="1:9" customFormat="1" ht="16" x14ac:dyDescent="0.2">
      <c r="A3221" t="s">
        <v>63</v>
      </c>
      <c r="B3221" s="3">
        <v>1.9186035492763611E-15</v>
      </c>
      <c r="D3221" t="s">
        <v>14</v>
      </c>
      <c r="E3221" t="s">
        <v>9</v>
      </c>
      <c r="F3221" s="2" t="s">
        <v>15</v>
      </c>
      <c r="I3221" s="2"/>
    </row>
    <row r="3222" spans="1:9" customFormat="1" ht="16" x14ac:dyDescent="0.2">
      <c r="A3222" t="s">
        <v>64</v>
      </c>
      <c r="B3222" s="3">
        <v>4.6511601194578451E-13</v>
      </c>
      <c r="D3222" t="s">
        <v>14</v>
      </c>
      <c r="E3222" t="s">
        <v>9</v>
      </c>
      <c r="F3222" s="2" t="s">
        <v>15</v>
      </c>
      <c r="I3222" s="2"/>
    </row>
    <row r="3223" spans="1:9" customFormat="1" ht="16" x14ac:dyDescent="0.2">
      <c r="A3223" t="s">
        <v>177</v>
      </c>
      <c r="B3223" s="3">
        <v>6.6447090752701953E-7</v>
      </c>
      <c r="D3223" t="s">
        <v>14</v>
      </c>
      <c r="E3223" t="s">
        <v>9</v>
      </c>
      <c r="F3223" s="2" t="s">
        <v>15</v>
      </c>
      <c r="I3223" s="2"/>
    </row>
    <row r="3224" spans="1:9" customFormat="1" ht="16" x14ac:dyDescent="0.2">
      <c r="A3224" t="s">
        <v>66</v>
      </c>
      <c r="B3224" s="3">
        <v>1.3252688602888143E-7</v>
      </c>
      <c r="D3224" t="s">
        <v>14</v>
      </c>
      <c r="E3224" t="s">
        <v>9</v>
      </c>
      <c r="F3224" s="2" t="s">
        <v>15</v>
      </c>
      <c r="I3224" s="2"/>
    </row>
    <row r="3225" spans="1:9" customFormat="1" ht="16" x14ac:dyDescent="0.2">
      <c r="A3225" t="s">
        <v>67</v>
      </c>
      <c r="B3225" s="3">
        <v>5.8566933256401625E-6</v>
      </c>
      <c r="D3225" t="s">
        <v>14</v>
      </c>
      <c r="E3225" t="s">
        <v>9</v>
      </c>
      <c r="F3225" s="2" t="s">
        <v>15</v>
      </c>
      <c r="I3225" s="2"/>
    </row>
    <row r="3226" spans="1:9" customFormat="1" ht="16" x14ac:dyDescent="0.2">
      <c r="A3226" t="s">
        <v>68</v>
      </c>
      <c r="B3226" s="3">
        <v>1.6279060418102458E-9</v>
      </c>
      <c r="D3226" t="s">
        <v>14</v>
      </c>
      <c r="E3226" t="s">
        <v>9</v>
      </c>
      <c r="F3226" s="2" t="s">
        <v>15</v>
      </c>
      <c r="I3226" s="2"/>
    </row>
    <row r="3227" spans="1:9" customFormat="1" ht="16" x14ac:dyDescent="0.2">
      <c r="A3227" t="s">
        <v>69</v>
      </c>
      <c r="B3227" s="3">
        <f>B3193/1000</f>
        <v>7.587186E-6</v>
      </c>
      <c r="D3227" t="s">
        <v>14</v>
      </c>
      <c r="E3227" t="s">
        <v>9</v>
      </c>
      <c r="F3227" s="2" t="s">
        <v>15</v>
      </c>
      <c r="I3227" s="2"/>
    </row>
    <row r="3228" spans="1:9" customFormat="1" ht="16" x14ac:dyDescent="0.2">
      <c r="A3228" t="s">
        <v>70</v>
      </c>
      <c r="B3228" s="3">
        <v>4.2883696301401334E-9</v>
      </c>
      <c r="D3228" t="s">
        <v>14</v>
      </c>
      <c r="E3228" t="s">
        <v>9</v>
      </c>
      <c r="F3228" s="2" t="s">
        <v>15</v>
      </c>
      <c r="I3228" s="2"/>
    </row>
    <row r="3229" spans="1:9" customFormat="1" ht="16" x14ac:dyDescent="0.2">
      <c r="A3229" t="s">
        <v>71</v>
      </c>
      <c r="B3229" s="3">
        <f>B3194/1000</f>
        <v>2.2136099999999999E-7</v>
      </c>
      <c r="D3229" t="s">
        <v>14</v>
      </c>
      <c r="E3229" t="s">
        <v>9</v>
      </c>
      <c r="F3229" s="2" t="s">
        <v>15</v>
      </c>
      <c r="I3229" s="2"/>
    </row>
    <row r="3230" spans="1:9" customFormat="1" ht="16" x14ac:dyDescent="0.2">
      <c r="A3230" t="s">
        <v>72</v>
      </c>
      <c r="B3230" s="3">
        <v>4.417562867629381E-9</v>
      </c>
      <c r="D3230" t="s">
        <v>14</v>
      </c>
      <c r="E3230" t="s">
        <v>9</v>
      </c>
      <c r="F3230" s="2" t="s">
        <v>15</v>
      </c>
      <c r="I3230" s="2"/>
    </row>
    <row r="3231" spans="1:9" customFormat="1" ht="16" x14ac:dyDescent="0.2">
      <c r="A3231" t="s">
        <v>73</v>
      </c>
      <c r="B3231" s="3">
        <v>1.2147463123534157E-8</v>
      </c>
      <c r="D3231" t="s">
        <v>14</v>
      </c>
      <c r="E3231" t="s">
        <v>9</v>
      </c>
      <c r="F3231" s="2" t="s">
        <v>15</v>
      </c>
      <c r="I3231" s="2"/>
    </row>
    <row r="3232" spans="1:9" customFormat="1" ht="16" x14ac:dyDescent="0.2">
      <c r="A3232" t="s">
        <v>74</v>
      </c>
      <c r="B3232" s="3">
        <v>3.9768082958024133E-7</v>
      </c>
      <c r="D3232" t="s">
        <v>14</v>
      </c>
      <c r="E3232" t="s">
        <v>9</v>
      </c>
      <c r="F3232" s="2" t="s">
        <v>15</v>
      </c>
      <c r="I3232" s="2"/>
    </row>
    <row r="3233" spans="1:12" customFormat="1" ht="16" x14ac:dyDescent="0.2">
      <c r="A3233" t="s">
        <v>75</v>
      </c>
      <c r="B3233" s="3">
        <v>2.3255800597289225E-10</v>
      </c>
      <c r="D3233" t="s">
        <v>14</v>
      </c>
      <c r="E3233" t="s">
        <v>9</v>
      </c>
      <c r="F3233" s="2" t="s">
        <v>15</v>
      </c>
      <c r="I3233" s="2"/>
    </row>
    <row r="3234" spans="1:12" customFormat="1" ht="16" x14ac:dyDescent="0.2">
      <c r="A3234" t="s">
        <v>76</v>
      </c>
      <c r="B3234" s="3">
        <v>4.0869969387591558E-8</v>
      </c>
      <c r="D3234" t="s">
        <v>14</v>
      </c>
      <c r="E3234" t="s">
        <v>9</v>
      </c>
      <c r="F3234" s="2" t="s">
        <v>15</v>
      </c>
      <c r="I3234" s="2"/>
    </row>
    <row r="3235" spans="1:12" customFormat="1" ht="16" x14ac:dyDescent="0.2">
      <c r="A3235" t="s">
        <v>77</v>
      </c>
      <c r="B3235" s="3">
        <v>4.651160119457845E-7</v>
      </c>
      <c r="D3235" t="s">
        <v>14</v>
      </c>
      <c r="E3235" t="s">
        <v>9</v>
      </c>
      <c r="F3235" s="2" t="s">
        <v>15</v>
      </c>
      <c r="I3235" s="2"/>
    </row>
    <row r="3236" spans="1:12" customFormat="1" ht="16" x14ac:dyDescent="0.2">
      <c r="A3236" t="s">
        <v>78</v>
      </c>
      <c r="B3236" s="3">
        <v>7.619711612948033E-8</v>
      </c>
      <c r="D3236" t="s">
        <v>14</v>
      </c>
      <c r="E3236" t="s">
        <v>9</v>
      </c>
      <c r="F3236" s="2" t="s">
        <v>15</v>
      </c>
      <c r="I3236" s="2"/>
    </row>
    <row r="3237" spans="1:12" customFormat="1" ht="16" x14ac:dyDescent="0.2">
      <c r="A3237" t="s">
        <v>79</v>
      </c>
      <c r="B3237" s="3">
        <v>2.3255800597289226E-8</v>
      </c>
      <c r="D3237" t="s">
        <v>14</v>
      </c>
      <c r="E3237" t="s">
        <v>9</v>
      </c>
      <c r="F3237" s="2" t="s">
        <v>15</v>
      </c>
      <c r="I3237" s="2"/>
    </row>
    <row r="3238" spans="1:12" customFormat="1" ht="16" x14ac:dyDescent="0.2">
      <c r="A3238" t="s">
        <v>80</v>
      </c>
      <c r="B3238" s="3">
        <v>6.7382024692940973E-8</v>
      </c>
      <c r="D3238" t="s">
        <v>14</v>
      </c>
      <c r="E3238" t="s">
        <v>9</v>
      </c>
      <c r="F3238" s="2" t="s">
        <v>15</v>
      </c>
      <c r="I3238" s="2"/>
    </row>
    <row r="3239" spans="1:12" customFormat="1" ht="16" x14ac:dyDescent="0.2">
      <c r="A3239" t="s">
        <v>81</v>
      </c>
      <c r="B3239" s="3">
        <v>2.9821053643838246E-8</v>
      </c>
      <c r="D3239" t="s">
        <v>14</v>
      </c>
      <c r="E3239" t="s">
        <v>9</v>
      </c>
      <c r="F3239" s="2" t="s">
        <v>15</v>
      </c>
      <c r="I3239" s="2"/>
    </row>
    <row r="3240" spans="1:12" customFormat="1" ht="16" x14ac:dyDescent="0.2">
      <c r="F3240" s="2"/>
      <c r="H3240" s="3"/>
    </row>
    <row r="3241" spans="1:12" x14ac:dyDescent="0.2">
      <c r="A3241" s="17" t="s">
        <v>2</v>
      </c>
      <c r="B3241" s="17" t="s">
        <v>276</v>
      </c>
    </row>
    <row r="3242" spans="1:12" customFormat="1" ht="16" x14ac:dyDescent="0.2">
      <c r="A3242" s="2" t="s">
        <v>3</v>
      </c>
      <c r="B3242" s="2" t="s">
        <v>18</v>
      </c>
      <c r="C3242" s="2"/>
      <c r="D3242" s="2"/>
      <c r="E3242" s="2"/>
      <c r="F3242" s="2"/>
      <c r="G3242" s="2"/>
      <c r="H3242" s="2"/>
      <c r="I3242" s="2"/>
      <c r="J3242" s="2"/>
      <c r="K3242" s="2"/>
      <c r="L3242" s="2"/>
    </row>
    <row r="3243" spans="1:12" customFormat="1" ht="16" x14ac:dyDescent="0.2">
      <c r="A3243" s="2" t="s">
        <v>4</v>
      </c>
      <c r="B3243" s="2">
        <v>1</v>
      </c>
      <c r="C3243" s="2"/>
      <c r="D3243" s="2"/>
      <c r="E3243" s="2"/>
      <c r="F3243" s="2"/>
      <c r="G3243" s="2"/>
      <c r="H3243" s="2"/>
      <c r="I3243" s="2"/>
      <c r="J3243" s="2"/>
      <c r="K3243" s="2"/>
      <c r="L3243" s="2"/>
    </row>
    <row r="3244" spans="1:12" customFormat="1" ht="16" x14ac:dyDescent="0.2">
      <c r="A3244" s="2" t="s">
        <v>5</v>
      </c>
      <c r="B3244" s="2" t="s">
        <v>1</v>
      </c>
      <c r="C3244" s="2"/>
      <c r="D3244" s="2"/>
      <c r="E3244" s="2"/>
      <c r="F3244" s="2"/>
      <c r="G3244" s="2"/>
      <c r="H3244" s="2"/>
      <c r="I3244" s="2"/>
      <c r="J3244" s="2"/>
    </row>
    <row r="3245" spans="1:12" customFormat="1" ht="16" x14ac:dyDescent="0.2">
      <c r="A3245" s="2" t="s">
        <v>6</v>
      </c>
      <c r="B3245" s="2" t="s">
        <v>7</v>
      </c>
      <c r="C3245" s="2"/>
      <c r="D3245" s="2"/>
      <c r="E3245" s="2"/>
      <c r="F3245" s="2"/>
      <c r="G3245" s="2"/>
      <c r="H3245" s="2"/>
      <c r="I3245" s="2"/>
      <c r="J3245" s="2"/>
      <c r="K3245" s="2"/>
      <c r="L3245" s="2"/>
    </row>
    <row r="3246" spans="1:12" customFormat="1" ht="16" x14ac:dyDescent="0.2">
      <c r="A3246" s="2" t="s">
        <v>8</v>
      </c>
      <c r="B3246" s="2" t="s">
        <v>17</v>
      </c>
      <c r="C3246" s="2"/>
      <c r="D3246" s="2"/>
      <c r="E3246" s="2"/>
      <c r="F3246" s="2"/>
      <c r="G3246" s="2"/>
      <c r="H3246" s="2"/>
      <c r="I3246" s="2"/>
      <c r="J3246" s="2"/>
      <c r="K3246" s="2"/>
      <c r="L3246" s="2"/>
    </row>
    <row r="3247" spans="1:12" customFormat="1" ht="16" x14ac:dyDescent="0.2">
      <c r="A3247" t="s">
        <v>352</v>
      </c>
      <c r="B3247" s="2">
        <f>INDEX(Parameters!$B$6:$AL$57,MATCH(Inventories!$B$3241,Parameters!$A$6:$A$57,0),MATCH(Inventories!$A3247,Parameters!$B$4:$AL$4,0))</f>
        <v>126</v>
      </c>
      <c r="C3247" t="s">
        <v>312</v>
      </c>
      <c r="D3247" s="2"/>
      <c r="E3247" s="2"/>
      <c r="F3247" s="2"/>
      <c r="G3247" s="2"/>
      <c r="H3247" s="2"/>
      <c r="I3247" s="2"/>
      <c r="J3247" s="2"/>
      <c r="K3247" s="2"/>
      <c r="L3247" s="2"/>
    </row>
    <row r="3248" spans="1:12" customFormat="1" ht="16" x14ac:dyDescent="0.2">
      <c r="A3248" t="s">
        <v>353</v>
      </c>
      <c r="B3248" s="2">
        <f>INDEX(Parameters!$B$6:$AL$57,MATCH(Inventories!$B$3241,Parameters!$A$6:$A$57,0),MATCH(Inventories!$A3248,Parameters!$B$4:$AL$4,0))</f>
        <v>54</v>
      </c>
      <c r="C3248" t="s">
        <v>312</v>
      </c>
      <c r="D3248" s="2"/>
      <c r="E3248" s="2"/>
      <c r="F3248" s="2"/>
      <c r="G3248" s="2"/>
      <c r="H3248" s="2"/>
      <c r="I3248" s="2"/>
      <c r="J3248" s="2"/>
      <c r="K3248" s="2"/>
      <c r="L3248" s="2"/>
    </row>
    <row r="3249" spans="1:12" customFormat="1" ht="16" x14ac:dyDescent="0.2">
      <c r="A3249" t="s">
        <v>354</v>
      </c>
      <c r="B3249" s="2">
        <f>INDEX(Parameters!$B$6:$AL$57,MATCH(Inventories!$B$3241,Parameters!$A$6:$A$57,0),MATCH(Inventories!$A3249,Parameters!$B$4:$AL$4,0))</f>
        <v>158</v>
      </c>
      <c r="C3249" t="s">
        <v>312</v>
      </c>
      <c r="D3249" s="2"/>
      <c r="E3249" s="2"/>
      <c r="F3249" s="2"/>
      <c r="G3249" s="2"/>
      <c r="H3249" s="2"/>
      <c r="I3249" s="2"/>
      <c r="J3249" s="2"/>
      <c r="K3249" s="2"/>
      <c r="L3249" s="2"/>
    </row>
    <row r="3250" spans="1:12" customFormat="1" ht="16" x14ac:dyDescent="0.2">
      <c r="A3250" t="s">
        <v>316</v>
      </c>
      <c r="B3250" s="24">
        <f>INDEX(Parameters!$B$6:$AL$57,MATCH(Inventories!$B$3241,Parameters!$A$6:$A$57,0),MATCH(Inventories!$A3250,Parameters!$B$4:$AL$4,0))</f>
        <v>200000</v>
      </c>
      <c r="C3250" t="s">
        <v>313</v>
      </c>
      <c r="D3250" s="2"/>
      <c r="E3250" s="2"/>
      <c r="F3250" s="2"/>
      <c r="G3250" s="2"/>
      <c r="H3250" s="2"/>
      <c r="I3250" s="2"/>
      <c r="J3250" s="2"/>
      <c r="K3250" s="2"/>
      <c r="L3250" s="2"/>
    </row>
    <row r="3251" spans="1:12" customFormat="1" ht="16" x14ac:dyDescent="0.2">
      <c r="A3251" t="s">
        <v>317</v>
      </c>
      <c r="B3251" s="24">
        <f>INDEX(Parameters!$B$6:$AL$57,MATCH(Inventories!$B$3241,Parameters!$A$6:$A$57,0),MATCH(Inventories!$A3251,Parameters!$B$4:$AL$4,0))</f>
        <v>160000</v>
      </c>
      <c r="C3251" t="s">
        <v>313</v>
      </c>
      <c r="D3251" s="2"/>
      <c r="E3251" s="2"/>
      <c r="F3251" s="2"/>
      <c r="G3251" s="2"/>
      <c r="H3251" s="2"/>
      <c r="I3251" s="2"/>
      <c r="J3251" s="2"/>
      <c r="K3251" s="2"/>
      <c r="L3251" s="2"/>
    </row>
    <row r="3252" spans="1:12" customFormat="1" ht="16" x14ac:dyDescent="0.2">
      <c r="A3252" t="s">
        <v>318</v>
      </c>
      <c r="B3252" s="24">
        <f>INDEX(Parameters!$B$6:$AL$57,MATCH(Inventories!$B$3241,Parameters!$A$6:$A$57,0),MATCH(Inventories!$A3252,Parameters!$B$4:$AL$4,0))</f>
        <v>250000</v>
      </c>
      <c r="C3252" t="s">
        <v>313</v>
      </c>
      <c r="D3252" s="2"/>
      <c r="E3252" s="2"/>
      <c r="F3252" s="2"/>
      <c r="G3252" s="2"/>
      <c r="H3252" s="2"/>
      <c r="I3252" s="2"/>
      <c r="J3252" s="2"/>
      <c r="K3252" s="2"/>
      <c r="L3252" s="2"/>
    </row>
    <row r="3253" spans="1:12" customFormat="1" ht="16" x14ac:dyDescent="0.2">
      <c r="A3253" t="s">
        <v>319</v>
      </c>
      <c r="B3253" s="2">
        <f>INDEX(Parameters!$B$6:$AL$57,MATCH(Inventories!$B$3241,Parameters!$A$6:$A$57,0),MATCH(Inventories!$A3253,Parameters!$B$4:$AL$4,0))</f>
        <v>2250</v>
      </c>
      <c r="C3253" t="s">
        <v>314</v>
      </c>
      <c r="D3253" s="2"/>
      <c r="E3253" s="2"/>
      <c r="F3253" s="2"/>
      <c r="G3253" s="2"/>
      <c r="H3253" s="2"/>
      <c r="I3253" s="2"/>
      <c r="J3253" s="2"/>
      <c r="K3253" s="2"/>
      <c r="L3253" s="2"/>
    </row>
    <row r="3254" spans="1:12" customFormat="1" ht="16" x14ac:dyDescent="0.2">
      <c r="A3254" t="s">
        <v>320</v>
      </c>
      <c r="B3254" s="2">
        <f>INDEX(Parameters!$B$6:$AL$57,MATCH(Inventories!$B$3241,Parameters!$A$6:$A$57,0),MATCH(Inventories!$A3254,Parameters!$B$4:$AL$4,0))</f>
        <v>1500</v>
      </c>
      <c r="C3254" t="s">
        <v>314</v>
      </c>
      <c r="D3254" s="2"/>
      <c r="E3254" s="2"/>
      <c r="F3254" s="2"/>
      <c r="G3254" s="2"/>
      <c r="H3254" s="2"/>
      <c r="I3254" s="2"/>
      <c r="J3254" s="2"/>
      <c r="K3254" s="2"/>
      <c r="L3254" s="2"/>
    </row>
    <row r="3255" spans="1:12" customFormat="1" ht="16" x14ac:dyDescent="0.2">
      <c r="A3255" t="s">
        <v>321</v>
      </c>
      <c r="B3255" s="2">
        <f>INDEX(Parameters!$B$6:$AL$57,MATCH(Inventories!$B$3241,Parameters!$A$6:$A$57,0),MATCH(Inventories!$A3255,Parameters!$B$4:$AL$4,0))</f>
        <v>2900</v>
      </c>
      <c r="C3255" t="s">
        <v>314</v>
      </c>
      <c r="D3255" s="2"/>
      <c r="E3255" s="2"/>
      <c r="F3255" s="2"/>
      <c r="G3255" s="2"/>
      <c r="H3255" s="2"/>
      <c r="I3255" s="2"/>
      <c r="J3255" s="2"/>
      <c r="K3255" s="2"/>
      <c r="L3255" s="2"/>
    </row>
    <row r="3256" spans="1:12" customFormat="1" ht="16" x14ac:dyDescent="0.2">
      <c r="A3256" t="s">
        <v>337</v>
      </c>
      <c r="B3256" s="2">
        <f>INDEX(Parameters!$B$6:$AL$57,MATCH(Inventories!$B$3241,Parameters!$A$6:$A$57,0),MATCH(Inventories!$A3256,Parameters!$B$4:$AL$4,0))</f>
        <v>0</v>
      </c>
      <c r="C3256" t="s">
        <v>336</v>
      </c>
      <c r="D3256" s="2"/>
      <c r="E3256" s="2"/>
      <c r="F3256" s="2"/>
      <c r="G3256" s="2"/>
      <c r="H3256" s="2"/>
      <c r="I3256" s="2"/>
      <c r="J3256" s="2"/>
      <c r="K3256" s="2"/>
      <c r="L3256" s="2"/>
    </row>
    <row r="3257" spans="1:12" customFormat="1" ht="16" x14ac:dyDescent="0.2">
      <c r="A3257" t="s">
        <v>338</v>
      </c>
      <c r="B3257" s="2">
        <f>INDEX(Parameters!$B$6:$AL$57,MATCH(Inventories!$B$3241,Parameters!$A$6:$A$57,0),MATCH(Inventories!$A3257,Parameters!$B$4:$AL$4,0))</f>
        <v>0</v>
      </c>
      <c r="C3257" t="s">
        <v>336</v>
      </c>
      <c r="D3257" s="2"/>
      <c r="E3257" s="2"/>
      <c r="F3257" s="2"/>
      <c r="G3257" s="2"/>
      <c r="H3257" s="2"/>
      <c r="I3257" s="2"/>
      <c r="J3257" s="2"/>
      <c r="K3257" s="2"/>
      <c r="L3257" s="2"/>
    </row>
    <row r="3258" spans="1:12" customFormat="1" ht="16" x14ac:dyDescent="0.2">
      <c r="A3258" t="s">
        <v>339</v>
      </c>
      <c r="B3258" s="2">
        <f>INDEX(Parameters!$B$6:$AL$57,MATCH(Inventories!$B$3241,Parameters!$A$6:$A$57,0),MATCH(Inventories!$A3258,Parameters!$B$4:$AL$4,0))</f>
        <v>0</v>
      </c>
      <c r="C3258" t="s">
        <v>336</v>
      </c>
      <c r="D3258" s="2"/>
      <c r="E3258" s="2"/>
      <c r="F3258" s="2"/>
      <c r="G3258" s="2"/>
      <c r="H3258" s="2"/>
      <c r="I3258" s="2"/>
      <c r="J3258" s="2"/>
      <c r="K3258" s="2"/>
      <c r="L3258" s="2"/>
    </row>
    <row r="3259" spans="1:12" customFormat="1" ht="16" x14ac:dyDescent="0.2">
      <c r="A3259" t="s">
        <v>340</v>
      </c>
      <c r="B3259" s="2">
        <f>INDEX(Parameters!$B$6:$AL$57,MATCH(Inventories!$B$3241,Parameters!$A$6:$A$57,0),MATCH(Inventories!$A3259,Parameters!$B$4:$AL$4,0))</f>
        <v>169</v>
      </c>
      <c r="C3259" t="s">
        <v>336</v>
      </c>
      <c r="D3259" s="2"/>
      <c r="E3259" s="2"/>
      <c r="F3259" s="2"/>
      <c r="G3259" s="2"/>
      <c r="H3259" s="2"/>
      <c r="I3259" s="2"/>
      <c r="J3259" s="2"/>
      <c r="K3259" s="2"/>
      <c r="L3259" s="2"/>
    </row>
    <row r="3260" spans="1:12" customFormat="1" ht="16" x14ac:dyDescent="0.2">
      <c r="A3260" t="s">
        <v>341</v>
      </c>
      <c r="B3260" s="2">
        <f>INDEX(Parameters!$B$6:$AL$57,MATCH(Inventories!$B$3241,Parameters!$A$6:$A$57,0),MATCH(Inventories!$A3260,Parameters!$B$4:$AL$4,0))</f>
        <v>111</v>
      </c>
      <c r="C3260" t="s">
        <v>336</v>
      </c>
      <c r="D3260" s="2"/>
      <c r="E3260" s="2"/>
      <c r="F3260" s="2"/>
      <c r="G3260" s="2"/>
      <c r="H3260" s="2"/>
      <c r="I3260" s="2"/>
      <c r="J3260" s="2"/>
      <c r="K3260" s="2"/>
      <c r="L3260" s="2"/>
    </row>
    <row r="3261" spans="1:12" customFormat="1" ht="16" x14ac:dyDescent="0.2">
      <c r="A3261" t="s">
        <v>342</v>
      </c>
      <c r="B3261" s="2">
        <f>INDEX(Parameters!$B$6:$AL$57,MATCH(Inventories!$B$3241,Parameters!$A$6:$A$57,0),MATCH(Inventories!$A3261,Parameters!$B$4:$AL$4,0))</f>
        <v>194</v>
      </c>
      <c r="C3261" t="s">
        <v>336</v>
      </c>
      <c r="D3261" s="2"/>
      <c r="E3261" s="2"/>
      <c r="F3261" s="2"/>
      <c r="G3261" s="2"/>
      <c r="H3261" s="2"/>
      <c r="I3261" s="2"/>
      <c r="J3261" s="2"/>
      <c r="K3261" s="2"/>
      <c r="L3261" s="2"/>
    </row>
    <row r="3262" spans="1:12" customFormat="1" ht="16" x14ac:dyDescent="0.2">
      <c r="A3262" t="s">
        <v>333</v>
      </c>
      <c r="B3262" s="2">
        <f>INDEX(Parameters!$B$6:$AL$57,MATCH(Inventories!$B$3241,Parameters!$A$6:$A$57,0),MATCH(Inventories!$A3262,Parameters!$B$4:$AL$4,0))</f>
        <v>48</v>
      </c>
      <c r="C3262" t="s">
        <v>336</v>
      </c>
      <c r="D3262" s="2"/>
      <c r="E3262" s="2"/>
      <c r="F3262" s="2"/>
      <c r="G3262" s="2"/>
      <c r="H3262" s="2"/>
      <c r="I3262" s="2"/>
      <c r="J3262" s="2"/>
      <c r="K3262" s="2"/>
      <c r="L3262" s="2"/>
    </row>
    <row r="3263" spans="1:12" customFormat="1" ht="16" x14ac:dyDescent="0.2">
      <c r="A3263" t="s">
        <v>334</v>
      </c>
      <c r="B3263" s="2">
        <f>INDEX(Parameters!$B$6:$AL$57,MATCH(Inventories!$B$3241,Parameters!$A$6:$A$57,0),MATCH(Inventories!$A3263,Parameters!$B$4:$AL$4,0))</f>
        <v>30</v>
      </c>
      <c r="C3263" t="s">
        <v>336</v>
      </c>
      <c r="D3263" s="2"/>
      <c r="E3263" s="2"/>
      <c r="F3263" s="2"/>
      <c r="G3263" s="2"/>
      <c r="H3263" s="2"/>
      <c r="I3263" s="2"/>
      <c r="J3263" s="2"/>
      <c r="K3263" s="2"/>
      <c r="L3263" s="2"/>
    </row>
    <row r="3264" spans="1:12" customFormat="1" ht="16" x14ac:dyDescent="0.2">
      <c r="A3264" t="s">
        <v>335</v>
      </c>
      <c r="B3264" s="2">
        <v>60</v>
      </c>
      <c r="C3264" t="s">
        <v>336</v>
      </c>
      <c r="D3264" s="2"/>
      <c r="E3264" s="2"/>
      <c r="F3264" s="2"/>
      <c r="G3264" s="2"/>
      <c r="H3264" s="2"/>
      <c r="I3264" s="2"/>
      <c r="J3264" s="2"/>
      <c r="K3264" s="2"/>
      <c r="L3264" s="2"/>
    </row>
    <row r="3265" spans="1:12" customFormat="1" ht="16" x14ac:dyDescent="0.2">
      <c r="A3265" t="s">
        <v>322</v>
      </c>
      <c r="B3265" s="2">
        <f>INDEX(Parameters!$B$6:$AL$57,MATCH(Inventories!$B$3241,Parameters!$A$6:$A$57,0),MATCH(Inventories!$A3265,Parameters!$B$4:$AL$4,0))</f>
        <v>0</v>
      </c>
      <c r="C3265" t="s">
        <v>315</v>
      </c>
      <c r="D3265" s="2"/>
      <c r="E3265" s="2"/>
      <c r="F3265" s="2"/>
      <c r="G3265" s="2"/>
      <c r="H3265" s="2"/>
      <c r="I3265" s="2"/>
      <c r="J3265" s="2"/>
      <c r="K3265" s="2"/>
      <c r="L3265" s="2"/>
    </row>
    <row r="3266" spans="1:12" customFormat="1" ht="16" x14ac:dyDescent="0.2">
      <c r="A3266" t="s">
        <v>323</v>
      </c>
      <c r="B3266" s="2">
        <f>INDEX(Parameters!$B$6:$AL$57,MATCH(Inventories!$B$3241,Parameters!$A$6:$A$57,0),MATCH(Inventories!$A3266,Parameters!$B$4:$AL$4,0))</f>
        <v>0</v>
      </c>
      <c r="C3266" t="s">
        <v>315</v>
      </c>
      <c r="D3266" s="2"/>
      <c r="E3266" s="2"/>
      <c r="F3266" s="2"/>
      <c r="G3266" s="2"/>
      <c r="H3266" s="2"/>
      <c r="I3266" s="2"/>
      <c r="J3266" s="2"/>
      <c r="K3266" s="2"/>
      <c r="L3266" s="2"/>
    </row>
    <row r="3267" spans="1:12" customFormat="1" ht="16" x14ac:dyDescent="0.2">
      <c r="A3267" t="s">
        <v>324</v>
      </c>
      <c r="B3267" s="2">
        <f>INDEX(Parameters!$B$6:$AL$57,MATCH(Inventories!$B$3241,Parameters!$A$6:$A$57,0),MATCH(Inventories!$A3267,Parameters!$B$4:$AL$4,0))</f>
        <v>0</v>
      </c>
      <c r="C3267" t="s">
        <v>315</v>
      </c>
      <c r="D3267" s="2"/>
      <c r="E3267" s="2"/>
      <c r="F3267" s="2"/>
      <c r="G3267" s="2"/>
      <c r="H3267" s="2"/>
      <c r="I3267" s="2"/>
      <c r="J3267" s="2"/>
      <c r="K3267" s="2"/>
      <c r="L3267" s="2"/>
    </row>
    <row r="3268" spans="1:12" customFormat="1" ht="16" x14ac:dyDescent="0.2">
      <c r="A3268" t="s">
        <v>330</v>
      </c>
      <c r="B3268" s="2">
        <f>INDEX(Parameters!$B$6:$AL$57,MATCH(Inventories!$B$3241,Parameters!$A$6:$A$57,0),MATCH(Inventories!$A3268,Parameters!$B$4:$AL$4,0))</f>
        <v>0</v>
      </c>
      <c r="C3268" t="s">
        <v>8</v>
      </c>
      <c r="D3268" s="2"/>
      <c r="E3268" s="2"/>
      <c r="F3268" s="2"/>
      <c r="G3268" s="2"/>
      <c r="H3268" s="2"/>
      <c r="I3268" s="2"/>
      <c r="J3268" s="2"/>
      <c r="K3268" s="2"/>
      <c r="L3268" s="2"/>
    </row>
    <row r="3269" spans="1:12" customFormat="1" ht="16" x14ac:dyDescent="0.2">
      <c r="A3269" t="s">
        <v>331</v>
      </c>
      <c r="B3269" s="2">
        <f>INDEX(Parameters!$B$6:$AL$57,MATCH(Inventories!$B$3241,Parameters!$A$6:$A$57,0),MATCH(Inventories!$A3269,Parameters!$B$4:$AL$4,0))</f>
        <v>0</v>
      </c>
      <c r="C3269" t="s">
        <v>8</v>
      </c>
      <c r="D3269" s="2"/>
      <c r="E3269" s="2"/>
      <c r="F3269" s="2"/>
      <c r="G3269" s="2"/>
      <c r="H3269" s="2"/>
      <c r="I3269" s="2"/>
      <c r="J3269" s="2"/>
      <c r="K3269" s="2"/>
      <c r="L3269" s="2"/>
    </row>
    <row r="3270" spans="1:12" customFormat="1" ht="16" x14ac:dyDescent="0.2">
      <c r="A3270" t="s">
        <v>332</v>
      </c>
      <c r="B3270" s="2">
        <f>INDEX(Parameters!$B$6:$AL$57,MATCH(Inventories!$B$3241,Parameters!$A$6:$A$57,0),MATCH(Inventories!$A3270,Parameters!$B$4:$AL$4,0))</f>
        <v>0</v>
      </c>
      <c r="C3270" t="s">
        <v>8</v>
      </c>
      <c r="D3270" s="2"/>
      <c r="E3270" s="2"/>
      <c r="F3270" s="2"/>
      <c r="G3270" s="2"/>
      <c r="H3270" s="2"/>
      <c r="I3270" s="2"/>
      <c r="J3270" s="2"/>
      <c r="K3270" s="2"/>
      <c r="L3270" s="2"/>
    </row>
    <row r="3271" spans="1:12" customFormat="1" ht="16" x14ac:dyDescent="0.2">
      <c r="A3271" t="s">
        <v>346</v>
      </c>
      <c r="B3271" s="2">
        <f>INDEX(Parameters!$B$6:$AL$57,MATCH(Inventories!$B$3241,Parameters!$A$6:$A$57,0),MATCH(Inventories!$A3271,Parameters!$B$4:$AL$4,0))</f>
        <v>0</v>
      </c>
      <c r="C3271" t="s">
        <v>312</v>
      </c>
      <c r="D3271" s="2"/>
      <c r="E3271" s="2"/>
      <c r="F3271" s="2"/>
      <c r="G3271" s="2"/>
      <c r="H3271" s="2"/>
      <c r="I3271" s="2"/>
      <c r="J3271" s="2"/>
      <c r="K3271" s="2"/>
      <c r="L3271" s="2"/>
    </row>
    <row r="3272" spans="1:12" customFormat="1" ht="16" x14ac:dyDescent="0.2">
      <c r="A3272" t="s">
        <v>347</v>
      </c>
      <c r="B3272" s="2">
        <f>INDEX(Parameters!$B$6:$AL$57,MATCH(Inventories!$B$3241,Parameters!$A$6:$A$57,0),MATCH(Inventories!$A3272,Parameters!$B$4:$AL$4,0))</f>
        <v>0</v>
      </c>
      <c r="C3272" t="s">
        <v>312</v>
      </c>
      <c r="D3272" s="2"/>
      <c r="E3272" s="12"/>
      <c r="F3272" s="2"/>
      <c r="G3272" s="2"/>
      <c r="H3272" s="2"/>
      <c r="I3272" s="2"/>
      <c r="J3272" s="2"/>
      <c r="K3272" s="2"/>
      <c r="L3272" s="2"/>
    </row>
    <row r="3273" spans="1:12" customFormat="1" ht="16" x14ac:dyDescent="0.2">
      <c r="A3273" t="s">
        <v>348</v>
      </c>
      <c r="B3273" s="2">
        <f>INDEX(Parameters!$B$6:$AL$57,MATCH(Inventories!$B$3241,Parameters!$A$6:$A$57,0),MATCH(Inventories!$A3273,Parameters!$B$4:$AL$4,0))</f>
        <v>0</v>
      </c>
      <c r="C3273" t="s">
        <v>312</v>
      </c>
      <c r="D3273" s="2"/>
      <c r="E3273" s="2"/>
      <c r="F3273" s="2"/>
      <c r="G3273" s="2"/>
      <c r="H3273" s="2"/>
      <c r="I3273" s="2"/>
      <c r="J3273" s="2"/>
      <c r="K3273" s="2"/>
      <c r="L3273" s="2"/>
    </row>
    <row r="3274" spans="1:12" customFormat="1" ht="16" x14ac:dyDescent="0.2">
      <c r="A3274" t="s">
        <v>349</v>
      </c>
      <c r="B3274" s="2">
        <f>INDEX(Parameters!$B$6:$AL$57,MATCH(Inventories!$B$3241,Parameters!$A$6:$A$57,0),MATCH(Inventories!$A3274,Parameters!$B$4:$AL$4,0))</f>
        <v>0</v>
      </c>
      <c r="C3274" t="s">
        <v>8</v>
      </c>
      <c r="D3274" s="2"/>
      <c r="E3274" s="2"/>
      <c r="F3274" s="2"/>
      <c r="G3274" s="2"/>
      <c r="H3274" s="2"/>
      <c r="I3274" s="2"/>
      <c r="J3274" s="2"/>
      <c r="K3274" s="2"/>
      <c r="L3274" s="2"/>
    </row>
    <row r="3275" spans="1:12" customFormat="1" ht="16" x14ac:dyDescent="0.2">
      <c r="A3275" t="s">
        <v>350</v>
      </c>
      <c r="B3275" s="2">
        <f>INDEX(Parameters!$B$6:$AL$57,MATCH(Inventories!$B$3241,Parameters!$A$6:$A$57,0),MATCH(Inventories!$A3275,Parameters!$B$4:$AL$4,0))</f>
        <v>0</v>
      </c>
      <c r="C3275" t="s">
        <v>8</v>
      </c>
      <c r="D3275" s="2"/>
      <c r="E3275" s="2"/>
      <c r="F3275" s="2"/>
      <c r="G3275" s="2"/>
      <c r="H3275" s="2"/>
      <c r="I3275" s="2"/>
      <c r="J3275" s="2"/>
      <c r="K3275" s="2"/>
      <c r="L3275" s="2"/>
    </row>
    <row r="3276" spans="1:12" customFormat="1" ht="16" x14ac:dyDescent="0.2">
      <c r="A3276" t="s">
        <v>351</v>
      </c>
      <c r="B3276" s="2">
        <f>INDEX(Parameters!$B$6:$AL$57,MATCH(Inventories!$B$3241,Parameters!$A$6:$A$57,0),MATCH(Inventories!$A3276,Parameters!$B$4:$AL$4,0))</f>
        <v>0</v>
      </c>
      <c r="C3276" t="s">
        <v>8</v>
      </c>
      <c r="D3276" s="2"/>
      <c r="E3276" s="2"/>
      <c r="F3276" s="2"/>
      <c r="G3276" s="2"/>
      <c r="H3276" s="2"/>
      <c r="I3276" s="2"/>
      <c r="J3276" s="2"/>
      <c r="K3276" s="2"/>
      <c r="L3276" s="2"/>
    </row>
    <row r="3277" spans="1:12" customFormat="1" ht="16" x14ac:dyDescent="0.2">
      <c r="A3277" t="s">
        <v>365</v>
      </c>
      <c r="B3277" s="2">
        <f>INDEX(Parameters!$B$6:$AL$57,MATCH(Inventories!$B$3241,Parameters!$A$6:$A$57,0),MATCH(Inventories!$A3277,Parameters!$B$4:$AL$4,0))</f>
        <v>0</v>
      </c>
      <c r="C3277" t="s">
        <v>336</v>
      </c>
      <c r="D3277" s="2"/>
      <c r="E3277" s="2"/>
      <c r="F3277" s="2"/>
      <c r="G3277" s="2"/>
      <c r="H3277" s="2"/>
      <c r="I3277" s="2"/>
      <c r="J3277" s="2"/>
      <c r="K3277" s="2"/>
      <c r="L3277" s="2"/>
    </row>
    <row r="3278" spans="1:12" customFormat="1" ht="16" x14ac:dyDescent="0.2">
      <c r="A3278" t="s">
        <v>366</v>
      </c>
      <c r="B3278" s="2">
        <f>INDEX(Parameters!$B$6:$AL$57,MATCH(Inventories!$B$3241,Parameters!$A$6:$A$57,0),MATCH(Inventories!$A3278,Parameters!$B$4:$AL$4,0))</f>
        <v>0</v>
      </c>
      <c r="C3278" t="s">
        <v>336</v>
      </c>
      <c r="D3278" s="2"/>
      <c r="E3278" s="2"/>
      <c r="F3278" s="2"/>
      <c r="G3278" s="2"/>
      <c r="H3278" s="2"/>
      <c r="I3278" s="2"/>
      <c r="J3278" s="2"/>
      <c r="K3278" s="2"/>
      <c r="L3278" s="2"/>
    </row>
    <row r="3279" spans="1:12" customFormat="1" ht="16" x14ac:dyDescent="0.2">
      <c r="A3279" t="s">
        <v>367</v>
      </c>
      <c r="B3279" s="2">
        <f>INDEX(Parameters!$B$6:$AL$57,MATCH(Inventories!$B$3241,Parameters!$A$6:$A$57,0),MATCH(Inventories!$A3279,Parameters!$B$4:$AL$4,0))</f>
        <v>0</v>
      </c>
      <c r="C3279" t="s">
        <v>336</v>
      </c>
      <c r="D3279" s="2"/>
      <c r="E3279" s="2"/>
      <c r="F3279" s="2"/>
      <c r="G3279" s="2"/>
      <c r="H3279" s="2"/>
      <c r="I3279" s="2"/>
      <c r="J3279" s="2"/>
      <c r="K3279" s="2"/>
      <c r="L3279" s="2"/>
    </row>
    <row r="3280" spans="1:12" customFormat="1" ht="16" x14ac:dyDescent="0.2">
      <c r="A3280" t="s">
        <v>368</v>
      </c>
      <c r="B3280" s="2">
        <f>INDEX(Parameters!$B$6:$AL$57,MATCH(Inventories!$B$3241,Parameters!$A$6:$A$57,0),MATCH(Inventories!$A3280,Parameters!$B$4:$AL$4,0))</f>
        <v>0</v>
      </c>
      <c r="C3280" t="s">
        <v>336</v>
      </c>
      <c r="D3280" s="2"/>
      <c r="E3280" s="2"/>
      <c r="F3280" s="2"/>
      <c r="G3280" s="2"/>
      <c r="H3280" s="2"/>
      <c r="I3280" s="2"/>
      <c r="J3280" s="2"/>
      <c r="K3280" s="2"/>
      <c r="L3280" s="2"/>
    </row>
    <row r="3281" spans="1:12" customFormat="1" ht="16" x14ac:dyDescent="0.2">
      <c r="A3281" t="s">
        <v>369</v>
      </c>
      <c r="B3281" s="2">
        <f>INDEX(Parameters!$B$6:$AL$57,MATCH(Inventories!$B$3241,Parameters!$A$6:$A$57,0),MATCH(Inventories!$A3281,Parameters!$B$4:$AL$4,0))</f>
        <v>0</v>
      </c>
      <c r="C3281" t="s">
        <v>336</v>
      </c>
      <c r="D3281" s="2"/>
      <c r="E3281" s="2"/>
      <c r="F3281" s="2"/>
      <c r="G3281" s="2"/>
      <c r="H3281" s="2"/>
      <c r="I3281" s="2"/>
      <c r="J3281" s="2"/>
      <c r="K3281" s="2"/>
      <c r="L3281" s="2"/>
    </row>
    <row r="3282" spans="1:12" customFormat="1" ht="16" x14ac:dyDescent="0.2">
      <c r="A3282" t="s">
        <v>344</v>
      </c>
      <c r="B3282" s="12">
        <f>INDEX(Parameters!$B$6:$AL$57,MATCH(Inventories!$B$3241,Parameters!$A$6:$A$57,0),MATCH(Inventories!$A3282,Parameters!$B$4:$AL$4,0))</f>
        <v>7.5871860000000001E-3</v>
      </c>
      <c r="C3282" t="s">
        <v>345</v>
      </c>
      <c r="D3282" s="2"/>
      <c r="E3282" s="2"/>
      <c r="F3282" s="2"/>
      <c r="G3282" s="2"/>
      <c r="H3282" s="2"/>
      <c r="I3282" s="2"/>
      <c r="J3282" s="2"/>
      <c r="K3282" s="2"/>
      <c r="L3282" s="2"/>
    </row>
    <row r="3283" spans="1:12" customFormat="1" ht="16" x14ac:dyDescent="0.2">
      <c r="A3283" t="s">
        <v>343</v>
      </c>
      <c r="B3283" s="12">
        <f>INDEX(Parameters!$B$6:$AL$57,MATCH(Inventories!$B$3241,Parameters!$A$6:$A$57,0),MATCH(Inventories!$A3283,Parameters!$B$4:$AL$4,0))</f>
        <v>2.21361E-4</v>
      </c>
      <c r="C3283" t="s">
        <v>345</v>
      </c>
      <c r="D3283" s="2"/>
      <c r="E3283" s="2"/>
      <c r="F3283" s="2"/>
      <c r="G3283" s="2"/>
      <c r="H3283" s="2"/>
      <c r="I3283" s="2"/>
      <c r="J3283" s="2"/>
      <c r="K3283" s="2"/>
      <c r="L3283" s="2"/>
    </row>
    <row r="3284" spans="1:12" customFormat="1" ht="16" x14ac:dyDescent="0.2">
      <c r="A3284" s="1" t="s">
        <v>10</v>
      </c>
      <c r="B3284" s="2"/>
      <c r="C3284" s="2"/>
      <c r="D3284" s="2"/>
      <c r="E3284" s="2"/>
      <c r="F3284" s="2"/>
      <c r="G3284" s="2"/>
      <c r="H3284" s="2"/>
      <c r="I3284" s="2"/>
      <c r="J3284" s="2"/>
      <c r="K3284" s="2"/>
      <c r="L3284" s="2"/>
    </row>
    <row r="3285" spans="1:12" x14ac:dyDescent="0.2">
      <c r="A3285" s="17" t="s">
        <v>11</v>
      </c>
      <c r="B3285" s="17" t="s">
        <v>12</v>
      </c>
      <c r="C3285" s="17" t="s">
        <v>3</v>
      </c>
      <c r="D3285" s="17" t="s">
        <v>13</v>
      </c>
      <c r="E3285" s="17" t="s">
        <v>8</v>
      </c>
      <c r="F3285" s="17" t="s">
        <v>6</v>
      </c>
      <c r="G3285" s="17" t="s">
        <v>5</v>
      </c>
      <c r="H3285" s="17" t="s">
        <v>151</v>
      </c>
      <c r="I3285" s="17" t="s">
        <v>179</v>
      </c>
      <c r="J3285" s="17" t="s">
        <v>180</v>
      </c>
      <c r="K3285" s="17" t="s">
        <v>181</v>
      </c>
      <c r="L3285" s="17" t="s">
        <v>182</v>
      </c>
    </row>
    <row r="3286" spans="1:12" customFormat="1" ht="16" x14ac:dyDescent="0.2">
      <c r="A3286" s="2" t="str">
        <f>B3241</f>
        <v>diesel, synthetic, burned in passenger car</v>
      </c>
      <c r="B3286" s="2">
        <v>1</v>
      </c>
      <c r="C3286" s="2" t="str">
        <f>B3242</f>
        <v>RER</v>
      </c>
      <c r="D3286" s="2"/>
      <c r="E3286" s="2" t="str">
        <f>B3246</f>
        <v>megajoule</v>
      </c>
      <c r="F3286" s="2" t="s">
        <v>19</v>
      </c>
      <c r="G3286" s="2" t="str">
        <f>B3244</f>
        <v>heat</v>
      </c>
      <c r="H3286" s="2"/>
      <c r="I3286" s="2"/>
      <c r="J3286" s="2"/>
      <c r="K3286" s="2"/>
      <c r="L3286" s="2"/>
    </row>
    <row r="3287" spans="1:12" customFormat="1" ht="16" x14ac:dyDescent="0.2">
      <c r="A3287" s="2" t="s">
        <v>273</v>
      </c>
      <c r="B3287" s="25">
        <f>1/43</f>
        <v>2.3255813953488372E-2</v>
      </c>
      <c r="C3287" t="s">
        <v>18</v>
      </c>
      <c r="E3287" t="s">
        <v>9</v>
      </c>
      <c r="F3287" t="s">
        <v>23</v>
      </c>
      <c r="G3287" t="s">
        <v>274</v>
      </c>
      <c r="H3287" s="2"/>
      <c r="I3287" s="2"/>
      <c r="J3287" s="2"/>
      <c r="K3287" s="2"/>
    </row>
    <row r="3288" spans="1:12" customFormat="1" ht="16" x14ac:dyDescent="0.2">
      <c r="A3288" s="2" t="s">
        <v>143</v>
      </c>
      <c r="B3288" s="27">
        <f>(B3259/B3250)/(B3253/1000)</f>
        <v>3.7555555555555557E-4</v>
      </c>
      <c r="C3288" t="s">
        <v>114</v>
      </c>
      <c r="E3288" t="s">
        <v>9</v>
      </c>
      <c r="F3288" t="s">
        <v>23</v>
      </c>
      <c r="G3288" t="s">
        <v>144</v>
      </c>
      <c r="I3288" s="2">
        <v>5</v>
      </c>
      <c r="J3288" s="27">
        <f>B3288</f>
        <v>3.7555555555555557E-4</v>
      </c>
      <c r="K3288" s="3">
        <f>(B3260/B3252)/(B3255/1000)</f>
        <v>1.5310344827586207E-4</v>
      </c>
      <c r="L3288" s="3">
        <f>(B3261/B3251)/(B3254/1000)</f>
        <v>8.0833333333333332E-4</v>
      </c>
    </row>
    <row r="3289" spans="1:12" customFormat="1" ht="16" x14ac:dyDescent="0.2">
      <c r="A3289" s="2" t="s">
        <v>358</v>
      </c>
      <c r="B3289" s="3">
        <f>(B3262/B3250)/(B3253/1000)</f>
        <v>1.0666666666666667E-4</v>
      </c>
      <c r="C3289" t="s">
        <v>114</v>
      </c>
      <c r="E3289" t="s">
        <v>9</v>
      </c>
      <c r="F3289" t="s">
        <v>23</v>
      </c>
      <c r="G3289" s="2" t="s">
        <v>357</v>
      </c>
      <c r="H3289" s="2" t="s">
        <v>361</v>
      </c>
      <c r="I3289">
        <v>5</v>
      </c>
      <c r="J3289" s="27">
        <f>B3289</f>
        <v>1.0666666666666667E-4</v>
      </c>
      <c r="K3289" s="3">
        <f>J3289*0.8</f>
        <v>8.5333333333333339E-5</v>
      </c>
      <c r="L3289" s="3">
        <f>J3289*1.2</f>
        <v>1.2799999999999999E-4</v>
      </c>
    </row>
    <row r="3290" spans="1:12" customFormat="1" ht="16" x14ac:dyDescent="0.2">
      <c r="A3290" s="2" t="s">
        <v>359</v>
      </c>
      <c r="B3290" s="3">
        <f>B3289</f>
        <v>1.0666666666666667E-4</v>
      </c>
      <c r="C3290" t="s">
        <v>114</v>
      </c>
      <c r="E3290" t="s">
        <v>9</v>
      </c>
      <c r="F3290" t="s">
        <v>23</v>
      </c>
      <c r="G3290" s="2" t="s">
        <v>360</v>
      </c>
      <c r="H3290" s="2" t="s">
        <v>361</v>
      </c>
      <c r="I3290">
        <v>5</v>
      </c>
      <c r="J3290" s="27">
        <f>B3290</f>
        <v>1.0666666666666667E-4</v>
      </c>
      <c r="K3290" s="3">
        <f>K3289</f>
        <v>8.5333333333333339E-5</v>
      </c>
      <c r="L3290" s="3">
        <f>L3289</f>
        <v>1.2799999999999999E-4</v>
      </c>
    </row>
    <row r="3291" spans="1:12" customFormat="1" ht="16" x14ac:dyDescent="0.2">
      <c r="A3291" t="s">
        <v>45</v>
      </c>
      <c r="B3291" s="3">
        <v>7.1455665432553858E-7</v>
      </c>
      <c r="D3291" t="s">
        <v>14</v>
      </c>
      <c r="E3291" t="s">
        <v>9</v>
      </c>
      <c r="F3291" s="2" t="s">
        <v>15</v>
      </c>
      <c r="H3291" s="2"/>
      <c r="I3291" s="2"/>
      <c r="J3291" s="2"/>
      <c r="K3291" s="2"/>
    </row>
    <row r="3292" spans="1:12" customFormat="1" ht="16" x14ac:dyDescent="0.2">
      <c r="A3292" t="s">
        <v>46</v>
      </c>
      <c r="B3292" s="3">
        <v>3.2468920124586623E-7</v>
      </c>
      <c r="D3292" t="s">
        <v>14</v>
      </c>
      <c r="E3292" t="s">
        <v>9</v>
      </c>
      <c r="F3292" s="2" t="s">
        <v>15</v>
      </c>
      <c r="H3292" s="2"/>
      <c r="I3292" s="2"/>
      <c r="J3292" s="2"/>
      <c r="K3292" s="2"/>
    </row>
    <row r="3293" spans="1:12" customFormat="1" ht="16" x14ac:dyDescent="0.2">
      <c r="A3293" t="s">
        <v>47</v>
      </c>
      <c r="B3293" s="3">
        <v>3.9534349472964383E-7</v>
      </c>
      <c r="D3293" t="s">
        <v>14</v>
      </c>
      <c r="E3293" t="s">
        <v>9</v>
      </c>
      <c r="F3293" s="2" t="s">
        <v>15</v>
      </c>
      <c r="H3293" s="2"/>
      <c r="I3293" s="2"/>
      <c r="J3293" s="2"/>
      <c r="K3293" s="2"/>
    </row>
    <row r="3294" spans="1:12" customFormat="1" ht="16" x14ac:dyDescent="0.2">
      <c r="A3294" t="s">
        <v>48</v>
      </c>
      <c r="B3294" s="3">
        <v>3.7209280955662761E-7</v>
      </c>
      <c r="D3294" t="s">
        <v>14</v>
      </c>
      <c r="E3294" t="s">
        <v>9</v>
      </c>
      <c r="F3294" s="2" t="s">
        <v>15</v>
      </c>
      <c r="H3294" s="2"/>
      <c r="I3294" s="2"/>
      <c r="J3294" s="2"/>
      <c r="K3294" s="2"/>
    </row>
    <row r="3295" spans="1:12" customFormat="1" ht="16" x14ac:dyDescent="0.2">
      <c r="A3295" t="s">
        <v>49</v>
      </c>
      <c r="B3295" s="3">
        <v>9.4995966427857817E-8</v>
      </c>
      <c r="D3295" t="s">
        <v>14</v>
      </c>
      <c r="E3295" t="s">
        <v>9</v>
      </c>
      <c r="F3295" s="2" t="s">
        <v>15</v>
      </c>
      <c r="H3295" s="2"/>
      <c r="I3295" s="2"/>
      <c r="J3295" s="2"/>
      <c r="K3295" s="2"/>
    </row>
    <row r="3296" spans="1:12" customFormat="1" ht="16" x14ac:dyDescent="0.2">
      <c r="A3296" t="s">
        <v>50</v>
      </c>
      <c r="B3296" s="3">
        <v>2.186743705223342E-7</v>
      </c>
      <c r="D3296" t="s">
        <v>14</v>
      </c>
      <c r="E3296" t="s">
        <v>9</v>
      </c>
      <c r="F3296" s="2" t="s">
        <v>15</v>
      </c>
      <c r="H3296" s="2"/>
      <c r="I3296" s="2"/>
      <c r="J3296" s="2"/>
      <c r="K3296" s="2"/>
    </row>
    <row r="3297" spans="1:11" customFormat="1" ht="16" x14ac:dyDescent="0.2">
      <c r="A3297" t="s">
        <v>51</v>
      </c>
      <c r="B3297" s="3">
        <v>1.2147463123534157E-8</v>
      </c>
      <c r="D3297" t="s">
        <v>14</v>
      </c>
      <c r="E3297" t="s">
        <v>9</v>
      </c>
      <c r="F3297" s="2" t="s">
        <v>15</v>
      </c>
      <c r="H3297" s="2"/>
      <c r="I3297" s="2"/>
      <c r="J3297" s="2"/>
      <c r="K3297" s="2"/>
    </row>
    <row r="3298" spans="1:11" customFormat="1" ht="16" x14ac:dyDescent="0.2">
      <c r="A3298" t="s">
        <v>52</v>
      </c>
      <c r="B3298" s="3">
        <v>2.3255800597289225E-10</v>
      </c>
      <c r="D3298" t="s">
        <v>14</v>
      </c>
      <c r="E3298" t="s">
        <v>9</v>
      </c>
      <c r="F3298" s="2" t="s">
        <v>15</v>
      </c>
      <c r="H3298" s="2"/>
      <c r="I3298" s="2"/>
      <c r="J3298" s="2"/>
      <c r="K3298" s="2"/>
    </row>
    <row r="3299" spans="1:11" customFormat="1" ht="16" x14ac:dyDescent="0.2">
      <c r="A3299" t="s">
        <v>122</v>
      </c>
      <c r="B3299" s="25">
        <f>B3287*3.15</f>
        <v>7.3255813953488375E-2</v>
      </c>
      <c r="D3299" t="s">
        <v>14</v>
      </c>
      <c r="E3299" t="s">
        <v>9</v>
      </c>
      <c r="F3299" s="2" t="s">
        <v>15</v>
      </c>
      <c r="H3299" s="2"/>
      <c r="I3299" s="2"/>
      <c r="J3299" s="2"/>
      <c r="K3299" s="2"/>
    </row>
    <row r="3300" spans="1:11" customFormat="1" ht="16" x14ac:dyDescent="0.2">
      <c r="A3300" t="s">
        <v>123</v>
      </c>
      <c r="B3300" s="3">
        <v>2.1069404153243686E-5</v>
      </c>
      <c r="D3300" t="s">
        <v>14</v>
      </c>
      <c r="E3300" t="s">
        <v>9</v>
      </c>
      <c r="F3300" s="2" t="s">
        <v>15</v>
      </c>
      <c r="H3300" s="2"/>
      <c r="I3300" s="2"/>
      <c r="J3300" s="2"/>
      <c r="K3300" s="2"/>
    </row>
    <row r="3301" spans="1:11" customFormat="1" ht="16" x14ac:dyDescent="0.2">
      <c r="A3301" t="s">
        <v>55</v>
      </c>
      <c r="B3301" s="3">
        <v>1.1627900298644613E-9</v>
      </c>
      <c r="D3301" t="s">
        <v>14</v>
      </c>
      <c r="E3301" t="s">
        <v>9</v>
      </c>
      <c r="F3301" s="2" t="s">
        <v>15</v>
      </c>
      <c r="H3301" s="2"/>
      <c r="I3301" s="2"/>
      <c r="J3301" s="2"/>
      <c r="K3301" s="2"/>
    </row>
    <row r="3302" spans="1:11" customFormat="1" ht="16" x14ac:dyDescent="0.2">
      <c r="A3302" t="s">
        <v>56</v>
      </c>
      <c r="B3302" s="3">
        <v>2.3255800597289222E-12</v>
      </c>
      <c r="D3302" t="s">
        <v>14</v>
      </c>
      <c r="E3302" t="s">
        <v>9</v>
      </c>
      <c r="F3302" s="2" t="s">
        <v>15</v>
      </c>
      <c r="H3302" s="2"/>
      <c r="I3302" s="2"/>
      <c r="J3302" s="2"/>
      <c r="K3302" s="2"/>
    </row>
    <row r="3303" spans="1:11" customFormat="1" ht="16" x14ac:dyDescent="0.2">
      <c r="A3303" t="s">
        <v>57</v>
      </c>
      <c r="B3303" s="3">
        <v>3.9534861015391682E-8</v>
      </c>
      <c r="D3303" t="s">
        <v>14</v>
      </c>
      <c r="E3303" t="s">
        <v>9</v>
      </c>
      <c r="F3303" s="2" t="s">
        <v>15</v>
      </c>
      <c r="H3303" s="2"/>
      <c r="I3303" s="2"/>
      <c r="J3303" s="2"/>
      <c r="K3303" s="2"/>
    </row>
    <row r="3304" spans="1:11" customFormat="1" ht="16" x14ac:dyDescent="0.2">
      <c r="A3304" t="s">
        <v>150</v>
      </c>
      <c r="B3304" s="3">
        <v>7.1789570411210658E-8</v>
      </c>
      <c r="D3304" t="s">
        <v>14</v>
      </c>
      <c r="E3304" t="s">
        <v>9</v>
      </c>
      <c r="F3304" s="2" t="s">
        <v>15</v>
      </c>
      <c r="H3304" s="2"/>
      <c r="I3304" s="2"/>
      <c r="J3304" s="2"/>
      <c r="K3304" s="2"/>
    </row>
    <row r="3305" spans="1:11" customFormat="1" ht="16" x14ac:dyDescent="0.2">
      <c r="A3305" t="s">
        <v>58</v>
      </c>
      <c r="B3305" s="3">
        <v>1.1627900298644611E-6</v>
      </c>
      <c r="D3305" t="s">
        <v>14</v>
      </c>
      <c r="E3305" t="s">
        <v>9</v>
      </c>
      <c r="F3305" s="2" t="s">
        <v>15</v>
      </c>
      <c r="H3305" s="2"/>
      <c r="I3305" s="2"/>
      <c r="J3305" s="2"/>
      <c r="K3305" s="2"/>
    </row>
    <row r="3306" spans="1:11" customFormat="1" ht="16" x14ac:dyDescent="0.2">
      <c r="A3306" t="s">
        <v>59</v>
      </c>
      <c r="B3306" s="3">
        <v>3.646242366932188E-8</v>
      </c>
      <c r="D3306" t="s">
        <v>14</v>
      </c>
      <c r="E3306" t="s">
        <v>9</v>
      </c>
      <c r="F3306" s="2" t="s">
        <v>15</v>
      </c>
      <c r="H3306" s="2"/>
      <c r="I3306" s="2"/>
      <c r="J3306" s="2"/>
      <c r="K3306" s="2"/>
    </row>
    <row r="3307" spans="1:11" customFormat="1" ht="16" x14ac:dyDescent="0.2">
      <c r="A3307" t="s">
        <v>60</v>
      </c>
      <c r="B3307" s="3">
        <v>1.2114072625668476E-6</v>
      </c>
      <c r="D3307" t="s">
        <v>14</v>
      </c>
      <c r="E3307" t="s">
        <v>9</v>
      </c>
      <c r="F3307" s="2" t="s">
        <v>15</v>
      </c>
      <c r="H3307" s="2"/>
      <c r="I3307" s="2"/>
      <c r="J3307" s="2"/>
      <c r="K3307" s="2"/>
    </row>
    <row r="3308" spans="1:11" customFormat="1" ht="16" x14ac:dyDescent="0.2">
      <c r="A3308" t="s">
        <v>61</v>
      </c>
      <c r="B3308" s="3">
        <v>1.3252688602888143E-6</v>
      </c>
      <c r="D3308" t="s">
        <v>14</v>
      </c>
      <c r="E3308" t="s">
        <v>9</v>
      </c>
      <c r="F3308" s="2" t="s">
        <v>15</v>
      </c>
      <c r="H3308" s="2"/>
      <c r="I3308" s="2"/>
      <c r="J3308" s="2"/>
      <c r="K3308" s="2"/>
    </row>
    <row r="3309" spans="1:11" customFormat="1" ht="16" x14ac:dyDescent="0.2">
      <c r="A3309" t="s">
        <v>62</v>
      </c>
      <c r="B3309" s="3">
        <v>2.2087814338146904E-8</v>
      </c>
      <c r="D3309" t="s">
        <v>14</v>
      </c>
      <c r="E3309" t="s">
        <v>9</v>
      </c>
      <c r="F3309" s="2" t="s">
        <v>15</v>
      </c>
      <c r="H3309" s="2"/>
      <c r="I3309" s="2"/>
      <c r="J3309" s="2"/>
      <c r="K3309" s="2"/>
    </row>
    <row r="3310" spans="1:11" customFormat="1" ht="16" x14ac:dyDescent="0.2">
      <c r="A3310" t="s">
        <v>63</v>
      </c>
      <c r="B3310" s="3">
        <v>1.9186035492763611E-15</v>
      </c>
      <c r="D3310" t="s">
        <v>14</v>
      </c>
      <c r="E3310" t="s">
        <v>9</v>
      </c>
      <c r="F3310" s="2" t="s">
        <v>15</v>
      </c>
      <c r="H3310" s="2"/>
      <c r="I3310" s="2"/>
      <c r="J3310" s="2"/>
      <c r="K3310" s="2"/>
    </row>
    <row r="3311" spans="1:11" customFormat="1" ht="16" x14ac:dyDescent="0.2">
      <c r="A3311" t="s">
        <v>64</v>
      </c>
      <c r="B3311" s="3">
        <v>4.6511601194578451E-13</v>
      </c>
      <c r="D3311" t="s">
        <v>14</v>
      </c>
      <c r="E3311" t="s">
        <v>9</v>
      </c>
      <c r="F3311" s="2" t="s">
        <v>15</v>
      </c>
      <c r="H3311" s="2"/>
      <c r="I3311" s="2"/>
      <c r="J3311" s="2"/>
      <c r="K3311" s="2"/>
    </row>
    <row r="3312" spans="1:11" customFormat="1" ht="16" x14ac:dyDescent="0.2">
      <c r="A3312" t="s">
        <v>177</v>
      </c>
      <c r="B3312" s="3">
        <v>6.6447090752701953E-7</v>
      </c>
      <c r="D3312" t="s">
        <v>14</v>
      </c>
      <c r="E3312" t="s">
        <v>9</v>
      </c>
      <c r="F3312" s="2" t="s">
        <v>15</v>
      </c>
      <c r="H3312" s="2"/>
      <c r="I3312" s="2"/>
      <c r="J3312" s="2"/>
      <c r="K3312" s="2"/>
    </row>
    <row r="3313" spans="1:11" customFormat="1" ht="16" x14ac:dyDescent="0.2">
      <c r="A3313" t="s">
        <v>66</v>
      </c>
      <c r="B3313" s="3">
        <v>1.3252688602888143E-7</v>
      </c>
      <c r="D3313" t="s">
        <v>14</v>
      </c>
      <c r="E3313" t="s">
        <v>9</v>
      </c>
      <c r="F3313" s="2" t="s">
        <v>15</v>
      </c>
      <c r="H3313" s="2"/>
      <c r="I3313" s="2"/>
      <c r="J3313" s="2"/>
      <c r="K3313" s="2"/>
    </row>
    <row r="3314" spans="1:11" customFormat="1" ht="16" x14ac:dyDescent="0.2">
      <c r="A3314" t="s">
        <v>67</v>
      </c>
      <c r="B3314" s="3">
        <v>5.8566933256401625E-6</v>
      </c>
      <c r="D3314" t="s">
        <v>14</v>
      </c>
      <c r="E3314" t="s">
        <v>9</v>
      </c>
      <c r="F3314" s="2" t="s">
        <v>15</v>
      </c>
      <c r="H3314" s="2"/>
      <c r="I3314" s="2"/>
      <c r="J3314" s="2"/>
      <c r="K3314" s="2"/>
    </row>
    <row r="3315" spans="1:11" customFormat="1" ht="16" x14ac:dyDescent="0.2">
      <c r="A3315" t="s">
        <v>68</v>
      </c>
      <c r="B3315" s="3">
        <v>1.6279060418102458E-9</v>
      </c>
      <c r="D3315" t="s">
        <v>14</v>
      </c>
      <c r="E3315" t="s">
        <v>9</v>
      </c>
      <c r="F3315" s="2" t="s">
        <v>15</v>
      </c>
      <c r="H3315" s="2"/>
      <c r="I3315" s="2"/>
      <c r="J3315" s="2"/>
      <c r="K3315" s="2"/>
    </row>
    <row r="3316" spans="1:11" customFormat="1" ht="16" x14ac:dyDescent="0.2">
      <c r="A3316" t="s">
        <v>69</v>
      </c>
      <c r="B3316" s="3">
        <f>B3282/1000</f>
        <v>7.587186E-6</v>
      </c>
      <c r="D3316" t="s">
        <v>14</v>
      </c>
      <c r="E3316" t="s">
        <v>9</v>
      </c>
      <c r="F3316" s="2" t="s">
        <v>15</v>
      </c>
      <c r="H3316" s="2"/>
      <c r="I3316" s="2"/>
      <c r="J3316" s="2"/>
      <c r="K3316" s="2"/>
    </row>
    <row r="3317" spans="1:11" customFormat="1" ht="16" x14ac:dyDescent="0.2">
      <c r="A3317" t="s">
        <v>70</v>
      </c>
      <c r="B3317" s="3">
        <v>4.2883696301401334E-9</v>
      </c>
      <c r="D3317" t="s">
        <v>14</v>
      </c>
      <c r="E3317" t="s">
        <v>9</v>
      </c>
      <c r="F3317" s="2" t="s">
        <v>15</v>
      </c>
      <c r="H3317" s="2"/>
      <c r="I3317" s="2"/>
      <c r="J3317" s="2"/>
      <c r="K3317" s="2"/>
    </row>
    <row r="3318" spans="1:11" customFormat="1" ht="16" x14ac:dyDescent="0.2">
      <c r="A3318" t="s">
        <v>71</v>
      </c>
      <c r="B3318" s="3">
        <f>B3283/1000</f>
        <v>2.2136099999999999E-7</v>
      </c>
      <c r="D3318" t="s">
        <v>14</v>
      </c>
      <c r="E3318" t="s">
        <v>9</v>
      </c>
      <c r="F3318" s="2" t="s">
        <v>15</v>
      </c>
      <c r="H3318" s="2"/>
      <c r="I3318" s="2"/>
      <c r="J3318" s="2"/>
      <c r="K3318" s="2"/>
    </row>
    <row r="3319" spans="1:11" customFormat="1" ht="16" x14ac:dyDescent="0.2">
      <c r="A3319" t="s">
        <v>72</v>
      </c>
      <c r="B3319" s="3">
        <v>4.417562867629381E-9</v>
      </c>
      <c r="D3319" t="s">
        <v>14</v>
      </c>
      <c r="E3319" t="s">
        <v>9</v>
      </c>
      <c r="F3319" s="2" t="s">
        <v>15</v>
      </c>
      <c r="H3319" s="2"/>
      <c r="I3319" s="2"/>
      <c r="J3319" s="2"/>
      <c r="K3319" s="2"/>
    </row>
    <row r="3320" spans="1:11" customFormat="1" ht="16" x14ac:dyDescent="0.2">
      <c r="A3320" t="s">
        <v>73</v>
      </c>
      <c r="B3320" s="3">
        <v>1.2147463123534157E-8</v>
      </c>
      <c r="D3320" t="s">
        <v>14</v>
      </c>
      <c r="E3320" t="s">
        <v>9</v>
      </c>
      <c r="F3320" s="2" t="s">
        <v>15</v>
      </c>
      <c r="H3320" s="2"/>
      <c r="I3320" s="2"/>
      <c r="J3320" s="2"/>
      <c r="K3320" s="2"/>
    </row>
    <row r="3321" spans="1:11" customFormat="1" ht="16" x14ac:dyDescent="0.2">
      <c r="A3321" t="s">
        <v>74</v>
      </c>
      <c r="B3321" s="3">
        <v>3.9768082958024133E-7</v>
      </c>
      <c r="D3321" t="s">
        <v>14</v>
      </c>
      <c r="E3321" t="s">
        <v>9</v>
      </c>
      <c r="F3321" s="2" t="s">
        <v>15</v>
      </c>
      <c r="H3321" s="2"/>
      <c r="I3321" s="2"/>
      <c r="J3321" s="2"/>
      <c r="K3321" s="2"/>
    </row>
    <row r="3322" spans="1:11" customFormat="1" ht="16" x14ac:dyDescent="0.2">
      <c r="A3322" t="s">
        <v>75</v>
      </c>
      <c r="B3322" s="3">
        <v>2.3255800597289225E-10</v>
      </c>
      <c r="D3322" t="s">
        <v>14</v>
      </c>
      <c r="E3322" t="s">
        <v>9</v>
      </c>
      <c r="F3322" s="2" t="s">
        <v>15</v>
      </c>
      <c r="H3322" s="2"/>
      <c r="I3322" s="2"/>
      <c r="J3322" s="2"/>
      <c r="K3322" s="2"/>
    </row>
    <row r="3323" spans="1:11" customFormat="1" ht="16" x14ac:dyDescent="0.2">
      <c r="A3323" t="s">
        <v>76</v>
      </c>
      <c r="B3323" s="3">
        <v>4.0869969387591558E-8</v>
      </c>
      <c r="D3323" t="s">
        <v>14</v>
      </c>
      <c r="E3323" t="s">
        <v>9</v>
      </c>
      <c r="F3323" s="2" t="s">
        <v>15</v>
      </c>
      <c r="H3323" s="2"/>
      <c r="I3323" s="2"/>
      <c r="J3323" s="2"/>
      <c r="K3323" s="2"/>
    </row>
    <row r="3324" spans="1:11" customFormat="1" ht="16" x14ac:dyDescent="0.2">
      <c r="A3324" t="s">
        <v>77</v>
      </c>
      <c r="B3324" s="3">
        <v>4.651160119457845E-7</v>
      </c>
      <c r="D3324" t="s">
        <v>14</v>
      </c>
      <c r="E3324" t="s">
        <v>9</v>
      </c>
      <c r="F3324" s="2" t="s">
        <v>15</v>
      </c>
      <c r="H3324" s="2"/>
      <c r="I3324" s="2"/>
      <c r="J3324" s="2"/>
      <c r="K3324" s="2"/>
    </row>
    <row r="3325" spans="1:11" customFormat="1" ht="16" x14ac:dyDescent="0.2">
      <c r="A3325" t="s">
        <v>78</v>
      </c>
      <c r="B3325" s="3">
        <v>7.619711612948033E-8</v>
      </c>
      <c r="D3325" t="s">
        <v>14</v>
      </c>
      <c r="E3325" t="s">
        <v>9</v>
      </c>
      <c r="F3325" s="2" t="s">
        <v>15</v>
      </c>
      <c r="H3325" s="2"/>
      <c r="I3325" s="2"/>
      <c r="J3325" s="2"/>
      <c r="K3325" s="2"/>
    </row>
    <row r="3326" spans="1:11" customFormat="1" ht="16" x14ac:dyDescent="0.2">
      <c r="A3326" t="s">
        <v>79</v>
      </c>
      <c r="B3326" s="3">
        <v>2.3255800597289226E-8</v>
      </c>
      <c r="D3326" t="s">
        <v>14</v>
      </c>
      <c r="E3326" t="s">
        <v>9</v>
      </c>
      <c r="F3326" s="2" t="s">
        <v>15</v>
      </c>
      <c r="H3326" s="2"/>
      <c r="I3326" s="2"/>
      <c r="J3326" s="2"/>
      <c r="K3326" s="2"/>
    </row>
    <row r="3327" spans="1:11" customFormat="1" ht="16" x14ac:dyDescent="0.2">
      <c r="A3327" t="s">
        <v>80</v>
      </c>
      <c r="B3327" s="3">
        <v>6.7382024692940973E-8</v>
      </c>
      <c r="D3327" t="s">
        <v>14</v>
      </c>
      <c r="E3327" t="s">
        <v>9</v>
      </c>
      <c r="F3327" s="2" t="s">
        <v>15</v>
      </c>
      <c r="H3327" s="2"/>
      <c r="I3327" s="2"/>
      <c r="J3327" s="2"/>
      <c r="K3327" s="2"/>
    </row>
    <row r="3328" spans="1:11" customFormat="1" ht="16" x14ac:dyDescent="0.2">
      <c r="A3328" t="s">
        <v>81</v>
      </c>
      <c r="B3328" s="3">
        <v>2.9821053643838246E-8</v>
      </c>
      <c r="D3328" t="s">
        <v>14</v>
      </c>
      <c r="E3328" t="s">
        <v>9</v>
      </c>
      <c r="F3328" s="2" t="s">
        <v>15</v>
      </c>
      <c r="H3328" s="2"/>
      <c r="I3328" s="2"/>
      <c r="J3328" s="2"/>
      <c r="K3328" s="2"/>
    </row>
    <row r="3329" spans="1:12" customFormat="1" ht="16" x14ac:dyDescent="0.2">
      <c r="B3329" s="3"/>
      <c r="F3329" s="2"/>
      <c r="H3329" s="3"/>
    </row>
    <row r="3330" spans="1:12" x14ac:dyDescent="0.2">
      <c r="A3330" s="17" t="s">
        <v>2</v>
      </c>
      <c r="B3330" s="17" t="s">
        <v>88</v>
      </c>
    </row>
    <row r="3331" spans="1:12" customFormat="1" ht="16" x14ac:dyDescent="0.2">
      <c r="A3331" s="2" t="s">
        <v>3</v>
      </c>
      <c r="B3331" s="2" t="s">
        <v>18</v>
      </c>
      <c r="C3331" s="2"/>
      <c r="D3331" s="2"/>
      <c r="E3331" s="2"/>
      <c r="F3331" s="2"/>
      <c r="G3331" s="2"/>
      <c r="H3331" s="2"/>
      <c r="I3331" s="2"/>
      <c r="J3331" s="2"/>
      <c r="K3331" s="2"/>
      <c r="L3331" s="2"/>
    </row>
    <row r="3332" spans="1:12" customFormat="1" ht="16" x14ac:dyDescent="0.2">
      <c r="A3332" s="2" t="s">
        <v>4</v>
      </c>
      <c r="B3332" s="2">
        <v>1</v>
      </c>
      <c r="C3332" s="2"/>
      <c r="D3332" s="2"/>
      <c r="E3332" s="2"/>
      <c r="F3332" s="2"/>
      <c r="G3332" s="2"/>
      <c r="H3332" s="2"/>
      <c r="I3332" s="2"/>
      <c r="J3332" s="2"/>
      <c r="K3332" s="2"/>
      <c r="L3332" s="2"/>
    </row>
    <row r="3333" spans="1:12" customFormat="1" ht="16" x14ac:dyDescent="0.2">
      <c r="A3333" s="2" t="s">
        <v>5</v>
      </c>
      <c r="B3333" s="2" t="s">
        <v>1</v>
      </c>
      <c r="C3333" s="2"/>
      <c r="D3333" s="2"/>
      <c r="E3333" s="2"/>
      <c r="F3333" s="2"/>
      <c r="G3333" s="2"/>
      <c r="H3333" s="2"/>
      <c r="I3333" s="2"/>
      <c r="J3333" s="2"/>
    </row>
    <row r="3334" spans="1:12" customFormat="1" ht="16" x14ac:dyDescent="0.2">
      <c r="A3334" s="2" t="s">
        <v>6</v>
      </c>
      <c r="B3334" s="2" t="s">
        <v>7</v>
      </c>
      <c r="C3334" s="2"/>
      <c r="D3334" s="2"/>
      <c r="E3334" s="2"/>
      <c r="F3334" s="2"/>
      <c r="G3334" s="2"/>
      <c r="H3334" s="2"/>
      <c r="I3334" s="2"/>
      <c r="J3334" s="2"/>
      <c r="K3334" s="2"/>
      <c r="L3334" s="2"/>
    </row>
    <row r="3335" spans="1:12" customFormat="1" ht="16" x14ac:dyDescent="0.2">
      <c r="A3335" s="2" t="s">
        <v>8</v>
      </c>
      <c r="B3335" s="2" t="s">
        <v>17</v>
      </c>
      <c r="C3335" s="2"/>
      <c r="D3335" s="2"/>
      <c r="E3335" s="2"/>
      <c r="F3335" s="2"/>
      <c r="G3335" s="2"/>
      <c r="H3335" s="2"/>
      <c r="I3335" s="2"/>
      <c r="J3335" s="2"/>
      <c r="K3335" s="2"/>
      <c r="L3335" s="2"/>
    </row>
    <row r="3336" spans="1:12" customFormat="1" ht="16" x14ac:dyDescent="0.2">
      <c r="A3336" t="s">
        <v>352</v>
      </c>
      <c r="B3336" s="2">
        <f>INDEX(Parameters!$B$6:$AL$57,MATCH(Inventories!$B$3330,Parameters!$A$6:$A$57,0),MATCH(Inventories!$A3336,Parameters!$B$4:$AL$4,0))</f>
        <v>126</v>
      </c>
      <c r="C3336" t="s">
        <v>312</v>
      </c>
      <c r="D3336" s="2"/>
      <c r="E3336" s="2"/>
      <c r="F3336" s="2"/>
      <c r="G3336" s="2"/>
      <c r="H3336" s="2"/>
      <c r="I3336" s="2"/>
      <c r="J3336" s="2"/>
      <c r="K3336" s="2"/>
      <c r="L3336" s="2"/>
    </row>
    <row r="3337" spans="1:12" customFormat="1" ht="16" x14ac:dyDescent="0.2">
      <c r="A3337" t="s">
        <v>353</v>
      </c>
      <c r="B3337" s="2">
        <f>INDEX(Parameters!$B$6:$AL$57,MATCH(Inventories!$B$3330,Parameters!$A$6:$A$57,0),MATCH(Inventories!$A3337,Parameters!$B$4:$AL$4,0))</f>
        <v>54</v>
      </c>
      <c r="C3337" t="s">
        <v>312</v>
      </c>
      <c r="D3337" s="2"/>
      <c r="E3337" s="2"/>
      <c r="F3337" s="2"/>
      <c r="G3337" s="2"/>
      <c r="H3337" s="2"/>
      <c r="I3337" s="2"/>
      <c r="J3337" s="2"/>
      <c r="K3337" s="2"/>
      <c r="L3337" s="2"/>
    </row>
    <row r="3338" spans="1:12" customFormat="1" ht="16" x14ac:dyDescent="0.2">
      <c r="A3338" t="s">
        <v>354</v>
      </c>
      <c r="B3338" s="2">
        <f>INDEX(Parameters!$B$6:$AL$57,MATCH(Inventories!$B$3330,Parameters!$A$6:$A$57,0),MATCH(Inventories!$A3338,Parameters!$B$4:$AL$4,0))</f>
        <v>158</v>
      </c>
      <c r="C3338" t="s">
        <v>312</v>
      </c>
      <c r="D3338" s="2"/>
      <c r="E3338" s="2"/>
      <c r="F3338" s="2"/>
      <c r="G3338" s="2"/>
      <c r="H3338" s="2"/>
      <c r="I3338" s="2"/>
      <c r="J3338" s="2"/>
      <c r="K3338" s="2"/>
      <c r="L3338" s="2"/>
    </row>
    <row r="3339" spans="1:12" customFormat="1" ht="16" x14ac:dyDescent="0.2">
      <c r="A3339" t="s">
        <v>316</v>
      </c>
      <c r="B3339" s="24">
        <f>INDEX(Parameters!$B$6:$AL$57,MATCH(Inventories!$B$3330,Parameters!$A$6:$A$57,0),MATCH(Inventories!$A3339,Parameters!$B$4:$AL$4,0))</f>
        <v>200000</v>
      </c>
      <c r="C3339" t="s">
        <v>313</v>
      </c>
      <c r="D3339" s="2"/>
      <c r="E3339" s="2"/>
      <c r="F3339" s="2"/>
      <c r="G3339" s="2"/>
      <c r="H3339" s="2"/>
      <c r="I3339" s="2"/>
      <c r="J3339" s="2"/>
      <c r="K3339" s="2"/>
      <c r="L3339" s="2"/>
    </row>
    <row r="3340" spans="1:12" customFormat="1" ht="16" x14ac:dyDescent="0.2">
      <c r="A3340" t="s">
        <v>317</v>
      </c>
      <c r="B3340" s="24">
        <f>INDEX(Parameters!$B$6:$AL$57,MATCH(Inventories!$B$3330,Parameters!$A$6:$A$57,0),MATCH(Inventories!$A3340,Parameters!$B$4:$AL$4,0))</f>
        <v>160000</v>
      </c>
      <c r="C3340" t="s">
        <v>313</v>
      </c>
      <c r="D3340" s="2"/>
      <c r="E3340" s="2"/>
      <c r="F3340" s="2"/>
      <c r="G3340" s="2"/>
      <c r="H3340" s="2"/>
      <c r="I3340" s="2"/>
      <c r="J3340" s="2"/>
      <c r="K3340" s="2"/>
      <c r="L3340" s="2"/>
    </row>
    <row r="3341" spans="1:12" customFormat="1" ht="16" x14ac:dyDescent="0.2">
      <c r="A3341" t="s">
        <v>318</v>
      </c>
      <c r="B3341" s="24">
        <f>INDEX(Parameters!$B$6:$AL$57,MATCH(Inventories!$B$3330,Parameters!$A$6:$A$57,0),MATCH(Inventories!$A3341,Parameters!$B$4:$AL$4,0))</f>
        <v>250000</v>
      </c>
      <c r="C3341" t="s">
        <v>313</v>
      </c>
      <c r="D3341" s="2"/>
      <c r="E3341" s="2"/>
      <c r="F3341" s="2"/>
      <c r="G3341" s="2"/>
      <c r="H3341" s="2"/>
      <c r="I3341" s="2"/>
      <c r="J3341" s="2"/>
      <c r="K3341" s="2"/>
      <c r="L3341" s="2"/>
    </row>
    <row r="3342" spans="1:12" customFormat="1" ht="16" x14ac:dyDescent="0.2">
      <c r="A3342" t="s">
        <v>319</v>
      </c>
      <c r="B3342" s="2">
        <f>INDEX(Parameters!$B$6:$AL$57,MATCH(Inventories!$B$3330,Parameters!$A$6:$A$57,0),MATCH(Inventories!$A3342,Parameters!$B$4:$AL$4,0))</f>
        <v>2330</v>
      </c>
      <c r="C3342" t="s">
        <v>314</v>
      </c>
      <c r="D3342" s="2"/>
      <c r="E3342" s="2"/>
      <c r="F3342" s="2"/>
      <c r="G3342" s="2"/>
      <c r="H3342" s="2"/>
      <c r="I3342" s="2"/>
      <c r="J3342" s="2"/>
      <c r="K3342" s="2"/>
      <c r="L3342" s="2"/>
    </row>
    <row r="3343" spans="1:12" customFormat="1" ht="16" x14ac:dyDescent="0.2">
      <c r="A3343" t="s">
        <v>320</v>
      </c>
      <c r="B3343" s="2">
        <f>INDEX(Parameters!$B$6:$AL$57,MATCH(Inventories!$B$3330,Parameters!$A$6:$A$57,0),MATCH(Inventories!$A3343,Parameters!$B$4:$AL$4,0))</f>
        <v>1530</v>
      </c>
      <c r="C3343" t="s">
        <v>314</v>
      </c>
      <c r="D3343" s="2"/>
      <c r="E3343" s="2"/>
      <c r="F3343" s="2"/>
      <c r="G3343" s="2"/>
      <c r="H3343" s="2"/>
      <c r="I3343" s="2"/>
      <c r="J3343" s="2"/>
      <c r="K3343" s="2"/>
      <c r="L3343" s="2"/>
    </row>
    <row r="3344" spans="1:12" customFormat="1" ht="16" x14ac:dyDescent="0.2">
      <c r="A3344" t="s">
        <v>321</v>
      </c>
      <c r="B3344" s="2">
        <f>INDEX(Parameters!$B$6:$AL$57,MATCH(Inventories!$B$3330,Parameters!$A$6:$A$57,0),MATCH(Inventories!$A3344,Parameters!$B$4:$AL$4,0))</f>
        <v>3000</v>
      </c>
      <c r="C3344" t="s">
        <v>314</v>
      </c>
      <c r="D3344" s="2"/>
      <c r="E3344" s="2"/>
      <c r="F3344" s="2"/>
      <c r="G3344" s="2"/>
      <c r="H3344" s="2"/>
      <c r="I3344" s="2"/>
      <c r="J3344" s="2"/>
      <c r="K3344" s="2"/>
      <c r="L3344" s="2"/>
    </row>
    <row r="3345" spans="1:12" customFormat="1" ht="16" x14ac:dyDescent="0.2">
      <c r="A3345" t="s">
        <v>337</v>
      </c>
      <c r="B3345" s="2">
        <f>INDEX(Parameters!$B$6:$AL$57,MATCH(Inventories!$B$3330,Parameters!$A$6:$A$57,0),MATCH(Inventories!$A3345,Parameters!$B$4:$AL$4,0))</f>
        <v>0</v>
      </c>
      <c r="C3345" t="s">
        <v>336</v>
      </c>
      <c r="D3345" s="2"/>
      <c r="E3345" s="2"/>
      <c r="F3345" s="2"/>
      <c r="G3345" s="2"/>
      <c r="H3345" s="2"/>
      <c r="I3345" s="2"/>
      <c r="J3345" s="2"/>
      <c r="K3345" s="2"/>
      <c r="L3345" s="2"/>
    </row>
    <row r="3346" spans="1:12" customFormat="1" ht="16" x14ac:dyDescent="0.2">
      <c r="A3346" t="s">
        <v>338</v>
      </c>
      <c r="B3346" s="2">
        <f>INDEX(Parameters!$B$6:$AL$57,MATCH(Inventories!$B$3330,Parameters!$A$6:$A$57,0),MATCH(Inventories!$A3346,Parameters!$B$4:$AL$4,0))</f>
        <v>0</v>
      </c>
      <c r="C3346" t="s">
        <v>336</v>
      </c>
      <c r="D3346" s="2"/>
      <c r="E3346" s="2"/>
      <c r="F3346" s="2"/>
      <c r="G3346" s="2"/>
      <c r="H3346" s="2"/>
      <c r="I3346" s="2"/>
      <c r="J3346" s="2"/>
      <c r="K3346" s="2"/>
      <c r="L3346" s="2"/>
    </row>
    <row r="3347" spans="1:12" customFormat="1" ht="16" x14ac:dyDescent="0.2">
      <c r="A3347" t="s">
        <v>339</v>
      </c>
      <c r="B3347" s="2">
        <f>INDEX(Parameters!$B$6:$AL$57,MATCH(Inventories!$B$3330,Parameters!$A$6:$A$57,0),MATCH(Inventories!$A3347,Parameters!$B$4:$AL$4,0))</f>
        <v>0</v>
      </c>
      <c r="C3347" t="s">
        <v>336</v>
      </c>
      <c r="D3347" s="2"/>
      <c r="E3347" s="2"/>
      <c r="F3347" s="2"/>
      <c r="G3347" s="2"/>
      <c r="H3347" s="2"/>
      <c r="I3347" s="2"/>
      <c r="J3347" s="2"/>
      <c r="K3347" s="2"/>
      <c r="L3347" s="2"/>
    </row>
    <row r="3348" spans="1:12" customFormat="1" ht="16" x14ac:dyDescent="0.2">
      <c r="A3348" t="s">
        <v>340</v>
      </c>
      <c r="B3348" s="2">
        <f>INDEX(Parameters!$B$6:$AL$57,MATCH(Inventories!$B$3330,Parameters!$A$6:$A$57,0),MATCH(Inventories!$A3348,Parameters!$B$4:$AL$4,0))</f>
        <v>146</v>
      </c>
      <c r="C3348" t="s">
        <v>336</v>
      </c>
      <c r="D3348" s="2"/>
      <c r="E3348" s="2"/>
      <c r="F3348" s="2"/>
      <c r="G3348" s="2"/>
      <c r="H3348" s="2"/>
      <c r="I3348" s="2"/>
      <c r="J3348" s="2"/>
      <c r="K3348" s="2"/>
      <c r="L3348" s="2"/>
    </row>
    <row r="3349" spans="1:12" customFormat="1" ht="16" x14ac:dyDescent="0.2">
      <c r="A3349" t="s">
        <v>341</v>
      </c>
      <c r="B3349" s="2">
        <f>INDEX(Parameters!$B$6:$AL$57,MATCH(Inventories!$B$3330,Parameters!$A$6:$A$57,0),MATCH(Inventories!$A3349,Parameters!$B$4:$AL$4,0))</f>
        <v>96</v>
      </c>
      <c r="C3349" t="s">
        <v>336</v>
      </c>
      <c r="D3349" s="2"/>
      <c r="E3349" s="2"/>
      <c r="F3349" s="2"/>
      <c r="G3349" s="2"/>
      <c r="H3349" s="2"/>
      <c r="I3349" s="2"/>
      <c r="J3349" s="2"/>
      <c r="K3349" s="2"/>
      <c r="L3349" s="2"/>
    </row>
    <row r="3350" spans="1:12" customFormat="1" ht="16" x14ac:dyDescent="0.2">
      <c r="A3350" t="s">
        <v>342</v>
      </c>
      <c r="B3350" s="2">
        <f>INDEX(Parameters!$B$6:$AL$57,MATCH(Inventories!$B$3330,Parameters!$A$6:$A$57,0),MATCH(Inventories!$A3350,Parameters!$B$4:$AL$4,0))</f>
        <v>168</v>
      </c>
      <c r="C3350" t="s">
        <v>336</v>
      </c>
      <c r="D3350" s="2"/>
      <c r="E3350" s="2"/>
      <c r="F3350" s="2"/>
      <c r="G3350" s="2"/>
      <c r="H3350" s="2"/>
      <c r="I3350" s="2"/>
      <c r="J3350" s="2"/>
      <c r="K3350" s="2"/>
      <c r="L3350" s="2"/>
    </row>
    <row r="3351" spans="1:12" customFormat="1" ht="16" x14ac:dyDescent="0.2">
      <c r="A3351" t="s">
        <v>333</v>
      </c>
      <c r="B3351" s="2">
        <f>INDEX(Parameters!$B$6:$AL$57,MATCH(Inventories!$B$3330,Parameters!$A$6:$A$57,0),MATCH(Inventories!$A3351,Parameters!$B$4:$AL$4,0))</f>
        <v>48</v>
      </c>
      <c r="C3351" t="s">
        <v>336</v>
      </c>
      <c r="D3351" s="2"/>
      <c r="E3351" s="2"/>
      <c r="F3351" s="2"/>
      <c r="G3351" s="2"/>
      <c r="H3351" s="2"/>
      <c r="I3351" s="2"/>
      <c r="J3351" s="2"/>
      <c r="K3351" s="2"/>
      <c r="L3351" s="2"/>
    </row>
    <row r="3352" spans="1:12" customFormat="1" ht="16" x14ac:dyDescent="0.2">
      <c r="A3352" t="s">
        <v>334</v>
      </c>
      <c r="B3352" s="2">
        <f>INDEX(Parameters!$B$6:$AL$57,MATCH(Inventories!$B$3330,Parameters!$A$6:$A$57,0),MATCH(Inventories!$A3352,Parameters!$B$4:$AL$4,0))</f>
        <v>30</v>
      </c>
      <c r="C3352" t="s">
        <v>336</v>
      </c>
      <c r="D3352" s="2"/>
      <c r="E3352" s="2"/>
      <c r="F3352" s="2"/>
      <c r="G3352" s="2"/>
      <c r="H3352" s="2"/>
      <c r="I3352" s="2"/>
      <c r="J3352" s="2"/>
      <c r="K3352" s="2"/>
      <c r="L3352" s="2"/>
    </row>
    <row r="3353" spans="1:12" customFormat="1" ht="16" x14ac:dyDescent="0.2">
      <c r="A3353" t="s">
        <v>335</v>
      </c>
      <c r="B3353" s="2">
        <f>INDEX(Parameters!$B$6:$AL$57,MATCH(Inventories!$B$3330,Parameters!$A$6:$A$57,0),MATCH(Inventories!$A3353,Parameters!$B$4:$AL$4,0))</f>
        <v>48</v>
      </c>
      <c r="C3353" t="s">
        <v>336</v>
      </c>
      <c r="D3353" s="2"/>
      <c r="E3353" s="2"/>
      <c r="F3353" s="2"/>
      <c r="G3353" s="2"/>
      <c r="H3353" s="2"/>
      <c r="I3353" s="2"/>
      <c r="J3353" s="2"/>
      <c r="K3353" s="2"/>
      <c r="L3353" s="2"/>
    </row>
    <row r="3354" spans="1:12" customFormat="1" ht="16" x14ac:dyDescent="0.2">
      <c r="A3354" t="s">
        <v>322</v>
      </c>
      <c r="B3354" s="2">
        <f>INDEX(Parameters!$B$6:$AL$57,MATCH(Inventories!$B$3330,Parameters!$A$6:$A$57,0),MATCH(Inventories!$A3354,Parameters!$B$4:$AL$4,0))</f>
        <v>0</v>
      </c>
      <c r="C3354" t="s">
        <v>315</v>
      </c>
      <c r="D3354" s="2"/>
      <c r="E3354" s="2"/>
      <c r="F3354" s="2"/>
      <c r="G3354" s="2"/>
      <c r="H3354" s="2"/>
      <c r="I3354" s="2"/>
      <c r="J3354" s="2"/>
      <c r="K3354" s="2"/>
      <c r="L3354" s="2"/>
    </row>
    <row r="3355" spans="1:12" customFormat="1" ht="16" x14ac:dyDescent="0.2">
      <c r="A3355" t="s">
        <v>323</v>
      </c>
      <c r="B3355" s="2">
        <f>INDEX(Parameters!$B$6:$AL$57,MATCH(Inventories!$B$3330,Parameters!$A$6:$A$57,0),MATCH(Inventories!$A3355,Parameters!$B$4:$AL$4,0))</f>
        <v>0</v>
      </c>
      <c r="C3355" t="s">
        <v>315</v>
      </c>
      <c r="D3355" s="2"/>
      <c r="E3355" s="2"/>
      <c r="F3355" s="2"/>
      <c r="G3355" s="2"/>
      <c r="H3355" s="2"/>
      <c r="I3355" s="2"/>
      <c r="J3355" s="2"/>
      <c r="K3355" s="2"/>
      <c r="L3355" s="2"/>
    </row>
    <row r="3356" spans="1:12" customFormat="1" ht="16" x14ac:dyDescent="0.2">
      <c r="A3356" t="s">
        <v>324</v>
      </c>
      <c r="B3356" s="2">
        <f>INDEX(Parameters!$B$6:$AL$57,MATCH(Inventories!$B$3330,Parameters!$A$6:$A$57,0),MATCH(Inventories!$A3356,Parameters!$B$4:$AL$4,0))</f>
        <v>0</v>
      </c>
      <c r="C3356" t="s">
        <v>315</v>
      </c>
      <c r="D3356" s="2"/>
      <c r="E3356" s="2"/>
      <c r="F3356" s="2"/>
      <c r="G3356" s="2"/>
      <c r="H3356" s="2"/>
      <c r="I3356" s="2"/>
      <c r="J3356" s="2"/>
      <c r="K3356" s="2"/>
      <c r="L3356" s="2"/>
    </row>
    <row r="3357" spans="1:12" customFormat="1" ht="16" x14ac:dyDescent="0.2">
      <c r="A3357" t="s">
        <v>330</v>
      </c>
      <c r="B3357" s="2">
        <f>INDEX(Parameters!$B$6:$AL$57,MATCH(Inventories!$B$3330,Parameters!$A$6:$A$57,0),MATCH(Inventories!$A3357,Parameters!$B$4:$AL$4,0))</f>
        <v>0</v>
      </c>
      <c r="C3357" t="s">
        <v>8</v>
      </c>
      <c r="D3357" s="2"/>
      <c r="E3357" s="2"/>
      <c r="F3357" s="2"/>
      <c r="G3357" s="2"/>
      <c r="H3357" s="2"/>
      <c r="I3357" s="2"/>
      <c r="J3357" s="2"/>
      <c r="K3357" s="2"/>
      <c r="L3357" s="2"/>
    </row>
    <row r="3358" spans="1:12" customFormat="1" ht="16" x14ac:dyDescent="0.2">
      <c r="A3358" t="s">
        <v>331</v>
      </c>
      <c r="B3358" s="2">
        <f>INDEX(Parameters!$B$6:$AL$57,MATCH(Inventories!$B$3330,Parameters!$A$6:$A$57,0),MATCH(Inventories!$A3358,Parameters!$B$4:$AL$4,0))</f>
        <v>0</v>
      </c>
      <c r="C3358" t="s">
        <v>8</v>
      </c>
      <c r="D3358" s="2"/>
      <c r="E3358" s="2"/>
      <c r="F3358" s="2"/>
      <c r="G3358" s="2"/>
      <c r="H3358" s="2"/>
      <c r="I3358" s="2"/>
      <c r="J3358" s="2"/>
      <c r="K3358" s="2"/>
      <c r="L3358" s="2"/>
    </row>
    <row r="3359" spans="1:12" customFormat="1" ht="16" x14ac:dyDescent="0.2">
      <c r="A3359" t="s">
        <v>332</v>
      </c>
      <c r="B3359" s="2">
        <f>INDEX(Parameters!$B$6:$AL$57,MATCH(Inventories!$B$3330,Parameters!$A$6:$A$57,0),MATCH(Inventories!$A3359,Parameters!$B$4:$AL$4,0))</f>
        <v>0</v>
      </c>
      <c r="C3359" t="s">
        <v>8</v>
      </c>
      <c r="D3359" s="2"/>
      <c r="E3359" s="2"/>
      <c r="F3359" s="2"/>
      <c r="G3359" s="2"/>
      <c r="H3359" s="2"/>
      <c r="I3359" s="2"/>
      <c r="J3359" s="2"/>
      <c r="K3359" s="2"/>
      <c r="L3359" s="2"/>
    </row>
    <row r="3360" spans="1:12" customFormat="1" ht="16" x14ac:dyDescent="0.2">
      <c r="A3360" t="s">
        <v>346</v>
      </c>
      <c r="B3360" s="2">
        <f>INDEX(Parameters!$B$6:$AL$57,MATCH(Inventories!$B$3330,Parameters!$A$6:$A$57,0),MATCH(Inventories!$A3360,Parameters!$B$4:$AL$4,0))</f>
        <v>0</v>
      </c>
      <c r="C3360" t="s">
        <v>312</v>
      </c>
      <c r="D3360" s="2"/>
      <c r="E3360" s="2"/>
      <c r="F3360" s="2"/>
      <c r="G3360" s="2"/>
      <c r="H3360" s="2"/>
      <c r="I3360" s="2"/>
      <c r="J3360" s="2"/>
      <c r="K3360" s="2"/>
      <c r="L3360" s="2"/>
    </row>
    <row r="3361" spans="1:12" customFormat="1" ht="16" x14ac:dyDescent="0.2">
      <c r="A3361" t="s">
        <v>347</v>
      </c>
      <c r="B3361" s="2">
        <f>INDEX(Parameters!$B$6:$AL$57,MATCH(Inventories!$B$3330,Parameters!$A$6:$A$57,0),MATCH(Inventories!$A3361,Parameters!$B$4:$AL$4,0))</f>
        <v>0</v>
      </c>
      <c r="C3361" t="s">
        <v>312</v>
      </c>
      <c r="D3361" s="2"/>
      <c r="E3361" s="12"/>
      <c r="F3361" s="2"/>
      <c r="G3361" s="2"/>
      <c r="H3361" s="2"/>
      <c r="I3361" s="2"/>
      <c r="J3361" s="2"/>
      <c r="K3361" s="2"/>
      <c r="L3361" s="2"/>
    </row>
    <row r="3362" spans="1:12" customFormat="1" ht="16" x14ac:dyDescent="0.2">
      <c r="A3362" t="s">
        <v>348</v>
      </c>
      <c r="B3362" s="2">
        <f>INDEX(Parameters!$B$6:$AL$57,MATCH(Inventories!$B$3330,Parameters!$A$6:$A$57,0),MATCH(Inventories!$A3362,Parameters!$B$4:$AL$4,0))</f>
        <v>0</v>
      </c>
      <c r="C3362" t="s">
        <v>312</v>
      </c>
      <c r="D3362" s="2"/>
      <c r="E3362" s="2"/>
      <c r="F3362" s="2"/>
      <c r="G3362" s="2"/>
      <c r="H3362" s="2"/>
      <c r="I3362" s="2"/>
      <c r="J3362" s="2"/>
      <c r="K3362" s="2"/>
      <c r="L3362" s="2"/>
    </row>
    <row r="3363" spans="1:12" customFormat="1" ht="16" x14ac:dyDescent="0.2">
      <c r="A3363" t="s">
        <v>349</v>
      </c>
      <c r="B3363" s="2">
        <f>INDEX(Parameters!$B$6:$AL$57,MATCH(Inventories!$B$3330,Parameters!$A$6:$A$57,0),MATCH(Inventories!$A3363,Parameters!$B$4:$AL$4,0))</f>
        <v>0</v>
      </c>
      <c r="C3363" t="s">
        <v>8</v>
      </c>
      <c r="D3363" s="2"/>
      <c r="E3363" s="2"/>
      <c r="F3363" s="2"/>
      <c r="G3363" s="2"/>
      <c r="H3363" s="2"/>
      <c r="I3363" s="2"/>
      <c r="J3363" s="2"/>
      <c r="K3363" s="2"/>
      <c r="L3363" s="2"/>
    </row>
    <row r="3364" spans="1:12" customFormat="1" ht="16" x14ac:dyDescent="0.2">
      <c r="A3364" t="s">
        <v>350</v>
      </c>
      <c r="B3364" s="2">
        <f>INDEX(Parameters!$B$6:$AL$57,MATCH(Inventories!$B$3330,Parameters!$A$6:$A$57,0),MATCH(Inventories!$A3364,Parameters!$B$4:$AL$4,0))</f>
        <v>0</v>
      </c>
      <c r="C3364" t="s">
        <v>8</v>
      </c>
      <c r="D3364" s="2"/>
      <c r="E3364" s="2"/>
      <c r="F3364" s="2"/>
      <c r="G3364" s="2"/>
      <c r="H3364" s="2"/>
      <c r="I3364" s="2"/>
      <c r="J3364" s="2"/>
      <c r="K3364" s="2"/>
      <c r="L3364" s="2"/>
    </row>
    <row r="3365" spans="1:12" customFormat="1" ht="16" x14ac:dyDescent="0.2">
      <c r="A3365" t="s">
        <v>351</v>
      </c>
      <c r="B3365" s="2">
        <f>INDEX(Parameters!$B$6:$AL$57,MATCH(Inventories!$B$3330,Parameters!$A$6:$A$57,0),MATCH(Inventories!$A3365,Parameters!$B$4:$AL$4,0))</f>
        <v>0</v>
      </c>
      <c r="C3365" t="s">
        <v>8</v>
      </c>
      <c r="D3365" s="2"/>
      <c r="E3365" s="2"/>
      <c r="F3365" s="2"/>
      <c r="G3365" s="2"/>
      <c r="H3365" s="2"/>
      <c r="I3365" s="2"/>
      <c r="J3365" s="2"/>
      <c r="K3365" s="2"/>
      <c r="L3365" s="2"/>
    </row>
    <row r="3366" spans="1:12" customFormat="1" ht="16" x14ac:dyDescent="0.2">
      <c r="A3366" t="s">
        <v>365</v>
      </c>
      <c r="B3366" s="2">
        <f>INDEX(Parameters!$B$6:$AL$57,MATCH(Inventories!$B$3330,Parameters!$A$6:$A$57,0),MATCH(Inventories!$A3366,Parameters!$B$4:$AL$4,0))</f>
        <v>0</v>
      </c>
      <c r="C3366" t="s">
        <v>336</v>
      </c>
      <c r="D3366" s="2"/>
      <c r="E3366" s="2"/>
      <c r="F3366" s="2"/>
      <c r="G3366" s="2"/>
      <c r="H3366" s="2"/>
      <c r="I3366" s="2"/>
      <c r="J3366" s="2"/>
      <c r="K3366" s="2"/>
      <c r="L3366" s="2"/>
    </row>
    <row r="3367" spans="1:12" customFormat="1" ht="16" x14ac:dyDescent="0.2">
      <c r="A3367" t="s">
        <v>366</v>
      </c>
      <c r="B3367" s="2">
        <f>INDEX(Parameters!$B$6:$AL$57,MATCH(Inventories!$B$3330,Parameters!$A$6:$A$57,0),MATCH(Inventories!$A3367,Parameters!$B$4:$AL$4,0))</f>
        <v>0</v>
      </c>
      <c r="C3367" t="s">
        <v>336</v>
      </c>
      <c r="D3367" s="2"/>
      <c r="E3367" s="2"/>
      <c r="F3367" s="2"/>
      <c r="G3367" s="2"/>
      <c r="H3367" s="2"/>
      <c r="I3367" s="2"/>
      <c r="J3367" s="2"/>
      <c r="K3367" s="2"/>
      <c r="L3367" s="2"/>
    </row>
    <row r="3368" spans="1:12" customFormat="1" ht="16" x14ac:dyDescent="0.2">
      <c r="A3368" t="s">
        <v>367</v>
      </c>
      <c r="B3368" s="2">
        <f>INDEX(Parameters!$B$6:$AL$57,MATCH(Inventories!$B$3330,Parameters!$A$6:$A$57,0),MATCH(Inventories!$A3368,Parameters!$B$4:$AL$4,0))</f>
        <v>0</v>
      </c>
      <c r="C3368" t="s">
        <v>336</v>
      </c>
      <c r="D3368" s="2"/>
      <c r="E3368" s="2"/>
      <c r="F3368" s="2"/>
      <c r="G3368" s="2"/>
      <c r="H3368" s="2"/>
      <c r="I3368" s="2"/>
      <c r="J3368" s="2"/>
      <c r="K3368" s="2"/>
      <c r="L3368" s="2"/>
    </row>
    <row r="3369" spans="1:12" customFormat="1" ht="16" x14ac:dyDescent="0.2">
      <c r="A3369" t="s">
        <v>368</v>
      </c>
      <c r="B3369" s="2">
        <f>INDEX(Parameters!$B$6:$AL$57,MATCH(Inventories!$B$3330,Parameters!$A$6:$A$57,0),MATCH(Inventories!$A3369,Parameters!$B$4:$AL$4,0))</f>
        <v>0</v>
      </c>
      <c r="C3369" t="s">
        <v>336</v>
      </c>
      <c r="D3369" s="2"/>
      <c r="E3369" s="2"/>
      <c r="F3369" s="2"/>
      <c r="G3369" s="2"/>
      <c r="H3369" s="2"/>
      <c r="I3369" s="2"/>
      <c r="J3369" s="2"/>
      <c r="K3369" s="2"/>
      <c r="L3369" s="2"/>
    </row>
    <row r="3370" spans="1:12" customFormat="1" ht="16" x14ac:dyDescent="0.2">
      <c r="A3370" t="s">
        <v>369</v>
      </c>
      <c r="B3370" s="2">
        <f>INDEX(Parameters!$B$6:$AL$57,MATCH(Inventories!$B$3330,Parameters!$A$6:$A$57,0),MATCH(Inventories!$A3370,Parameters!$B$4:$AL$4,0))</f>
        <v>0</v>
      </c>
      <c r="C3370" t="s">
        <v>336</v>
      </c>
      <c r="D3370" s="2"/>
      <c r="E3370" s="2"/>
      <c r="F3370" s="2"/>
      <c r="G3370" s="2"/>
      <c r="H3370" s="2"/>
      <c r="I3370" s="2"/>
      <c r="J3370" s="2"/>
      <c r="K3370" s="2"/>
      <c r="L3370" s="2"/>
    </row>
    <row r="3371" spans="1:12" customFormat="1" ht="16" x14ac:dyDescent="0.2">
      <c r="A3371" t="s">
        <v>344</v>
      </c>
      <c r="B3371" s="12">
        <f>INDEX(Parameters!$B$6:$AL$57,MATCH(Inventories!$B$3330,Parameters!$A$6:$A$57,0),MATCH(Inventories!$A3371,Parameters!$B$4:$AL$4,0))</f>
        <v>9.9072039999999993E-3</v>
      </c>
      <c r="C3371" t="s">
        <v>345</v>
      </c>
      <c r="D3371" s="2"/>
      <c r="E3371" s="2"/>
      <c r="F3371" s="2"/>
      <c r="G3371" s="2"/>
      <c r="H3371" s="2"/>
      <c r="I3371" s="2"/>
      <c r="J3371" s="2"/>
      <c r="K3371" s="2"/>
      <c r="L3371" s="2"/>
    </row>
    <row r="3372" spans="1:12" customFormat="1" ht="16" x14ac:dyDescent="0.2">
      <c r="A3372" t="s">
        <v>343</v>
      </c>
      <c r="B3372" s="12">
        <f>INDEX(Parameters!$B$6:$AL$57,MATCH(Inventories!$B$3330,Parameters!$A$6:$A$57,0),MATCH(Inventories!$A3372,Parameters!$B$4:$AL$4,0))</f>
        <v>1.4309899999999999E-4</v>
      </c>
      <c r="C3372" t="s">
        <v>345</v>
      </c>
      <c r="D3372" s="2"/>
      <c r="E3372" s="2"/>
      <c r="F3372" s="2"/>
      <c r="G3372" s="2"/>
      <c r="H3372" s="2"/>
      <c r="I3372" s="2"/>
      <c r="J3372" s="2"/>
      <c r="K3372" s="2"/>
      <c r="L3372" s="2"/>
    </row>
    <row r="3373" spans="1:12" customFormat="1" ht="16" x14ac:dyDescent="0.2">
      <c r="A3373" s="1" t="s">
        <v>10</v>
      </c>
      <c r="B3373" s="2"/>
      <c r="C3373" s="2"/>
      <c r="D3373" s="2"/>
      <c r="E3373" s="2"/>
      <c r="F3373" s="2"/>
      <c r="G3373" s="2"/>
      <c r="H3373" s="2"/>
      <c r="I3373" s="2"/>
      <c r="J3373" s="2"/>
      <c r="K3373" s="2"/>
      <c r="L3373" s="2"/>
    </row>
    <row r="3374" spans="1:12" x14ac:dyDescent="0.2">
      <c r="A3374" s="17" t="s">
        <v>11</v>
      </c>
      <c r="B3374" s="17" t="s">
        <v>12</v>
      </c>
      <c r="C3374" s="17" t="s">
        <v>3</v>
      </c>
      <c r="D3374" s="17" t="s">
        <v>13</v>
      </c>
      <c r="E3374" s="17" t="s">
        <v>8</v>
      </c>
      <c r="F3374" s="17" t="s">
        <v>6</v>
      </c>
      <c r="G3374" s="17" t="s">
        <v>5</v>
      </c>
      <c r="H3374" s="17" t="s">
        <v>151</v>
      </c>
      <c r="I3374" s="17" t="s">
        <v>179</v>
      </c>
      <c r="J3374" s="17" t="s">
        <v>180</v>
      </c>
      <c r="K3374" s="17" t="s">
        <v>181</v>
      </c>
      <c r="L3374" s="17" t="s">
        <v>182</v>
      </c>
    </row>
    <row r="3375" spans="1:12" customFormat="1" ht="16" x14ac:dyDescent="0.2">
      <c r="A3375" s="2" t="str">
        <f>B3330</f>
        <v>petrol, burned in passenger car</v>
      </c>
      <c r="B3375" s="2">
        <v>1</v>
      </c>
      <c r="C3375" s="2" t="str">
        <f>B3331</f>
        <v>RER</v>
      </c>
      <c r="D3375" s="2"/>
      <c r="E3375" s="2" t="str">
        <f>B3335</f>
        <v>megajoule</v>
      </c>
      <c r="F3375" s="2" t="s">
        <v>19</v>
      </c>
      <c r="G3375" s="2" t="str">
        <f>B3333</f>
        <v>heat</v>
      </c>
      <c r="H3375" s="2"/>
      <c r="I3375" s="2"/>
      <c r="J3375" s="2"/>
      <c r="K3375" s="2"/>
      <c r="L3375" s="2"/>
    </row>
    <row r="3376" spans="1:12" customFormat="1" ht="16" x14ac:dyDescent="0.2">
      <c r="A3376" t="s">
        <v>120</v>
      </c>
      <c r="B3376" s="9">
        <f>1/42.6</f>
        <v>2.3474178403755867E-2</v>
      </c>
      <c r="C3376" t="s">
        <v>27</v>
      </c>
      <c r="E3376" t="s">
        <v>9</v>
      </c>
      <c r="F3376" t="s">
        <v>23</v>
      </c>
      <c r="G3376" t="s">
        <v>82</v>
      </c>
      <c r="H3376" s="2"/>
    </row>
    <row r="3377" spans="1:12" customFormat="1" ht="16" x14ac:dyDescent="0.2">
      <c r="A3377" s="2" t="s">
        <v>143</v>
      </c>
      <c r="B3377" s="27">
        <f>(B3348/B3339)/(B3342/1000)</f>
        <v>3.1330472103004289E-4</v>
      </c>
      <c r="C3377" t="s">
        <v>114</v>
      </c>
      <c r="E3377" t="s">
        <v>9</v>
      </c>
      <c r="F3377" t="s">
        <v>23</v>
      </c>
      <c r="G3377" t="s">
        <v>144</v>
      </c>
      <c r="I3377" s="2">
        <v>5</v>
      </c>
      <c r="J3377" s="27">
        <f>B3377</f>
        <v>3.1330472103004289E-4</v>
      </c>
      <c r="K3377" s="3">
        <f>(B3349/B3341)/(B3344/1000)</f>
        <v>1.2799999999999999E-4</v>
      </c>
      <c r="L3377" s="3">
        <f>(B3350/B3340)/(B3343/1000)</f>
        <v>6.8627450980392147E-4</v>
      </c>
    </row>
    <row r="3378" spans="1:12" customFormat="1" ht="16" x14ac:dyDescent="0.2">
      <c r="A3378" s="2" t="s">
        <v>358</v>
      </c>
      <c r="B3378" s="3">
        <f>(B3351/B3339)/(B3342/1000)</f>
        <v>1.0300429184549356E-4</v>
      </c>
      <c r="C3378" t="s">
        <v>114</v>
      </c>
      <c r="E3378" t="s">
        <v>9</v>
      </c>
      <c r="F3378" t="s">
        <v>23</v>
      </c>
      <c r="G3378" s="2" t="s">
        <v>357</v>
      </c>
      <c r="H3378" s="2" t="s">
        <v>361</v>
      </c>
      <c r="I3378">
        <v>5</v>
      </c>
      <c r="J3378" s="27">
        <f>B3378</f>
        <v>1.0300429184549356E-4</v>
      </c>
      <c r="K3378" s="3">
        <f>J3378*0.8</f>
        <v>8.2403433476394851E-5</v>
      </c>
      <c r="L3378" s="3">
        <f>J3378*1.2</f>
        <v>1.2360515021459228E-4</v>
      </c>
    </row>
    <row r="3379" spans="1:12" customFormat="1" ht="16" x14ac:dyDescent="0.2">
      <c r="A3379" s="2" t="s">
        <v>359</v>
      </c>
      <c r="B3379" s="3">
        <f>B3378</f>
        <v>1.0300429184549356E-4</v>
      </c>
      <c r="C3379" t="s">
        <v>114</v>
      </c>
      <c r="E3379" t="s">
        <v>9</v>
      </c>
      <c r="F3379" t="s">
        <v>23</v>
      </c>
      <c r="G3379" s="2" t="s">
        <v>360</v>
      </c>
      <c r="H3379" s="2" t="s">
        <v>361</v>
      </c>
      <c r="I3379">
        <v>5</v>
      </c>
      <c r="J3379" s="27">
        <f>B3379</f>
        <v>1.0300429184549356E-4</v>
      </c>
      <c r="K3379" s="3">
        <f>K3378</f>
        <v>8.2403433476394851E-5</v>
      </c>
      <c r="L3379" s="3">
        <f>L3378</f>
        <v>1.2360515021459228E-4</v>
      </c>
    </row>
    <row r="3380" spans="1:12" customFormat="1" ht="16" x14ac:dyDescent="0.2">
      <c r="A3380" t="s">
        <v>83</v>
      </c>
      <c r="B3380" s="3">
        <v>1.4547114129662022E-7</v>
      </c>
      <c r="D3380" t="s">
        <v>14</v>
      </c>
      <c r="E3380" t="s">
        <v>9</v>
      </c>
      <c r="F3380" s="2" t="s">
        <v>15</v>
      </c>
      <c r="H3380" s="2"/>
    </row>
    <row r="3381" spans="1:12" customFormat="1" ht="16" x14ac:dyDescent="0.2">
      <c r="A3381" t="s">
        <v>149</v>
      </c>
      <c r="B3381" s="3">
        <v>2.3599288167039204E-6</v>
      </c>
      <c r="D3381" t="s">
        <v>14</v>
      </c>
      <c r="E3381" t="s">
        <v>9</v>
      </c>
      <c r="F3381" s="2" t="s">
        <v>15</v>
      </c>
      <c r="H3381" s="2"/>
    </row>
    <row r="3382" spans="1:12" customFormat="1" ht="16" x14ac:dyDescent="0.2">
      <c r="A3382" t="s">
        <v>45</v>
      </c>
      <c r="B3382" s="3">
        <v>6.4176573052336623E-8</v>
      </c>
      <c r="D3382" t="s">
        <v>14</v>
      </c>
      <c r="E3382" t="s">
        <v>9</v>
      </c>
      <c r="F3382" s="2" t="s">
        <v>15</v>
      </c>
      <c r="H3382" s="2"/>
    </row>
    <row r="3383" spans="1:12" customFormat="1" ht="16" x14ac:dyDescent="0.2">
      <c r="A3383" t="s">
        <v>46</v>
      </c>
      <c r="B3383" s="3">
        <v>5.2181249284002014E-8</v>
      </c>
      <c r="D3383" t="s">
        <v>14</v>
      </c>
      <c r="E3383" t="s">
        <v>9</v>
      </c>
      <c r="F3383" s="2" t="s">
        <v>15</v>
      </c>
      <c r="H3383" s="2"/>
    </row>
    <row r="3384" spans="1:12" customFormat="1" ht="16" x14ac:dyDescent="0.2">
      <c r="A3384" t="s">
        <v>47</v>
      </c>
      <c r="B3384" s="3">
        <v>1.6258913648856724E-8</v>
      </c>
      <c r="D3384" t="s">
        <v>14</v>
      </c>
      <c r="E3384" t="s">
        <v>9</v>
      </c>
      <c r="F3384" s="2" t="s">
        <v>15</v>
      </c>
      <c r="H3384" s="2"/>
    </row>
    <row r="3385" spans="1:12" customFormat="1" ht="16" x14ac:dyDescent="0.2">
      <c r="A3385" t="s">
        <v>48</v>
      </c>
      <c r="B3385" s="3">
        <v>7.0422535211267627E-7</v>
      </c>
      <c r="D3385" t="s">
        <v>14</v>
      </c>
      <c r="E3385" t="s">
        <v>9</v>
      </c>
      <c r="F3385" s="2" t="s">
        <v>15</v>
      </c>
      <c r="H3385" s="2"/>
    </row>
    <row r="3386" spans="1:12" customFormat="1" ht="16" x14ac:dyDescent="0.2">
      <c r="A3386" t="s">
        <v>49</v>
      </c>
      <c r="B3386" s="3">
        <v>1.8823431144155847E-8</v>
      </c>
      <c r="D3386" t="s">
        <v>14</v>
      </c>
      <c r="E3386" t="s">
        <v>9</v>
      </c>
      <c r="F3386" s="2" t="s">
        <v>15</v>
      </c>
      <c r="H3386" s="2"/>
    </row>
    <row r="3387" spans="1:12" customFormat="1" ht="16" x14ac:dyDescent="0.2">
      <c r="A3387" t="s">
        <v>50</v>
      </c>
      <c r="B3387" s="3">
        <v>1.2876677795875375E-6</v>
      </c>
      <c r="D3387" t="s">
        <v>14</v>
      </c>
      <c r="E3387" t="s">
        <v>9</v>
      </c>
      <c r="F3387" s="2" t="s">
        <v>15</v>
      </c>
      <c r="H3387" s="2"/>
    </row>
    <row r="3388" spans="1:12" customFormat="1" ht="16" x14ac:dyDescent="0.2">
      <c r="A3388" t="s">
        <v>51</v>
      </c>
      <c r="B3388" s="3">
        <v>2.4210190597681178E-6</v>
      </c>
      <c r="D3388" t="s">
        <v>14</v>
      </c>
      <c r="E3388" t="s">
        <v>9</v>
      </c>
      <c r="F3388" s="2" t="s">
        <v>15</v>
      </c>
      <c r="H3388" s="2"/>
    </row>
    <row r="3389" spans="1:12" customFormat="1" ht="16" x14ac:dyDescent="0.2">
      <c r="A3389" t="s">
        <v>52</v>
      </c>
      <c r="B3389" s="3">
        <v>2.3474178403755876E-10</v>
      </c>
      <c r="D3389" t="s">
        <v>14</v>
      </c>
      <c r="E3389" t="s">
        <v>9</v>
      </c>
      <c r="F3389" s="2" t="s">
        <v>15</v>
      </c>
      <c r="H3389" s="2"/>
    </row>
    <row r="3390" spans="1:12" customFormat="1" ht="16" x14ac:dyDescent="0.2">
      <c r="A3390" t="s">
        <v>53</v>
      </c>
      <c r="B3390" s="9">
        <f>3.15*B3376</f>
        <v>7.3943661971830985E-2</v>
      </c>
      <c r="D3390" t="s">
        <v>14</v>
      </c>
      <c r="E3390" t="s">
        <v>9</v>
      </c>
      <c r="F3390" s="2" t="s">
        <v>15</v>
      </c>
      <c r="H3390" s="2"/>
    </row>
    <row r="3391" spans="1:12" customFormat="1" ht="16" x14ac:dyDescent="0.2">
      <c r="A3391" t="s">
        <v>54</v>
      </c>
      <c r="B3391" s="9">
        <v>1.2822587476495615E-4</v>
      </c>
      <c r="D3391" t="s">
        <v>14</v>
      </c>
      <c r="E3391" t="s">
        <v>9</v>
      </c>
      <c r="F3391" s="2" t="s">
        <v>15</v>
      </c>
      <c r="H3391" s="2"/>
    </row>
    <row r="3392" spans="1:12" customFormat="1" ht="16" x14ac:dyDescent="0.2">
      <c r="A3392" t="s">
        <v>55</v>
      </c>
      <c r="B3392" s="3">
        <v>1.173708920187794E-9</v>
      </c>
      <c r="D3392" t="s">
        <v>14</v>
      </c>
      <c r="E3392" t="s">
        <v>9</v>
      </c>
      <c r="F3392" s="2" t="s">
        <v>15</v>
      </c>
      <c r="H3392" s="2"/>
    </row>
    <row r="3393" spans="1:8" customFormat="1" ht="16" x14ac:dyDescent="0.2">
      <c r="A3393" t="s">
        <v>56</v>
      </c>
      <c r="B3393" s="3">
        <v>2.3474178403755881E-12</v>
      </c>
      <c r="D3393" t="s">
        <v>14</v>
      </c>
      <c r="E3393" t="s">
        <v>9</v>
      </c>
      <c r="F3393" s="2" t="s">
        <v>15</v>
      </c>
      <c r="H3393" s="2"/>
    </row>
    <row r="3394" spans="1:8" customFormat="1" ht="16" x14ac:dyDescent="0.2">
      <c r="A3394" t="s">
        <v>57</v>
      </c>
      <c r="B3394" s="3">
        <v>3.9906103286384993E-8</v>
      </c>
      <c r="D3394" t="s">
        <v>14</v>
      </c>
      <c r="E3394" t="s">
        <v>9</v>
      </c>
      <c r="F3394" s="2" t="s">
        <v>15</v>
      </c>
      <c r="H3394" s="2"/>
    </row>
    <row r="3395" spans="1:8" customFormat="1" ht="16" x14ac:dyDescent="0.2">
      <c r="A3395" t="s">
        <v>150</v>
      </c>
      <c r="B3395" s="3">
        <v>9.7553481893140337E-8</v>
      </c>
      <c r="D3395" t="s">
        <v>14</v>
      </c>
      <c r="E3395" t="s">
        <v>9</v>
      </c>
      <c r="F3395" s="2" t="s">
        <v>15</v>
      </c>
      <c r="H3395" s="2"/>
    </row>
    <row r="3396" spans="1:8" customFormat="1" ht="16" x14ac:dyDescent="0.2">
      <c r="A3396" t="s">
        <v>58</v>
      </c>
      <c r="B3396" s="3">
        <v>3.0516431924882642E-6</v>
      </c>
      <c r="D3396" t="s">
        <v>14</v>
      </c>
      <c r="E3396" t="s">
        <v>9</v>
      </c>
      <c r="F3396" s="2" t="s">
        <v>15</v>
      </c>
      <c r="H3396" s="2"/>
    </row>
    <row r="3397" spans="1:8" customFormat="1" ht="16" x14ac:dyDescent="0.2">
      <c r="A3397" t="s">
        <v>59</v>
      </c>
      <c r="B3397" s="3">
        <v>3.738595604189168E-7</v>
      </c>
      <c r="D3397" t="s">
        <v>14</v>
      </c>
      <c r="E3397" t="s">
        <v>9</v>
      </c>
      <c r="F3397" s="2" t="s">
        <v>15</v>
      </c>
      <c r="H3397" s="2"/>
    </row>
    <row r="3398" spans="1:8" customFormat="1" ht="16" x14ac:dyDescent="0.2">
      <c r="A3398" t="s">
        <v>84</v>
      </c>
      <c r="B3398" s="3">
        <v>8.4158173387917866E-9</v>
      </c>
      <c r="D3398" t="s">
        <v>14</v>
      </c>
      <c r="E3398" t="s">
        <v>9</v>
      </c>
      <c r="F3398" s="2" t="s">
        <v>15</v>
      </c>
      <c r="H3398" s="2"/>
    </row>
    <row r="3399" spans="1:8" customFormat="1" ht="16" x14ac:dyDescent="0.2">
      <c r="A3399" t="s">
        <v>60</v>
      </c>
      <c r="B3399" s="3">
        <v>6.2458409966156062E-7</v>
      </c>
      <c r="D3399" t="s">
        <v>14</v>
      </c>
      <c r="E3399" t="s">
        <v>9</v>
      </c>
      <c r="F3399" s="2" t="s">
        <v>15</v>
      </c>
      <c r="H3399" s="2"/>
    </row>
    <row r="3400" spans="1:8" customFormat="1" ht="16" x14ac:dyDescent="0.2">
      <c r="A3400" t="s">
        <v>61</v>
      </c>
      <c r="B3400" s="3">
        <v>1.4547114129662022E-7</v>
      </c>
      <c r="D3400" t="s">
        <v>14</v>
      </c>
      <c r="E3400" t="s">
        <v>9</v>
      </c>
      <c r="F3400" s="2" t="s">
        <v>15</v>
      </c>
      <c r="H3400" s="2"/>
    </row>
    <row r="3401" spans="1:8" customFormat="1" ht="16" x14ac:dyDescent="0.2">
      <c r="A3401" t="s">
        <v>62</v>
      </c>
      <c r="B3401" s="3">
        <v>6.3317491509246337E-8</v>
      </c>
      <c r="D3401" t="s">
        <v>14</v>
      </c>
      <c r="E3401" t="s">
        <v>9</v>
      </c>
      <c r="F3401" s="2" t="s">
        <v>15</v>
      </c>
      <c r="H3401" s="2"/>
    </row>
    <row r="3402" spans="1:8" customFormat="1" ht="16" x14ac:dyDescent="0.2">
      <c r="A3402" t="s">
        <v>85</v>
      </c>
      <c r="B3402" s="3">
        <v>1.3777122524373701E-7</v>
      </c>
      <c r="D3402" t="s">
        <v>14</v>
      </c>
      <c r="E3402" t="s">
        <v>9</v>
      </c>
      <c r="F3402" s="2" t="s">
        <v>15</v>
      </c>
      <c r="H3402" s="2"/>
    </row>
    <row r="3403" spans="1:8" customFormat="1" ht="16" x14ac:dyDescent="0.2">
      <c r="A3403" t="s">
        <v>63</v>
      </c>
      <c r="B3403" s="3">
        <v>3.5211267605633819E-11</v>
      </c>
      <c r="D3403" t="s">
        <v>14</v>
      </c>
      <c r="E3403" t="s">
        <v>9</v>
      </c>
      <c r="F3403" s="2" t="s">
        <v>15</v>
      </c>
      <c r="H3403" s="2"/>
    </row>
    <row r="3404" spans="1:8" customFormat="1" ht="16" x14ac:dyDescent="0.2">
      <c r="A3404" t="s">
        <v>64</v>
      </c>
      <c r="B3404" s="3">
        <v>1.6431924882629114E-12</v>
      </c>
      <c r="D3404" t="s">
        <v>14</v>
      </c>
      <c r="E3404" t="s">
        <v>9</v>
      </c>
      <c r="F3404" s="2" t="s">
        <v>15</v>
      </c>
      <c r="H3404" s="2"/>
    </row>
    <row r="3405" spans="1:8" customFormat="1" ht="16" x14ac:dyDescent="0.2">
      <c r="A3405" t="s">
        <v>65</v>
      </c>
      <c r="B3405" s="3">
        <v>5.7558463387048561E-6</v>
      </c>
      <c r="D3405" t="s">
        <v>14</v>
      </c>
      <c r="E3405" t="s">
        <v>9</v>
      </c>
      <c r="F3405" s="2" t="s">
        <v>15</v>
      </c>
      <c r="H3405" s="2"/>
    </row>
    <row r="3406" spans="1:8" customFormat="1" ht="16" x14ac:dyDescent="0.2">
      <c r="A3406" t="s">
        <v>66</v>
      </c>
      <c r="B3406" s="3">
        <v>4.2794987979867499E-9</v>
      </c>
      <c r="D3406" t="s">
        <v>14</v>
      </c>
      <c r="E3406" t="s">
        <v>9</v>
      </c>
      <c r="F3406" s="2" t="s">
        <v>15</v>
      </c>
      <c r="H3406" s="2"/>
    </row>
    <row r="3407" spans="1:8" customFormat="1" ht="16" x14ac:dyDescent="0.2">
      <c r="A3407" t="s">
        <v>67</v>
      </c>
      <c r="B3407" s="3">
        <v>2.1817489411000107E-5</v>
      </c>
      <c r="D3407" t="s">
        <v>14</v>
      </c>
      <c r="E3407" t="s">
        <v>9</v>
      </c>
      <c r="F3407" s="2" t="s">
        <v>15</v>
      </c>
      <c r="H3407" s="2"/>
    </row>
    <row r="3408" spans="1:8" customFormat="1" ht="16" x14ac:dyDescent="0.2">
      <c r="A3408" t="s">
        <v>68</v>
      </c>
      <c r="B3408" s="3">
        <v>1.6431924882629115E-9</v>
      </c>
      <c r="D3408" t="s">
        <v>14</v>
      </c>
      <c r="E3408" t="s">
        <v>9</v>
      </c>
      <c r="F3408" s="2" t="s">
        <v>15</v>
      </c>
      <c r="H3408" s="2"/>
    </row>
    <row r="3409" spans="1:8" customFormat="1" ht="16" x14ac:dyDescent="0.2">
      <c r="A3409" t="s">
        <v>69</v>
      </c>
      <c r="B3409" s="3">
        <f>B3371/1000</f>
        <v>9.9072039999999999E-6</v>
      </c>
      <c r="D3409" t="s">
        <v>14</v>
      </c>
      <c r="E3409" t="s">
        <v>9</v>
      </c>
      <c r="F3409" s="2" t="s">
        <v>15</v>
      </c>
      <c r="H3409" s="2"/>
    </row>
    <row r="3410" spans="1:8" customFormat="1" ht="16" x14ac:dyDescent="0.2">
      <c r="A3410" t="s">
        <v>70</v>
      </c>
      <c r="B3410" s="3">
        <v>8.1690140845070448E-10</v>
      </c>
      <c r="D3410" t="s">
        <v>14</v>
      </c>
      <c r="E3410" t="s">
        <v>9</v>
      </c>
      <c r="F3410" s="2" t="s">
        <v>15</v>
      </c>
      <c r="H3410" s="2"/>
    </row>
    <row r="3411" spans="1:8" customFormat="1" ht="16" x14ac:dyDescent="0.2">
      <c r="A3411" t="s">
        <v>71</v>
      </c>
      <c r="B3411" s="3">
        <f>B3372/1000</f>
        <v>1.43099E-7</v>
      </c>
      <c r="D3411" t="s">
        <v>14</v>
      </c>
      <c r="E3411" t="s">
        <v>9</v>
      </c>
      <c r="F3411" s="2" t="s">
        <v>15</v>
      </c>
      <c r="H3411" s="2"/>
    </row>
    <row r="3412" spans="1:8" customFormat="1" ht="16" x14ac:dyDescent="0.2">
      <c r="A3412" t="s">
        <v>72</v>
      </c>
      <c r="B3412" s="3">
        <v>2.7827878429139121E-6</v>
      </c>
      <c r="D3412" t="s">
        <v>14</v>
      </c>
      <c r="E3412" t="s">
        <v>9</v>
      </c>
      <c r="F3412" s="2" t="s">
        <v>15</v>
      </c>
      <c r="H3412" s="2"/>
    </row>
    <row r="3413" spans="1:8" customFormat="1" ht="16" x14ac:dyDescent="0.2">
      <c r="A3413" t="s">
        <v>73</v>
      </c>
      <c r="B3413" s="3">
        <v>1.789116858072825E-6</v>
      </c>
      <c r="D3413" t="s">
        <v>14</v>
      </c>
      <c r="E3413" t="s">
        <v>9</v>
      </c>
      <c r="F3413" s="2" t="s">
        <v>15</v>
      </c>
      <c r="H3413" s="2"/>
    </row>
    <row r="3414" spans="1:8" customFormat="1" ht="16" x14ac:dyDescent="0.2">
      <c r="A3414" t="s">
        <v>86</v>
      </c>
      <c r="B3414" s="3">
        <v>4.7122213530248159E-8</v>
      </c>
      <c r="D3414" t="s">
        <v>14</v>
      </c>
      <c r="E3414" t="s">
        <v>9</v>
      </c>
      <c r="F3414" s="2" t="s">
        <v>15</v>
      </c>
      <c r="H3414" s="2"/>
    </row>
    <row r="3415" spans="1:8" customFormat="1" ht="16" x14ac:dyDescent="0.2">
      <c r="A3415" t="s">
        <v>74</v>
      </c>
      <c r="B3415" s="3">
        <v>3.2676916472359795E-7</v>
      </c>
      <c r="D3415" t="s">
        <v>14</v>
      </c>
      <c r="E3415" t="s">
        <v>9</v>
      </c>
      <c r="F3415" s="2" t="s">
        <v>15</v>
      </c>
      <c r="H3415" s="2"/>
    </row>
    <row r="3416" spans="1:8" customFormat="1" ht="16" x14ac:dyDescent="0.2">
      <c r="A3416" t="s">
        <v>75</v>
      </c>
      <c r="B3416" s="3">
        <v>2.3474178403755876E-10</v>
      </c>
      <c r="D3416" t="s">
        <v>14</v>
      </c>
      <c r="E3416" t="s">
        <v>9</v>
      </c>
      <c r="F3416" s="2" t="s">
        <v>15</v>
      </c>
      <c r="H3416" s="2"/>
    </row>
    <row r="3417" spans="1:8" customFormat="1" ht="16" x14ac:dyDescent="0.2">
      <c r="A3417" t="s">
        <v>76</v>
      </c>
      <c r="B3417" s="3">
        <v>8.6417239667896019E-8</v>
      </c>
      <c r="D3417" t="s">
        <v>14</v>
      </c>
      <c r="E3417" t="s">
        <v>9</v>
      </c>
      <c r="F3417" s="2" t="s">
        <v>15</v>
      </c>
      <c r="H3417" s="2"/>
    </row>
    <row r="3418" spans="1:8" customFormat="1" ht="16" x14ac:dyDescent="0.2">
      <c r="A3418" t="s">
        <v>77</v>
      </c>
      <c r="B3418" s="3">
        <v>4.6948356807511755E-7</v>
      </c>
      <c r="D3418" t="s">
        <v>14</v>
      </c>
      <c r="E3418" t="s">
        <v>9</v>
      </c>
      <c r="F3418" s="2" t="s">
        <v>15</v>
      </c>
      <c r="H3418" s="2"/>
    </row>
    <row r="3419" spans="1:8" customFormat="1" ht="16" x14ac:dyDescent="0.2">
      <c r="A3419" t="s">
        <v>78</v>
      </c>
      <c r="B3419" s="3">
        <v>2.4137009577343855E-6</v>
      </c>
      <c r="D3419" t="s">
        <v>14</v>
      </c>
      <c r="E3419" t="s">
        <v>9</v>
      </c>
      <c r="F3419" s="2" t="s">
        <v>15</v>
      </c>
      <c r="H3419" s="2"/>
    </row>
    <row r="3420" spans="1:8" customFormat="1" ht="16" x14ac:dyDescent="0.2">
      <c r="A3420" t="s">
        <v>79</v>
      </c>
      <c r="B3420" s="3">
        <v>2.3474178403755879E-8</v>
      </c>
      <c r="D3420" t="s">
        <v>14</v>
      </c>
      <c r="E3420" t="s">
        <v>9</v>
      </c>
      <c r="F3420" s="2" t="s">
        <v>15</v>
      </c>
      <c r="H3420" s="2"/>
    </row>
    <row r="3421" spans="1:8" customFormat="1" ht="16" x14ac:dyDescent="0.2">
      <c r="A3421" t="s">
        <v>80</v>
      </c>
      <c r="B3421" s="3">
        <v>1.0417159155842839E-6</v>
      </c>
      <c r="D3421" t="s">
        <v>14</v>
      </c>
      <c r="E3421" t="s">
        <v>9</v>
      </c>
      <c r="F3421" s="2" t="s">
        <v>15</v>
      </c>
      <c r="H3421" s="2"/>
    </row>
    <row r="3422" spans="1:8" customFormat="1" ht="16" x14ac:dyDescent="0.2">
      <c r="A3422" t="s">
        <v>81</v>
      </c>
      <c r="B3422" s="3">
        <v>2.4967455068997787E-7</v>
      </c>
      <c r="D3422" t="s">
        <v>14</v>
      </c>
      <c r="E3422" t="s">
        <v>9</v>
      </c>
      <c r="F3422" s="2" t="s">
        <v>15</v>
      </c>
      <c r="H3422" s="2"/>
    </row>
    <row r="3423" spans="1:8" customFormat="1" ht="16" x14ac:dyDescent="0.2"/>
    <row r="3424" spans="1:8" x14ac:dyDescent="0.2">
      <c r="A3424" s="17" t="s">
        <v>2</v>
      </c>
      <c r="B3424" s="17" t="s">
        <v>139</v>
      </c>
    </row>
    <row r="3425" spans="1:12" customFormat="1" ht="16" x14ac:dyDescent="0.2">
      <c r="A3425" s="2" t="s">
        <v>3</v>
      </c>
      <c r="B3425" s="2" t="s">
        <v>18</v>
      </c>
      <c r="C3425" s="2"/>
      <c r="D3425" s="2"/>
      <c r="E3425" s="2"/>
      <c r="F3425" s="2"/>
      <c r="G3425" s="2"/>
      <c r="H3425" s="2"/>
      <c r="I3425" s="2"/>
      <c r="J3425" s="2"/>
      <c r="K3425" s="2"/>
      <c r="L3425" s="2"/>
    </row>
    <row r="3426" spans="1:12" customFormat="1" ht="16" x14ac:dyDescent="0.2">
      <c r="A3426" t="s">
        <v>151</v>
      </c>
      <c r="B3426" t="s">
        <v>178</v>
      </c>
      <c r="C3426" s="2"/>
      <c r="D3426" s="2"/>
      <c r="E3426" s="2"/>
      <c r="F3426" s="2"/>
      <c r="G3426" s="2"/>
      <c r="H3426" s="2"/>
      <c r="I3426" s="2"/>
      <c r="J3426" s="2"/>
      <c r="K3426" s="2"/>
      <c r="L3426" s="2"/>
    </row>
    <row r="3427" spans="1:12" customFormat="1" ht="16" x14ac:dyDescent="0.2">
      <c r="A3427" s="2" t="s">
        <v>4</v>
      </c>
      <c r="B3427" s="2">
        <v>1</v>
      </c>
      <c r="C3427" s="2"/>
      <c r="D3427" s="2"/>
      <c r="E3427" s="2"/>
      <c r="F3427" s="2"/>
      <c r="G3427" s="2"/>
      <c r="H3427" s="2"/>
      <c r="I3427" s="2"/>
      <c r="J3427" s="2"/>
      <c r="K3427" s="2"/>
      <c r="L3427" s="2"/>
    </row>
    <row r="3428" spans="1:12" customFormat="1" ht="16" x14ac:dyDescent="0.2">
      <c r="A3428" s="2" t="s">
        <v>5</v>
      </c>
      <c r="B3428" s="2" t="s">
        <v>142</v>
      </c>
      <c r="C3428" s="2"/>
      <c r="D3428" s="2"/>
      <c r="E3428" s="2"/>
      <c r="F3428" s="2"/>
      <c r="G3428" s="2"/>
      <c r="H3428" s="2"/>
      <c r="I3428" s="2"/>
      <c r="J3428" s="2"/>
    </row>
    <row r="3429" spans="1:12" customFormat="1" ht="16" x14ac:dyDescent="0.2">
      <c r="A3429" s="2" t="s">
        <v>6</v>
      </c>
      <c r="B3429" s="2" t="s">
        <v>7</v>
      </c>
      <c r="C3429" s="2"/>
      <c r="D3429" s="2"/>
      <c r="E3429" s="2"/>
      <c r="F3429" s="2"/>
      <c r="G3429" s="2"/>
      <c r="H3429" s="2"/>
      <c r="I3429" s="2"/>
      <c r="J3429" s="2"/>
      <c r="K3429" s="2"/>
      <c r="L3429" s="2"/>
    </row>
    <row r="3430" spans="1:12" customFormat="1" ht="16" x14ac:dyDescent="0.2">
      <c r="A3430" s="2" t="s">
        <v>8</v>
      </c>
      <c r="B3430" s="2" t="s">
        <v>17</v>
      </c>
      <c r="C3430" s="2"/>
      <c r="D3430" s="2"/>
      <c r="E3430" s="2"/>
      <c r="F3430" s="2"/>
      <c r="G3430" s="2"/>
      <c r="H3430" s="2"/>
      <c r="I3430" s="2"/>
      <c r="J3430" s="2"/>
      <c r="K3430" s="2"/>
      <c r="L3430" s="2"/>
    </row>
    <row r="3431" spans="1:12" customFormat="1" ht="16" x14ac:dyDescent="0.2">
      <c r="A3431" t="s">
        <v>352</v>
      </c>
      <c r="B3431" s="2">
        <f>INDEX(Parameters!$B$6:$AL$57,MATCH(Inventories!$B$3424,Parameters!$A$6:$A$57,0),MATCH(Inventories!$A3431,Parameters!$B$4:$AL$4,0))</f>
        <v>141</v>
      </c>
      <c r="C3431" t="s">
        <v>312</v>
      </c>
      <c r="D3431" s="2"/>
      <c r="E3431" s="2"/>
      <c r="F3431" s="2"/>
      <c r="G3431" s="2"/>
      <c r="H3431" s="2"/>
      <c r="I3431" s="2"/>
      <c r="J3431" s="2"/>
      <c r="K3431" s="2"/>
      <c r="L3431" s="2"/>
    </row>
    <row r="3432" spans="1:12" customFormat="1" ht="16" x14ac:dyDescent="0.2">
      <c r="A3432" t="s">
        <v>353</v>
      </c>
      <c r="B3432" s="2">
        <f>INDEX(Parameters!$B$6:$AL$57,MATCH(Inventories!$B$3424,Parameters!$A$6:$A$57,0),MATCH(Inventories!$A3432,Parameters!$B$4:$AL$4,0))</f>
        <v>57</v>
      </c>
      <c r="C3432" t="s">
        <v>312</v>
      </c>
      <c r="D3432" s="2"/>
      <c r="E3432" s="2"/>
      <c r="F3432" s="2"/>
      <c r="G3432" s="2"/>
      <c r="H3432" s="2"/>
      <c r="I3432" s="2"/>
      <c r="J3432" s="2"/>
      <c r="K3432" s="2"/>
      <c r="L3432" s="2"/>
    </row>
    <row r="3433" spans="1:12" customFormat="1" ht="16" x14ac:dyDescent="0.2">
      <c r="A3433" t="s">
        <v>354</v>
      </c>
      <c r="B3433" s="2">
        <f>INDEX(Parameters!$B$6:$AL$57,MATCH(Inventories!$B$3424,Parameters!$A$6:$A$57,0),MATCH(Inventories!$A3433,Parameters!$B$4:$AL$4,0))</f>
        <v>166</v>
      </c>
      <c r="C3433" t="s">
        <v>312</v>
      </c>
      <c r="D3433" s="2"/>
      <c r="E3433" s="2"/>
      <c r="F3433" s="2"/>
      <c r="G3433" s="2"/>
      <c r="H3433" s="2"/>
      <c r="I3433" s="2"/>
      <c r="J3433" s="2"/>
      <c r="K3433" s="2"/>
      <c r="L3433" s="2"/>
    </row>
    <row r="3434" spans="1:12" customFormat="1" ht="16" x14ac:dyDescent="0.2">
      <c r="A3434" t="s">
        <v>316</v>
      </c>
      <c r="B3434" s="24">
        <f>INDEX(Parameters!$B$6:$AL$57,MATCH(Inventories!$B$3424,Parameters!$A$6:$A$57,0),MATCH(Inventories!$A3434,Parameters!$B$4:$AL$4,0))</f>
        <v>200000</v>
      </c>
      <c r="C3434" t="s">
        <v>313</v>
      </c>
      <c r="D3434" s="2"/>
      <c r="E3434" s="2"/>
      <c r="F3434" s="2"/>
      <c r="G3434" s="2"/>
      <c r="H3434" s="2"/>
      <c r="I3434" s="2"/>
      <c r="J3434" s="2"/>
      <c r="K3434" s="2"/>
      <c r="L3434" s="2"/>
    </row>
    <row r="3435" spans="1:12" customFormat="1" ht="16" x14ac:dyDescent="0.2">
      <c r="A3435" t="s">
        <v>317</v>
      </c>
      <c r="B3435" s="24">
        <f>INDEX(Parameters!$B$6:$AL$57,MATCH(Inventories!$B$3424,Parameters!$A$6:$A$57,0),MATCH(Inventories!$A3435,Parameters!$B$4:$AL$4,0))</f>
        <v>160000</v>
      </c>
      <c r="C3435" t="s">
        <v>313</v>
      </c>
      <c r="D3435" s="2"/>
      <c r="E3435" s="2"/>
      <c r="F3435" s="2"/>
      <c r="G3435" s="2"/>
      <c r="H3435" s="2"/>
      <c r="I3435" s="2"/>
      <c r="J3435" s="2"/>
      <c r="K3435" s="2"/>
      <c r="L3435" s="2"/>
    </row>
    <row r="3436" spans="1:12" customFormat="1" ht="16" x14ac:dyDescent="0.2">
      <c r="A3436" t="s">
        <v>318</v>
      </c>
      <c r="B3436" s="24">
        <f>INDEX(Parameters!$B$6:$AL$57,MATCH(Inventories!$B$3424,Parameters!$A$6:$A$57,0),MATCH(Inventories!$A3436,Parameters!$B$4:$AL$4,0))</f>
        <v>250000</v>
      </c>
      <c r="C3436" t="s">
        <v>313</v>
      </c>
      <c r="D3436" s="2"/>
      <c r="E3436" s="2"/>
      <c r="F3436" s="2"/>
      <c r="G3436" s="2"/>
      <c r="H3436" s="2"/>
      <c r="I3436" s="2"/>
      <c r="J3436" s="2"/>
      <c r="K3436" s="2"/>
      <c r="L3436" s="2"/>
    </row>
    <row r="3437" spans="1:12" customFormat="1" ht="16" x14ac:dyDescent="0.2">
      <c r="A3437" t="s">
        <v>319</v>
      </c>
      <c r="B3437" s="2">
        <f>INDEX(Parameters!$B$6:$AL$57,MATCH(Inventories!$B$3424,Parameters!$A$6:$A$57,0),MATCH(Inventories!$A3437,Parameters!$B$4:$AL$4,0))</f>
        <v>610</v>
      </c>
      <c r="C3437" t="s">
        <v>314</v>
      </c>
      <c r="D3437" s="2"/>
      <c r="E3437" s="2"/>
      <c r="F3437" s="2"/>
      <c r="G3437" s="2"/>
      <c r="H3437" s="2"/>
      <c r="I3437" s="2"/>
      <c r="J3437" s="2"/>
      <c r="K3437" s="2"/>
      <c r="L3437" s="2"/>
    </row>
    <row r="3438" spans="1:12" customFormat="1" ht="16" x14ac:dyDescent="0.2">
      <c r="A3438" t="s">
        <v>320</v>
      </c>
      <c r="B3438" s="2">
        <f>INDEX(Parameters!$B$6:$AL$57,MATCH(Inventories!$B$3424,Parameters!$A$6:$A$57,0),MATCH(Inventories!$A3438,Parameters!$B$4:$AL$4,0))</f>
        <v>530</v>
      </c>
      <c r="C3438" t="s">
        <v>314</v>
      </c>
      <c r="D3438" s="2"/>
      <c r="E3438" s="2"/>
      <c r="F3438" s="2"/>
      <c r="G3438" s="2"/>
      <c r="H3438" s="2"/>
      <c r="I3438" s="2"/>
      <c r="J3438" s="2"/>
      <c r="K3438" s="2"/>
      <c r="L3438" s="2"/>
    </row>
    <row r="3439" spans="1:12" customFormat="1" ht="16" x14ac:dyDescent="0.2">
      <c r="A3439" t="s">
        <v>321</v>
      </c>
      <c r="B3439" s="2">
        <f>INDEX(Parameters!$B$6:$AL$57,MATCH(Inventories!$B$3424,Parameters!$A$6:$A$57,0),MATCH(Inventories!$A3439,Parameters!$B$4:$AL$4,0))</f>
        <v>900</v>
      </c>
      <c r="C3439" t="s">
        <v>314</v>
      </c>
      <c r="D3439" s="2"/>
      <c r="E3439" s="2"/>
      <c r="F3439" s="2"/>
      <c r="G3439" s="2"/>
      <c r="H3439" s="2"/>
      <c r="I3439" s="2"/>
      <c r="J3439" s="2"/>
      <c r="K3439" s="2"/>
      <c r="L3439" s="2"/>
    </row>
    <row r="3440" spans="1:12" customFormat="1" ht="16" x14ac:dyDescent="0.2">
      <c r="A3440" t="s">
        <v>337</v>
      </c>
      <c r="B3440" s="2">
        <f>INDEX(Parameters!$B$6:$AL$57,MATCH(Inventories!$B$3424,Parameters!$A$6:$A$57,0),MATCH(Inventories!$A3440,Parameters!$B$4:$AL$4,0))</f>
        <v>90</v>
      </c>
      <c r="C3440" t="s">
        <v>336</v>
      </c>
      <c r="D3440" s="2"/>
      <c r="E3440" s="2"/>
      <c r="F3440" s="2"/>
      <c r="G3440" s="2"/>
      <c r="H3440" s="2"/>
      <c r="I3440" s="2"/>
      <c r="J3440" s="2"/>
      <c r="K3440" s="2"/>
      <c r="L3440" s="2"/>
    </row>
    <row r="3441" spans="1:12" customFormat="1" ht="16" x14ac:dyDescent="0.2">
      <c r="A3441" t="s">
        <v>338</v>
      </c>
      <c r="B3441" s="2">
        <f>INDEX(Parameters!$B$6:$AL$57,MATCH(Inventories!$B$3424,Parameters!$A$6:$A$57,0),MATCH(Inventories!$A3441,Parameters!$B$4:$AL$4,0))</f>
        <v>47</v>
      </c>
      <c r="C3441" t="s">
        <v>336</v>
      </c>
      <c r="D3441" s="2"/>
      <c r="E3441" s="2"/>
      <c r="F3441" s="2"/>
      <c r="G3441" s="2"/>
      <c r="H3441" s="2"/>
      <c r="I3441" s="2"/>
      <c r="J3441" s="2"/>
      <c r="K3441" s="2"/>
      <c r="L3441" s="2"/>
    </row>
    <row r="3442" spans="1:12" customFormat="1" ht="16" x14ac:dyDescent="0.2">
      <c r="A3442" t="s">
        <v>339</v>
      </c>
      <c r="B3442" s="2">
        <f>INDEX(Parameters!$B$6:$AL$57,MATCH(Inventories!$B$3424,Parameters!$A$6:$A$57,0),MATCH(Inventories!$A3442,Parameters!$B$4:$AL$4,0))</f>
        <v>102</v>
      </c>
      <c r="C3442" t="s">
        <v>336</v>
      </c>
      <c r="D3442" s="2"/>
      <c r="E3442" s="2"/>
      <c r="F3442" s="2"/>
      <c r="G3442" s="2"/>
      <c r="H3442" s="2"/>
      <c r="I3442" s="2"/>
      <c r="J3442" s="2"/>
      <c r="K3442" s="2"/>
      <c r="L3442" s="2"/>
    </row>
    <row r="3443" spans="1:12" customFormat="1" ht="16" x14ac:dyDescent="0.2">
      <c r="A3443" t="s">
        <v>340</v>
      </c>
      <c r="B3443" s="2">
        <f>INDEX(Parameters!$B$6:$AL$57,MATCH(Inventories!$B$3424,Parameters!$A$6:$A$57,0),MATCH(Inventories!$A3443,Parameters!$B$4:$AL$4,0))</f>
        <v>0</v>
      </c>
      <c r="C3443" t="s">
        <v>336</v>
      </c>
      <c r="D3443" s="2"/>
      <c r="E3443" s="2"/>
      <c r="F3443" s="2"/>
      <c r="G3443" s="2"/>
      <c r="H3443" s="2"/>
      <c r="I3443" s="2"/>
      <c r="J3443" s="2"/>
      <c r="K3443" s="2"/>
      <c r="L3443" s="2"/>
    </row>
    <row r="3444" spans="1:12" customFormat="1" ht="16" x14ac:dyDescent="0.2">
      <c r="A3444" t="s">
        <v>341</v>
      </c>
      <c r="B3444" s="2">
        <f>INDEX(Parameters!$B$6:$AL$57,MATCH(Inventories!$B$3424,Parameters!$A$6:$A$57,0),MATCH(Inventories!$A3444,Parameters!$B$4:$AL$4,0))</f>
        <v>0</v>
      </c>
      <c r="C3444" t="s">
        <v>336</v>
      </c>
      <c r="D3444" s="2"/>
      <c r="E3444" s="2"/>
      <c r="F3444" s="2"/>
      <c r="G3444" s="2"/>
      <c r="H3444" s="2"/>
      <c r="I3444" s="2"/>
      <c r="J3444" s="2"/>
      <c r="K3444" s="2"/>
      <c r="L3444" s="2"/>
    </row>
    <row r="3445" spans="1:12" customFormat="1" ht="16" x14ac:dyDescent="0.2">
      <c r="A3445" t="s">
        <v>342</v>
      </c>
      <c r="B3445" s="2">
        <f>INDEX(Parameters!$B$6:$AL$57,MATCH(Inventories!$B$3424,Parameters!$A$6:$A$57,0),MATCH(Inventories!$A3445,Parameters!$B$4:$AL$4,0))</f>
        <v>0</v>
      </c>
      <c r="C3445" t="s">
        <v>336</v>
      </c>
      <c r="D3445" s="2"/>
      <c r="E3445" s="2"/>
      <c r="F3445" s="2"/>
      <c r="G3445" s="2"/>
      <c r="H3445" s="2"/>
      <c r="I3445" s="2"/>
      <c r="J3445" s="2"/>
      <c r="K3445" s="2"/>
      <c r="L3445" s="2"/>
    </row>
    <row r="3446" spans="1:12" customFormat="1" ht="16" x14ac:dyDescent="0.2">
      <c r="A3446" t="s">
        <v>333</v>
      </c>
      <c r="B3446" s="2">
        <f>INDEX(Parameters!$B$6:$AL$57,MATCH(Inventories!$B$3424,Parameters!$A$6:$A$57,0),MATCH(Inventories!$A3446,Parameters!$B$4:$AL$4,0))</f>
        <v>0</v>
      </c>
      <c r="C3446" t="s">
        <v>336</v>
      </c>
      <c r="D3446" s="2"/>
      <c r="E3446" s="2"/>
      <c r="F3446" s="2"/>
      <c r="G3446" s="2"/>
      <c r="H3446" s="2"/>
      <c r="I3446" s="2"/>
      <c r="J3446" s="2"/>
      <c r="K3446" s="2"/>
      <c r="L3446" s="2"/>
    </row>
    <row r="3447" spans="1:12" customFormat="1" ht="16" x14ac:dyDescent="0.2">
      <c r="A3447" t="s">
        <v>334</v>
      </c>
      <c r="B3447" s="2">
        <f>INDEX(Parameters!$B$6:$AL$57,MATCH(Inventories!$B$3424,Parameters!$A$6:$A$57,0),MATCH(Inventories!$A3447,Parameters!$B$4:$AL$4,0))</f>
        <v>0</v>
      </c>
      <c r="C3447" t="s">
        <v>336</v>
      </c>
      <c r="D3447" s="2"/>
      <c r="E3447" s="2"/>
      <c r="F3447" s="2"/>
      <c r="G3447" s="2"/>
      <c r="H3447" s="2"/>
      <c r="I3447" s="2"/>
      <c r="J3447" s="2"/>
      <c r="K3447" s="2"/>
      <c r="L3447" s="2"/>
    </row>
    <row r="3448" spans="1:12" customFormat="1" ht="16" x14ac:dyDescent="0.2">
      <c r="A3448" t="s">
        <v>335</v>
      </c>
      <c r="B3448" s="2">
        <f>INDEX(Parameters!$B$6:$AL$57,MATCH(Inventories!$B$3424,Parameters!$A$6:$A$57,0),MATCH(Inventories!$A3448,Parameters!$B$4:$AL$4,0))</f>
        <v>0</v>
      </c>
      <c r="C3448" t="s">
        <v>336</v>
      </c>
      <c r="D3448" s="2"/>
      <c r="E3448" s="2"/>
      <c r="F3448" s="2"/>
      <c r="G3448" s="2"/>
      <c r="H3448" s="2"/>
      <c r="I3448" s="2"/>
      <c r="J3448" s="2"/>
      <c r="K3448" s="2"/>
      <c r="L3448" s="2"/>
    </row>
    <row r="3449" spans="1:12" customFormat="1" ht="16" x14ac:dyDescent="0.2">
      <c r="A3449" t="s">
        <v>322</v>
      </c>
      <c r="B3449" s="2">
        <f>INDEX(Parameters!$B$6:$AL$57,MATCH(Inventories!$B$3424,Parameters!$A$6:$A$57,0),MATCH(Inventories!$A3449,Parameters!$B$4:$AL$4,0))</f>
        <v>67</v>
      </c>
      <c r="C3449" t="s">
        <v>315</v>
      </c>
      <c r="D3449" s="2"/>
      <c r="E3449" s="2"/>
      <c r="F3449" s="2"/>
      <c r="G3449" s="2"/>
      <c r="H3449" s="2"/>
      <c r="I3449" s="2"/>
      <c r="J3449" s="2"/>
      <c r="K3449" s="2"/>
      <c r="L3449" s="2"/>
    </row>
    <row r="3450" spans="1:12" customFormat="1" ht="16" x14ac:dyDescent="0.2">
      <c r="A3450" t="s">
        <v>323</v>
      </c>
      <c r="B3450" s="2">
        <f>INDEX(Parameters!$B$6:$AL$57,MATCH(Inventories!$B$3424,Parameters!$A$6:$A$57,0),MATCH(Inventories!$A3450,Parameters!$B$4:$AL$4,0))</f>
        <v>48</v>
      </c>
      <c r="C3450" t="s">
        <v>315</v>
      </c>
      <c r="D3450" s="2"/>
      <c r="E3450" s="2"/>
      <c r="F3450" s="2"/>
      <c r="G3450" s="2"/>
      <c r="H3450" s="2"/>
      <c r="I3450" s="2"/>
      <c r="J3450" s="2"/>
      <c r="K3450" s="2"/>
      <c r="L3450" s="2"/>
    </row>
    <row r="3451" spans="1:12" customFormat="1" ht="16" x14ac:dyDescent="0.2">
      <c r="A3451" t="s">
        <v>324</v>
      </c>
      <c r="B3451" s="2">
        <f>INDEX(Parameters!$B$6:$AL$57,MATCH(Inventories!$B$3424,Parameters!$A$6:$A$57,0),MATCH(Inventories!$A3451,Parameters!$B$4:$AL$4,0))</f>
        <v>110</v>
      </c>
      <c r="C3451" t="s">
        <v>315</v>
      </c>
      <c r="D3451" s="2"/>
      <c r="E3451" s="2"/>
      <c r="F3451" s="2"/>
      <c r="G3451" s="2"/>
      <c r="H3451" s="2"/>
      <c r="I3451" s="2"/>
      <c r="J3451" s="2"/>
      <c r="K3451" s="2"/>
      <c r="L3451" s="2"/>
    </row>
    <row r="3452" spans="1:12" customFormat="1" ht="16" x14ac:dyDescent="0.2">
      <c r="A3452" t="s">
        <v>330</v>
      </c>
      <c r="B3452" s="2">
        <f>INDEX(Parameters!$B$6:$AL$57,MATCH(Inventories!$B$3424,Parameters!$A$6:$A$57,0),MATCH(Inventories!$A3452,Parameters!$B$4:$AL$4,0))</f>
        <v>0</v>
      </c>
      <c r="C3452" t="s">
        <v>8</v>
      </c>
      <c r="D3452" s="2"/>
      <c r="E3452" s="2"/>
      <c r="F3452" s="2"/>
      <c r="G3452" s="2"/>
      <c r="H3452" s="2"/>
      <c r="I3452" s="2"/>
      <c r="J3452" s="2"/>
      <c r="K3452" s="2"/>
      <c r="L3452" s="2"/>
    </row>
    <row r="3453" spans="1:12" customFormat="1" ht="16" x14ac:dyDescent="0.2">
      <c r="A3453" t="s">
        <v>331</v>
      </c>
      <c r="B3453" s="2">
        <f>INDEX(Parameters!$B$6:$AL$57,MATCH(Inventories!$B$3424,Parameters!$A$6:$A$57,0),MATCH(Inventories!$A3453,Parameters!$B$4:$AL$4,0))</f>
        <v>0</v>
      </c>
      <c r="C3453" t="s">
        <v>8</v>
      </c>
      <c r="D3453" s="2"/>
      <c r="E3453" s="2"/>
      <c r="F3453" s="2"/>
      <c r="G3453" s="2"/>
      <c r="H3453" s="2"/>
      <c r="I3453" s="2"/>
      <c r="J3453" s="2"/>
      <c r="K3453" s="2"/>
      <c r="L3453" s="2"/>
    </row>
    <row r="3454" spans="1:12" customFormat="1" ht="16" x14ac:dyDescent="0.2">
      <c r="A3454" t="s">
        <v>332</v>
      </c>
      <c r="B3454" s="2">
        <f>INDEX(Parameters!$B$6:$AL$57,MATCH(Inventories!$B$3424,Parameters!$A$6:$A$57,0),MATCH(Inventories!$A3454,Parameters!$B$4:$AL$4,0))</f>
        <v>0</v>
      </c>
      <c r="C3454" t="s">
        <v>8</v>
      </c>
      <c r="D3454" s="2"/>
      <c r="E3454" s="2"/>
      <c r="F3454" s="2"/>
      <c r="G3454" s="2"/>
      <c r="H3454" s="2"/>
      <c r="I3454" s="2"/>
      <c r="J3454" s="2"/>
      <c r="K3454" s="2"/>
      <c r="L3454" s="2"/>
    </row>
    <row r="3455" spans="1:12" customFormat="1" ht="16" x14ac:dyDescent="0.2">
      <c r="A3455" t="s">
        <v>346</v>
      </c>
      <c r="B3455" s="2">
        <f>INDEX(Parameters!$B$6:$AL$57,MATCH(Inventories!$B$3424,Parameters!$A$6:$A$57,0),MATCH(Inventories!$A3455,Parameters!$B$4:$AL$4,0))</f>
        <v>0</v>
      </c>
      <c r="C3455" t="s">
        <v>312</v>
      </c>
      <c r="D3455" s="2"/>
      <c r="E3455" s="2"/>
      <c r="F3455" s="2"/>
      <c r="G3455" s="2"/>
      <c r="H3455" s="2"/>
      <c r="I3455" s="2"/>
      <c r="J3455" s="2"/>
      <c r="K3455" s="2"/>
      <c r="L3455" s="2"/>
    </row>
    <row r="3456" spans="1:12" customFormat="1" ht="16" x14ac:dyDescent="0.2">
      <c r="A3456" t="s">
        <v>347</v>
      </c>
      <c r="B3456" s="2">
        <f>INDEX(Parameters!$B$6:$AL$57,MATCH(Inventories!$B$3424,Parameters!$A$6:$A$57,0),MATCH(Inventories!$A3456,Parameters!$B$4:$AL$4,0))</f>
        <v>0</v>
      </c>
      <c r="C3456" t="s">
        <v>312</v>
      </c>
      <c r="D3456" s="2"/>
      <c r="E3456" s="12"/>
      <c r="F3456" s="2"/>
      <c r="G3456" s="2"/>
      <c r="H3456" s="2"/>
      <c r="I3456" s="2"/>
      <c r="J3456" s="2"/>
      <c r="K3456" s="2"/>
      <c r="L3456" s="2"/>
    </row>
    <row r="3457" spans="1:12" customFormat="1" ht="16" x14ac:dyDescent="0.2">
      <c r="A3457" t="s">
        <v>348</v>
      </c>
      <c r="B3457" s="2">
        <f>INDEX(Parameters!$B$6:$AL$57,MATCH(Inventories!$B$3424,Parameters!$A$6:$A$57,0),MATCH(Inventories!$A3457,Parameters!$B$4:$AL$4,0))</f>
        <v>0</v>
      </c>
      <c r="C3457" t="s">
        <v>312</v>
      </c>
      <c r="D3457" s="2"/>
      <c r="E3457" s="2"/>
      <c r="F3457" s="2"/>
      <c r="G3457" s="2"/>
      <c r="H3457" s="2"/>
      <c r="I3457" s="2"/>
      <c r="J3457" s="2"/>
      <c r="K3457" s="2"/>
      <c r="L3457" s="2"/>
    </row>
    <row r="3458" spans="1:12" customFormat="1" ht="16" x14ac:dyDescent="0.2">
      <c r="A3458" t="s">
        <v>349</v>
      </c>
      <c r="B3458" s="2">
        <f>INDEX(Parameters!$B$6:$AL$57,MATCH(Inventories!$B$3424,Parameters!$A$6:$A$57,0),MATCH(Inventories!$A3458,Parameters!$B$4:$AL$4,0))</f>
        <v>0</v>
      </c>
      <c r="C3458" t="s">
        <v>8</v>
      </c>
      <c r="D3458" s="2"/>
      <c r="E3458" s="2"/>
      <c r="F3458" s="2"/>
      <c r="G3458" s="2"/>
      <c r="H3458" s="2"/>
      <c r="I3458" s="2"/>
      <c r="J3458" s="2"/>
      <c r="K3458" s="2"/>
      <c r="L3458" s="2"/>
    </row>
    <row r="3459" spans="1:12" customFormat="1" ht="16" x14ac:dyDescent="0.2">
      <c r="A3459" t="s">
        <v>350</v>
      </c>
      <c r="B3459" s="2">
        <f>INDEX(Parameters!$B$6:$AL$57,MATCH(Inventories!$B$3424,Parameters!$A$6:$A$57,0),MATCH(Inventories!$A3459,Parameters!$B$4:$AL$4,0))</f>
        <v>0</v>
      </c>
      <c r="C3459" t="s">
        <v>8</v>
      </c>
      <c r="D3459" s="2"/>
      <c r="E3459" s="2"/>
      <c r="F3459" s="2"/>
      <c r="G3459" s="2"/>
      <c r="H3459" s="2"/>
      <c r="I3459" s="2"/>
      <c r="J3459" s="2"/>
      <c r="K3459" s="2"/>
      <c r="L3459" s="2"/>
    </row>
    <row r="3460" spans="1:12" customFormat="1" ht="16" x14ac:dyDescent="0.2">
      <c r="A3460" t="s">
        <v>351</v>
      </c>
      <c r="B3460" s="2">
        <f>INDEX(Parameters!$B$6:$AL$57,MATCH(Inventories!$B$3424,Parameters!$A$6:$A$57,0),MATCH(Inventories!$A3460,Parameters!$B$4:$AL$4,0))</f>
        <v>0</v>
      </c>
      <c r="C3460" t="s">
        <v>8</v>
      </c>
      <c r="D3460" s="2"/>
      <c r="E3460" s="2"/>
      <c r="F3460" s="2"/>
      <c r="G3460" s="2"/>
      <c r="H3460" s="2"/>
      <c r="I3460" s="2"/>
      <c r="J3460" s="2"/>
      <c r="K3460" s="2"/>
      <c r="L3460" s="2"/>
    </row>
    <row r="3461" spans="1:12" customFormat="1" ht="16" x14ac:dyDescent="0.2">
      <c r="A3461" t="s">
        <v>365</v>
      </c>
      <c r="B3461" s="2">
        <f>INDEX(Parameters!$B$6:$AL$57,MATCH(Inventories!$B$3424,Parameters!$A$6:$A$57,0),MATCH(Inventories!$A3461,Parameters!$B$4:$AL$4,0))</f>
        <v>5</v>
      </c>
      <c r="C3461" t="s">
        <v>336</v>
      </c>
      <c r="D3461" s="2"/>
      <c r="E3461" s="2"/>
      <c r="F3461" s="2"/>
      <c r="G3461" s="2"/>
      <c r="H3461" s="2"/>
      <c r="I3461" s="2"/>
      <c r="J3461" s="2"/>
      <c r="K3461" s="2"/>
      <c r="L3461" s="2"/>
    </row>
    <row r="3462" spans="1:12" customFormat="1" ht="16" x14ac:dyDescent="0.2">
      <c r="A3462" t="s">
        <v>366</v>
      </c>
      <c r="B3462" s="2">
        <f>INDEX(Parameters!$B$6:$AL$57,MATCH(Inventories!$B$3424,Parameters!$A$6:$A$57,0),MATCH(Inventories!$A3462,Parameters!$B$4:$AL$4,0))</f>
        <v>3</v>
      </c>
      <c r="C3462" t="s">
        <v>336</v>
      </c>
      <c r="D3462" s="2"/>
      <c r="E3462" s="2"/>
      <c r="F3462" s="2"/>
      <c r="G3462" s="2"/>
      <c r="H3462" s="2"/>
      <c r="I3462" s="2"/>
      <c r="J3462" s="2"/>
      <c r="K3462" s="2"/>
      <c r="L3462" s="2"/>
    </row>
    <row r="3463" spans="1:12" customFormat="1" ht="16" x14ac:dyDescent="0.2">
      <c r="A3463" t="s">
        <v>367</v>
      </c>
      <c r="B3463" s="2">
        <f>INDEX(Parameters!$B$6:$AL$57,MATCH(Inventories!$B$3424,Parameters!$A$6:$A$57,0),MATCH(Inventories!$A3463,Parameters!$B$4:$AL$4,0))</f>
        <v>4</v>
      </c>
      <c r="C3463" t="s">
        <v>336</v>
      </c>
      <c r="D3463" s="2"/>
      <c r="E3463" s="2"/>
      <c r="F3463" s="2"/>
      <c r="G3463" s="2"/>
      <c r="H3463" s="2"/>
      <c r="I3463" s="2"/>
      <c r="J3463" s="2"/>
      <c r="K3463" s="2"/>
      <c r="L3463" s="2"/>
    </row>
    <row r="3464" spans="1:12" customFormat="1" ht="16" x14ac:dyDescent="0.2">
      <c r="A3464" t="s">
        <v>368</v>
      </c>
      <c r="B3464" s="2">
        <f>INDEX(Parameters!$B$6:$AL$57,MATCH(Inventories!$B$3424,Parameters!$A$6:$A$57,0),MATCH(Inventories!$A3464,Parameters!$B$4:$AL$4,0))</f>
        <v>0</v>
      </c>
      <c r="C3464" t="s">
        <v>336</v>
      </c>
      <c r="D3464" s="2"/>
      <c r="E3464" s="2"/>
      <c r="F3464" s="2"/>
      <c r="G3464" s="2"/>
      <c r="H3464" s="2"/>
      <c r="I3464" s="2"/>
      <c r="J3464" s="2"/>
      <c r="K3464" s="2"/>
      <c r="L3464" s="2"/>
    </row>
    <row r="3465" spans="1:12" customFormat="1" ht="16" x14ac:dyDescent="0.2">
      <c r="A3465" t="s">
        <v>369</v>
      </c>
      <c r="B3465" s="2">
        <f>INDEX(Parameters!$B$6:$AL$57,MATCH(Inventories!$B$3424,Parameters!$A$6:$A$57,0),MATCH(Inventories!$A3465,Parameters!$B$4:$AL$4,0))</f>
        <v>8</v>
      </c>
      <c r="C3465" t="s">
        <v>336</v>
      </c>
      <c r="D3465" s="2"/>
      <c r="E3465" s="2"/>
      <c r="F3465" s="2"/>
      <c r="G3465" s="2"/>
      <c r="H3465" s="2"/>
      <c r="I3465" s="2"/>
      <c r="J3465" s="2"/>
      <c r="K3465" s="2"/>
      <c r="L3465" s="2"/>
    </row>
    <row r="3466" spans="1:12" customFormat="1" ht="16" x14ac:dyDescent="0.2">
      <c r="A3466" t="s">
        <v>344</v>
      </c>
      <c r="B3466" s="12">
        <f>INDEX(Parameters!$B$6:$AL$57,MATCH(Inventories!$B$3424,Parameters!$A$6:$A$57,0),MATCH(Inventories!$A3466,Parameters!$B$4:$AL$4,0))</f>
        <v>0</v>
      </c>
      <c r="C3466" t="s">
        <v>345</v>
      </c>
      <c r="D3466" s="2"/>
      <c r="E3466" s="2"/>
      <c r="F3466" s="2"/>
      <c r="G3466" s="2"/>
      <c r="H3466" s="2"/>
      <c r="I3466" s="2"/>
      <c r="J3466" s="2"/>
      <c r="K3466" s="2"/>
      <c r="L3466" s="2"/>
    </row>
    <row r="3467" spans="1:12" customFormat="1" ht="16" x14ac:dyDescent="0.2">
      <c r="A3467" t="s">
        <v>343</v>
      </c>
      <c r="B3467" s="12">
        <f>INDEX(Parameters!$B$6:$AL$57,MATCH(Inventories!$B$3424,Parameters!$A$6:$A$57,0),MATCH(Inventories!$A3467,Parameters!$B$4:$AL$4,0))</f>
        <v>0</v>
      </c>
      <c r="C3467" t="s">
        <v>345</v>
      </c>
      <c r="D3467" s="2"/>
      <c r="E3467" s="2"/>
      <c r="F3467" s="2"/>
      <c r="G3467" s="2"/>
      <c r="H3467" s="2"/>
      <c r="I3467" s="2"/>
      <c r="J3467" s="2"/>
      <c r="K3467" s="2"/>
      <c r="L3467" s="2"/>
    </row>
    <row r="3468" spans="1:12" customFormat="1" ht="16" x14ac:dyDescent="0.2">
      <c r="A3468" s="1" t="s">
        <v>10</v>
      </c>
      <c r="B3468" s="2"/>
      <c r="C3468" s="2"/>
      <c r="D3468" s="2"/>
      <c r="E3468" s="2"/>
      <c r="F3468" s="2"/>
      <c r="G3468" s="2"/>
      <c r="H3468" s="2"/>
      <c r="I3468" s="2"/>
      <c r="J3468" s="2"/>
      <c r="K3468" s="2"/>
      <c r="L3468" s="2"/>
    </row>
    <row r="3469" spans="1:12" x14ac:dyDescent="0.2">
      <c r="A3469" s="17" t="s">
        <v>11</v>
      </c>
      <c r="B3469" s="17" t="s">
        <v>12</v>
      </c>
      <c r="C3469" s="17" t="s">
        <v>3</v>
      </c>
      <c r="D3469" s="17" t="s">
        <v>13</v>
      </c>
      <c r="E3469" s="17" t="s">
        <v>8</v>
      </c>
      <c r="F3469" s="17" t="s">
        <v>6</v>
      </c>
      <c r="G3469" s="17" t="s">
        <v>5</v>
      </c>
      <c r="H3469" s="17" t="s">
        <v>151</v>
      </c>
      <c r="I3469" s="17" t="s">
        <v>179</v>
      </c>
      <c r="J3469" s="17" t="s">
        <v>180</v>
      </c>
      <c r="K3469" s="17" t="s">
        <v>181</v>
      </c>
      <c r="L3469" s="17" t="s">
        <v>182</v>
      </c>
    </row>
    <row r="3470" spans="1:12" customFormat="1" ht="16" x14ac:dyDescent="0.2">
      <c r="A3470" s="2" t="str">
        <f>B3424</f>
        <v>electricity, used in passenger car</v>
      </c>
      <c r="B3470" s="2">
        <v>1</v>
      </c>
      <c r="C3470" s="2" t="str">
        <f>B3425</f>
        <v>RER</v>
      </c>
      <c r="D3470" s="2"/>
      <c r="E3470" s="2" t="str">
        <f>B3430</f>
        <v>megajoule</v>
      </c>
      <c r="F3470" s="2" t="s">
        <v>19</v>
      </c>
      <c r="G3470" s="2" t="str">
        <f>B3428</f>
        <v>electricity, low voltage</v>
      </c>
      <c r="H3470" s="2"/>
      <c r="I3470" s="2"/>
      <c r="K3470" s="2"/>
      <c r="L3470" s="2"/>
    </row>
    <row r="3471" spans="1:12" customFormat="1" ht="16" x14ac:dyDescent="0.2">
      <c r="A3471" s="2" t="s">
        <v>140</v>
      </c>
      <c r="B3471" s="9">
        <f>1/3.6</f>
        <v>0.27777777777777779</v>
      </c>
      <c r="C3471" t="s">
        <v>18</v>
      </c>
      <c r="E3471" t="s">
        <v>141</v>
      </c>
      <c r="F3471" t="s">
        <v>23</v>
      </c>
      <c r="G3471" t="s">
        <v>142</v>
      </c>
      <c r="H3471" s="2"/>
    </row>
    <row r="3472" spans="1:12" customFormat="1" ht="16" x14ac:dyDescent="0.2">
      <c r="A3472" s="2" t="s">
        <v>146</v>
      </c>
      <c r="B3472" s="3">
        <f>(B3440/B3434)/(B3437/1000)</f>
        <v>7.3770491803278688E-4</v>
      </c>
      <c r="C3472" t="s">
        <v>114</v>
      </c>
      <c r="E3472" t="s">
        <v>9</v>
      </c>
      <c r="F3472" t="s">
        <v>23</v>
      </c>
      <c r="G3472" t="s">
        <v>147</v>
      </c>
      <c r="H3472" s="2"/>
      <c r="I3472">
        <v>5</v>
      </c>
      <c r="J3472" s="3">
        <f>B3472</f>
        <v>7.3770491803278688E-4</v>
      </c>
      <c r="K3472" s="3">
        <f>(B3441/B3436)/(B3439/1000)</f>
        <v>2.0888888888888888E-4</v>
      </c>
      <c r="L3472" s="3">
        <f>(B3442/B3435)/(B3438/1000)</f>
        <v>1.2028301886792454E-3</v>
      </c>
    </row>
    <row r="3473" spans="1:12" customFormat="1" ht="16" x14ac:dyDescent="0.2">
      <c r="A3473" t="s">
        <v>183</v>
      </c>
      <c r="B3473" s="3">
        <f>(B3463/B3434)/(B3437/1000)</f>
        <v>3.2786885245901642E-5</v>
      </c>
      <c r="C3473" t="s">
        <v>114</v>
      </c>
      <c r="E3473" t="s">
        <v>9</v>
      </c>
      <c r="F3473" t="s">
        <v>23</v>
      </c>
      <c r="G3473" t="s">
        <v>184</v>
      </c>
      <c r="H3473" s="2"/>
      <c r="J3473" s="3"/>
    </row>
    <row r="3474" spans="1:12" customFormat="1" ht="16" x14ac:dyDescent="0.2">
      <c r="A3474" t="s">
        <v>185</v>
      </c>
      <c r="B3474" s="3">
        <f>(B3465/B3434)/(B3437/1000)</f>
        <v>6.5573770491803284E-5</v>
      </c>
      <c r="C3474" t="s">
        <v>114</v>
      </c>
      <c r="E3474" t="s">
        <v>9</v>
      </c>
      <c r="F3474" t="s">
        <v>23</v>
      </c>
      <c r="G3474" t="s">
        <v>186</v>
      </c>
      <c r="H3474" s="2"/>
    </row>
    <row r="3475" spans="1:12" customFormat="1" ht="16" x14ac:dyDescent="0.2">
      <c r="A3475" t="s">
        <v>187</v>
      </c>
      <c r="B3475" s="3">
        <f>(B3462/B3434)/(B3437/1000)</f>
        <v>2.4590163934426232E-5</v>
      </c>
      <c r="C3475" t="s">
        <v>114</v>
      </c>
      <c r="E3475" t="s">
        <v>9</v>
      </c>
      <c r="F3475" t="s">
        <v>23</v>
      </c>
      <c r="G3475" t="s">
        <v>188</v>
      </c>
      <c r="H3475" s="2"/>
    </row>
    <row r="3476" spans="1:12" customFormat="1" ht="16" x14ac:dyDescent="0.2">
      <c r="A3476" t="s">
        <v>189</v>
      </c>
      <c r="B3476" s="3">
        <f>(B3449/B3434)/(B3437/1000)</f>
        <v>5.4918032786885253E-4</v>
      </c>
      <c r="C3476" s="2" t="s">
        <v>114</v>
      </c>
      <c r="E3476" t="s">
        <v>141</v>
      </c>
      <c r="F3476" t="s">
        <v>23</v>
      </c>
      <c r="G3476" t="s">
        <v>190</v>
      </c>
      <c r="H3476" s="2"/>
      <c r="I3476">
        <v>5</v>
      </c>
      <c r="J3476" s="3">
        <f>B3476</f>
        <v>5.4918032786885253E-4</v>
      </c>
      <c r="K3476" s="3">
        <f>(B3450/B3436)/(B3439/1000)</f>
        <v>2.1333333333333333E-4</v>
      </c>
      <c r="L3476" s="3">
        <f>(B3451/B3435)/(B3438/1000)</f>
        <v>1.2971698113207546E-3</v>
      </c>
    </row>
    <row r="3477" spans="1:12" customFormat="1" ht="16" x14ac:dyDescent="0.2">
      <c r="A3477" t="s">
        <v>191</v>
      </c>
      <c r="B3477" s="3">
        <f>(B3461/B3434)/(B3437/1000)</f>
        <v>4.0983606557377049E-5</v>
      </c>
      <c r="C3477" t="s">
        <v>114</v>
      </c>
      <c r="E3477" t="s">
        <v>9</v>
      </c>
      <c r="F3477" t="s">
        <v>23</v>
      </c>
      <c r="G3477" t="s">
        <v>192</v>
      </c>
      <c r="H3477" s="2"/>
    </row>
    <row r="3478" spans="1:12" customFormat="1" ht="16" x14ac:dyDescent="0.2">
      <c r="H3478" s="2"/>
    </row>
    <row r="3479" spans="1:12" x14ac:dyDescent="0.2">
      <c r="A3479" s="17" t="s">
        <v>2</v>
      </c>
      <c r="B3479" s="17" t="s">
        <v>302</v>
      </c>
    </row>
    <row r="3480" spans="1:12" customFormat="1" ht="16" x14ac:dyDescent="0.2">
      <c r="A3480" s="2" t="s">
        <v>3</v>
      </c>
      <c r="B3480" s="2" t="s">
        <v>18</v>
      </c>
      <c r="C3480" s="2"/>
      <c r="D3480" s="2"/>
      <c r="E3480" s="2"/>
      <c r="F3480" s="2"/>
      <c r="G3480" s="2"/>
      <c r="H3480" s="2"/>
      <c r="I3480" s="2"/>
      <c r="J3480" s="2"/>
      <c r="K3480" s="2"/>
      <c r="L3480" s="2"/>
    </row>
    <row r="3481" spans="1:12" customFormat="1" ht="16" x14ac:dyDescent="0.2">
      <c r="A3481" s="2" t="s">
        <v>4</v>
      </c>
      <c r="B3481" s="2">
        <v>1</v>
      </c>
      <c r="C3481" s="2"/>
      <c r="D3481" s="2"/>
      <c r="E3481" s="2"/>
      <c r="F3481" s="2"/>
      <c r="G3481" s="2"/>
      <c r="H3481" s="2"/>
      <c r="I3481" s="2"/>
      <c r="J3481" s="2"/>
      <c r="K3481" s="2"/>
      <c r="L3481" s="2"/>
    </row>
    <row r="3482" spans="1:12" customFormat="1" ht="16" x14ac:dyDescent="0.2">
      <c r="A3482" s="2" t="s">
        <v>5</v>
      </c>
      <c r="B3482" s="2" t="s">
        <v>1</v>
      </c>
      <c r="C3482" s="2"/>
      <c r="D3482" s="2"/>
      <c r="E3482" s="2"/>
      <c r="F3482" s="2"/>
      <c r="G3482" s="2"/>
      <c r="H3482" s="2"/>
      <c r="I3482" s="2"/>
      <c r="J3482" s="2"/>
      <c r="K3482" s="2"/>
    </row>
    <row r="3483" spans="1:12" customFormat="1" ht="16" x14ac:dyDescent="0.2">
      <c r="A3483" s="2" t="s">
        <v>6</v>
      </c>
      <c r="B3483" s="2" t="s">
        <v>7</v>
      </c>
      <c r="C3483" s="2"/>
      <c r="D3483" s="2"/>
      <c r="E3483" s="2"/>
      <c r="F3483" s="2"/>
      <c r="G3483" s="2"/>
      <c r="H3483" s="2"/>
      <c r="I3483" s="2"/>
      <c r="J3483" s="2"/>
      <c r="K3483" s="2"/>
      <c r="L3483" s="2"/>
    </row>
    <row r="3484" spans="1:12" customFormat="1" ht="16" x14ac:dyDescent="0.2">
      <c r="A3484" t="s">
        <v>151</v>
      </c>
      <c r="B3484" t="s">
        <v>193</v>
      </c>
      <c r="C3484" s="2"/>
      <c r="D3484" s="2"/>
      <c r="E3484" s="2"/>
      <c r="F3484" s="2"/>
      <c r="G3484" s="2"/>
      <c r="H3484" s="2"/>
      <c r="I3484" s="2"/>
      <c r="J3484" s="2"/>
      <c r="K3484" s="2"/>
      <c r="L3484" s="2"/>
    </row>
    <row r="3485" spans="1:12" customFormat="1" ht="16" x14ac:dyDescent="0.2">
      <c r="A3485" s="2" t="s">
        <v>8</v>
      </c>
      <c r="B3485" s="2" t="s">
        <v>17</v>
      </c>
      <c r="C3485" s="2"/>
      <c r="D3485" s="2"/>
      <c r="E3485" s="2"/>
      <c r="F3485" s="2"/>
      <c r="G3485" s="2"/>
      <c r="H3485" s="2"/>
      <c r="I3485" s="2"/>
      <c r="J3485" s="2"/>
      <c r="K3485" s="2"/>
      <c r="L3485" s="2"/>
    </row>
    <row r="3486" spans="1:12" customFormat="1" ht="16" x14ac:dyDescent="0.2">
      <c r="A3486" t="s">
        <v>352</v>
      </c>
      <c r="B3486" s="2">
        <f>INDEX(Parameters!$B$6:$AL$57,MATCH(Inventories!$B$3479,Parameters!$A$6:$A$57,0),MATCH(Inventories!$A3486,Parameters!$B$4:$AL$4,0))</f>
        <v>139</v>
      </c>
      <c r="C3486" t="s">
        <v>312</v>
      </c>
      <c r="D3486" s="2"/>
      <c r="E3486" s="2"/>
      <c r="F3486" s="2"/>
      <c r="G3486" s="2"/>
      <c r="H3486" s="2"/>
      <c r="I3486" s="2"/>
      <c r="J3486" s="2"/>
      <c r="K3486" s="2"/>
      <c r="L3486" s="2"/>
    </row>
    <row r="3487" spans="1:12" customFormat="1" ht="16" x14ac:dyDescent="0.2">
      <c r="A3487" t="s">
        <v>353</v>
      </c>
      <c r="B3487" s="2">
        <f>INDEX(Parameters!$B$6:$AL$57,MATCH(Inventories!$B$3479,Parameters!$A$6:$A$57,0),MATCH(Inventories!$A3487,Parameters!$B$4:$AL$4,0))</f>
        <v>58</v>
      </c>
      <c r="C3487" t="s">
        <v>312</v>
      </c>
      <c r="D3487" s="2"/>
      <c r="E3487" s="2"/>
      <c r="F3487" s="2"/>
      <c r="G3487" s="2"/>
      <c r="H3487" s="2"/>
      <c r="I3487" s="2"/>
      <c r="J3487" s="2"/>
      <c r="K3487" s="2"/>
      <c r="L3487" s="2"/>
    </row>
    <row r="3488" spans="1:12" customFormat="1" ht="16" x14ac:dyDescent="0.2">
      <c r="A3488" t="s">
        <v>354</v>
      </c>
      <c r="B3488" s="2">
        <f>INDEX(Parameters!$B$6:$AL$57,MATCH(Inventories!$B$3479,Parameters!$A$6:$A$57,0),MATCH(Inventories!$A3488,Parameters!$B$4:$AL$4,0))</f>
        <v>176</v>
      </c>
      <c r="C3488" t="s">
        <v>312</v>
      </c>
      <c r="D3488" s="2"/>
      <c r="E3488" s="2"/>
      <c r="F3488" s="2"/>
      <c r="G3488" s="2"/>
      <c r="H3488" s="2"/>
      <c r="I3488" s="2"/>
      <c r="J3488" s="2"/>
      <c r="K3488" s="2"/>
      <c r="L3488" s="2"/>
    </row>
    <row r="3489" spans="1:12" customFormat="1" ht="16" x14ac:dyDescent="0.2">
      <c r="A3489" t="s">
        <v>316</v>
      </c>
      <c r="B3489" s="24">
        <f>INDEX(Parameters!$B$6:$AL$57,MATCH(Inventories!$B$3479,Parameters!$A$6:$A$57,0),MATCH(Inventories!$A3489,Parameters!$B$4:$AL$4,0))</f>
        <v>200000</v>
      </c>
      <c r="C3489" t="s">
        <v>313</v>
      </c>
      <c r="D3489" s="2"/>
      <c r="E3489" s="2"/>
      <c r="F3489" s="2"/>
      <c r="G3489" s="2"/>
      <c r="H3489" s="2"/>
      <c r="I3489" s="2"/>
      <c r="J3489" s="2"/>
      <c r="K3489" s="2"/>
      <c r="L3489" s="2"/>
    </row>
    <row r="3490" spans="1:12" customFormat="1" ht="16" x14ac:dyDescent="0.2">
      <c r="A3490" t="s">
        <v>317</v>
      </c>
      <c r="B3490" s="24">
        <f>INDEX(Parameters!$B$6:$AL$57,MATCH(Inventories!$B$3479,Parameters!$A$6:$A$57,0),MATCH(Inventories!$A3490,Parameters!$B$4:$AL$4,0))</f>
        <v>160000</v>
      </c>
      <c r="C3490" t="s">
        <v>313</v>
      </c>
      <c r="D3490" s="2"/>
      <c r="E3490" s="2"/>
      <c r="F3490" s="2"/>
      <c r="G3490" s="2"/>
      <c r="H3490" s="2"/>
      <c r="I3490" s="2"/>
      <c r="J3490" s="2"/>
      <c r="K3490" s="2"/>
      <c r="L3490" s="2"/>
    </row>
    <row r="3491" spans="1:12" customFormat="1" ht="16" x14ac:dyDescent="0.2">
      <c r="A3491" t="s">
        <v>318</v>
      </c>
      <c r="B3491" s="24">
        <f>INDEX(Parameters!$B$6:$AL$57,MATCH(Inventories!$B$3479,Parameters!$A$6:$A$57,0),MATCH(Inventories!$A3491,Parameters!$B$4:$AL$4,0))</f>
        <v>250000</v>
      </c>
      <c r="C3491" t="s">
        <v>313</v>
      </c>
      <c r="D3491" s="2"/>
      <c r="E3491" s="2"/>
      <c r="F3491" s="2"/>
      <c r="G3491" s="2"/>
      <c r="H3491" s="2"/>
      <c r="I3491" s="2"/>
      <c r="J3491" s="2"/>
      <c r="K3491" s="2"/>
      <c r="L3491" s="2"/>
    </row>
    <row r="3492" spans="1:12" customFormat="1" ht="16" x14ac:dyDescent="0.2">
      <c r="A3492" t="s">
        <v>319</v>
      </c>
      <c r="B3492" s="2">
        <f>INDEX(Parameters!$B$6:$AL$57,MATCH(Inventories!$B$3479,Parameters!$A$6:$A$57,0),MATCH(Inventories!$A3492,Parameters!$B$4:$AL$4,0))</f>
        <v>1180</v>
      </c>
      <c r="C3492" t="s">
        <v>314</v>
      </c>
      <c r="D3492" s="2"/>
      <c r="E3492" s="2"/>
      <c r="F3492" s="2"/>
      <c r="G3492" s="2"/>
      <c r="H3492" s="2"/>
      <c r="I3492" s="2"/>
      <c r="J3492" s="2"/>
      <c r="K3492" s="2"/>
      <c r="L3492" s="2"/>
    </row>
    <row r="3493" spans="1:12" customFormat="1" ht="16" x14ac:dyDescent="0.2">
      <c r="A3493" t="s">
        <v>320</v>
      </c>
      <c r="B3493" s="2">
        <f>INDEX(Parameters!$B$6:$AL$57,MATCH(Inventories!$B$3479,Parameters!$A$6:$A$57,0),MATCH(Inventories!$A3493,Parameters!$B$4:$AL$4,0))</f>
        <v>900</v>
      </c>
      <c r="C3493" t="s">
        <v>314</v>
      </c>
      <c r="D3493" s="2"/>
      <c r="E3493" s="2"/>
      <c r="F3493" s="2"/>
      <c r="G3493" s="2"/>
      <c r="H3493" s="2"/>
      <c r="I3493" s="2"/>
      <c r="J3493" s="2"/>
      <c r="K3493" s="2"/>
      <c r="L3493" s="2"/>
    </row>
    <row r="3494" spans="1:12" customFormat="1" ht="16" x14ac:dyDescent="0.2">
      <c r="A3494" t="s">
        <v>321</v>
      </c>
      <c r="B3494" s="2">
        <f>INDEX(Parameters!$B$6:$AL$57,MATCH(Inventories!$B$3479,Parameters!$A$6:$A$57,0),MATCH(Inventories!$A3494,Parameters!$B$4:$AL$4,0))</f>
        <v>1660</v>
      </c>
      <c r="C3494" t="s">
        <v>314</v>
      </c>
      <c r="D3494" s="2"/>
      <c r="E3494" s="2"/>
      <c r="F3494" s="2"/>
      <c r="G3494" s="2"/>
      <c r="H3494" s="2"/>
      <c r="I3494" s="2"/>
      <c r="J3494" s="2"/>
      <c r="K3494" s="2"/>
      <c r="L3494" s="2"/>
    </row>
    <row r="3495" spans="1:12" customFormat="1" ht="16" x14ac:dyDescent="0.2">
      <c r="A3495" t="s">
        <v>337</v>
      </c>
      <c r="B3495" s="2">
        <f>INDEX(Parameters!$B$6:$AL$57,MATCH(Inventories!$B$3479,Parameters!$A$6:$A$57,0),MATCH(Inventories!$A3495,Parameters!$B$4:$AL$4,0))</f>
        <v>88</v>
      </c>
      <c r="C3495" t="s">
        <v>336</v>
      </c>
      <c r="D3495" s="2"/>
      <c r="E3495" s="2"/>
      <c r="F3495" s="2"/>
      <c r="G3495" s="2"/>
      <c r="H3495" s="2"/>
      <c r="I3495" s="2"/>
      <c r="J3495" s="2"/>
      <c r="K3495" s="2"/>
      <c r="L3495" s="2"/>
    </row>
    <row r="3496" spans="1:12" customFormat="1" ht="16" x14ac:dyDescent="0.2">
      <c r="A3496" t="s">
        <v>338</v>
      </c>
      <c r="B3496" s="2">
        <f>INDEX(Parameters!$B$6:$AL$57,MATCH(Inventories!$B$3479,Parameters!$A$6:$A$57,0),MATCH(Inventories!$A3496,Parameters!$B$4:$AL$4,0))</f>
        <v>48</v>
      </c>
      <c r="C3496" t="s">
        <v>336</v>
      </c>
      <c r="D3496" s="2"/>
      <c r="E3496" s="2"/>
      <c r="F3496" s="2"/>
      <c r="G3496" s="2"/>
      <c r="H3496" s="2"/>
      <c r="I3496" s="2"/>
      <c r="J3496" s="2"/>
      <c r="K3496" s="2"/>
      <c r="L3496" s="2"/>
    </row>
    <row r="3497" spans="1:12" customFormat="1" ht="16" x14ac:dyDescent="0.2">
      <c r="A3497" t="s">
        <v>339</v>
      </c>
      <c r="B3497" s="2">
        <f>INDEX(Parameters!$B$6:$AL$57,MATCH(Inventories!$B$3479,Parameters!$A$6:$A$57,0),MATCH(Inventories!$A3497,Parameters!$B$4:$AL$4,0))</f>
        <v>107</v>
      </c>
      <c r="C3497" t="s">
        <v>336</v>
      </c>
      <c r="D3497" s="2"/>
      <c r="E3497" s="2"/>
      <c r="F3497" s="2"/>
      <c r="G3497" s="2"/>
      <c r="H3497" s="2"/>
      <c r="I3497" s="2"/>
      <c r="J3497" s="2"/>
      <c r="K3497" s="2"/>
      <c r="L3497" s="2"/>
    </row>
    <row r="3498" spans="1:12" customFormat="1" ht="16" x14ac:dyDescent="0.2">
      <c r="A3498" t="s">
        <v>340</v>
      </c>
      <c r="B3498" s="2">
        <f>INDEX(Parameters!$B$6:$AL$57,MATCH(Inventories!$B$3479,Parameters!$A$6:$A$57,0),MATCH(Inventories!$A3498,Parameters!$B$4:$AL$4,0))</f>
        <v>0</v>
      </c>
      <c r="C3498" t="s">
        <v>336</v>
      </c>
      <c r="D3498" s="2"/>
      <c r="E3498" s="2"/>
      <c r="F3498" s="2"/>
      <c r="G3498" s="2"/>
      <c r="H3498" s="2"/>
      <c r="I3498" s="2"/>
      <c r="J3498" s="2"/>
      <c r="K3498" s="2"/>
      <c r="L3498" s="2"/>
    </row>
    <row r="3499" spans="1:12" customFormat="1" ht="16" x14ac:dyDescent="0.2">
      <c r="A3499" t="s">
        <v>341</v>
      </c>
      <c r="B3499" s="2">
        <f>INDEX(Parameters!$B$6:$AL$57,MATCH(Inventories!$B$3479,Parameters!$A$6:$A$57,0),MATCH(Inventories!$A3499,Parameters!$B$4:$AL$4,0))</f>
        <v>0</v>
      </c>
      <c r="C3499" t="s">
        <v>336</v>
      </c>
      <c r="D3499" s="2"/>
      <c r="E3499" s="2"/>
      <c r="F3499" s="2"/>
      <c r="G3499" s="2"/>
      <c r="H3499" s="2"/>
      <c r="I3499" s="2"/>
      <c r="J3499" s="2"/>
      <c r="K3499" s="2"/>
      <c r="L3499" s="2"/>
    </row>
    <row r="3500" spans="1:12" customFormat="1" ht="16" x14ac:dyDescent="0.2">
      <c r="A3500" t="s">
        <v>342</v>
      </c>
      <c r="B3500" s="2">
        <f>INDEX(Parameters!$B$6:$AL$57,MATCH(Inventories!$B$3479,Parameters!$A$6:$A$57,0),MATCH(Inventories!$A3500,Parameters!$B$4:$AL$4,0))</f>
        <v>0</v>
      </c>
      <c r="C3500" t="s">
        <v>336</v>
      </c>
      <c r="D3500" s="2"/>
      <c r="E3500" s="2"/>
      <c r="F3500" s="2"/>
      <c r="G3500" s="2"/>
      <c r="H3500" s="2"/>
      <c r="I3500" s="2"/>
      <c r="J3500" s="2"/>
      <c r="K3500" s="2"/>
      <c r="L3500" s="2"/>
    </row>
    <row r="3501" spans="1:12" customFormat="1" ht="16" x14ac:dyDescent="0.2">
      <c r="A3501" t="s">
        <v>333</v>
      </c>
      <c r="B3501" s="2">
        <f>INDEX(Parameters!$B$6:$AL$57,MATCH(Inventories!$B$3479,Parameters!$A$6:$A$57,0),MATCH(Inventories!$A3501,Parameters!$B$4:$AL$4,0))</f>
        <v>102</v>
      </c>
      <c r="C3501" t="s">
        <v>336</v>
      </c>
      <c r="D3501" s="2"/>
      <c r="E3501" s="2"/>
      <c r="F3501" s="2"/>
      <c r="G3501" s="2"/>
      <c r="H3501" s="2"/>
      <c r="I3501" s="2"/>
      <c r="J3501" s="2"/>
      <c r="K3501" s="2"/>
      <c r="L3501" s="2"/>
    </row>
    <row r="3502" spans="1:12" customFormat="1" ht="16" x14ac:dyDescent="0.2">
      <c r="A3502" t="s">
        <v>334</v>
      </c>
      <c r="B3502" s="2">
        <f>INDEX(Parameters!$B$6:$AL$57,MATCH(Inventories!$B$3479,Parameters!$A$6:$A$57,0),MATCH(Inventories!$A3502,Parameters!$B$4:$AL$4,0))</f>
        <v>78</v>
      </c>
      <c r="C3502" t="s">
        <v>336</v>
      </c>
      <c r="D3502" s="2"/>
      <c r="E3502" s="2"/>
      <c r="F3502" s="2"/>
      <c r="G3502" s="2"/>
      <c r="H3502" s="2"/>
      <c r="I3502" s="2"/>
      <c r="J3502" s="2"/>
      <c r="K3502" s="2"/>
      <c r="L3502" s="2"/>
    </row>
    <row r="3503" spans="1:12" customFormat="1" ht="16" x14ac:dyDescent="0.2">
      <c r="A3503" t="s">
        <v>335</v>
      </c>
      <c r="B3503" s="2">
        <f>INDEX(Parameters!$B$6:$AL$57,MATCH(Inventories!$B$3479,Parameters!$A$6:$A$57,0),MATCH(Inventories!$A3503,Parameters!$B$4:$AL$4,0))</f>
        <v>117</v>
      </c>
      <c r="C3503" t="s">
        <v>336</v>
      </c>
      <c r="D3503" s="2"/>
      <c r="E3503" s="2"/>
      <c r="F3503" s="2"/>
      <c r="G3503" s="2"/>
      <c r="H3503" s="2"/>
      <c r="I3503" s="2"/>
      <c r="J3503" s="2"/>
      <c r="K3503" s="2"/>
      <c r="L3503" s="2"/>
    </row>
    <row r="3504" spans="1:12" customFormat="1" ht="16" x14ac:dyDescent="0.2">
      <c r="A3504" t="s">
        <v>322</v>
      </c>
      <c r="B3504" s="2">
        <f>INDEX(Parameters!$B$6:$AL$57,MATCH(Inventories!$B$3479,Parameters!$A$6:$A$57,0),MATCH(Inventories!$A3504,Parameters!$B$4:$AL$4,0))</f>
        <v>3</v>
      </c>
      <c r="C3504" t="s">
        <v>315</v>
      </c>
      <c r="D3504" s="2"/>
      <c r="E3504" s="2"/>
      <c r="F3504" s="2"/>
      <c r="G3504" s="2"/>
      <c r="H3504" s="2"/>
      <c r="I3504" s="2"/>
      <c r="J3504" s="2"/>
      <c r="K3504" s="2"/>
      <c r="L3504" s="2"/>
    </row>
    <row r="3505" spans="1:12" customFormat="1" ht="16" x14ac:dyDescent="0.2">
      <c r="A3505" t="s">
        <v>323</v>
      </c>
      <c r="B3505" s="2">
        <f>INDEX(Parameters!$B$6:$AL$57,MATCH(Inventories!$B$3479,Parameters!$A$6:$A$57,0),MATCH(Inventories!$A3505,Parameters!$B$4:$AL$4,0))</f>
        <v>1</v>
      </c>
      <c r="C3505" t="s">
        <v>315</v>
      </c>
      <c r="D3505" s="2"/>
      <c r="E3505" s="2"/>
      <c r="F3505" s="2"/>
      <c r="G3505" s="2"/>
      <c r="H3505" s="2"/>
      <c r="I3505" s="2"/>
      <c r="J3505" s="2"/>
      <c r="K3505" s="2"/>
      <c r="L3505" s="2"/>
    </row>
    <row r="3506" spans="1:12" customFormat="1" ht="16" x14ac:dyDescent="0.2">
      <c r="A3506" t="s">
        <v>324</v>
      </c>
      <c r="B3506" s="2">
        <f>INDEX(Parameters!$B$6:$AL$57,MATCH(Inventories!$B$3479,Parameters!$A$6:$A$57,0),MATCH(Inventories!$A3506,Parameters!$B$4:$AL$4,0))</f>
        <v>4</v>
      </c>
      <c r="C3506" t="s">
        <v>315</v>
      </c>
      <c r="D3506" s="2"/>
      <c r="E3506" s="2"/>
      <c r="F3506" s="2"/>
      <c r="G3506" s="2"/>
      <c r="H3506" s="2"/>
      <c r="I3506" s="2"/>
      <c r="J3506" s="2"/>
      <c r="K3506" s="2"/>
      <c r="L3506" s="2"/>
    </row>
    <row r="3507" spans="1:12" customFormat="1" ht="16" x14ac:dyDescent="0.2">
      <c r="A3507" t="s">
        <v>330</v>
      </c>
      <c r="B3507" s="2">
        <f>INDEX(Parameters!$B$6:$AL$57,MATCH(Inventories!$B$3479,Parameters!$A$6:$A$57,0),MATCH(Inventories!$A3507,Parameters!$B$4:$AL$4,0))</f>
        <v>0</v>
      </c>
      <c r="C3507" t="s">
        <v>8</v>
      </c>
      <c r="D3507" s="2"/>
      <c r="E3507" s="2"/>
      <c r="F3507" s="2"/>
      <c r="G3507" s="2"/>
      <c r="H3507" s="2"/>
      <c r="I3507" s="2"/>
      <c r="J3507" s="2"/>
      <c r="K3507" s="2"/>
      <c r="L3507" s="2"/>
    </row>
    <row r="3508" spans="1:12" customFormat="1" ht="16" x14ac:dyDescent="0.2">
      <c r="A3508" t="s">
        <v>331</v>
      </c>
      <c r="B3508" s="2">
        <f>INDEX(Parameters!$B$6:$AL$57,MATCH(Inventories!$B$3479,Parameters!$A$6:$A$57,0),MATCH(Inventories!$A3508,Parameters!$B$4:$AL$4,0))</f>
        <v>0</v>
      </c>
      <c r="C3508" t="s">
        <v>8</v>
      </c>
      <c r="D3508" s="2"/>
      <c r="E3508" s="2"/>
      <c r="F3508" s="2"/>
      <c r="G3508" s="2"/>
      <c r="H3508" s="2"/>
      <c r="I3508" s="2"/>
      <c r="J3508" s="2"/>
      <c r="K3508" s="2"/>
      <c r="L3508" s="2"/>
    </row>
    <row r="3509" spans="1:12" customFormat="1" ht="16" x14ac:dyDescent="0.2">
      <c r="A3509" t="s">
        <v>332</v>
      </c>
      <c r="B3509" s="2">
        <f>INDEX(Parameters!$B$6:$AL$57,MATCH(Inventories!$B$3479,Parameters!$A$6:$A$57,0),MATCH(Inventories!$A3509,Parameters!$B$4:$AL$4,0))</f>
        <v>0</v>
      </c>
      <c r="C3509" t="s">
        <v>8</v>
      </c>
      <c r="D3509" s="2"/>
      <c r="E3509" s="2"/>
      <c r="F3509" s="2"/>
      <c r="G3509" s="2"/>
      <c r="H3509" s="2"/>
      <c r="I3509" s="2"/>
      <c r="J3509" s="2"/>
      <c r="K3509" s="2"/>
      <c r="L3509" s="2"/>
    </row>
    <row r="3510" spans="1:12" customFormat="1" ht="16" x14ac:dyDescent="0.2">
      <c r="A3510" t="s">
        <v>346</v>
      </c>
      <c r="B3510" s="2">
        <f>INDEX(Parameters!$B$6:$AL$57,MATCH(Inventories!$B$3479,Parameters!$A$6:$A$57,0),MATCH(Inventories!$A3510,Parameters!$B$4:$AL$4,0))</f>
        <v>119</v>
      </c>
      <c r="C3510" t="s">
        <v>312</v>
      </c>
      <c r="D3510" s="2"/>
      <c r="E3510" s="2"/>
      <c r="F3510" s="2"/>
      <c r="G3510" s="2"/>
      <c r="H3510" s="2"/>
      <c r="I3510" s="2"/>
      <c r="J3510" s="2"/>
      <c r="K3510" s="2"/>
      <c r="L3510" s="2"/>
    </row>
    <row r="3511" spans="1:12" customFormat="1" ht="16" x14ac:dyDescent="0.2">
      <c r="A3511" t="s">
        <v>347</v>
      </c>
      <c r="B3511" s="2">
        <f>INDEX(Parameters!$B$6:$AL$57,MATCH(Inventories!$B$3479,Parameters!$A$6:$A$57,0),MATCH(Inventories!$A3511,Parameters!$B$4:$AL$4,0))</f>
        <v>49</v>
      </c>
      <c r="C3511" t="s">
        <v>312</v>
      </c>
      <c r="D3511" s="2"/>
      <c r="E3511" s="12"/>
      <c r="F3511" s="2"/>
      <c r="G3511" s="2"/>
      <c r="H3511" s="2"/>
      <c r="I3511" s="2"/>
      <c r="J3511" s="2"/>
      <c r="K3511" s="2"/>
      <c r="L3511" s="2"/>
    </row>
    <row r="3512" spans="1:12" customFormat="1" ht="16" x14ac:dyDescent="0.2">
      <c r="A3512" t="s">
        <v>348</v>
      </c>
      <c r="B3512" s="2">
        <f>INDEX(Parameters!$B$6:$AL$57,MATCH(Inventories!$B$3479,Parameters!$A$6:$A$57,0),MATCH(Inventories!$A3512,Parameters!$B$4:$AL$4,0))</f>
        <v>151</v>
      </c>
      <c r="C3512" t="s">
        <v>312</v>
      </c>
      <c r="D3512" s="2"/>
      <c r="E3512" s="2"/>
      <c r="F3512" s="2"/>
      <c r="G3512" s="2"/>
      <c r="H3512" s="2"/>
      <c r="I3512" s="2"/>
      <c r="J3512" s="2"/>
      <c r="K3512" s="2"/>
      <c r="L3512" s="2"/>
    </row>
    <row r="3513" spans="1:12" customFormat="1" ht="16" x14ac:dyDescent="0.2">
      <c r="A3513" t="s">
        <v>349</v>
      </c>
      <c r="B3513" s="2">
        <f>INDEX(Parameters!$B$6:$AL$57,MATCH(Inventories!$B$3479,Parameters!$A$6:$A$57,0),MATCH(Inventories!$A3513,Parameters!$B$4:$AL$4,0))</f>
        <v>0</v>
      </c>
      <c r="C3513" t="s">
        <v>8</v>
      </c>
      <c r="D3513" s="2"/>
      <c r="E3513" s="2"/>
      <c r="F3513" s="2"/>
      <c r="G3513" s="2"/>
      <c r="H3513" s="2"/>
      <c r="I3513" s="2"/>
      <c r="J3513" s="2"/>
      <c r="K3513" s="2"/>
      <c r="L3513" s="2"/>
    </row>
    <row r="3514" spans="1:12" customFormat="1" ht="16" x14ac:dyDescent="0.2">
      <c r="A3514" t="s">
        <v>350</v>
      </c>
      <c r="B3514" s="2">
        <f>INDEX(Parameters!$B$6:$AL$57,MATCH(Inventories!$B$3479,Parameters!$A$6:$A$57,0),MATCH(Inventories!$A3514,Parameters!$B$4:$AL$4,0))</f>
        <v>0</v>
      </c>
      <c r="C3514" t="s">
        <v>8</v>
      </c>
      <c r="D3514" s="2"/>
      <c r="E3514" s="2"/>
      <c r="F3514" s="2"/>
      <c r="G3514" s="2"/>
      <c r="H3514" s="2"/>
      <c r="I3514" s="2"/>
      <c r="J3514" s="2"/>
      <c r="K3514" s="2"/>
      <c r="L3514" s="2"/>
    </row>
    <row r="3515" spans="1:12" customFormat="1" ht="16" x14ac:dyDescent="0.2">
      <c r="A3515" t="s">
        <v>351</v>
      </c>
      <c r="B3515" s="2">
        <f>INDEX(Parameters!$B$6:$AL$57,MATCH(Inventories!$B$3479,Parameters!$A$6:$A$57,0),MATCH(Inventories!$A3515,Parameters!$B$4:$AL$4,0))</f>
        <v>0</v>
      </c>
      <c r="C3515" t="s">
        <v>8</v>
      </c>
      <c r="D3515" s="2"/>
      <c r="E3515" s="2"/>
      <c r="F3515" s="2"/>
      <c r="G3515" s="2"/>
      <c r="H3515" s="2"/>
      <c r="I3515" s="2"/>
      <c r="J3515" s="2"/>
      <c r="K3515" s="2"/>
      <c r="L3515" s="2"/>
    </row>
    <row r="3516" spans="1:12" customFormat="1" ht="16" x14ac:dyDescent="0.2">
      <c r="A3516" t="s">
        <v>365</v>
      </c>
      <c r="B3516" s="2">
        <f>INDEX(Parameters!$B$6:$AL$57,MATCH(Inventories!$B$3479,Parameters!$A$6:$A$57,0),MATCH(Inventories!$A3516,Parameters!$B$4:$AL$4,0))</f>
        <v>0</v>
      </c>
      <c r="C3516" t="s">
        <v>336</v>
      </c>
      <c r="D3516" s="2"/>
      <c r="E3516" s="2"/>
      <c r="F3516" s="2"/>
      <c r="G3516" s="2"/>
      <c r="H3516" s="2"/>
      <c r="I3516" s="2"/>
      <c r="J3516" s="2"/>
      <c r="K3516" s="2"/>
      <c r="L3516" s="2"/>
    </row>
    <row r="3517" spans="1:12" customFormat="1" ht="16" x14ac:dyDescent="0.2">
      <c r="A3517" t="s">
        <v>366</v>
      </c>
      <c r="B3517" s="2">
        <f>INDEX(Parameters!$B$6:$AL$57,MATCH(Inventories!$B$3479,Parameters!$A$6:$A$57,0),MATCH(Inventories!$A3517,Parameters!$B$4:$AL$4,0))</f>
        <v>3</v>
      </c>
      <c r="C3517" t="s">
        <v>336</v>
      </c>
      <c r="D3517" s="2"/>
      <c r="E3517" s="2"/>
      <c r="F3517" s="2"/>
      <c r="G3517" s="2"/>
      <c r="H3517" s="2"/>
      <c r="I3517" s="2"/>
      <c r="J3517" s="2"/>
      <c r="K3517" s="2"/>
      <c r="L3517" s="2"/>
    </row>
    <row r="3518" spans="1:12" customFormat="1" ht="16" x14ac:dyDescent="0.2">
      <c r="A3518" t="s">
        <v>367</v>
      </c>
      <c r="B3518" s="2">
        <f>INDEX(Parameters!$B$6:$AL$57,MATCH(Inventories!$B$3479,Parameters!$A$6:$A$57,0),MATCH(Inventories!$A3518,Parameters!$B$4:$AL$4,0))</f>
        <v>4</v>
      </c>
      <c r="C3518" t="s">
        <v>336</v>
      </c>
      <c r="D3518" s="2"/>
      <c r="E3518" s="2"/>
      <c r="F3518" s="2"/>
      <c r="G3518" s="2"/>
      <c r="H3518" s="2"/>
      <c r="I3518" s="2"/>
      <c r="J3518" s="2"/>
      <c r="K3518" s="2"/>
      <c r="L3518" s="2"/>
    </row>
    <row r="3519" spans="1:12" customFormat="1" ht="16" x14ac:dyDescent="0.2">
      <c r="A3519" t="s">
        <v>368</v>
      </c>
      <c r="B3519" s="2">
        <f>INDEX(Parameters!$B$6:$AL$57,MATCH(Inventories!$B$3479,Parameters!$A$6:$A$57,0),MATCH(Inventories!$A3519,Parameters!$B$4:$AL$4,0))</f>
        <v>0</v>
      </c>
      <c r="C3519" t="s">
        <v>336</v>
      </c>
      <c r="D3519" s="2"/>
      <c r="E3519" s="2"/>
      <c r="F3519" s="2"/>
      <c r="G3519" s="2"/>
      <c r="H3519" s="2"/>
      <c r="I3519" s="2"/>
      <c r="J3519" s="2"/>
      <c r="K3519" s="2"/>
      <c r="L3519" s="2"/>
    </row>
    <row r="3520" spans="1:12" customFormat="1" ht="16" x14ac:dyDescent="0.2">
      <c r="A3520" t="s">
        <v>369</v>
      </c>
      <c r="B3520" s="2">
        <f>INDEX(Parameters!$B$6:$AL$57,MATCH(Inventories!$B$3479,Parameters!$A$6:$A$57,0),MATCH(Inventories!$A3520,Parameters!$B$4:$AL$4,0))</f>
        <v>8</v>
      </c>
      <c r="C3520" t="s">
        <v>336</v>
      </c>
      <c r="D3520" s="2"/>
      <c r="E3520" s="2"/>
      <c r="F3520" s="2"/>
      <c r="G3520" s="2"/>
      <c r="H3520" s="2"/>
      <c r="I3520" s="2"/>
      <c r="J3520" s="2"/>
      <c r="K3520" s="2"/>
      <c r="L3520" s="2"/>
    </row>
    <row r="3521" spans="1:15" customFormat="1" ht="16" x14ac:dyDescent="0.2">
      <c r="A3521" t="s">
        <v>344</v>
      </c>
      <c r="B3521" s="12">
        <f>INDEX(Parameters!$B$6:$AL$57,MATCH(Inventories!$B$3479,Parameters!$A$6:$A$57,0),MATCH(Inventories!$A3521,Parameters!$B$4:$AL$4,0))</f>
        <v>0</v>
      </c>
      <c r="C3521" t="s">
        <v>345</v>
      </c>
      <c r="D3521" s="2"/>
      <c r="E3521" s="2"/>
      <c r="F3521" s="2"/>
      <c r="G3521" s="2"/>
      <c r="H3521" s="2"/>
      <c r="I3521" s="2"/>
      <c r="J3521" s="2"/>
      <c r="K3521" s="2"/>
      <c r="L3521" s="2"/>
    </row>
    <row r="3522" spans="1:15" customFormat="1" ht="16" x14ac:dyDescent="0.2">
      <c r="A3522" t="s">
        <v>343</v>
      </c>
      <c r="B3522" s="12">
        <f>INDEX(Parameters!$B$6:$AL$57,MATCH(Inventories!$B$3479,Parameters!$A$6:$A$57,0),MATCH(Inventories!$A3522,Parameters!$B$4:$AL$4,0))</f>
        <v>0</v>
      </c>
      <c r="C3522" t="s">
        <v>345</v>
      </c>
      <c r="D3522" s="2"/>
      <c r="E3522" s="2"/>
      <c r="F3522" s="2"/>
      <c r="G3522" s="2"/>
      <c r="H3522" s="2"/>
      <c r="I3522" s="2"/>
      <c r="J3522" s="2"/>
      <c r="K3522" s="2"/>
      <c r="L3522" s="2"/>
    </row>
    <row r="3523" spans="1:15" customFormat="1" ht="16" x14ac:dyDescent="0.2">
      <c r="A3523" s="1" t="s">
        <v>10</v>
      </c>
      <c r="B3523" s="2"/>
      <c r="C3523" s="2"/>
      <c r="D3523" s="2"/>
      <c r="E3523" s="2"/>
      <c r="F3523" s="2"/>
      <c r="G3523" s="2"/>
      <c r="H3523" s="2"/>
      <c r="I3523" s="2"/>
      <c r="J3523" s="2"/>
      <c r="K3523" s="2"/>
      <c r="L3523" s="2"/>
    </row>
    <row r="3524" spans="1:15" x14ac:dyDescent="0.2">
      <c r="A3524" s="17" t="s">
        <v>11</v>
      </c>
      <c r="B3524" s="17" t="s">
        <v>12</v>
      </c>
      <c r="C3524" s="17" t="s">
        <v>3</v>
      </c>
      <c r="D3524" s="17" t="s">
        <v>13</v>
      </c>
      <c r="E3524" s="17" t="s">
        <v>8</v>
      </c>
      <c r="F3524" s="17" t="s">
        <v>6</v>
      </c>
      <c r="G3524" s="17" t="s">
        <v>5</v>
      </c>
      <c r="H3524" s="17" t="s">
        <v>151</v>
      </c>
      <c r="I3524" s="17" t="s">
        <v>179</v>
      </c>
      <c r="J3524" s="17" t="s">
        <v>180</v>
      </c>
      <c r="K3524" s="17" t="s">
        <v>181</v>
      </c>
      <c r="L3524" s="17" t="s">
        <v>182</v>
      </c>
    </row>
    <row r="3525" spans="1:15" customFormat="1" ht="16" x14ac:dyDescent="0.2">
      <c r="A3525" s="2" t="str">
        <f>B3479</f>
        <v>hydrogen, used in a fuel cell in a passenger car</v>
      </c>
      <c r="B3525" s="2">
        <v>1</v>
      </c>
      <c r="C3525" s="2" t="str">
        <f>B3480</f>
        <v>RER</v>
      </c>
      <c r="D3525" s="2"/>
      <c r="E3525" s="2" t="str">
        <f>B3485</f>
        <v>megajoule</v>
      </c>
      <c r="F3525" s="2" t="s">
        <v>19</v>
      </c>
      <c r="G3525" s="2" t="str">
        <f>B3482</f>
        <v>heat</v>
      </c>
      <c r="H3525" s="2"/>
      <c r="I3525" s="2"/>
      <c r="K3525" s="2"/>
      <c r="L3525" s="2"/>
    </row>
    <row r="3526" spans="1:15" s="4" customFormat="1" ht="16" x14ac:dyDescent="0.2">
      <c r="A3526" s="2" t="s">
        <v>158</v>
      </c>
      <c r="B3526" s="11">
        <f>1/120</f>
        <v>8.3333333333333332E-3</v>
      </c>
      <c r="C3526" s="4" t="s">
        <v>18</v>
      </c>
      <c r="E3526" s="4" t="s">
        <v>9</v>
      </c>
      <c r="F3526" s="4" t="s">
        <v>23</v>
      </c>
      <c r="G3526" s="2" t="s">
        <v>159</v>
      </c>
      <c r="L3526" s="6"/>
      <c r="M3526"/>
      <c r="O3526" s="5"/>
    </row>
    <row r="3527" spans="1:15" customFormat="1" ht="16" x14ac:dyDescent="0.2">
      <c r="A3527" t="s">
        <v>146</v>
      </c>
      <c r="B3527" s="16">
        <f>(B3495/B3489)/(B3492/1000)</f>
        <v>3.728813559322034E-4</v>
      </c>
      <c r="C3527" t="s">
        <v>114</v>
      </c>
      <c r="E3527" t="s">
        <v>9</v>
      </c>
      <c r="F3527" t="s">
        <v>23</v>
      </c>
      <c r="G3527" t="s">
        <v>147</v>
      </c>
      <c r="H3527" s="2"/>
      <c r="I3527">
        <v>5</v>
      </c>
      <c r="J3527">
        <f>B3527</f>
        <v>3.728813559322034E-4</v>
      </c>
      <c r="K3527" s="3">
        <f>(B3496/B3491)/(B3494/1000)</f>
        <v>1.1566265060240965E-4</v>
      </c>
      <c r="L3527" s="3">
        <f>(B3497/B3490)/(B3493/1000)</f>
        <v>7.430555555555555E-4</v>
      </c>
    </row>
    <row r="3528" spans="1:15" customFormat="1" ht="16" x14ac:dyDescent="0.2">
      <c r="A3528" s="14" t="s">
        <v>113</v>
      </c>
      <c r="B3528" s="16">
        <f>(B3510/B3489)/(B3492/1000)</f>
        <v>5.0423728813559323E-4</v>
      </c>
      <c r="C3528" t="s">
        <v>114</v>
      </c>
      <c r="E3528" t="s">
        <v>8</v>
      </c>
      <c r="F3528" t="s">
        <v>23</v>
      </c>
      <c r="G3528" t="s">
        <v>115</v>
      </c>
      <c r="H3528" s="2"/>
      <c r="I3528" s="15">
        <v>5</v>
      </c>
      <c r="J3528">
        <f>B3528</f>
        <v>5.0423728813559323E-4</v>
      </c>
      <c r="K3528" s="16">
        <f>(B3511/B3491)/(B3494/1000)</f>
        <v>1.180722891566265E-4</v>
      </c>
      <c r="L3528" s="16">
        <f>(B3512/B3490)/(B3493/1000)</f>
        <v>1.0486111111111111E-3</v>
      </c>
    </row>
    <row r="3529" spans="1:15" customFormat="1" ht="16" x14ac:dyDescent="0.2">
      <c r="A3529" t="s">
        <v>194</v>
      </c>
      <c r="B3529" s="16">
        <f>(B3501/B3489)/(B3492/1000)</f>
        <v>4.3220338983050851E-4</v>
      </c>
      <c r="C3529" t="s">
        <v>18</v>
      </c>
      <c r="E3529" t="s">
        <v>9</v>
      </c>
      <c r="F3529" t="s">
        <v>23</v>
      </c>
      <c r="G3529" t="s">
        <v>195</v>
      </c>
      <c r="H3529" s="2"/>
      <c r="I3529">
        <v>5</v>
      </c>
      <c r="J3529">
        <f>B3529</f>
        <v>4.3220338983050851E-4</v>
      </c>
      <c r="K3529" s="16">
        <f>(B3502/B3491)/(B3494/1000)</f>
        <v>1.8795180722891566E-4</v>
      </c>
      <c r="L3529" s="16">
        <f>(B3503/B3490)/(B3493/1000)</f>
        <v>8.1249999999999996E-4</v>
      </c>
    </row>
    <row r="3530" spans="1:15" customFormat="1" ht="16" x14ac:dyDescent="0.2">
      <c r="A3530" t="s">
        <v>189</v>
      </c>
      <c r="B3530" s="16">
        <f>(B3504/B3489)/(B3492/1000)</f>
        <v>1.2711864406779663E-5</v>
      </c>
      <c r="C3530" s="2" t="s">
        <v>114</v>
      </c>
      <c r="E3530" t="s">
        <v>141</v>
      </c>
      <c r="F3530" t="s">
        <v>23</v>
      </c>
      <c r="G3530" t="s">
        <v>190</v>
      </c>
      <c r="H3530" s="2"/>
      <c r="I3530">
        <v>5</v>
      </c>
      <c r="J3530">
        <f>B3530</f>
        <v>1.2711864406779663E-5</v>
      </c>
      <c r="K3530" s="16">
        <f>(B3505/B3491)/(B3494/1000)</f>
        <v>2.4096385542168676E-6</v>
      </c>
      <c r="L3530" s="16">
        <f>(B3506/B3490)/(B3493/1000)</f>
        <v>2.7777777777777779E-5</v>
      </c>
    </row>
    <row r="3531" spans="1:15" customFormat="1" ht="16" x14ac:dyDescent="0.2">
      <c r="A3531" t="s">
        <v>183</v>
      </c>
      <c r="B3531" s="16">
        <f>(B3518/B3489)/(B3492/1000)</f>
        <v>1.6949152542372885E-5</v>
      </c>
      <c r="C3531" t="s">
        <v>114</v>
      </c>
      <c r="E3531" t="s">
        <v>9</v>
      </c>
      <c r="F3531" t="s">
        <v>23</v>
      </c>
      <c r="G3531" t="s">
        <v>184</v>
      </c>
      <c r="H3531" s="2"/>
    </row>
    <row r="3532" spans="1:15" customFormat="1" ht="16" x14ac:dyDescent="0.2">
      <c r="A3532" t="s">
        <v>185</v>
      </c>
      <c r="B3532" s="16">
        <f>(B3520/B3489)/(B3492/1000)</f>
        <v>3.3898305084745769E-5</v>
      </c>
      <c r="C3532" t="s">
        <v>114</v>
      </c>
      <c r="E3532" t="s">
        <v>9</v>
      </c>
      <c r="F3532" t="s">
        <v>23</v>
      </c>
      <c r="G3532" t="s">
        <v>186</v>
      </c>
      <c r="H3532" s="2"/>
    </row>
    <row r="3533" spans="1:15" customFormat="1" ht="16" x14ac:dyDescent="0.2">
      <c r="A3533" t="s">
        <v>187</v>
      </c>
      <c r="B3533" s="16">
        <f>(B3517/B3489)/(B3492/1000)</f>
        <v>1.2711864406779663E-5</v>
      </c>
      <c r="C3533" t="s">
        <v>114</v>
      </c>
      <c r="E3533" t="s">
        <v>9</v>
      </c>
      <c r="F3533" t="s">
        <v>23</v>
      </c>
      <c r="G3533" t="s">
        <v>188</v>
      </c>
      <c r="H3533" s="2"/>
    </row>
    <row r="3534" spans="1:15" s="4" customFormat="1" ht="16" x14ac:dyDescent="0.2">
      <c r="A3534" s="2" t="s">
        <v>118</v>
      </c>
      <c r="B3534" s="7">
        <f>0.56%*B3526</f>
        <v>4.6666666666666672E-5</v>
      </c>
      <c r="D3534" s="4" t="s">
        <v>116</v>
      </c>
      <c r="E3534" s="4" t="s">
        <v>9</v>
      </c>
      <c r="F3534" s="2" t="s">
        <v>15</v>
      </c>
      <c r="L3534" s="6"/>
      <c r="M3534"/>
      <c r="O3534" s="5"/>
    </row>
    <row r="3535" spans="1:15" s="4" customFormat="1" ht="16" x14ac:dyDescent="0.2">
      <c r="A3535" s="2" t="s">
        <v>98</v>
      </c>
      <c r="B3535" s="7">
        <f>B3526*9/1000</f>
        <v>7.4999999999999993E-5</v>
      </c>
      <c r="D3535" s="4" t="s">
        <v>116</v>
      </c>
      <c r="E3535" s="2" t="s">
        <v>94</v>
      </c>
      <c r="F3535" s="2" t="s">
        <v>15</v>
      </c>
      <c r="M3535"/>
      <c r="O3535" s="5"/>
    </row>
    <row r="3536" spans="1:15" customFormat="1" ht="16" x14ac:dyDescent="0.2">
      <c r="B3536" s="3"/>
      <c r="D3536" s="2"/>
      <c r="L3536" s="2"/>
    </row>
    <row r="3537" spans="1:12" x14ac:dyDescent="0.2">
      <c r="A3537" s="17" t="s">
        <v>2</v>
      </c>
      <c r="B3537" s="17" t="s">
        <v>91</v>
      </c>
    </row>
    <row r="3538" spans="1:12" customFormat="1" ht="16" x14ac:dyDescent="0.2">
      <c r="A3538" s="2" t="s">
        <v>3</v>
      </c>
      <c r="B3538" s="2" t="s">
        <v>18</v>
      </c>
      <c r="C3538" s="2"/>
      <c r="D3538" s="2"/>
      <c r="E3538" s="2"/>
      <c r="F3538" s="2"/>
      <c r="G3538" s="2"/>
      <c r="H3538" s="2"/>
      <c r="I3538" s="2"/>
      <c r="J3538" s="2"/>
      <c r="K3538" s="2"/>
      <c r="L3538" s="2"/>
    </row>
    <row r="3539" spans="1:12" customFormat="1" ht="16" x14ac:dyDescent="0.2">
      <c r="A3539" s="2" t="s">
        <v>4</v>
      </c>
      <c r="B3539" s="2">
        <v>1</v>
      </c>
      <c r="C3539" s="2"/>
      <c r="D3539" s="2"/>
      <c r="E3539" s="2"/>
      <c r="F3539" s="2"/>
      <c r="G3539" s="2"/>
      <c r="H3539" s="2"/>
      <c r="I3539" s="2"/>
      <c r="J3539" s="2"/>
      <c r="K3539" s="2"/>
      <c r="L3539" s="2"/>
    </row>
    <row r="3540" spans="1:12" customFormat="1" ht="16" x14ac:dyDescent="0.2">
      <c r="A3540" s="2" t="s">
        <v>5</v>
      </c>
      <c r="B3540" s="2" t="s">
        <v>1</v>
      </c>
      <c r="C3540" s="2"/>
      <c r="D3540" s="2"/>
      <c r="E3540" s="2"/>
      <c r="F3540" s="2"/>
      <c r="G3540" s="2"/>
      <c r="H3540" s="2"/>
      <c r="I3540" s="2"/>
      <c r="J3540" s="2"/>
    </row>
    <row r="3541" spans="1:12" customFormat="1" ht="16" x14ac:dyDescent="0.2">
      <c r="A3541" s="2" t="s">
        <v>6</v>
      </c>
      <c r="B3541" s="2" t="s">
        <v>7</v>
      </c>
      <c r="C3541" s="2"/>
      <c r="D3541" s="2"/>
      <c r="E3541" s="2"/>
      <c r="F3541" s="2"/>
      <c r="G3541" s="2"/>
      <c r="H3541" s="2"/>
      <c r="I3541" s="2"/>
      <c r="J3541" s="2"/>
      <c r="K3541" s="2"/>
      <c r="L3541" s="2"/>
    </row>
    <row r="3542" spans="1:12" customFormat="1" ht="16" x14ac:dyDescent="0.2">
      <c r="A3542" s="2" t="s">
        <v>8</v>
      </c>
      <c r="B3542" s="2" t="s">
        <v>17</v>
      </c>
      <c r="C3542" s="2"/>
      <c r="D3542" s="2"/>
      <c r="E3542" s="2"/>
      <c r="F3542" s="2"/>
      <c r="G3542" s="2"/>
      <c r="H3542" s="2"/>
      <c r="I3542" s="2"/>
      <c r="J3542" s="2"/>
      <c r="K3542" s="2"/>
      <c r="L3542" s="2"/>
    </row>
    <row r="3543" spans="1:12" customFormat="1" ht="16" x14ac:dyDescent="0.2">
      <c r="A3543" t="s">
        <v>352</v>
      </c>
      <c r="B3543" s="2">
        <f>INDEX(Parameters!$B$6:$AL$57,MATCH(Inventories!$B$3537,Parameters!$A$6:$A$57,0),MATCH(Inventories!$A3543,Parameters!$B$4:$AL$4,0))</f>
        <v>126</v>
      </c>
      <c r="C3543" t="s">
        <v>312</v>
      </c>
      <c r="D3543" s="2"/>
      <c r="E3543" s="2"/>
      <c r="F3543" s="2"/>
      <c r="G3543" s="2"/>
      <c r="H3543" s="2"/>
      <c r="I3543" s="2"/>
      <c r="J3543" s="2"/>
      <c r="K3543" s="2"/>
      <c r="L3543" s="2"/>
    </row>
    <row r="3544" spans="1:12" customFormat="1" ht="16" x14ac:dyDescent="0.2">
      <c r="A3544" t="s">
        <v>353</v>
      </c>
      <c r="B3544" s="2">
        <f>INDEX(Parameters!$B$6:$AL$57,MATCH(Inventories!$B$3537,Parameters!$A$6:$A$57,0),MATCH(Inventories!$A3544,Parameters!$B$4:$AL$4,0))</f>
        <v>55</v>
      </c>
      <c r="C3544" t="s">
        <v>312</v>
      </c>
      <c r="D3544" s="2"/>
      <c r="E3544" s="2"/>
      <c r="F3544" s="2"/>
      <c r="G3544" s="2"/>
      <c r="H3544" s="2"/>
      <c r="I3544" s="2"/>
      <c r="J3544" s="2"/>
      <c r="K3544" s="2"/>
      <c r="L3544" s="2"/>
    </row>
    <row r="3545" spans="1:12" customFormat="1" ht="16" x14ac:dyDescent="0.2">
      <c r="A3545" t="s">
        <v>354</v>
      </c>
      <c r="B3545" s="2">
        <f>INDEX(Parameters!$B$6:$AL$57,MATCH(Inventories!$B$3537,Parameters!$A$6:$A$57,0),MATCH(Inventories!$A3545,Parameters!$B$4:$AL$4,0))</f>
        <v>160</v>
      </c>
      <c r="C3545" t="s">
        <v>312</v>
      </c>
      <c r="D3545" s="2"/>
      <c r="E3545" s="2"/>
      <c r="F3545" s="2"/>
      <c r="G3545" s="2"/>
      <c r="H3545" s="2"/>
      <c r="I3545" s="2"/>
      <c r="J3545" s="2"/>
      <c r="K3545" s="2"/>
      <c r="L3545" s="2"/>
    </row>
    <row r="3546" spans="1:12" customFormat="1" ht="16" x14ac:dyDescent="0.2">
      <c r="A3546" t="s">
        <v>316</v>
      </c>
      <c r="B3546" s="24">
        <f>INDEX(Parameters!$B$6:$AL$57,MATCH(Inventories!$B$3537,Parameters!$A$6:$A$57,0),MATCH(Inventories!$A3546,Parameters!$B$4:$AL$4,0))</f>
        <v>200000</v>
      </c>
      <c r="C3546" t="s">
        <v>313</v>
      </c>
      <c r="D3546" s="2"/>
      <c r="E3546" s="2"/>
      <c r="F3546" s="2"/>
      <c r="G3546" s="2"/>
      <c r="H3546" s="2"/>
      <c r="I3546" s="2"/>
      <c r="J3546" s="2"/>
      <c r="K3546" s="2"/>
      <c r="L3546" s="2"/>
    </row>
    <row r="3547" spans="1:12" customFormat="1" ht="16" x14ac:dyDescent="0.2">
      <c r="A3547" t="s">
        <v>317</v>
      </c>
      <c r="B3547" s="24">
        <f>INDEX(Parameters!$B$6:$AL$57,MATCH(Inventories!$B$3537,Parameters!$A$6:$A$57,0),MATCH(Inventories!$A3547,Parameters!$B$4:$AL$4,0))</f>
        <v>160000</v>
      </c>
      <c r="C3547" t="s">
        <v>313</v>
      </c>
      <c r="D3547" s="2"/>
      <c r="E3547" s="2"/>
      <c r="F3547" s="2"/>
      <c r="G3547" s="2"/>
      <c r="H3547" s="2"/>
      <c r="I3547" s="2"/>
      <c r="J3547" s="2"/>
      <c r="K3547" s="2"/>
      <c r="L3547" s="2"/>
    </row>
    <row r="3548" spans="1:12" customFormat="1" ht="16" x14ac:dyDescent="0.2">
      <c r="A3548" t="s">
        <v>318</v>
      </c>
      <c r="B3548" s="24">
        <f>INDEX(Parameters!$B$6:$AL$57,MATCH(Inventories!$B$3537,Parameters!$A$6:$A$57,0),MATCH(Inventories!$A3548,Parameters!$B$4:$AL$4,0))</f>
        <v>250000</v>
      </c>
      <c r="C3548" t="s">
        <v>313</v>
      </c>
      <c r="D3548" s="2"/>
      <c r="E3548" s="2"/>
      <c r="F3548" s="2"/>
      <c r="G3548" s="2"/>
      <c r="H3548" s="2"/>
      <c r="I3548" s="2"/>
      <c r="J3548" s="2"/>
      <c r="K3548" s="2"/>
      <c r="L3548" s="2"/>
    </row>
    <row r="3549" spans="1:12" customFormat="1" ht="16" x14ac:dyDescent="0.2">
      <c r="A3549" t="s">
        <v>319</v>
      </c>
      <c r="B3549" s="2">
        <f>INDEX(Parameters!$B$6:$AL$57,MATCH(Inventories!$B$3537,Parameters!$A$6:$A$57,0),MATCH(Inventories!$A3549,Parameters!$B$4:$AL$4,0))</f>
        <v>2540</v>
      </c>
      <c r="C3549" t="s">
        <v>314</v>
      </c>
      <c r="D3549" s="2"/>
      <c r="E3549" s="2"/>
      <c r="F3549" s="2"/>
      <c r="G3549" s="2"/>
      <c r="H3549" s="2"/>
      <c r="I3549" s="2"/>
      <c r="J3549" s="2"/>
      <c r="K3549" s="2"/>
      <c r="L3549" s="2"/>
    </row>
    <row r="3550" spans="1:12" customFormat="1" ht="16" x14ac:dyDescent="0.2">
      <c r="A3550" t="s">
        <v>320</v>
      </c>
      <c r="B3550" s="2">
        <f>INDEX(Parameters!$B$6:$AL$57,MATCH(Inventories!$B$3537,Parameters!$A$6:$A$57,0),MATCH(Inventories!$A3550,Parameters!$B$4:$AL$4,0))</f>
        <v>1660</v>
      </c>
      <c r="C3550" t="s">
        <v>314</v>
      </c>
      <c r="D3550" s="2"/>
      <c r="E3550" s="2"/>
      <c r="F3550" s="2"/>
      <c r="G3550" s="2"/>
      <c r="H3550" s="2"/>
      <c r="I3550" s="2"/>
      <c r="J3550" s="2"/>
      <c r="K3550" s="2"/>
      <c r="L3550" s="2"/>
    </row>
    <row r="3551" spans="1:12" customFormat="1" ht="16" x14ac:dyDescent="0.2">
      <c r="A3551" t="s">
        <v>321</v>
      </c>
      <c r="B3551" s="2">
        <f>INDEX(Parameters!$B$6:$AL$57,MATCH(Inventories!$B$3537,Parameters!$A$6:$A$57,0),MATCH(Inventories!$A3551,Parameters!$B$4:$AL$4,0))</f>
        <v>3020</v>
      </c>
      <c r="C3551" t="s">
        <v>314</v>
      </c>
      <c r="D3551" s="2"/>
      <c r="E3551" s="2"/>
      <c r="F3551" s="2"/>
      <c r="G3551" s="2"/>
      <c r="H3551" s="2"/>
      <c r="I3551" s="2"/>
      <c r="J3551" s="2"/>
      <c r="K3551" s="2"/>
      <c r="L3551" s="2"/>
    </row>
    <row r="3552" spans="1:12" customFormat="1" ht="16" x14ac:dyDescent="0.2">
      <c r="A3552" t="s">
        <v>337</v>
      </c>
      <c r="B3552" s="2">
        <f>INDEX(Parameters!$B$6:$AL$57,MATCH(Inventories!$B$3537,Parameters!$A$6:$A$57,0),MATCH(Inventories!$A3552,Parameters!$B$4:$AL$4,0))</f>
        <v>0</v>
      </c>
      <c r="C3552" t="s">
        <v>336</v>
      </c>
      <c r="D3552" s="2"/>
      <c r="E3552" s="2"/>
      <c r="F3552" s="2"/>
      <c r="G3552" s="2"/>
      <c r="H3552" s="2"/>
      <c r="I3552" s="2"/>
      <c r="J3552" s="2"/>
      <c r="K3552" s="2"/>
      <c r="L3552" s="2"/>
    </row>
    <row r="3553" spans="1:12" customFormat="1" ht="16" x14ac:dyDescent="0.2">
      <c r="A3553" t="s">
        <v>338</v>
      </c>
      <c r="B3553" s="2">
        <f>INDEX(Parameters!$B$6:$AL$57,MATCH(Inventories!$B$3537,Parameters!$A$6:$A$57,0),MATCH(Inventories!$A3553,Parameters!$B$4:$AL$4,0))</f>
        <v>0</v>
      </c>
      <c r="C3553" t="s">
        <v>336</v>
      </c>
      <c r="D3553" s="2"/>
      <c r="E3553" s="2"/>
      <c r="F3553" s="2"/>
      <c r="G3553" s="2"/>
      <c r="H3553" s="2"/>
      <c r="I3553" s="2"/>
      <c r="J3553" s="2"/>
      <c r="K3553" s="2"/>
      <c r="L3553" s="2"/>
    </row>
    <row r="3554" spans="1:12" customFormat="1" ht="16" x14ac:dyDescent="0.2">
      <c r="A3554" t="s">
        <v>339</v>
      </c>
      <c r="B3554" s="2">
        <f>INDEX(Parameters!$B$6:$AL$57,MATCH(Inventories!$B$3537,Parameters!$A$6:$A$57,0),MATCH(Inventories!$A3554,Parameters!$B$4:$AL$4,0))</f>
        <v>0</v>
      </c>
      <c r="C3554" t="s">
        <v>336</v>
      </c>
      <c r="D3554" s="2"/>
      <c r="E3554" s="2"/>
      <c r="F3554" s="2"/>
      <c r="G3554" s="2"/>
      <c r="H3554" s="2"/>
      <c r="I3554" s="2"/>
      <c r="J3554" s="2"/>
      <c r="K3554" s="2"/>
      <c r="L3554" s="2"/>
    </row>
    <row r="3555" spans="1:12" customFormat="1" ht="16" x14ac:dyDescent="0.2">
      <c r="A3555" t="s">
        <v>340</v>
      </c>
      <c r="B3555" s="2">
        <f>INDEX(Parameters!$B$6:$AL$57,MATCH(Inventories!$B$3537,Parameters!$A$6:$A$57,0),MATCH(Inventories!$A3555,Parameters!$B$4:$AL$4,0))</f>
        <v>145</v>
      </c>
      <c r="C3555" t="s">
        <v>336</v>
      </c>
      <c r="D3555" s="2"/>
      <c r="E3555" s="2"/>
      <c r="F3555" s="2"/>
      <c r="G3555" s="2"/>
      <c r="H3555" s="2"/>
      <c r="I3555" s="2"/>
      <c r="J3555" s="2"/>
      <c r="K3555" s="2"/>
      <c r="L3555" s="2"/>
    </row>
    <row r="3556" spans="1:12" customFormat="1" ht="16" x14ac:dyDescent="0.2">
      <c r="A3556" t="s">
        <v>341</v>
      </c>
      <c r="B3556" s="2">
        <f>INDEX(Parameters!$B$6:$AL$57,MATCH(Inventories!$B$3537,Parameters!$A$6:$A$57,0),MATCH(Inventories!$A3556,Parameters!$B$4:$AL$4,0))</f>
        <v>96</v>
      </c>
      <c r="C3556" t="s">
        <v>336</v>
      </c>
      <c r="D3556" s="2"/>
      <c r="E3556" s="2"/>
      <c r="F3556" s="2"/>
      <c r="G3556" s="2"/>
      <c r="H3556" s="2"/>
      <c r="I3556" s="2"/>
      <c r="J3556" s="2"/>
      <c r="K3556" s="2"/>
      <c r="L3556" s="2"/>
    </row>
    <row r="3557" spans="1:12" customFormat="1" ht="16" x14ac:dyDescent="0.2">
      <c r="A3557" t="s">
        <v>342</v>
      </c>
      <c r="B3557" s="2">
        <f>INDEX(Parameters!$B$6:$AL$57,MATCH(Inventories!$B$3537,Parameters!$A$6:$A$57,0),MATCH(Inventories!$A3557,Parameters!$B$4:$AL$4,0))</f>
        <v>169</v>
      </c>
      <c r="C3557" t="s">
        <v>336</v>
      </c>
      <c r="D3557" s="2"/>
      <c r="E3557" s="2"/>
      <c r="F3557" s="2"/>
      <c r="G3557" s="2"/>
      <c r="H3557" s="2"/>
      <c r="I3557" s="2"/>
      <c r="J3557" s="2"/>
      <c r="K3557" s="2"/>
      <c r="L3557" s="2"/>
    </row>
    <row r="3558" spans="1:12" customFormat="1" ht="16" x14ac:dyDescent="0.2">
      <c r="A3558" t="s">
        <v>333</v>
      </c>
      <c r="B3558" s="2">
        <f>INDEX(Parameters!$B$6:$AL$57,MATCH(Inventories!$B$3537,Parameters!$A$6:$A$57,0),MATCH(Inventories!$A3558,Parameters!$B$4:$AL$4,0))</f>
        <v>75</v>
      </c>
      <c r="C3558" t="s">
        <v>336</v>
      </c>
      <c r="D3558" s="2"/>
      <c r="E3558" s="2"/>
      <c r="F3558" s="2"/>
      <c r="G3558" s="2"/>
      <c r="H3558" s="2"/>
      <c r="I3558" s="2"/>
      <c r="J3558" s="2"/>
      <c r="K3558" s="2"/>
      <c r="L3558" s="2"/>
    </row>
    <row r="3559" spans="1:12" customFormat="1" ht="16" x14ac:dyDescent="0.2">
      <c r="A3559" t="s">
        <v>334</v>
      </c>
      <c r="B3559" s="2">
        <f>INDEX(Parameters!$B$6:$AL$57,MATCH(Inventories!$B$3537,Parameters!$A$6:$A$57,0),MATCH(Inventories!$A3559,Parameters!$B$4:$AL$4,0))</f>
        <v>57</v>
      </c>
      <c r="C3559" t="s">
        <v>336</v>
      </c>
      <c r="D3559" s="2"/>
      <c r="E3559" s="2"/>
      <c r="F3559" s="2"/>
      <c r="G3559" s="2"/>
      <c r="H3559" s="2"/>
      <c r="I3559" s="2"/>
      <c r="J3559" s="2"/>
      <c r="K3559" s="2"/>
      <c r="L3559" s="2"/>
    </row>
    <row r="3560" spans="1:12" customFormat="1" ht="16" x14ac:dyDescent="0.2">
      <c r="A3560" t="s">
        <v>335</v>
      </c>
      <c r="B3560" s="2">
        <f>INDEX(Parameters!$B$6:$AL$57,MATCH(Inventories!$B$3537,Parameters!$A$6:$A$57,0),MATCH(Inventories!$A3560,Parameters!$B$4:$AL$4,0))</f>
        <v>89</v>
      </c>
      <c r="C3560" t="s">
        <v>336</v>
      </c>
      <c r="D3560" s="2"/>
      <c r="E3560" s="2"/>
      <c r="F3560" s="2"/>
      <c r="G3560" s="2"/>
      <c r="H3560" s="2"/>
      <c r="I3560" s="2"/>
      <c r="J3560" s="2"/>
      <c r="K3560" s="2"/>
      <c r="L3560" s="2"/>
    </row>
    <row r="3561" spans="1:12" customFormat="1" ht="16" x14ac:dyDescent="0.2">
      <c r="A3561" t="s">
        <v>322</v>
      </c>
      <c r="B3561" s="2">
        <f>INDEX(Parameters!$B$6:$AL$57,MATCH(Inventories!$B$3537,Parameters!$A$6:$A$57,0),MATCH(Inventories!$A3561,Parameters!$B$4:$AL$4,0))</f>
        <v>0</v>
      </c>
      <c r="C3561" t="s">
        <v>315</v>
      </c>
      <c r="D3561" s="2"/>
      <c r="E3561" s="2"/>
      <c r="F3561" s="2"/>
      <c r="G3561" s="2"/>
      <c r="H3561" s="2"/>
      <c r="I3561" s="2"/>
      <c r="J3561" s="2"/>
      <c r="K3561" s="2"/>
      <c r="L3561" s="2"/>
    </row>
    <row r="3562" spans="1:12" customFormat="1" ht="16" x14ac:dyDescent="0.2">
      <c r="A3562" t="s">
        <v>323</v>
      </c>
      <c r="B3562" s="2">
        <f>INDEX(Parameters!$B$6:$AL$57,MATCH(Inventories!$B$3537,Parameters!$A$6:$A$57,0),MATCH(Inventories!$A3562,Parameters!$B$4:$AL$4,0))</f>
        <v>0</v>
      </c>
      <c r="C3562" t="s">
        <v>315</v>
      </c>
      <c r="D3562" s="2"/>
      <c r="E3562" s="2"/>
      <c r="F3562" s="2"/>
      <c r="G3562" s="2"/>
      <c r="H3562" s="2"/>
      <c r="I3562" s="2"/>
      <c r="J3562" s="2"/>
      <c r="K3562" s="2"/>
      <c r="L3562" s="2"/>
    </row>
    <row r="3563" spans="1:12" customFormat="1" ht="16" x14ac:dyDescent="0.2">
      <c r="A3563" t="s">
        <v>324</v>
      </c>
      <c r="B3563" s="2">
        <f>INDEX(Parameters!$B$6:$AL$57,MATCH(Inventories!$B$3537,Parameters!$A$6:$A$57,0),MATCH(Inventories!$A3563,Parameters!$B$4:$AL$4,0))</f>
        <v>0</v>
      </c>
      <c r="C3563" t="s">
        <v>315</v>
      </c>
      <c r="D3563" s="2"/>
      <c r="E3563" s="2"/>
      <c r="F3563" s="2"/>
      <c r="G3563" s="2"/>
      <c r="H3563" s="2"/>
      <c r="I3563" s="2"/>
      <c r="J3563" s="2"/>
      <c r="K3563" s="2"/>
      <c r="L3563" s="2"/>
    </row>
    <row r="3564" spans="1:12" customFormat="1" ht="16" x14ac:dyDescent="0.2">
      <c r="A3564" t="s">
        <v>330</v>
      </c>
      <c r="B3564" s="2">
        <f>INDEX(Parameters!$B$6:$AL$57,MATCH(Inventories!$B$3537,Parameters!$A$6:$A$57,0),MATCH(Inventories!$A3564,Parameters!$B$4:$AL$4,0))</f>
        <v>0</v>
      </c>
      <c r="C3564" t="s">
        <v>8</v>
      </c>
      <c r="D3564" s="2"/>
      <c r="E3564" s="2"/>
      <c r="F3564" s="2"/>
      <c r="G3564" s="2"/>
      <c r="H3564" s="2"/>
      <c r="I3564" s="2"/>
      <c r="J3564" s="2"/>
      <c r="K3564" s="2"/>
      <c r="L3564" s="2"/>
    </row>
    <row r="3565" spans="1:12" customFormat="1" ht="16" x14ac:dyDescent="0.2">
      <c r="A3565" t="s">
        <v>331</v>
      </c>
      <c r="B3565" s="2">
        <f>INDEX(Parameters!$B$6:$AL$57,MATCH(Inventories!$B$3537,Parameters!$A$6:$A$57,0),MATCH(Inventories!$A3565,Parameters!$B$4:$AL$4,0))</f>
        <v>0</v>
      </c>
      <c r="C3565" t="s">
        <v>8</v>
      </c>
      <c r="D3565" s="2"/>
      <c r="E3565" s="2"/>
      <c r="F3565" s="2"/>
      <c r="G3565" s="2"/>
      <c r="H3565" s="2"/>
      <c r="I3565" s="2"/>
      <c r="J3565" s="2"/>
      <c r="K3565" s="2"/>
      <c r="L3565" s="2"/>
    </row>
    <row r="3566" spans="1:12" customFormat="1" ht="16" x14ac:dyDescent="0.2">
      <c r="A3566" t="s">
        <v>332</v>
      </c>
      <c r="B3566" s="2">
        <f>INDEX(Parameters!$B$6:$AL$57,MATCH(Inventories!$B$3537,Parameters!$A$6:$A$57,0),MATCH(Inventories!$A3566,Parameters!$B$4:$AL$4,0))</f>
        <v>0</v>
      </c>
      <c r="C3566" t="s">
        <v>8</v>
      </c>
      <c r="D3566" s="2"/>
      <c r="E3566" s="2"/>
      <c r="F3566" s="2"/>
      <c r="G3566" s="2"/>
      <c r="H3566" s="2"/>
      <c r="I3566" s="2"/>
      <c r="J3566" s="2"/>
      <c r="K3566" s="2"/>
      <c r="L3566" s="2"/>
    </row>
    <row r="3567" spans="1:12" customFormat="1" ht="16" x14ac:dyDescent="0.2">
      <c r="A3567" t="s">
        <v>346</v>
      </c>
      <c r="B3567" s="2">
        <f>INDEX(Parameters!$B$6:$AL$57,MATCH(Inventories!$B$3537,Parameters!$A$6:$A$57,0),MATCH(Inventories!$A3567,Parameters!$B$4:$AL$4,0))</f>
        <v>0</v>
      </c>
      <c r="C3567" t="s">
        <v>312</v>
      </c>
      <c r="D3567" s="2"/>
      <c r="E3567" s="2"/>
      <c r="F3567" s="2"/>
      <c r="G3567" s="2"/>
      <c r="H3567" s="2"/>
      <c r="I3567" s="2"/>
      <c r="J3567" s="2"/>
      <c r="K3567" s="2"/>
      <c r="L3567" s="2"/>
    </row>
    <row r="3568" spans="1:12" customFormat="1" ht="16" x14ac:dyDescent="0.2">
      <c r="A3568" t="s">
        <v>347</v>
      </c>
      <c r="B3568" s="2">
        <f>INDEX(Parameters!$B$6:$AL$57,MATCH(Inventories!$B$3537,Parameters!$A$6:$A$57,0),MATCH(Inventories!$A3568,Parameters!$B$4:$AL$4,0))</f>
        <v>0</v>
      </c>
      <c r="C3568" t="s">
        <v>312</v>
      </c>
      <c r="D3568" s="2"/>
      <c r="E3568" s="12"/>
      <c r="F3568" s="2"/>
      <c r="G3568" s="2"/>
      <c r="H3568" s="2"/>
      <c r="I3568" s="2"/>
      <c r="J3568" s="2"/>
      <c r="K3568" s="2"/>
      <c r="L3568" s="2"/>
    </row>
    <row r="3569" spans="1:12" customFormat="1" ht="16" x14ac:dyDescent="0.2">
      <c r="A3569" t="s">
        <v>348</v>
      </c>
      <c r="B3569" s="2">
        <f>INDEX(Parameters!$B$6:$AL$57,MATCH(Inventories!$B$3537,Parameters!$A$6:$A$57,0),MATCH(Inventories!$A3569,Parameters!$B$4:$AL$4,0))</f>
        <v>0</v>
      </c>
      <c r="C3569" t="s">
        <v>312</v>
      </c>
      <c r="D3569" s="2"/>
      <c r="E3569" s="2"/>
      <c r="F3569" s="2"/>
      <c r="G3569" s="2"/>
      <c r="H3569" s="2"/>
      <c r="I3569" s="2"/>
      <c r="J3569" s="2"/>
      <c r="K3569" s="2"/>
      <c r="L3569" s="2"/>
    </row>
    <row r="3570" spans="1:12" customFormat="1" ht="16" x14ac:dyDescent="0.2">
      <c r="A3570" t="s">
        <v>349</v>
      </c>
      <c r="B3570" s="2">
        <f>INDEX(Parameters!$B$6:$AL$57,MATCH(Inventories!$B$3537,Parameters!$A$6:$A$57,0),MATCH(Inventories!$A3570,Parameters!$B$4:$AL$4,0))</f>
        <v>0</v>
      </c>
      <c r="C3570" t="s">
        <v>8</v>
      </c>
      <c r="D3570" s="2"/>
      <c r="E3570" s="2"/>
      <c r="F3570" s="2"/>
      <c r="G3570" s="2"/>
      <c r="H3570" s="2"/>
      <c r="I3570" s="2"/>
      <c r="J3570" s="2"/>
      <c r="K3570" s="2"/>
      <c r="L3570" s="2"/>
    </row>
    <row r="3571" spans="1:12" customFormat="1" ht="16" x14ac:dyDescent="0.2">
      <c r="A3571" t="s">
        <v>350</v>
      </c>
      <c r="B3571" s="2">
        <f>INDEX(Parameters!$B$6:$AL$57,MATCH(Inventories!$B$3537,Parameters!$A$6:$A$57,0),MATCH(Inventories!$A3571,Parameters!$B$4:$AL$4,0))</f>
        <v>0</v>
      </c>
      <c r="C3571" t="s">
        <v>8</v>
      </c>
      <c r="D3571" s="2"/>
      <c r="E3571" s="2"/>
      <c r="F3571" s="2"/>
      <c r="G3571" s="2"/>
      <c r="H3571" s="2"/>
      <c r="I3571" s="2"/>
      <c r="J3571" s="2"/>
      <c r="K3571" s="2"/>
      <c r="L3571" s="2"/>
    </row>
    <row r="3572" spans="1:12" customFormat="1" ht="16" x14ac:dyDescent="0.2">
      <c r="A3572" t="s">
        <v>351</v>
      </c>
      <c r="B3572" s="2">
        <f>INDEX(Parameters!$B$6:$AL$57,MATCH(Inventories!$B$3537,Parameters!$A$6:$A$57,0),MATCH(Inventories!$A3572,Parameters!$B$4:$AL$4,0))</f>
        <v>0</v>
      </c>
      <c r="C3572" t="s">
        <v>8</v>
      </c>
      <c r="D3572" s="2"/>
      <c r="E3572" s="2"/>
      <c r="F3572" s="2"/>
      <c r="G3572" s="2"/>
      <c r="H3572" s="2"/>
      <c r="I3572" s="2"/>
      <c r="J3572" s="2"/>
      <c r="K3572" s="2"/>
      <c r="L3572" s="2"/>
    </row>
    <row r="3573" spans="1:12" customFormat="1" ht="16" x14ac:dyDescent="0.2">
      <c r="A3573" t="s">
        <v>365</v>
      </c>
      <c r="B3573" s="2">
        <f>INDEX(Parameters!$B$6:$AL$57,MATCH(Inventories!$B$3537,Parameters!$A$6:$A$57,0),MATCH(Inventories!$A3573,Parameters!$B$4:$AL$4,0))</f>
        <v>0</v>
      </c>
      <c r="C3573" t="s">
        <v>336</v>
      </c>
      <c r="D3573" s="2"/>
      <c r="E3573" s="2"/>
      <c r="F3573" s="2"/>
      <c r="G3573" s="2"/>
      <c r="H3573" s="2"/>
      <c r="I3573" s="2"/>
      <c r="J3573" s="2"/>
      <c r="K3573" s="2"/>
      <c r="L3573" s="2"/>
    </row>
    <row r="3574" spans="1:12" customFormat="1" ht="16" x14ac:dyDescent="0.2">
      <c r="A3574" t="s">
        <v>366</v>
      </c>
      <c r="B3574" s="2">
        <f>INDEX(Parameters!$B$6:$AL$57,MATCH(Inventories!$B$3537,Parameters!$A$6:$A$57,0),MATCH(Inventories!$A3574,Parameters!$B$4:$AL$4,0))</f>
        <v>0</v>
      </c>
      <c r="C3574" t="s">
        <v>336</v>
      </c>
      <c r="D3574" s="2"/>
      <c r="E3574" s="2"/>
      <c r="F3574" s="2"/>
      <c r="G3574" s="2"/>
      <c r="H3574" s="2"/>
      <c r="I3574" s="2"/>
      <c r="J3574" s="2"/>
      <c r="K3574" s="2"/>
      <c r="L3574" s="2"/>
    </row>
    <row r="3575" spans="1:12" customFormat="1" ht="16" x14ac:dyDescent="0.2">
      <c r="A3575" t="s">
        <v>367</v>
      </c>
      <c r="B3575" s="2">
        <f>INDEX(Parameters!$B$6:$AL$57,MATCH(Inventories!$B$3537,Parameters!$A$6:$A$57,0),MATCH(Inventories!$A3575,Parameters!$B$4:$AL$4,0))</f>
        <v>0</v>
      </c>
      <c r="C3575" t="s">
        <v>336</v>
      </c>
      <c r="D3575" s="2"/>
      <c r="E3575" s="2"/>
      <c r="F3575" s="2"/>
      <c r="G3575" s="2"/>
      <c r="H3575" s="2"/>
      <c r="I3575" s="2"/>
      <c r="J3575" s="2"/>
      <c r="K3575" s="2"/>
      <c r="L3575" s="2"/>
    </row>
    <row r="3576" spans="1:12" customFormat="1" ht="16" x14ac:dyDescent="0.2">
      <c r="A3576" t="s">
        <v>368</v>
      </c>
      <c r="B3576" s="2">
        <f>INDEX(Parameters!$B$6:$AL$57,MATCH(Inventories!$B$3537,Parameters!$A$6:$A$57,0),MATCH(Inventories!$A3576,Parameters!$B$4:$AL$4,0))</f>
        <v>0</v>
      </c>
      <c r="C3576" t="s">
        <v>336</v>
      </c>
      <c r="D3576" s="2"/>
      <c r="E3576" s="2"/>
      <c r="F3576" s="2"/>
      <c r="G3576" s="2"/>
      <c r="H3576" s="2"/>
      <c r="I3576" s="2"/>
      <c r="J3576" s="2"/>
      <c r="K3576" s="2"/>
      <c r="L3576" s="2"/>
    </row>
    <row r="3577" spans="1:12" customFormat="1" ht="16" x14ac:dyDescent="0.2">
      <c r="A3577" t="s">
        <v>369</v>
      </c>
      <c r="B3577" s="2">
        <f>INDEX(Parameters!$B$6:$AL$57,MATCH(Inventories!$B$3537,Parameters!$A$6:$A$57,0),MATCH(Inventories!$A3577,Parameters!$B$4:$AL$4,0))</f>
        <v>0</v>
      </c>
      <c r="C3577" t="s">
        <v>336</v>
      </c>
      <c r="D3577" s="2"/>
      <c r="E3577" s="2"/>
      <c r="F3577" s="2"/>
      <c r="G3577" s="2"/>
      <c r="H3577" s="2"/>
      <c r="I3577" s="2"/>
      <c r="J3577" s="2"/>
      <c r="K3577" s="2"/>
      <c r="L3577" s="2"/>
    </row>
    <row r="3578" spans="1:12" customFormat="1" ht="16" x14ac:dyDescent="0.2">
      <c r="A3578" t="s">
        <v>344</v>
      </c>
      <c r="B3578" s="12">
        <f>INDEX(Parameters!$B$6:$AL$57,MATCH(Inventories!$B$3537,Parameters!$A$6:$A$57,0),MATCH(Inventories!$A3578,Parameters!$B$4:$AL$4,0))</f>
        <v>6.4438710000000003E-3</v>
      </c>
      <c r="C3578" t="s">
        <v>345</v>
      </c>
      <c r="D3578" s="2"/>
      <c r="E3578" s="2"/>
      <c r="F3578" s="2"/>
      <c r="G3578" s="2"/>
      <c r="H3578" s="2"/>
      <c r="I3578" s="2"/>
      <c r="J3578" s="2"/>
      <c r="K3578" s="2"/>
      <c r="L3578" s="2"/>
    </row>
    <row r="3579" spans="1:12" customFormat="1" ht="16" x14ac:dyDescent="0.2">
      <c r="A3579" t="s">
        <v>343</v>
      </c>
      <c r="B3579" s="12">
        <f>INDEX(Parameters!$B$6:$AL$57,MATCH(Inventories!$B$3537,Parameters!$A$6:$A$57,0),MATCH(Inventories!$A3579,Parameters!$B$4:$AL$4,0))</f>
        <v>9.6806300000000002E-4</v>
      </c>
      <c r="C3579" t="s">
        <v>345</v>
      </c>
      <c r="D3579" s="2"/>
      <c r="E3579" s="2"/>
      <c r="F3579" s="2"/>
      <c r="G3579" s="2"/>
      <c r="H3579" s="2"/>
      <c r="I3579" s="2"/>
      <c r="J3579" s="2"/>
      <c r="K3579" s="2"/>
      <c r="L3579" s="2"/>
    </row>
    <row r="3580" spans="1:12" customFormat="1" ht="16" x14ac:dyDescent="0.2">
      <c r="A3580" s="1" t="s">
        <v>10</v>
      </c>
      <c r="B3580" s="2"/>
      <c r="C3580" s="2"/>
      <c r="D3580" s="2"/>
      <c r="E3580" s="2"/>
      <c r="F3580" s="2"/>
      <c r="G3580" s="2"/>
      <c r="H3580" s="2"/>
      <c r="I3580" s="2"/>
      <c r="J3580" s="2"/>
      <c r="K3580" s="2"/>
      <c r="L3580" s="2"/>
    </row>
    <row r="3581" spans="1:12" x14ac:dyDescent="0.2">
      <c r="A3581" s="17" t="s">
        <v>11</v>
      </c>
      <c r="B3581" s="17" t="s">
        <v>12</v>
      </c>
      <c r="C3581" s="17" t="s">
        <v>3</v>
      </c>
      <c r="D3581" s="17" t="s">
        <v>13</v>
      </c>
      <c r="E3581" s="17" t="s">
        <v>8</v>
      </c>
      <c r="F3581" s="17" t="s">
        <v>6</v>
      </c>
      <c r="G3581" s="17" t="s">
        <v>5</v>
      </c>
      <c r="H3581" s="17" t="s">
        <v>151</v>
      </c>
      <c r="I3581" s="17" t="s">
        <v>179</v>
      </c>
      <c r="J3581" s="17" t="s">
        <v>180</v>
      </c>
      <c r="K3581" s="17" t="s">
        <v>181</v>
      </c>
      <c r="L3581" s="17" t="s">
        <v>182</v>
      </c>
    </row>
    <row r="3582" spans="1:12" customFormat="1" ht="16" x14ac:dyDescent="0.2">
      <c r="A3582" s="2" t="str">
        <f>B3537</f>
        <v>compressed gas, burned in passenger car</v>
      </c>
      <c r="B3582" s="2">
        <v>1</v>
      </c>
      <c r="C3582" s="2" t="str">
        <f>B3538</f>
        <v>RER</v>
      </c>
      <c r="D3582" s="2"/>
      <c r="E3582" s="2" t="str">
        <f>B3542</f>
        <v>megajoule</v>
      </c>
      <c r="F3582" s="2" t="s">
        <v>19</v>
      </c>
      <c r="G3582" s="2" t="str">
        <f>B3540</f>
        <v>heat</v>
      </c>
      <c r="H3582" s="2"/>
      <c r="I3582" s="2"/>
      <c r="J3582" s="2"/>
      <c r="K3582" s="2"/>
      <c r="L3582" s="2"/>
    </row>
    <row r="3583" spans="1:12" customFormat="1" ht="16" x14ac:dyDescent="0.2">
      <c r="A3583" t="s">
        <v>92</v>
      </c>
      <c r="B3583" s="25">
        <f>1/36</f>
        <v>2.7777777777777776E-2</v>
      </c>
      <c r="C3583" t="s">
        <v>27</v>
      </c>
      <c r="E3583" t="s">
        <v>94</v>
      </c>
      <c r="F3583" t="s">
        <v>23</v>
      </c>
      <c r="G3583" t="s">
        <v>93</v>
      </c>
      <c r="I3583" s="2"/>
    </row>
    <row r="3584" spans="1:12" customFormat="1" ht="16" x14ac:dyDescent="0.2">
      <c r="A3584" s="2" t="s">
        <v>143</v>
      </c>
      <c r="B3584" s="3">
        <f>(B3555/B3546)/(B3549/1000)</f>
        <v>2.8543307086614171E-4</v>
      </c>
      <c r="C3584" t="s">
        <v>114</v>
      </c>
      <c r="E3584" t="s">
        <v>9</v>
      </c>
      <c r="F3584" t="s">
        <v>23</v>
      </c>
      <c r="G3584" t="s">
        <v>144</v>
      </c>
      <c r="I3584" s="2">
        <v>5</v>
      </c>
      <c r="J3584" s="3">
        <f>B3584</f>
        <v>2.8543307086614171E-4</v>
      </c>
      <c r="K3584" s="3">
        <f>(B3556/B3548)/(B3551/1000)</f>
        <v>1.2715231788079472E-4</v>
      </c>
      <c r="L3584" s="3">
        <f>(B3557/B3547)/(B3550/1000)</f>
        <v>6.3629518072289156E-4</v>
      </c>
    </row>
    <row r="3585" spans="1:12" customFormat="1" ht="16" x14ac:dyDescent="0.2">
      <c r="A3585" t="s">
        <v>206</v>
      </c>
      <c r="B3585" s="3">
        <f>(B3558/B3546)/(B3549/1000)</f>
        <v>1.4763779527559055E-4</v>
      </c>
      <c r="C3585" t="s">
        <v>18</v>
      </c>
      <c r="D3585" s="2"/>
      <c r="E3585" t="s">
        <v>9</v>
      </c>
      <c r="F3585" t="s">
        <v>23</v>
      </c>
      <c r="G3585" t="s">
        <v>207</v>
      </c>
      <c r="I3585">
        <v>5</v>
      </c>
      <c r="J3585" s="3">
        <f>B3585</f>
        <v>1.4763779527559055E-4</v>
      </c>
      <c r="K3585" s="3">
        <f>(B3559/B3548)/(B3551/1000)</f>
        <v>7.5496688741721855E-5</v>
      </c>
      <c r="L3585" s="3">
        <f>(B3560/B3547)/(B3550/1000)</f>
        <v>3.3509036144578315E-4</v>
      </c>
    </row>
    <row r="3586" spans="1:12" customFormat="1" ht="16" x14ac:dyDescent="0.2">
      <c r="A3586" t="s">
        <v>48</v>
      </c>
      <c r="B3586" s="3">
        <v>4.4166666666666577E-6</v>
      </c>
      <c r="D3586" t="s">
        <v>14</v>
      </c>
      <c r="E3586" t="s">
        <v>9</v>
      </c>
      <c r="F3586" s="2" t="s">
        <v>15</v>
      </c>
      <c r="I3586" s="2"/>
    </row>
    <row r="3587" spans="1:12" customFormat="1" ht="16" x14ac:dyDescent="0.2">
      <c r="A3587" t="s">
        <v>50</v>
      </c>
      <c r="B3587" s="3">
        <v>7.5082705379565517E-7</v>
      </c>
      <c r="D3587" t="s">
        <v>14</v>
      </c>
      <c r="E3587" t="s">
        <v>9</v>
      </c>
      <c r="F3587" s="2" t="s">
        <v>15</v>
      </c>
      <c r="I3587" s="2"/>
    </row>
    <row r="3588" spans="1:12" customFormat="1" ht="16" x14ac:dyDescent="0.2">
      <c r="A3588" t="s">
        <v>53</v>
      </c>
      <c r="B3588" s="25">
        <f>1.96*B3583</f>
        <v>5.4444444444444441E-2</v>
      </c>
      <c r="D3588" t="s">
        <v>14</v>
      </c>
      <c r="E3588" t="s">
        <v>9</v>
      </c>
      <c r="F3588" s="2" t="s">
        <v>15</v>
      </c>
      <c r="I3588" s="2"/>
    </row>
    <row r="3589" spans="1:12" customFormat="1" ht="16" x14ac:dyDescent="0.2">
      <c r="A3589" t="s">
        <v>54</v>
      </c>
      <c r="B3589" s="25">
        <v>2.6360440412565261E-4</v>
      </c>
      <c r="D3589" t="s">
        <v>14</v>
      </c>
      <c r="E3589" t="s">
        <v>9</v>
      </c>
      <c r="F3589" s="2" t="s">
        <v>15</v>
      </c>
      <c r="I3589" s="2"/>
    </row>
    <row r="3590" spans="1:12" customFormat="1" ht="16" x14ac:dyDescent="0.2">
      <c r="A3590" t="s">
        <v>58</v>
      </c>
      <c r="B3590" s="3">
        <v>9.6666666666666532E-7</v>
      </c>
      <c r="D3590" t="s">
        <v>14</v>
      </c>
      <c r="E3590" t="s">
        <v>9</v>
      </c>
      <c r="F3590" s="2" t="s">
        <v>15</v>
      </c>
      <c r="I3590" s="2"/>
    </row>
    <row r="3591" spans="1:12" customFormat="1" ht="16" x14ac:dyDescent="0.2">
      <c r="A3591" t="s">
        <v>64</v>
      </c>
      <c r="B3591" s="3">
        <v>2.7750000000000002E-10</v>
      </c>
      <c r="D3591" t="s">
        <v>14</v>
      </c>
      <c r="E3591" t="s">
        <v>9</v>
      </c>
      <c r="F3591" s="2" t="s">
        <v>15</v>
      </c>
      <c r="I3591" s="2"/>
    </row>
    <row r="3592" spans="1:12" customFormat="1" ht="16" x14ac:dyDescent="0.2">
      <c r="A3592" t="s">
        <v>65</v>
      </c>
      <c r="B3592" s="3">
        <v>1.606690212560312E-5</v>
      </c>
      <c r="D3592" t="s">
        <v>14</v>
      </c>
      <c r="E3592" t="s">
        <v>9</v>
      </c>
      <c r="F3592" s="2" t="s">
        <v>15</v>
      </c>
      <c r="I3592" s="2"/>
    </row>
    <row r="3593" spans="1:12" customFormat="1" ht="16" x14ac:dyDescent="0.2">
      <c r="A3593" t="s">
        <v>67</v>
      </c>
      <c r="B3593" s="3">
        <v>6.8382126269474045E-6</v>
      </c>
      <c r="D3593" t="s">
        <v>14</v>
      </c>
      <c r="E3593" t="s">
        <v>9</v>
      </c>
      <c r="F3593" s="2" t="s">
        <v>15</v>
      </c>
      <c r="I3593" s="2"/>
    </row>
    <row r="3594" spans="1:12" customFormat="1" ht="16" x14ac:dyDescent="0.2">
      <c r="A3594" t="s">
        <v>69</v>
      </c>
      <c r="B3594" s="3">
        <f>B3578/1000</f>
        <v>6.4438710000000001E-6</v>
      </c>
      <c r="D3594" t="s">
        <v>14</v>
      </c>
      <c r="E3594" t="s">
        <v>9</v>
      </c>
      <c r="F3594" s="2" t="s">
        <v>15</v>
      </c>
      <c r="I3594" s="2"/>
    </row>
    <row r="3595" spans="1:12" customFormat="1" ht="16" x14ac:dyDescent="0.2">
      <c r="A3595" t="s">
        <v>71</v>
      </c>
      <c r="B3595" s="3">
        <f>B3579/1000</f>
        <v>9.6806299999999992E-7</v>
      </c>
      <c r="D3595" t="s">
        <v>14</v>
      </c>
      <c r="E3595" t="s">
        <v>9</v>
      </c>
      <c r="F3595" s="2" t="s">
        <v>15</v>
      </c>
      <c r="I3595" s="2"/>
    </row>
    <row r="3596" spans="1:12" customFormat="1" ht="16" x14ac:dyDescent="0.2">
      <c r="A3596" t="s">
        <v>77</v>
      </c>
      <c r="B3596" s="3">
        <v>5.6430000000000142E-7</v>
      </c>
      <c r="D3596" t="s">
        <v>14</v>
      </c>
      <c r="E3596" t="s">
        <v>9</v>
      </c>
      <c r="F3596" s="2" t="s">
        <v>15</v>
      </c>
      <c r="I3596" s="2"/>
    </row>
    <row r="3597" spans="1:12" customFormat="1" ht="16" x14ac:dyDescent="0.2">
      <c r="A3597" t="s">
        <v>78</v>
      </c>
      <c r="B3597" s="3">
        <v>2.2336471011856279E-6</v>
      </c>
      <c r="D3597" t="s">
        <v>14</v>
      </c>
      <c r="E3597" t="s">
        <v>9</v>
      </c>
      <c r="F3597" s="2" t="s">
        <v>15</v>
      </c>
      <c r="I3597" s="2"/>
    </row>
    <row r="3598" spans="1:12" customFormat="1" ht="16" x14ac:dyDescent="0.2"/>
    <row r="3599" spans="1:12" x14ac:dyDescent="0.2">
      <c r="A3599" s="17" t="s">
        <v>2</v>
      </c>
      <c r="B3599" s="17" t="s">
        <v>268</v>
      </c>
    </row>
    <row r="3600" spans="1:12" customFormat="1" ht="16" x14ac:dyDescent="0.2">
      <c r="A3600" s="2" t="s">
        <v>3</v>
      </c>
      <c r="B3600" s="2" t="s">
        <v>18</v>
      </c>
      <c r="C3600" s="2"/>
      <c r="D3600" s="2"/>
      <c r="E3600" s="2"/>
      <c r="F3600" s="2"/>
      <c r="G3600" s="2"/>
      <c r="H3600" s="2"/>
      <c r="I3600" s="2"/>
      <c r="J3600" s="2"/>
      <c r="K3600" s="2"/>
      <c r="L3600" s="2"/>
    </row>
    <row r="3601" spans="1:12" customFormat="1" ht="16" x14ac:dyDescent="0.2">
      <c r="A3601" s="2" t="s">
        <v>4</v>
      </c>
      <c r="B3601" s="2">
        <v>1</v>
      </c>
      <c r="C3601" s="2"/>
      <c r="D3601" s="2"/>
      <c r="E3601" s="2"/>
      <c r="F3601" s="2"/>
      <c r="G3601" s="2"/>
      <c r="H3601" s="2"/>
      <c r="I3601" s="2"/>
      <c r="J3601" s="2"/>
      <c r="K3601" s="2"/>
      <c r="L3601" s="2"/>
    </row>
    <row r="3602" spans="1:12" customFormat="1" ht="16" x14ac:dyDescent="0.2">
      <c r="A3602" s="2" t="s">
        <v>5</v>
      </c>
      <c r="B3602" s="2" t="s">
        <v>1</v>
      </c>
      <c r="C3602" s="2"/>
      <c r="D3602" s="2"/>
      <c r="E3602" s="2"/>
      <c r="F3602" s="2"/>
      <c r="G3602" s="2"/>
      <c r="H3602" s="2"/>
      <c r="I3602" s="2"/>
      <c r="J3602" s="2"/>
    </row>
    <row r="3603" spans="1:12" customFormat="1" ht="16" x14ac:dyDescent="0.2">
      <c r="A3603" s="2" t="s">
        <v>6</v>
      </c>
      <c r="B3603" s="2" t="s">
        <v>7</v>
      </c>
      <c r="C3603" s="2"/>
      <c r="D3603" s="2"/>
      <c r="E3603" s="2"/>
      <c r="F3603" s="2"/>
      <c r="G3603" s="2"/>
      <c r="H3603" s="2"/>
      <c r="I3603" s="2"/>
      <c r="J3603" s="2"/>
      <c r="K3603" s="2"/>
      <c r="L3603" s="2"/>
    </row>
    <row r="3604" spans="1:12" customFormat="1" ht="16" x14ac:dyDescent="0.2">
      <c r="A3604" s="2" t="s">
        <v>8</v>
      </c>
      <c r="B3604" s="2" t="s">
        <v>17</v>
      </c>
      <c r="C3604" s="2"/>
      <c r="D3604" s="2"/>
      <c r="E3604" s="2"/>
      <c r="F3604" s="2"/>
      <c r="G3604" s="2"/>
      <c r="H3604" s="2"/>
      <c r="I3604" s="2"/>
      <c r="J3604" s="2"/>
      <c r="K3604" s="2"/>
      <c r="L3604" s="2"/>
    </row>
    <row r="3605" spans="1:12" customFormat="1" ht="16" x14ac:dyDescent="0.2">
      <c r="A3605" t="s">
        <v>352</v>
      </c>
      <c r="B3605" s="2">
        <f>INDEX(Parameters!$B$6:$AL$57,MATCH(Inventories!$B$3599,Parameters!$A$6:$A$57,0),MATCH(Inventories!$A3605,Parameters!$B$4:$AL$4,0))</f>
        <v>126</v>
      </c>
      <c r="C3605" t="s">
        <v>312</v>
      </c>
      <c r="D3605" s="2"/>
      <c r="E3605" s="2"/>
      <c r="F3605" s="2"/>
      <c r="G3605" s="2"/>
      <c r="H3605" s="2"/>
      <c r="I3605" s="2"/>
      <c r="J3605" s="2"/>
      <c r="K3605" s="2"/>
      <c r="L3605" s="2"/>
    </row>
    <row r="3606" spans="1:12" customFormat="1" ht="16" x14ac:dyDescent="0.2">
      <c r="A3606" t="s">
        <v>353</v>
      </c>
      <c r="B3606" s="2">
        <f>INDEX(Parameters!$B$6:$AL$57,MATCH(Inventories!$B$3599,Parameters!$A$6:$A$57,0),MATCH(Inventories!$A3606,Parameters!$B$4:$AL$4,0))</f>
        <v>55</v>
      </c>
      <c r="C3606" t="s">
        <v>312</v>
      </c>
      <c r="D3606" s="2"/>
      <c r="E3606" s="2"/>
      <c r="F3606" s="2"/>
      <c r="G3606" s="2"/>
      <c r="H3606" s="2"/>
      <c r="I3606" s="2"/>
      <c r="J3606" s="2"/>
      <c r="K3606" s="2"/>
      <c r="L3606" s="2"/>
    </row>
    <row r="3607" spans="1:12" customFormat="1" ht="16" x14ac:dyDescent="0.2">
      <c r="A3607" t="s">
        <v>354</v>
      </c>
      <c r="B3607" s="2">
        <f>INDEX(Parameters!$B$6:$AL$57,MATCH(Inventories!$B$3599,Parameters!$A$6:$A$57,0),MATCH(Inventories!$A3607,Parameters!$B$4:$AL$4,0))</f>
        <v>160</v>
      </c>
      <c r="C3607" t="s">
        <v>312</v>
      </c>
      <c r="D3607" s="2"/>
      <c r="E3607" s="2"/>
      <c r="F3607" s="2"/>
      <c r="G3607" s="2"/>
      <c r="H3607" s="2"/>
      <c r="I3607" s="2"/>
      <c r="J3607" s="2"/>
      <c r="K3607" s="2"/>
      <c r="L3607" s="2"/>
    </row>
    <row r="3608" spans="1:12" customFormat="1" ht="16" x14ac:dyDescent="0.2">
      <c r="A3608" t="s">
        <v>316</v>
      </c>
      <c r="B3608" s="24">
        <f>INDEX(Parameters!$B$6:$AL$57,MATCH(Inventories!$B$3599,Parameters!$A$6:$A$57,0),MATCH(Inventories!$A3608,Parameters!$B$4:$AL$4,0))</f>
        <v>200000</v>
      </c>
      <c r="C3608" t="s">
        <v>313</v>
      </c>
      <c r="D3608" s="2"/>
      <c r="E3608" s="2"/>
      <c r="F3608" s="2"/>
      <c r="G3608" s="2"/>
      <c r="H3608" s="2"/>
      <c r="I3608" s="2"/>
      <c r="J3608" s="2"/>
      <c r="K3608" s="2"/>
      <c r="L3608" s="2"/>
    </row>
    <row r="3609" spans="1:12" customFormat="1" ht="16" x14ac:dyDescent="0.2">
      <c r="A3609" t="s">
        <v>317</v>
      </c>
      <c r="B3609" s="24">
        <f>INDEX(Parameters!$B$6:$AL$57,MATCH(Inventories!$B$3599,Parameters!$A$6:$A$57,0),MATCH(Inventories!$A3609,Parameters!$B$4:$AL$4,0))</f>
        <v>160000</v>
      </c>
      <c r="C3609" t="s">
        <v>313</v>
      </c>
      <c r="D3609" s="2"/>
      <c r="E3609" s="2"/>
      <c r="F3609" s="2"/>
      <c r="G3609" s="2"/>
      <c r="H3609" s="2"/>
      <c r="I3609" s="2"/>
      <c r="J3609" s="2"/>
      <c r="K3609" s="2"/>
      <c r="L3609" s="2"/>
    </row>
    <row r="3610" spans="1:12" customFormat="1" ht="16" x14ac:dyDescent="0.2">
      <c r="A3610" t="s">
        <v>318</v>
      </c>
      <c r="B3610" s="24">
        <f>INDEX(Parameters!$B$6:$AL$57,MATCH(Inventories!$B$3599,Parameters!$A$6:$A$57,0),MATCH(Inventories!$A3610,Parameters!$B$4:$AL$4,0))</f>
        <v>250000</v>
      </c>
      <c r="C3610" t="s">
        <v>313</v>
      </c>
      <c r="D3610" s="2"/>
      <c r="E3610" s="2"/>
      <c r="F3610" s="2"/>
      <c r="G3610" s="2"/>
      <c r="H3610" s="2"/>
      <c r="I3610" s="2"/>
      <c r="J3610" s="2"/>
      <c r="K3610" s="2"/>
      <c r="L3610" s="2"/>
    </row>
    <row r="3611" spans="1:12" customFormat="1" ht="16" x14ac:dyDescent="0.2">
      <c r="A3611" t="s">
        <v>319</v>
      </c>
      <c r="B3611" s="2">
        <f>INDEX(Parameters!$B$6:$AL$57,MATCH(Inventories!$B$3599,Parameters!$A$6:$A$57,0),MATCH(Inventories!$A3611,Parameters!$B$4:$AL$4,0))</f>
        <v>2540</v>
      </c>
      <c r="C3611" t="s">
        <v>314</v>
      </c>
      <c r="D3611" s="2"/>
      <c r="E3611" s="2"/>
      <c r="F3611" s="2"/>
      <c r="G3611" s="2"/>
      <c r="H3611" s="2"/>
      <c r="I3611" s="2"/>
      <c r="J3611" s="2"/>
      <c r="K3611" s="2"/>
      <c r="L3611" s="2"/>
    </row>
    <row r="3612" spans="1:12" customFormat="1" ht="16" x14ac:dyDescent="0.2">
      <c r="A3612" t="s">
        <v>320</v>
      </c>
      <c r="B3612" s="2">
        <f>INDEX(Parameters!$B$6:$AL$57,MATCH(Inventories!$B$3599,Parameters!$A$6:$A$57,0),MATCH(Inventories!$A3612,Parameters!$B$4:$AL$4,0))</f>
        <v>1660</v>
      </c>
      <c r="C3612" t="s">
        <v>314</v>
      </c>
      <c r="D3612" s="2"/>
      <c r="E3612" s="2"/>
      <c r="F3612" s="2"/>
      <c r="G3612" s="2"/>
      <c r="H3612" s="2"/>
      <c r="I3612" s="2"/>
      <c r="J3612" s="2"/>
      <c r="K3612" s="2"/>
      <c r="L3612" s="2"/>
    </row>
    <row r="3613" spans="1:12" customFormat="1" ht="16" x14ac:dyDescent="0.2">
      <c r="A3613" t="s">
        <v>321</v>
      </c>
      <c r="B3613" s="2">
        <f>INDEX(Parameters!$B$6:$AL$57,MATCH(Inventories!$B$3599,Parameters!$A$6:$A$57,0),MATCH(Inventories!$A3613,Parameters!$B$4:$AL$4,0))</f>
        <v>3020</v>
      </c>
      <c r="C3613" t="s">
        <v>314</v>
      </c>
      <c r="D3613" s="2"/>
      <c r="E3613" s="2"/>
      <c r="F3613" s="2"/>
      <c r="G3613" s="2"/>
      <c r="H3613" s="2"/>
      <c r="I3613" s="2"/>
      <c r="J3613" s="2"/>
      <c r="K3613" s="2"/>
      <c r="L3613" s="2"/>
    </row>
    <row r="3614" spans="1:12" customFormat="1" ht="16" x14ac:dyDescent="0.2">
      <c r="A3614" t="s">
        <v>337</v>
      </c>
      <c r="B3614" s="2">
        <f>INDEX(Parameters!$B$6:$AL$57,MATCH(Inventories!$B$3599,Parameters!$A$6:$A$57,0),MATCH(Inventories!$A3614,Parameters!$B$4:$AL$4,0))</f>
        <v>0</v>
      </c>
      <c r="C3614" t="s">
        <v>336</v>
      </c>
      <c r="D3614" s="2"/>
      <c r="E3614" s="2"/>
      <c r="F3614" s="2"/>
      <c r="G3614" s="2"/>
      <c r="H3614" s="2"/>
      <c r="I3614" s="2"/>
      <c r="J3614" s="2"/>
      <c r="K3614" s="2"/>
      <c r="L3614" s="2"/>
    </row>
    <row r="3615" spans="1:12" customFormat="1" ht="16" x14ac:dyDescent="0.2">
      <c r="A3615" t="s">
        <v>338</v>
      </c>
      <c r="B3615" s="2">
        <f>INDEX(Parameters!$B$6:$AL$57,MATCH(Inventories!$B$3599,Parameters!$A$6:$A$57,0),MATCH(Inventories!$A3615,Parameters!$B$4:$AL$4,0))</f>
        <v>0</v>
      </c>
      <c r="C3615" t="s">
        <v>336</v>
      </c>
      <c r="D3615" s="2"/>
      <c r="E3615" s="2"/>
      <c r="F3615" s="2"/>
      <c r="G3615" s="2"/>
      <c r="H3615" s="2"/>
      <c r="I3615" s="2"/>
      <c r="J3615" s="2"/>
      <c r="K3615" s="2"/>
      <c r="L3615" s="2"/>
    </row>
    <row r="3616" spans="1:12" customFormat="1" ht="16" x14ac:dyDescent="0.2">
      <c r="A3616" t="s">
        <v>339</v>
      </c>
      <c r="B3616" s="2">
        <f>INDEX(Parameters!$B$6:$AL$57,MATCH(Inventories!$B$3599,Parameters!$A$6:$A$57,0),MATCH(Inventories!$A3616,Parameters!$B$4:$AL$4,0))</f>
        <v>0</v>
      </c>
      <c r="C3616" t="s">
        <v>336</v>
      </c>
      <c r="D3616" s="2"/>
      <c r="E3616" s="2"/>
      <c r="F3616" s="2"/>
      <c r="G3616" s="2"/>
      <c r="H3616" s="2"/>
      <c r="I3616" s="2"/>
      <c r="J3616" s="2"/>
      <c r="K3616" s="2"/>
      <c r="L3616" s="2"/>
    </row>
    <row r="3617" spans="1:12" customFormat="1" ht="16" x14ac:dyDescent="0.2">
      <c r="A3617" t="s">
        <v>340</v>
      </c>
      <c r="B3617" s="2">
        <f>INDEX(Parameters!$B$6:$AL$57,MATCH(Inventories!$B$3599,Parameters!$A$6:$A$57,0),MATCH(Inventories!$A3617,Parameters!$B$4:$AL$4,0))</f>
        <v>145</v>
      </c>
      <c r="C3617" t="s">
        <v>336</v>
      </c>
      <c r="D3617" s="2"/>
      <c r="E3617" s="2"/>
      <c r="F3617" s="2"/>
      <c r="G3617" s="2"/>
      <c r="H3617" s="2"/>
      <c r="I3617" s="2"/>
      <c r="J3617" s="2"/>
      <c r="K3617" s="2"/>
      <c r="L3617" s="2"/>
    </row>
    <row r="3618" spans="1:12" customFormat="1" ht="16" x14ac:dyDescent="0.2">
      <c r="A3618" t="s">
        <v>341</v>
      </c>
      <c r="B3618" s="2">
        <f>INDEX(Parameters!$B$6:$AL$57,MATCH(Inventories!$B$3599,Parameters!$A$6:$A$57,0),MATCH(Inventories!$A3618,Parameters!$B$4:$AL$4,0))</f>
        <v>96</v>
      </c>
      <c r="C3618" t="s">
        <v>336</v>
      </c>
      <c r="D3618" s="2"/>
      <c r="E3618" s="2"/>
      <c r="F3618" s="2"/>
      <c r="G3618" s="2"/>
      <c r="H3618" s="2"/>
      <c r="I3618" s="2"/>
      <c r="J3618" s="2"/>
      <c r="K3618" s="2"/>
      <c r="L3618" s="2"/>
    </row>
    <row r="3619" spans="1:12" customFormat="1" ht="16" x14ac:dyDescent="0.2">
      <c r="A3619" t="s">
        <v>342</v>
      </c>
      <c r="B3619" s="2">
        <f>INDEX(Parameters!$B$6:$AL$57,MATCH(Inventories!$B$3599,Parameters!$A$6:$A$57,0),MATCH(Inventories!$A3619,Parameters!$B$4:$AL$4,0))</f>
        <v>169</v>
      </c>
      <c r="C3619" t="s">
        <v>336</v>
      </c>
      <c r="D3619" s="2"/>
      <c r="E3619" s="2"/>
      <c r="F3619" s="2"/>
      <c r="G3619" s="2"/>
      <c r="H3619" s="2"/>
      <c r="I3619" s="2"/>
      <c r="J3619" s="2"/>
      <c r="K3619" s="2"/>
      <c r="L3619" s="2"/>
    </row>
    <row r="3620" spans="1:12" customFormat="1" ht="16" x14ac:dyDescent="0.2">
      <c r="A3620" t="s">
        <v>333</v>
      </c>
      <c r="B3620" s="2">
        <f>INDEX(Parameters!$B$6:$AL$57,MATCH(Inventories!$B$3599,Parameters!$A$6:$A$57,0),MATCH(Inventories!$A3620,Parameters!$B$4:$AL$4,0))</f>
        <v>75</v>
      </c>
      <c r="C3620" t="s">
        <v>336</v>
      </c>
      <c r="D3620" s="2"/>
      <c r="E3620" s="2"/>
      <c r="F3620" s="2"/>
      <c r="G3620" s="2"/>
      <c r="H3620" s="2"/>
      <c r="I3620" s="2"/>
      <c r="J3620" s="2"/>
      <c r="K3620" s="2"/>
      <c r="L3620" s="2"/>
    </row>
    <row r="3621" spans="1:12" customFormat="1" ht="16" x14ac:dyDescent="0.2">
      <c r="A3621" t="s">
        <v>334</v>
      </c>
      <c r="B3621" s="2">
        <f>INDEX(Parameters!$B$6:$AL$57,MATCH(Inventories!$B$3599,Parameters!$A$6:$A$57,0),MATCH(Inventories!$A3621,Parameters!$B$4:$AL$4,0))</f>
        <v>57</v>
      </c>
      <c r="C3621" t="s">
        <v>336</v>
      </c>
      <c r="D3621" s="2"/>
      <c r="E3621" s="2"/>
      <c r="F3621" s="2"/>
      <c r="G3621" s="2"/>
      <c r="H3621" s="2"/>
      <c r="I3621" s="2"/>
      <c r="J3621" s="2"/>
      <c r="K3621" s="2"/>
      <c r="L3621" s="2"/>
    </row>
    <row r="3622" spans="1:12" customFormat="1" ht="16" x14ac:dyDescent="0.2">
      <c r="A3622" t="s">
        <v>335</v>
      </c>
      <c r="B3622" s="2">
        <f>INDEX(Parameters!$B$6:$AL$57,MATCH(Inventories!$B$3599,Parameters!$A$6:$A$57,0),MATCH(Inventories!$A3622,Parameters!$B$4:$AL$4,0))</f>
        <v>89</v>
      </c>
      <c r="C3622" t="s">
        <v>336</v>
      </c>
      <c r="D3622" s="2"/>
      <c r="E3622" s="2"/>
      <c r="F3622" s="2"/>
      <c r="G3622" s="2"/>
      <c r="H3622" s="2"/>
      <c r="I3622" s="2"/>
      <c r="J3622" s="2"/>
      <c r="K3622" s="2"/>
      <c r="L3622" s="2"/>
    </row>
    <row r="3623" spans="1:12" customFormat="1" ht="16" x14ac:dyDescent="0.2">
      <c r="A3623" t="s">
        <v>322</v>
      </c>
      <c r="B3623" s="2">
        <f>INDEX(Parameters!$B$6:$AL$57,MATCH(Inventories!$B$3599,Parameters!$A$6:$A$57,0),MATCH(Inventories!$A3623,Parameters!$B$4:$AL$4,0))</f>
        <v>0</v>
      </c>
      <c r="C3623" t="s">
        <v>315</v>
      </c>
      <c r="D3623" s="2"/>
      <c r="E3623" s="2"/>
      <c r="F3623" s="2"/>
      <c r="G3623" s="2"/>
      <c r="H3623" s="2"/>
      <c r="I3623" s="2"/>
      <c r="J3623" s="2"/>
      <c r="K3623" s="2"/>
      <c r="L3623" s="2"/>
    </row>
    <row r="3624" spans="1:12" customFormat="1" ht="16" x14ac:dyDescent="0.2">
      <c r="A3624" t="s">
        <v>323</v>
      </c>
      <c r="B3624" s="2">
        <f>INDEX(Parameters!$B$6:$AL$57,MATCH(Inventories!$B$3599,Parameters!$A$6:$A$57,0),MATCH(Inventories!$A3624,Parameters!$B$4:$AL$4,0))</f>
        <v>0</v>
      </c>
      <c r="C3624" t="s">
        <v>315</v>
      </c>
      <c r="D3624" s="2"/>
      <c r="E3624" s="2"/>
      <c r="F3624" s="2"/>
      <c r="G3624" s="2"/>
      <c r="H3624" s="2"/>
      <c r="I3624" s="2"/>
      <c r="J3624" s="2"/>
      <c r="K3624" s="2"/>
      <c r="L3624" s="2"/>
    </row>
    <row r="3625" spans="1:12" customFormat="1" ht="16" x14ac:dyDescent="0.2">
      <c r="A3625" t="s">
        <v>324</v>
      </c>
      <c r="B3625" s="2">
        <f>INDEX(Parameters!$B$6:$AL$57,MATCH(Inventories!$B$3599,Parameters!$A$6:$A$57,0),MATCH(Inventories!$A3625,Parameters!$B$4:$AL$4,0))</f>
        <v>0</v>
      </c>
      <c r="C3625" t="s">
        <v>315</v>
      </c>
      <c r="D3625" s="2"/>
      <c r="E3625" s="2"/>
      <c r="F3625" s="2"/>
      <c r="G3625" s="2"/>
      <c r="H3625" s="2"/>
      <c r="I3625" s="2"/>
      <c r="J3625" s="2"/>
      <c r="K3625" s="2"/>
      <c r="L3625" s="2"/>
    </row>
    <row r="3626" spans="1:12" customFormat="1" ht="16" x14ac:dyDescent="0.2">
      <c r="A3626" t="s">
        <v>330</v>
      </c>
      <c r="B3626" s="2">
        <f>INDEX(Parameters!$B$6:$AL$57,MATCH(Inventories!$B$3599,Parameters!$A$6:$A$57,0),MATCH(Inventories!$A3626,Parameters!$B$4:$AL$4,0))</f>
        <v>0</v>
      </c>
      <c r="C3626" t="s">
        <v>8</v>
      </c>
      <c r="D3626" s="2"/>
      <c r="E3626" s="2"/>
      <c r="F3626" s="2"/>
      <c r="G3626" s="2"/>
      <c r="H3626" s="2"/>
      <c r="I3626" s="2"/>
      <c r="J3626" s="2"/>
      <c r="K3626" s="2"/>
      <c r="L3626" s="2"/>
    </row>
    <row r="3627" spans="1:12" customFormat="1" ht="16" x14ac:dyDescent="0.2">
      <c r="A3627" t="s">
        <v>331</v>
      </c>
      <c r="B3627" s="2">
        <f>INDEX(Parameters!$B$6:$AL$57,MATCH(Inventories!$B$3599,Parameters!$A$6:$A$57,0),MATCH(Inventories!$A3627,Parameters!$B$4:$AL$4,0))</f>
        <v>0</v>
      </c>
      <c r="C3627" t="s">
        <v>8</v>
      </c>
      <c r="D3627" s="2"/>
      <c r="E3627" s="2"/>
      <c r="F3627" s="2"/>
      <c r="G3627" s="2"/>
      <c r="H3627" s="2"/>
      <c r="I3627" s="2"/>
      <c r="J3627" s="2"/>
      <c r="K3627" s="2"/>
      <c r="L3627" s="2"/>
    </row>
    <row r="3628" spans="1:12" customFormat="1" ht="16" x14ac:dyDescent="0.2">
      <c r="A3628" t="s">
        <v>332</v>
      </c>
      <c r="B3628" s="2">
        <f>INDEX(Parameters!$B$6:$AL$57,MATCH(Inventories!$B$3599,Parameters!$A$6:$A$57,0),MATCH(Inventories!$A3628,Parameters!$B$4:$AL$4,0))</f>
        <v>0</v>
      </c>
      <c r="C3628" t="s">
        <v>8</v>
      </c>
      <c r="D3628" s="2"/>
      <c r="E3628" s="2"/>
      <c r="F3628" s="2"/>
      <c r="G3628" s="2"/>
      <c r="H3628" s="2"/>
      <c r="I3628" s="2"/>
      <c r="J3628" s="2"/>
      <c r="K3628" s="2"/>
      <c r="L3628" s="2"/>
    </row>
    <row r="3629" spans="1:12" customFormat="1" ht="16" x14ac:dyDescent="0.2">
      <c r="A3629" t="s">
        <v>346</v>
      </c>
      <c r="B3629" s="2">
        <f>INDEX(Parameters!$B$6:$AL$57,MATCH(Inventories!$B$3599,Parameters!$A$6:$A$57,0),MATCH(Inventories!$A3629,Parameters!$B$4:$AL$4,0))</f>
        <v>0</v>
      </c>
      <c r="C3629" t="s">
        <v>312</v>
      </c>
      <c r="D3629" s="2"/>
      <c r="E3629" s="2"/>
      <c r="F3629" s="2"/>
      <c r="G3629" s="2"/>
      <c r="H3629" s="2"/>
      <c r="I3629" s="2"/>
      <c r="J3629" s="2"/>
      <c r="K3629" s="2"/>
      <c r="L3629" s="2"/>
    </row>
    <row r="3630" spans="1:12" customFormat="1" ht="16" x14ac:dyDescent="0.2">
      <c r="A3630" t="s">
        <v>347</v>
      </c>
      <c r="B3630" s="2">
        <f>INDEX(Parameters!$B$6:$AL$57,MATCH(Inventories!$B$3599,Parameters!$A$6:$A$57,0),MATCH(Inventories!$A3630,Parameters!$B$4:$AL$4,0))</f>
        <v>0</v>
      </c>
      <c r="C3630" t="s">
        <v>312</v>
      </c>
      <c r="D3630" s="2"/>
      <c r="E3630" s="12"/>
      <c r="F3630" s="2"/>
      <c r="G3630" s="2"/>
      <c r="H3630" s="2"/>
      <c r="I3630" s="2"/>
      <c r="J3630" s="2"/>
      <c r="K3630" s="2"/>
      <c r="L3630" s="2"/>
    </row>
    <row r="3631" spans="1:12" customFormat="1" ht="16" x14ac:dyDescent="0.2">
      <c r="A3631" t="s">
        <v>348</v>
      </c>
      <c r="B3631" s="2">
        <f>INDEX(Parameters!$B$6:$AL$57,MATCH(Inventories!$B$3599,Parameters!$A$6:$A$57,0),MATCH(Inventories!$A3631,Parameters!$B$4:$AL$4,0))</f>
        <v>0</v>
      </c>
      <c r="C3631" t="s">
        <v>312</v>
      </c>
      <c r="D3631" s="2"/>
      <c r="E3631" s="2"/>
      <c r="F3631" s="2"/>
      <c r="G3631" s="2"/>
      <c r="H3631" s="2"/>
      <c r="I3631" s="2"/>
      <c r="J3631" s="2"/>
      <c r="K3631" s="2"/>
      <c r="L3631" s="2"/>
    </row>
    <row r="3632" spans="1:12" customFormat="1" ht="16" x14ac:dyDescent="0.2">
      <c r="A3632" t="s">
        <v>349</v>
      </c>
      <c r="B3632" s="2">
        <f>INDEX(Parameters!$B$6:$AL$57,MATCH(Inventories!$B$3599,Parameters!$A$6:$A$57,0),MATCH(Inventories!$A3632,Parameters!$B$4:$AL$4,0))</f>
        <v>0</v>
      </c>
      <c r="C3632" t="s">
        <v>8</v>
      </c>
      <c r="D3632" s="2"/>
      <c r="E3632" s="2"/>
      <c r="F3632" s="2"/>
      <c r="G3632" s="2"/>
      <c r="H3632" s="2"/>
      <c r="I3632" s="2"/>
      <c r="J3632" s="2"/>
      <c r="K3632" s="2"/>
      <c r="L3632" s="2"/>
    </row>
    <row r="3633" spans="1:12" customFormat="1" ht="16" x14ac:dyDescent="0.2">
      <c r="A3633" t="s">
        <v>350</v>
      </c>
      <c r="B3633" s="2">
        <f>INDEX(Parameters!$B$6:$AL$57,MATCH(Inventories!$B$3599,Parameters!$A$6:$A$57,0),MATCH(Inventories!$A3633,Parameters!$B$4:$AL$4,0))</f>
        <v>0</v>
      </c>
      <c r="C3633" t="s">
        <v>8</v>
      </c>
      <c r="D3633" s="2"/>
      <c r="E3633" s="2"/>
      <c r="F3633" s="2"/>
      <c r="G3633" s="2"/>
      <c r="H3633" s="2"/>
      <c r="I3633" s="2"/>
      <c r="J3633" s="2"/>
      <c r="K3633" s="2"/>
      <c r="L3633" s="2"/>
    </row>
    <row r="3634" spans="1:12" customFormat="1" ht="16" x14ac:dyDescent="0.2">
      <c r="A3634" t="s">
        <v>351</v>
      </c>
      <c r="B3634" s="2">
        <f>INDEX(Parameters!$B$6:$AL$57,MATCH(Inventories!$B$3599,Parameters!$A$6:$A$57,0),MATCH(Inventories!$A3634,Parameters!$B$4:$AL$4,0))</f>
        <v>0</v>
      </c>
      <c r="C3634" t="s">
        <v>8</v>
      </c>
      <c r="D3634" s="2"/>
      <c r="E3634" s="2"/>
      <c r="F3634" s="2"/>
      <c r="G3634" s="2"/>
      <c r="H3634" s="2"/>
      <c r="I3634" s="2"/>
      <c r="J3634" s="2"/>
      <c r="K3634" s="2"/>
      <c r="L3634" s="2"/>
    </row>
    <row r="3635" spans="1:12" customFormat="1" ht="16" x14ac:dyDescent="0.2">
      <c r="A3635" t="s">
        <v>365</v>
      </c>
      <c r="B3635" s="2">
        <f>INDEX(Parameters!$B$6:$AL$57,MATCH(Inventories!$B$3599,Parameters!$A$6:$A$57,0),MATCH(Inventories!$A3635,Parameters!$B$4:$AL$4,0))</f>
        <v>0</v>
      </c>
      <c r="C3635" t="s">
        <v>336</v>
      </c>
      <c r="D3635" s="2"/>
      <c r="E3635" s="2"/>
      <c r="F3635" s="2"/>
      <c r="G3635" s="2"/>
      <c r="H3635" s="2"/>
      <c r="I3635" s="2"/>
      <c r="J3635" s="2"/>
      <c r="K3635" s="2"/>
      <c r="L3635" s="2"/>
    </row>
    <row r="3636" spans="1:12" customFormat="1" ht="16" x14ac:dyDescent="0.2">
      <c r="A3636" t="s">
        <v>366</v>
      </c>
      <c r="B3636" s="2">
        <f>INDEX(Parameters!$B$6:$AL$57,MATCH(Inventories!$B$3599,Parameters!$A$6:$A$57,0),MATCH(Inventories!$A3636,Parameters!$B$4:$AL$4,0))</f>
        <v>0</v>
      </c>
      <c r="C3636" t="s">
        <v>336</v>
      </c>
      <c r="D3636" s="2"/>
      <c r="E3636" s="2"/>
      <c r="F3636" s="2"/>
      <c r="G3636" s="2"/>
      <c r="H3636" s="2"/>
      <c r="I3636" s="2"/>
      <c r="J3636" s="2"/>
      <c r="K3636" s="2"/>
      <c r="L3636" s="2"/>
    </row>
    <row r="3637" spans="1:12" customFormat="1" ht="16" x14ac:dyDescent="0.2">
      <c r="A3637" t="s">
        <v>367</v>
      </c>
      <c r="B3637" s="2">
        <f>INDEX(Parameters!$B$6:$AL$57,MATCH(Inventories!$B$3599,Parameters!$A$6:$A$57,0),MATCH(Inventories!$A3637,Parameters!$B$4:$AL$4,0))</f>
        <v>0</v>
      </c>
      <c r="C3637" t="s">
        <v>336</v>
      </c>
      <c r="D3637" s="2"/>
      <c r="E3637" s="2"/>
      <c r="F3637" s="2"/>
      <c r="G3637" s="2"/>
      <c r="H3637" s="2"/>
      <c r="I3637" s="2"/>
      <c r="J3637" s="2"/>
      <c r="K3637" s="2"/>
      <c r="L3637" s="2"/>
    </row>
    <row r="3638" spans="1:12" customFormat="1" ht="16" x14ac:dyDescent="0.2">
      <c r="A3638" t="s">
        <v>368</v>
      </c>
      <c r="B3638" s="2">
        <f>INDEX(Parameters!$B$6:$AL$57,MATCH(Inventories!$B$3599,Parameters!$A$6:$A$57,0),MATCH(Inventories!$A3638,Parameters!$B$4:$AL$4,0))</f>
        <v>0</v>
      </c>
      <c r="C3638" t="s">
        <v>336</v>
      </c>
      <c r="D3638" s="2"/>
      <c r="E3638" s="2"/>
      <c r="F3638" s="2"/>
      <c r="G3638" s="2"/>
      <c r="H3638" s="2"/>
      <c r="I3638" s="2"/>
      <c r="J3638" s="2"/>
      <c r="K3638" s="2"/>
      <c r="L3638" s="2"/>
    </row>
    <row r="3639" spans="1:12" customFormat="1" ht="16" x14ac:dyDescent="0.2">
      <c r="A3639" t="s">
        <v>369</v>
      </c>
      <c r="B3639" s="2">
        <f>INDEX(Parameters!$B$6:$AL$57,MATCH(Inventories!$B$3599,Parameters!$A$6:$A$57,0),MATCH(Inventories!$A3639,Parameters!$B$4:$AL$4,0))</f>
        <v>0</v>
      </c>
      <c r="C3639" t="s">
        <v>336</v>
      </c>
      <c r="D3639" s="2"/>
      <c r="E3639" s="2"/>
      <c r="F3639" s="2"/>
      <c r="G3639" s="2"/>
      <c r="H3639" s="2"/>
      <c r="I3639" s="2"/>
      <c r="J3639" s="2"/>
      <c r="K3639" s="2"/>
      <c r="L3639" s="2"/>
    </row>
    <row r="3640" spans="1:12" customFormat="1" ht="16" x14ac:dyDescent="0.2">
      <c r="A3640" t="s">
        <v>344</v>
      </c>
      <c r="B3640" s="12">
        <f>INDEX(Parameters!$B$6:$AL$57,MATCH(Inventories!$B$3599,Parameters!$A$6:$A$57,0),MATCH(Inventories!$A3640,Parameters!$B$4:$AL$4,0))</f>
        <v>6.4438710000000003E-3</v>
      </c>
      <c r="C3640" t="s">
        <v>345</v>
      </c>
      <c r="D3640" s="2"/>
      <c r="E3640" s="2"/>
      <c r="F3640" s="2"/>
      <c r="G3640" s="2"/>
      <c r="H3640" s="2"/>
      <c r="I3640" s="2"/>
      <c r="J3640" s="2"/>
      <c r="K3640" s="2"/>
      <c r="L3640" s="2"/>
    </row>
    <row r="3641" spans="1:12" customFormat="1" ht="16" x14ac:dyDescent="0.2">
      <c r="A3641" t="s">
        <v>343</v>
      </c>
      <c r="B3641" s="12">
        <f>INDEX(Parameters!$B$6:$AL$57,MATCH(Inventories!$B$3599,Parameters!$A$6:$A$57,0),MATCH(Inventories!$A3641,Parameters!$B$4:$AL$4,0))</f>
        <v>9.6806300000000002E-4</v>
      </c>
      <c r="C3641" t="s">
        <v>345</v>
      </c>
      <c r="D3641" s="2"/>
      <c r="E3641" s="2"/>
      <c r="F3641" s="2"/>
      <c r="G3641" s="2"/>
      <c r="H3641" s="2"/>
      <c r="I3641" s="2"/>
      <c r="J3641" s="2"/>
      <c r="K3641" s="2"/>
      <c r="L3641" s="2"/>
    </row>
    <row r="3642" spans="1:12" customFormat="1" ht="16" x14ac:dyDescent="0.2">
      <c r="A3642" s="1" t="s">
        <v>10</v>
      </c>
      <c r="B3642" s="2"/>
      <c r="C3642" s="2"/>
      <c r="D3642" s="2"/>
      <c r="E3642" s="2"/>
      <c r="F3642" s="2"/>
      <c r="G3642" s="2"/>
      <c r="H3642" s="2"/>
      <c r="I3642" s="2"/>
      <c r="J3642" s="2"/>
      <c r="K3642" s="2"/>
      <c r="L3642" s="2"/>
    </row>
    <row r="3643" spans="1:12" x14ac:dyDescent="0.2">
      <c r="A3643" s="17" t="s">
        <v>11</v>
      </c>
      <c r="B3643" s="17" t="s">
        <v>12</v>
      </c>
      <c r="C3643" s="17" t="s">
        <v>3</v>
      </c>
      <c r="D3643" s="17" t="s">
        <v>13</v>
      </c>
      <c r="E3643" s="17" t="s">
        <v>8</v>
      </c>
      <c r="F3643" s="17" t="s">
        <v>6</v>
      </c>
      <c r="G3643" s="17" t="s">
        <v>5</v>
      </c>
      <c r="H3643" s="17" t="s">
        <v>151</v>
      </c>
      <c r="I3643" s="17" t="s">
        <v>179</v>
      </c>
      <c r="J3643" s="17" t="s">
        <v>180</v>
      </c>
      <c r="K3643" s="17" t="s">
        <v>181</v>
      </c>
      <c r="L3643" s="17" t="s">
        <v>182</v>
      </c>
    </row>
    <row r="3644" spans="1:12" customFormat="1" ht="16" x14ac:dyDescent="0.2">
      <c r="A3644" s="2" t="str">
        <f>B3599</f>
        <v>compressed gas, synthetic, burned in passenger car</v>
      </c>
      <c r="B3644" s="2">
        <v>1</v>
      </c>
      <c r="C3644" s="2" t="str">
        <f>B3600</f>
        <v>RER</v>
      </c>
      <c r="D3644" s="2"/>
      <c r="E3644" s="2" t="str">
        <f>B3604</f>
        <v>megajoule</v>
      </c>
      <c r="F3644" s="2" t="s">
        <v>19</v>
      </c>
      <c r="G3644" s="2" t="str">
        <f>B3602</f>
        <v>heat</v>
      </c>
      <c r="H3644" s="2"/>
      <c r="I3644" s="2"/>
      <c r="J3644" s="2"/>
      <c r="K3644" s="2"/>
      <c r="L3644" s="2"/>
    </row>
    <row r="3645" spans="1:12" customFormat="1" ht="16" x14ac:dyDescent="0.2">
      <c r="A3645" t="s">
        <v>308</v>
      </c>
      <c r="B3645" s="25">
        <f>1/47.5</f>
        <v>2.1052631578947368E-2</v>
      </c>
      <c r="C3645" t="s">
        <v>18</v>
      </c>
      <c r="E3645" t="s">
        <v>9</v>
      </c>
      <c r="F3645" t="s">
        <v>23</v>
      </c>
      <c r="G3645" t="s">
        <v>267</v>
      </c>
      <c r="I3645" s="2"/>
    </row>
    <row r="3646" spans="1:12" customFormat="1" ht="16" x14ac:dyDescent="0.2">
      <c r="A3646" s="2" t="s">
        <v>143</v>
      </c>
      <c r="B3646" s="3">
        <f>(B3617/B3608)/(B3611/1000)</f>
        <v>2.8543307086614171E-4</v>
      </c>
      <c r="C3646" t="s">
        <v>114</v>
      </c>
      <c r="E3646" t="s">
        <v>9</v>
      </c>
      <c r="F3646" t="s">
        <v>23</v>
      </c>
      <c r="G3646" t="s">
        <v>144</v>
      </c>
      <c r="I3646" s="2">
        <v>5</v>
      </c>
      <c r="J3646" s="3">
        <f>B3646</f>
        <v>2.8543307086614171E-4</v>
      </c>
      <c r="K3646" s="3">
        <f>(B3618/B3610)/(B3613/1000)</f>
        <v>1.2715231788079472E-4</v>
      </c>
      <c r="L3646" s="3">
        <f>(B3619/B3609)/(B3612/1000)</f>
        <v>6.3629518072289156E-4</v>
      </c>
    </row>
    <row r="3647" spans="1:12" customFormat="1" ht="16" x14ac:dyDescent="0.2">
      <c r="A3647" t="s">
        <v>206</v>
      </c>
      <c r="B3647" s="3">
        <f>(B3620/B3608)/(B3611/1000)</f>
        <v>1.4763779527559055E-4</v>
      </c>
      <c r="C3647" t="s">
        <v>18</v>
      </c>
      <c r="D3647" s="2"/>
      <c r="E3647" t="s">
        <v>9</v>
      </c>
      <c r="F3647" t="s">
        <v>23</v>
      </c>
      <c r="G3647" t="s">
        <v>207</v>
      </c>
      <c r="I3647">
        <v>5</v>
      </c>
      <c r="J3647" s="3">
        <f>B3647</f>
        <v>1.4763779527559055E-4</v>
      </c>
      <c r="K3647" s="3">
        <f>(B3621/B3610)/(B3613/1000)</f>
        <v>7.5496688741721855E-5</v>
      </c>
      <c r="L3647" s="3">
        <f>(B3622/B3609)/(B3612/1000)</f>
        <v>3.3509036144578315E-4</v>
      </c>
    </row>
    <row r="3648" spans="1:12" customFormat="1" ht="16" x14ac:dyDescent="0.2">
      <c r="A3648" t="s">
        <v>48</v>
      </c>
      <c r="B3648" s="3">
        <v>4.4166666666666577E-6</v>
      </c>
      <c r="D3648" t="s">
        <v>14</v>
      </c>
      <c r="E3648" t="s">
        <v>9</v>
      </c>
      <c r="F3648" s="2" t="s">
        <v>15</v>
      </c>
      <c r="I3648" s="2"/>
    </row>
    <row r="3649" spans="1:12" customFormat="1" ht="16" x14ac:dyDescent="0.2">
      <c r="A3649" t="s">
        <v>50</v>
      </c>
      <c r="B3649" s="3">
        <v>7.5082705379565517E-7</v>
      </c>
      <c r="D3649" t="s">
        <v>14</v>
      </c>
      <c r="E3649" t="s">
        <v>9</v>
      </c>
      <c r="F3649" s="2" t="s">
        <v>15</v>
      </c>
      <c r="I3649" s="2"/>
    </row>
    <row r="3650" spans="1:12" customFormat="1" ht="16" x14ac:dyDescent="0.2">
      <c r="A3650" t="s">
        <v>122</v>
      </c>
      <c r="B3650" s="9">
        <f>2.74*B3645</f>
        <v>5.7684210526315789E-2</v>
      </c>
      <c r="D3650" t="s">
        <v>14</v>
      </c>
      <c r="E3650" t="s">
        <v>9</v>
      </c>
      <c r="F3650" s="2" t="s">
        <v>15</v>
      </c>
      <c r="I3650" s="2"/>
    </row>
    <row r="3651" spans="1:12" customFormat="1" ht="16" x14ac:dyDescent="0.2">
      <c r="A3651" t="s">
        <v>123</v>
      </c>
      <c r="B3651" s="9">
        <v>2.6360440412565261E-4</v>
      </c>
      <c r="D3651" t="s">
        <v>14</v>
      </c>
      <c r="E3651" t="s">
        <v>9</v>
      </c>
      <c r="F3651" s="2" t="s">
        <v>15</v>
      </c>
      <c r="I3651" s="2"/>
    </row>
    <row r="3652" spans="1:12" customFormat="1" ht="16" x14ac:dyDescent="0.2">
      <c r="A3652" t="s">
        <v>58</v>
      </c>
      <c r="B3652" s="3">
        <v>9.6666666666666532E-7</v>
      </c>
      <c r="D3652" t="s">
        <v>14</v>
      </c>
      <c r="E3652" t="s">
        <v>9</v>
      </c>
      <c r="F3652" s="2" t="s">
        <v>15</v>
      </c>
      <c r="I3652" s="2"/>
    </row>
    <row r="3653" spans="1:12" customFormat="1" ht="16" x14ac:dyDescent="0.2">
      <c r="A3653" t="s">
        <v>64</v>
      </c>
      <c r="B3653" s="3">
        <v>2.7750000000000002E-10</v>
      </c>
      <c r="D3653" t="s">
        <v>14</v>
      </c>
      <c r="E3653" t="s">
        <v>9</v>
      </c>
      <c r="F3653" s="2" t="s">
        <v>15</v>
      </c>
      <c r="I3653" s="2"/>
    </row>
    <row r="3654" spans="1:12" customFormat="1" ht="16" x14ac:dyDescent="0.2">
      <c r="A3654" t="s">
        <v>177</v>
      </c>
      <c r="B3654" s="3">
        <v>1.606690212560312E-5</v>
      </c>
      <c r="D3654" t="s">
        <v>14</v>
      </c>
      <c r="E3654" t="s">
        <v>9</v>
      </c>
      <c r="F3654" s="2" t="s">
        <v>15</v>
      </c>
      <c r="I3654" s="2"/>
    </row>
    <row r="3655" spans="1:12" customFormat="1" ht="16" x14ac:dyDescent="0.2">
      <c r="A3655" t="s">
        <v>67</v>
      </c>
      <c r="B3655" s="3">
        <v>6.8382126269474045E-6</v>
      </c>
      <c r="D3655" t="s">
        <v>14</v>
      </c>
      <c r="E3655" t="s">
        <v>9</v>
      </c>
      <c r="F3655" s="2" t="s">
        <v>15</v>
      </c>
      <c r="I3655" s="2"/>
    </row>
    <row r="3656" spans="1:12" customFormat="1" ht="16" x14ac:dyDescent="0.2">
      <c r="A3656" t="s">
        <v>69</v>
      </c>
      <c r="B3656" s="3">
        <f>B3640/1000</f>
        <v>6.4438710000000001E-6</v>
      </c>
      <c r="D3656" t="s">
        <v>14</v>
      </c>
      <c r="E3656" t="s">
        <v>9</v>
      </c>
      <c r="F3656" s="2" t="s">
        <v>15</v>
      </c>
      <c r="I3656" s="2"/>
    </row>
    <row r="3657" spans="1:12" customFormat="1" ht="16" x14ac:dyDescent="0.2">
      <c r="A3657" t="s">
        <v>71</v>
      </c>
      <c r="B3657" s="3">
        <f>B3641/1000</f>
        <v>9.6806299999999992E-7</v>
      </c>
      <c r="D3657" t="s">
        <v>14</v>
      </c>
      <c r="E3657" t="s">
        <v>9</v>
      </c>
      <c r="F3657" s="2" t="s">
        <v>15</v>
      </c>
      <c r="I3657" s="2"/>
    </row>
    <row r="3658" spans="1:12" customFormat="1" ht="16" x14ac:dyDescent="0.2">
      <c r="A3658" t="s">
        <v>77</v>
      </c>
      <c r="B3658" s="3">
        <v>5.6430000000000142E-7</v>
      </c>
      <c r="D3658" t="s">
        <v>14</v>
      </c>
      <c r="E3658" t="s">
        <v>9</v>
      </c>
      <c r="F3658" s="2" t="s">
        <v>15</v>
      </c>
      <c r="I3658" s="2"/>
    </row>
    <row r="3659" spans="1:12" customFormat="1" ht="16" x14ac:dyDescent="0.2">
      <c r="A3659" t="s">
        <v>78</v>
      </c>
      <c r="B3659" s="3">
        <v>2.2336471011856279E-6</v>
      </c>
      <c r="D3659" t="s">
        <v>14</v>
      </c>
      <c r="E3659" t="s">
        <v>9</v>
      </c>
      <c r="F3659" s="2" t="s">
        <v>15</v>
      </c>
      <c r="I3659" s="2"/>
    </row>
    <row r="3660" spans="1:12" customFormat="1" ht="16" x14ac:dyDescent="0.2"/>
    <row r="3661" spans="1:12" x14ac:dyDescent="0.2">
      <c r="A3661" s="17" t="s">
        <v>2</v>
      </c>
      <c r="B3661" s="17" t="s">
        <v>257</v>
      </c>
    </row>
    <row r="3662" spans="1:12" customFormat="1" ht="16" x14ac:dyDescent="0.2">
      <c r="A3662" s="2" t="s">
        <v>3</v>
      </c>
      <c r="B3662" s="2" t="s">
        <v>18</v>
      </c>
      <c r="C3662" s="2"/>
      <c r="D3662" s="2"/>
      <c r="E3662" s="2"/>
      <c r="F3662" s="2"/>
      <c r="G3662" s="2"/>
      <c r="H3662" s="2"/>
      <c r="I3662" s="2"/>
      <c r="J3662" s="2"/>
      <c r="K3662" s="2"/>
      <c r="L3662" s="2"/>
    </row>
    <row r="3663" spans="1:12" customFormat="1" ht="16" x14ac:dyDescent="0.2">
      <c r="A3663" s="2" t="s">
        <v>4</v>
      </c>
      <c r="B3663" s="2">
        <v>1</v>
      </c>
      <c r="C3663" s="2"/>
      <c r="D3663" s="2"/>
      <c r="E3663" s="2"/>
      <c r="F3663" s="2"/>
      <c r="G3663" s="2"/>
      <c r="H3663" s="2"/>
      <c r="I3663" s="2"/>
      <c r="J3663" s="2"/>
      <c r="K3663" s="2"/>
      <c r="L3663" s="2"/>
    </row>
    <row r="3664" spans="1:12" customFormat="1" ht="16" x14ac:dyDescent="0.2">
      <c r="A3664" s="2" t="s">
        <v>5</v>
      </c>
      <c r="B3664" s="2" t="s">
        <v>1</v>
      </c>
      <c r="C3664" s="2"/>
      <c r="D3664" s="2"/>
      <c r="E3664" s="2"/>
      <c r="F3664" s="2"/>
      <c r="G3664" s="2"/>
      <c r="H3664" s="2"/>
      <c r="I3664" s="2"/>
      <c r="J3664" s="2"/>
    </row>
    <row r="3665" spans="1:12" customFormat="1" ht="16" x14ac:dyDescent="0.2">
      <c r="A3665" s="2" t="s">
        <v>6</v>
      </c>
      <c r="B3665" s="2" t="s">
        <v>7</v>
      </c>
      <c r="C3665" s="2"/>
      <c r="D3665" s="2"/>
      <c r="E3665" s="2"/>
      <c r="F3665" s="2"/>
      <c r="G3665" s="2"/>
      <c r="H3665" s="2"/>
      <c r="I3665" s="2"/>
      <c r="J3665" s="2"/>
      <c r="K3665" s="2"/>
      <c r="L3665" s="2"/>
    </row>
    <row r="3666" spans="1:12" customFormat="1" ht="16" x14ac:dyDescent="0.2">
      <c r="A3666" s="2" t="s">
        <v>8</v>
      </c>
      <c r="B3666" s="2" t="s">
        <v>17</v>
      </c>
      <c r="C3666" s="2"/>
      <c r="D3666" s="2"/>
      <c r="E3666" s="2"/>
      <c r="F3666" s="2"/>
      <c r="G3666" s="2"/>
      <c r="H3666" s="2"/>
      <c r="I3666" s="2"/>
      <c r="J3666" s="2"/>
      <c r="K3666" s="2"/>
      <c r="L3666" s="2"/>
    </row>
    <row r="3667" spans="1:12" customFormat="1" ht="16" x14ac:dyDescent="0.2">
      <c r="A3667" t="s">
        <v>352</v>
      </c>
      <c r="B3667" s="2">
        <f>INDEX(Parameters!$B$6:$AL$57,MATCH(Inventories!$B$3661,Parameters!$A$6:$A$57,0),MATCH(Inventories!$A3667,Parameters!$B$4:$AL$4,0))</f>
        <v>126</v>
      </c>
      <c r="C3667" t="s">
        <v>312</v>
      </c>
      <c r="D3667" s="2"/>
      <c r="E3667" s="2"/>
      <c r="F3667" s="2"/>
      <c r="G3667" s="2"/>
      <c r="H3667" s="2"/>
      <c r="I3667" s="2"/>
      <c r="J3667" s="2"/>
      <c r="K3667" s="2"/>
      <c r="L3667" s="2"/>
    </row>
    <row r="3668" spans="1:12" customFormat="1" ht="16" x14ac:dyDescent="0.2">
      <c r="A3668" t="s">
        <v>353</v>
      </c>
      <c r="B3668" s="2">
        <f>INDEX(Parameters!$B$6:$AL$57,MATCH(Inventories!$B$3661,Parameters!$A$6:$A$57,0),MATCH(Inventories!$A3668,Parameters!$B$4:$AL$4,0))</f>
        <v>55</v>
      </c>
      <c r="C3668" t="s">
        <v>312</v>
      </c>
      <c r="D3668" s="2"/>
      <c r="E3668" s="2"/>
      <c r="F3668" s="2"/>
      <c r="G3668" s="2"/>
      <c r="H3668" s="2"/>
      <c r="I3668" s="2"/>
      <c r="J3668" s="2"/>
      <c r="K3668" s="2"/>
      <c r="L3668" s="2"/>
    </row>
    <row r="3669" spans="1:12" customFormat="1" ht="16" x14ac:dyDescent="0.2">
      <c r="A3669" t="s">
        <v>354</v>
      </c>
      <c r="B3669" s="2">
        <f>INDEX(Parameters!$B$6:$AL$57,MATCH(Inventories!$B$3661,Parameters!$A$6:$A$57,0),MATCH(Inventories!$A3669,Parameters!$B$4:$AL$4,0))</f>
        <v>160</v>
      </c>
      <c r="C3669" t="s">
        <v>312</v>
      </c>
      <c r="D3669" s="2"/>
      <c r="E3669" s="2"/>
      <c r="F3669" s="2"/>
      <c r="G3669" s="2"/>
      <c r="H3669" s="2"/>
      <c r="I3669" s="2"/>
      <c r="J3669" s="2"/>
      <c r="K3669" s="2"/>
      <c r="L3669" s="2"/>
    </row>
    <row r="3670" spans="1:12" customFormat="1" ht="16" x14ac:dyDescent="0.2">
      <c r="A3670" t="s">
        <v>316</v>
      </c>
      <c r="B3670" s="24">
        <f>INDEX(Parameters!$B$6:$AL$57,MATCH(Inventories!$B$3661,Parameters!$A$6:$A$57,0),MATCH(Inventories!$A3670,Parameters!$B$4:$AL$4,0))</f>
        <v>200000</v>
      </c>
      <c r="C3670" t="s">
        <v>313</v>
      </c>
      <c r="D3670" s="2"/>
      <c r="E3670" s="2"/>
      <c r="F3670" s="2"/>
      <c r="G3670" s="2"/>
      <c r="H3670" s="2"/>
      <c r="I3670" s="2"/>
      <c r="J3670" s="2"/>
      <c r="K3670" s="2"/>
      <c r="L3670" s="2"/>
    </row>
    <row r="3671" spans="1:12" customFormat="1" ht="16" x14ac:dyDescent="0.2">
      <c r="A3671" t="s">
        <v>317</v>
      </c>
      <c r="B3671" s="24">
        <f>INDEX(Parameters!$B$6:$AL$57,MATCH(Inventories!$B$3661,Parameters!$A$6:$A$57,0),MATCH(Inventories!$A3671,Parameters!$B$4:$AL$4,0))</f>
        <v>160000</v>
      </c>
      <c r="C3671" t="s">
        <v>313</v>
      </c>
      <c r="D3671" s="2"/>
      <c r="E3671" s="2"/>
      <c r="F3671" s="2"/>
      <c r="G3671" s="2"/>
      <c r="H3671" s="2"/>
      <c r="I3671" s="2"/>
      <c r="J3671" s="2"/>
      <c r="K3671" s="2"/>
      <c r="L3671" s="2"/>
    </row>
    <row r="3672" spans="1:12" customFormat="1" ht="16" x14ac:dyDescent="0.2">
      <c r="A3672" t="s">
        <v>318</v>
      </c>
      <c r="B3672" s="24">
        <f>INDEX(Parameters!$B$6:$AL$57,MATCH(Inventories!$B$3661,Parameters!$A$6:$A$57,0),MATCH(Inventories!$A3672,Parameters!$B$4:$AL$4,0))</f>
        <v>250000</v>
      </c>
      <c r="C3672" t="s">
        <v>313</v>
      </c>
      <c r="D3672" s="2"/>
      <c r="E3672" s="2"/>
      <c r="F3672" s="2"/>
      <c r="G3672" s="2"/>
      <c r="H3672" s="2"/>
      <c r="I3672" s="2"/>
      <c r="J3672" s="2"/>
      <c r="K3672" s="2"/>
      <c r="L3672" s="2"/>
    </row>
    <row r="3673" spans="1:12" customFormat="1" ht="16" x14ac:dyDescent="0.2">
      <c r="A3673" t="s">
        <v>319</v>
      </c>
      <c r="B3673" s="2">
        <f>INDEX(Parameters!$B$6:$AL$57,MATCH(Inventories!$B$3661,Parameters!$A$6:$A$57,0),MATCH(Inventories!$A3673,Parameters!$B$4:$AL$4,0))</f>
        <v>2540</v>
      </c>
      <c r="C3673" t="s">
        <v>314</v>
      </c>
      <c r="D3673" s="2"/>
      <c r="E3673" s="2"/>
      <c r="F3673" s="2"/>
      <c r="G3673" s="2"/>
      <c r="H3673" s="2"/>
      <c r="I3673" s="2"/>
      <c r="J3673" s="2"/>
      <c r="K3673" s="2"/>
      <c r="L3673" s="2"/>
    </row>
    <row r="3674" spans="1:12" customFormat="1" ht="16" x14ac:dyDescent="0.2">
      <c r="A3674" t="s">
        <v>320</v>
      </c>
      <c r="B3674" s="2">
        <f>INDEX(Parameters!$B$6:$AL$57,MATCH(Inventories!$B$3661,Parameters!$A$6:$A$57,0),MATCH(Inventories!$A3674,Parameters!$B$4:$AL$4,0))</f>
        <v>1660</v>
      </c>
      <c r="C3674" t="s">
        <v>314</v>
      </c>
      <c r="D3674" s="2"/>
      <c r="E3674" s="2"/>
      <c r="F3674" s="2"/>
      <c r="G3674" s="2"/>
      <c r="H3674" s="2"/>
      <c r="I3674" s="2"/>
      <c r="J3674" s="2"/>
      <c r="K3674" s="2"/>
      <c r="L3674" s="2"/>
    </row>
    <row r="3675" spans="1:12" customFormat="1" ht="16" x14ac:dyDescent="0.2">
      <c r="A3675" t="s">
        <v>321</v>
      </c>
      <c r="B3675" s="2">
        <f>INDEX(Parameters!$B$6:$AL$57,MATCH(Inventories!$B$3661,Parameters!$A$6:$A$57,0),MATCH(Inventories!$A3675,Parameters!$B$4:$AL$4,0))</f>
        <v>3020</v>
      </c>
      <c r="C3675" t="s">
        <v>314</v>
      </c>
      <c r="D3675" s="2"/>
      <c r="E3675" s="2"/>
      <c r="F3675" s="2"/>
      <c r="G3675" s="2"/>
      <c r="H3675" s="2"/>
      <c r="I3675" s="2"/>
      <c r="J3675" s="2"/>
      <c r="K3675" s="2"/>
      <c r="L3675" s="2"/>
    </row>
    <row r="3676" spans="1:12" customFormat="1" ht="16" x14ac:dyDescent="0.2">
      <c r="A3676" t="s">
        <v>337</v>
      </c>
      <c r="B3676" s="2">
        <f>INDEX(Parameters!$B$6:$AL$57,MATCH(Inventories!$B$3661,Parameters!$A$6:$A$57,0),MATCH(Inventories!$A3676,Parameters!$B$4:$AL$4,0))</f>
        <v>0</v>
      </c>
      <c r="C3676" t="s">
        <v>336</v>
      </c>
      <c r="D3676" s="2"/>
      <c r="E3676" s="2"/>
      <c r="F3676" s="2"/>
      <c r="G3676" s="2"/>
      <c r="H3676" s="2"/>
      <c r="I3676" s="2"/>
      <c r="J3676" s="2"/>
      <c r="K3676" s="2"/>
      <c r="L3676" s="2"/>
    </row>
    <row r="3677" spans="1:12" customFormat="1" ht="16" x14ac:dyDescent="0.2">
      <c r="A3677" t="s">
        <v>338</v>
      </c>
      <c r="B3677" s="2">
        <f>INDEX(Parameters!$B$6:$AL$57,MATCH(Inventories!$B$3661,Parameters!$A$6:$A$57,0),MATCH(Inventories!$A3677,Parameters!$B$4:$AL$4,0))</f>
        <v>0</v>
      </c>
      <c r="C3677" t="s">
        <v>336</v>
      </c>
      <c r="D3677" s="2"/>
      <c r="E3677" s="2"/>
      <c r="F3677" s="2"/>
      <c r="G3677" s="2"/>
      <c r="H3677" s="2"/>
      <c r="I3677" s="2"/>
      <c r="J3677" s="2"/>
      <c r="K3677" s="2"/>
      <c r="L3677" s="2"/>
    </row>
    <row r="3678" spans="1:12" customFormat="1" ht="16" x14ac:dyDescent="0.2">
      <c r="A3678" t="s">
        <v>339</v>
      </c>
      <c r="B3678" s="2">
        <f>INDEX(Parameters!$B$6:$AL$57,MATCH(Inventories!$B$3661,Parameters!$A$6:$A$57,0),MATCH(Inventories!$A3678,Parameters!$B$4:$AL$4,0))</f>
        <v>0</v>
      </c>
      <c r="C3678" t="s">
        <v>336</v>
      </c>
      <c r="D3678" s="2"/>
      <c r="E3678" s="2"/>
      <c r="F3678" s="2"/>
      <c r="G3678" s="2"/>
      <c r="H3678" s="2"/>
      <c r="I3678" s="2"/>
      <c r="J3678" s="2"/>
      <c r="K3678" s="2"/>
      <c r="L3678" s="2"/>
    </row>
    <row r="3679" spans="1:12" customFormat="1" ht="16" x14ac:dyDescent="0.2">
      <c r="A3679" t="s">
        <v>340</v>
      </c>
      <c r="B3679" s="2">
        <f>INDEX(Parameters!$B$6:$AL$57,MATCH(Inventories!$B$3661,Parameters!$A$6:$A$57,0),MATCH(Inventories!$A3679,Parameters!$B$4:$AL$4,0))</f>
        <v>145</v>
      </c>
      <c r="C3679" t="s">
        <v>336</v>
      </c>
      <c r="D3679" s="2"/>
      <c r="E3679" s="2"/>
      <c r="F3679" s="2"/>
      <c r="G3679" s="2"/>
      <c r="H3679" s="2"/>
      <c r="I3679" s="2"/>
      <c r="J3679" s="2"/>
      <c r="K3679" s="2"/>
      <c r="L3679" s="2"/>
    </row>
    <row r="3680" spans="1:12" customFormat="1" ht="16" x14ac:dyDescent="0.2">
      <c r="A3680" t="s">
        <v>341</v>
      </c>
      <c r="B3680" s="2">
        <f>INDEX(Parameters!$B$6:$AL$57,MATCH(Inventories!$B$3661,Parameters!$A$6:$A$57,0),MATCH(Inventories!$A3680,Parameters!$B$4:$AL$4,0))</f>
        <v>96</v>
      </c>
      <c r="C3680" t="s">
        <v>336</v>
      </c>
      <c r="D3680" s="2"/>
      <c r="E3680" s="2"/>
      <c r="F3680" s="2"/>
      <c r="G3680" s="2"/>
      <c r="H3680" s="2"/>
      <c r="I3680" s="2"/>
      <c r="J3680" s="2"/>
      <c r="K3680" s="2"/>
      <c r="L3680" s="2"/>
    </row>
    <row r="3681" spans="1:12" customFormat="1" ht="16" x14ac:dyDescent="0.2">
      <c r="A3681" t="s">
        <v>342</v>
      </c>
      <c r="B3681" s="2">
        <f>INDEX(Parameters!$B$6:$AL$57,MATCH(Inventories!$B$3661,Parameters!$A$6:$A$57,0),MATCH(Inventories!$A3681,Parameters!$B$4:$AL$4,0))</f>
        <v>169</v>
      </c>
      <c r="C3681" t="s">
        <v>336</v>
      </c>
      <c r="D3681" s="2"/>
      <c r="E3681" s="2"/>
      <c r="F3681" s="2"/>
      <c r="G3681" s="2"/>
      <c r="H3681" s="2"/>
      <c r="I3681" s="2"/>
      <c r="J3681" s="2"/>
      <c r="K3681" s="2"/>
      <c r="L3681" s="2"/>
    </row>
    <row r="3682" spans="1:12" customFormat="1" ht="16" x14ac:dyDescent="0.2">
      <c r="A3682" t="s">
        <v>333</v>
      </c>
      <c r="B3682" s="2">
        <f>INDEX(Parameters!$B$6:$AL$57,MATCH(Inventories!$B$3661,Parameters!$A$6:$A$57,0),MATCH(Inventories!$A3682,Parameters!$B$4:$AL$4,0))</f>
        <v>75</v>
      </c>
      <c r="C3682" t="s">
        <v>336</v>
      </c>
      <c r="D3682" s="2"/>
      <c r="E3682" s="2"/>
      <c r="F3682" s="2"/>
      <c r="G3682" s="2"/>
      <c r="H3682" s="2"/>
      <c r="I3682" s="2"/>
      <c r="J3682" s="2"/>
      <c r="K3682" s="2"/>
      <c r="L3682" s="2"/>
    </row>
    <row r="3683" spans="1:12" customFormat="1" ht="16" x14ac:dyDescent="0.2">
      <c r="A3683" t="s">
        <v>334</v>
      </c>
      <c r="B3683" s="2">
        <f>INDEX(Parameters!$B$6:$AL$57,MATCH(Inventories!$B$3661,Parameters!$A$6:$A$57,0),MATCH(Inventories!$A3683,Parameters!$B$4:$AL$4,0))</f>
        <v>57</v>
      </c>
      <c r="C3683" t="s">
        <v>336</v>
      </c>
      <c r="D3683" s="2"/>
      <c r="E3683" s="2"/>
      <c r="F3683" s="2"/>
      <c r="G3683" s="2"/>
      <c r="H3683" s="2"/>
      <c r="I3683" s="2"/>
      <c r="J3683" s="2"/>
      <c r="K3683" s="2"/>
      <c r="L3683" s="2"/>
    </row>
    <row r="3684" spans="1:12" customFormat="1" ht="16" x14ac:dyDescent="0.2">
      <c r="A3684" t="s">
        <v>335</v>
      </c>
      <c r="B3684" s="2">
        <f>INDEX(Parameters!$B$6:$AL$57,MATCH(Inventories!$B$3661,Parameters!$A$6:$A$57,0),MATCH(Inventories!$A3684,Parameters!$B$4:$AL$4,0))</f>
        <v>89</v>
      </c>
      <c r="C3684" t="s">
        <v>336</v>
      </c>
      <c r="D3684" s="2"/>
      <c r="E3684" s="2"/>
      <c r="F3684" s="2"/>
      <c r="G3684" s="2"/>
      <c r="H3684" s="2"/>
      <c r="I3684" s="2"/>
      <c r="J3684" s="2"/>
      <c r="K3684" s="2"/>
      <c r="L3684" s="2"/>
    </row>
    <row r="3685" spans="1:12" customFormat="1" ht="16" x14ac:dyDescent="0.2">
      <c r="A3685" t="s">
        <v>322</v>
      </c>
      <c r="B3685" s="2">
        <f>INDEX(Parameters!$B$6:$AL$57,MATCH(Inventories!$B$3661,Parameters!$A$6:$A$57,0),MATCH(Inventories!$A3685,Parameters!$B$4:$AL$4,0))</f>
        <v>0</v>
      </c>
      <c r="C3685" t="s">
        <v>315</v>
      </c>
      <c r="D3685" s="2"/>
      <c r="E3685" s="2"/>
      <c r="F3685" s="2"/>
      <c r="G3685" s="2"/>
      <c r="H3685" s="2"/>
      <c r="I3685" s="2"/>
      <c r="J3685" s="2"/>
      <c r="K3685" s="2"/>
      <c r="L3685" s="2"/>
    </row>
    <row r="3686" spans="1:12" customFormat="1" ht="16" x14ac:dyDescent="0.2">
      <c r="A3686" t="s">
        <v>323</v>
      </c>
      <c r="B3686" s="2">
        <f>INDEX(Parameters!$B$6:$AL$57,MATCH(Inventories!$B$3661,Parameters!$A$6:$A$57,0),MATCH(Inventories!$A3686,Parameters!$B$4:$AL$4,0))</f>
        <v>0</v>
      </c>
      <c r="C3686" t="s">
        <v>315</v>
      </c>
      <c r="D3686" s="2"/>
      <c r="E3686" s="2"/>
      <c r="F3686" s="2"/>
      <c r="G3686" s="2"/>
      <c r="H3686" s="2"/>
      <c r="I3686" s="2"/>
      <c r="J3686" s="2"/>
      <c r="K3686" s="2"/>
      <c r="L3686" s="2"/>
    </row>
    <row r="3687" spans="1:12" customFormat="1" ht="16" x14ac:dyDescent="0.2">
      <c r="A3687" t="s">
        <v>324</v>
      </c>
      <c r="B3687" s="2">
        <f>INDEX(Parameters!$B$6:$AL$57,MATCH(Inventories!$B$3661,Parameters!$A$6:$A$57,0),MATCH(Inventories!$A3687,Parameters!$B$4:$AL$4,0))</f>
        <v>0</v>
      </c>
      <c r="C3687" t="s">
        <v>315</v>
      </c>
      <c r="D3687" s="2"/>
      <c r="E3687" s="2"/>
      <c r="F3687" s="2"/>
      <c r="G3687" s="2"/>
      <c r="H3687" s="2"/>
      <c r="I3687" s="2"/>
      <c r="J3687" s="2"/>
      <c r="K3687" s="2"/>
      <c r="L3687" s="2"/>
    </row>
    <row r="3688" spans="1:12" customFormat="1" ht="16" x14ac:dyDescent="0.2">
      <c r="A3688" t="s">
        <v>330</v>
      </c>
      <c r="B3688" s="2">
        <f>INDEX(Parameters!$B$6:$AL$57,MATCH(Inventories!$B$3661,Parameters!$A$6:$A$57,0),MATCH(Inventories!$A3688,Parameters!$B$4:$AL$4,0))</f>
        <v>0</v>
      </c>
      <c r="C3688" t="s">
        <v>8</v>
      </c>
      <c r="D3688" s="2"/>
      <c r="E3688" s="2"/>
      <c r="F3688" s="2"/>
      <c r="G3688" s="2"/>
      <c r="H3688" s="2"/>
      <c r="I3688" s="2"/>
      <c r="J3688" s="2"/>
      <c r="K3688" s="2"/>
      <c r="L3688" s="2"/>
    </row>
    <row r="3689" spans="1:12" customFormat="1" ht="16" x14ac:dyDescent="0.2">
      <c r="A3689" t="s">
        <v>331</v>
      </c>
      <c r="B3689" s="2">
        <f>INDEX(Parameters!$B$6:$AL$57,MATCH(Inventories!$B$3661,Parameters!$A$6:$A$57,0),MATCH(Inventories!$A3689,Parameters!$B$4:$AL$4,0))</f>
        <v>0</v>
      </c>
      <c r="C3689" t="s">
        <v>8</v>
      </c>
      <c r="D3689" s="2"/>
      <c r="E3689" s="2"/>
      <c r="F3689" s="2"/>
      <c r="G3689" s="2"/>
      <c r="H3689" s="2"/>
      <c r="I3689" s="2"/>
      <c r="J3689" s="2"/>
      <c r="K3689" s="2"/>
      <c r="L3689" s="2"/>
    </row>
    <row r="3690" spans="1:12" customFormat="1" ht="16" x14ac:dyDescent="0.2">
      <c r="A3690" t="s">
        <v>332</v>
      </c>
      <c r="B3690" s="2">
        <f>INDEX(Parameters!$B$6:$AL$57,MATCH(Inventories!$B$3661,Parameters!$A$6:$A$57,0),MATCH(Inventories!$A3690,Parameters!$B$4:$AL$4,0))</f>
        <v>0</v>
      </c>
      <c r="C3690" t="s">
        <v>8</v>
      </c>
      <c r="D3690" s="2"/>
      <c r="E3690" s="2"/>
      <c r="F3690" s="2"/>
      <c r="G3690" s="2"/>
      <c r="H3690" s="2"/>
      <c r="I3690" s="2"/>
      <c r="J3690" s="2"/>
      <c r="K3690" s="2"/>
      <c r="L3690" s="2"/>
    </row>
    <row r="3691" spans="1:12" customFormat="1" ht="16" x14ac:dyDescent="0.2">
      <c r="A3691" t="s">
        <v>346</v>
      </c>
      <c r="B3691" s="2">
        <f>INDEX(Parameters!$B$6:$AL$57,MATCH(Inventories!$B$3661,Parameters!$A$6:$A$57,0),MATCH(Inventories!$A3691,Parameters!$B$4:$AL$4,0))</f>
        <v>0</v>
      </c>
      <c r="C3691" t="s">
        <v>312</v>
      </c>
      <c r="D3691" s="2"/>
      <c r="E3691" s="2"/>
      <c r="F3691" s="2"/>
      <c r="G3691" s="2"/>
      <c r="H3691" s="2"/>
      <c r="I3691" s="2"/>
      <c r="J3691" s="2"/>
      <c r="K3691" s="2"/>
      <c r="L3691" s="2"/>
    </row>
    <row r="3692" spans="1:12" customFormat="1" ht="16" x14ac:dyDescent="0.2">
      <c r="A3692" t="s">
        <v>347</v>
      </c>
      <c r="B3692" s="2">
        <f>INDEX(Parameters!$B$6:$AL$57,MATCH(Inventories!$B$3661,Parameters!$A$6:$A$57,0),MATCH(Inventories!$A3692,Parameters!$B$4:$AL$4,0))</f>
        <v>0</v>
      </c>
      <c r="C3692" t="s">
        <v>312</v>
      </c>
      <c r="D3692" s="2"/>
      <c r="E3692" s="12"/>
      <c r="F3692" s="2"/>
      <c r="G3692" s="2"/>
      <c r="H3692" s="2"/>
      <c r="I3692" s="2"/>
      <c r="J3692" s="2"/>
      <c r="K3692" s="2"/>
      <c r="L3692" s="2"/>
    </row>
    <row r="3693" spans="1:12" customFormat="1" ht="16" x14ac:dyDescent="0.2">
      <c r="A3693" t="s">
        <v>348</v>
      </c>
      <c r="B3693" s="2">
        <f>INDEX(Parameters!$B$6:$AL$57,MATCH(Inventories!$B$3661,Parameters!$A$6:$A$57,0),MATCH(Inventories!$A3693,Parameters!$B$4:$AL$4,0))</f>
        <v>0</v>
      </c>
      <c r="C3693" t="s">
        <v>312</v>
      </c>
      <c r="D3693" s="2"/>
      <c r="E3693" s="2"/>
      <c r="F3693" s="2"/>
      <c r="G3693" s="2"/>
      <c r="H3693" s="2"/>
      <c r="I3693" s="2"/>
      <c r="J3693" s="2"/>
      <c r="K3693" s="2"/>
      <c r="L3693" s="2"/>
    </row>
    <row r="3694" spans="1:12" customFormat="1" ht="16" x14ac:dyDescent="0.2">
      <c r="A3694" t="s">
        <v>349</v>
      </c>
      <c r="B3694" s="2">
        <f>INDEX(Parameters!$B$6:$AL$57,MATCH(Inventories!$B$3661,Parameters!$A$6:$A$57,0),MATCH(Inventories!$A3694,Parameters!$B$4:$AL$4,0))</f>
        <v>0</v>
      </c>
      <c r="C3694" t="s">
        <v>8</v>
      </c>
      <c r="D3694" s="2"/>
      <c r="E3694" s="2"/>
      <c r="F3694" s="2"/>
      <c r="G3694" s="2"/>
      <c r="H3694" s="2"/>
      <c r="I3694" s="2"/>
      <c r="J3694" s="2"/>
      <c r="K3694" s="2"/>
      <c r="L3694" s="2"/>
    </row>
    <row r="3695" spans="1:12" customFormat="1" ht="16" x14ac:dyDescent="0.2">
      <c r="A3695" t="s">
        <v>350</v>
      </c>
      <c r="B3695" s="2">
        <f>INDEX(Parameters!$B$6:$AL$57,MATCH(Inventories!$B$3661,Parameters!$A$6:$A$57,0),MATCH(Inventories!$A3695,Parameters!$B$4:$AL$4,0))</f>
        <v>0</v>
      </c>
      <c r="C3695" t="s">
        <v>8</v>
      </c>
      <c r="D3695" s="2"/>
      <c r="E3695" s="2"/>
      <c r="F3695" s="2"/>
      <c r="G3695" s="2"/>
      <c r="H3695" s="2"/>
      <c r="I3695" s="2"/>
      <c r="J3695" s="2"/>
      <c r="K3695" s="2"/>
      <c r="L3695" s="2"/>
    </row>
    <row r="3696" spans="1:12" customFormat="1" ht="16" x14ac:dyDescent="0.2">
      <c r="A3696" t="s">
        <v>351</v>
      </c>
      <c r="B3696" s="2">
        <f>INDEX(Parameters!$B$6:$AL$57,MATCH(Inventories!$B$3661,Parameters!$A$6:$A$57,0),MATCH(Inventories!$A3696,Parameters!$B$4:$AL$4,0))</f>
        <v>0</v>
      </c>
      <c r="C3696" t="s">
        <v>8</v>
      </c>
      <c r="D3696" s="2"/>
      <c r="E3696" s="2"/>
      <c r="F3696" s="2"/>
      <c r="G3696" s="2"/>
      <c r="H3696" s="2"/>
      <c r="I3696" s="2"/>
      <c r="J3696" s="2"/>
      <c r="K3696" s="2"/>
      <c r="L3696" s="2"/>
    </row>
    <row r="3697" spans="1:12" customFormat="1" ht="16" x14ac:dyDescent="0.2">
      <c r="A3697" t="s">
        <v>365</v>
      </c>
      <c r="B3697" s="2">
        <f>INDEX(Parameters!$B$6:$AL$57,MATCH(Inventories!$B$3661,Parameters!$A$6:$A$57,0),MATCH(Inventories!$A3697,Parameters!$B$4:$AL$4,0))</f>
        <v>0</v>
      </c>
      <c r="C3697" t="s">
        <v>336</v>
      </c>
      <c r="D3697" s="2"/>
      <c r="E3697" s="2"/>
      <c r="F3697" s="2"/>
      <c r="G3697" s="2"/>
      <c r="H3697" s="2"/>
      <c r="I3697" s="2"/>
      <c r="J3697" s="2"/>
      <c r="K3697" s="2"/>
      <c r="L3697" s="2"/>
    </row>
    <row r="3698" spans="1:12" customFormat="1" ht="16" x14ac:dyDescent="0.2">
      <c r="A3698" t="s">
        <v>366</v>
      </c>
      <c r="B3698" s="2">
        <f>INDEX(Parameters!$B$6:$AL$57,MATCH(Inventories!$B$3661,Parameters!$A$6:$A$57,0),MATCH(Inventories!$A3698,Parameters!$B$4:$AL$4,0))</f>
        <v>0</v>
      </c>
      <c r="C3698" t="s">
        <v>336</v>
      </c>
      <c r="D3698" s="2"/>
      <c r="E3698" s="2"/>
      <c r="F3698" s="2"/>
      <c r="G3698" s="2"/>
      <c r="H3698" s="2"/>
      <c r="I3698" s="2"/>
      <c r="J3698" s="2"/>
      <c r="K3698" s="2"/>
      <c r="L3698" s="2"/>
    </row>
    <row r="3699" spans="1:12" customFormat="1" ht="16" x14ac:dyDescent="0.2">
      <c r="A3699" t="s">
        <v>367</v>
      </c>
      <c r="B3699" s="2">
        <f>INDEX(Parameters!$B$6:$AL$57,MATCH(Inventories!$B$3661,Parameters!$A$6:$A$57,0),MATCH(Inventories!$A3699,Parameters!$B$4:$AL$4,0))</f>
        <v>0</v>
      </c>
      <c r="C3699" t="s">
        <v>336</v>
      </c>
      <c r="D3699" s="2"/>
      <c r="E3699" s="2"/>
      <c r="F3699" s="2"/>
      <c r="G3699" s="2"/>
      <c r="H3699" s="2"/>
      <c r="I3699" s="2"/>
      <c r="J3699" s="2"/>
      <c r="K3699" s="2"/>
      <c r="L3699" s="2"/>
    </row>
    <row r="3700" spans="1:12" customFormat="1" ht="16" x14ac:dyDescent="0.2">
      <c r="A3700" t="s">
        <v>368</v>
      </c>
      <c r="B3700" s="2">
        <f>INDEX(Parameters!$B$6:$AL$57,MATCH(Inventories!$B$3661,Parameters!$A$6:$A$57,0),MATCH(Inventories!$A3700,Parameters!$B$4:$AL$4,0))</f>
        <v>0</v>
      </c>
      <c r="C3700" t="s">
        <v>336</v>
      </c>
      <c r="D3700" s="2"/>
      <c r="E3700" s="2"/>
      <c r="F3700" s="2"/>
      <c r="G3700" s="2"/>
      <c r="H3700" s="2"/>
      <c r="I3700" s="2"/>
      <c r="J3700" s="2"/>
      <c r="K3700" s="2"/>
      <c r="L3700" s="2"/>
    </row>
    <row r="3701" spans="1:12" customFormat="1" ht="16" x14ac:dyDescent="0.2">
      <c r="A3701" t="s">
        <v>369</v>
      </c>
      <c r="B3701" s="2">
        <f>INDEX(Parameters!$B$6:$AL$57,MATCH(Inventories!$B$3661,Parameters!$A$6:$A$57,0),MATCH(Inventories!$A3701,Parameters!$B$4:$AL$4,0))</f>
        <v>0</v>
      </c>
      <c r="C3701" t="s">
        <v>336</v>
      </c>
      <c r="D3701" s="2"/>
      <c r="E3701" s="2"/>
      <c r="F3701" s="2"/>
      <c r="G3701" s="2"/>
      <c r="H3701" s="2"/>
      <c r="I3701" s="2"/>
      <c r="J3701" s="2"/>
      <c r="K3701" s="2"/>
      <c r="L3701" s="2"/>
    </row>
    <row r="3702" spans="1:12" customFormat="1" ht="16" x14ac:dyDescent="0.2">
      <c r="A3702" t="s">
        <v>344</v>
      </c>
      <c r="B3702" s="12">
        <f>INDEX(Parameters!$B$6:$AL$57,MATCH(Inventories!$B$3661,Parameters!$A$6:$A$57,0),MATCH(Inventories!$A3702,Parameters!$B$4:$AL$4,0))</f>
        <v>6.4438710000000003E-3</v>
      </c>
      <c r="C3702" t="s">
        <v>345</v>
      </c>
      <c r="D3702" s="2"/>
      <c r="E3702" s="2"/>
      <c r="F3702" s="2"/>
      <c r="G3702" s="2"/>
      <c r="H3702" s="2"/>
      <c r="I3702" s="2"/>
      <c r="J3702" s="2"/>
      <c r="K3702" s="2"/>
      <c r="L3702" s="2"/>
    </row>
    <row r="3703" spans="1:12" customFormat="1" ht="16" x14ac:dyDescent="0.2">
      <c r="A3703" t="s">
        <v>343</v>
      </c>
      <c r="B3703" s="12">
        <f>INDEX(Parameters!$B$6:$AL$57,MATCH(Inventories!$B$3661,Parameters!$A$6:$A$57,0),MATCH(Inventories!$A3703,Parameters!$B$4:$AL$4,0))</f>
        <v>9.6806300000000002E-4</v>
      </c>
      <c r="C3703" t="s">
        <v>345</v>
      </c>
      <c r="D3703" s="2"/>
      <c r="E3703" s="2"/>
      <c r="F3703" s="2"/>
      <c r="G3703" s="2"/>
      <c r="H3703" s="2"/>
      <c r="I3703" s="2"/>
      <c r="J3703" s="2"/>
      <c r="K3703" s="2"/>
      <c r="L3703" s="2"/>
    </row>
    <row r="3704" spans="1:12" customFormat="1" ht="16" x14ac:dyDescent="0.2">
      <c r="A3704" s="1" t="s">
        <v>10</v>
      </c>
      <c r="B3704" s="2"/>
      <c r="C3704" s="2"/>
      <c r="D3704" s="2"/>
      <c r="E3704" s="2"/>
      <c r="F3704" s="2"/>
      <c r="G3704" s="2"/>
      <c r="H3704" s="2"/>
      <c r="I3704" s="2"/>
      <c r="J3704" s="2"/>
      <c r="K3704" s="2"/>
      <c r="L3704" s="2"/>
    </row>
    <row r="3705" spans="1:12" x14ac:dyDescent="0.2">
      <c r="A3705" s="17" t="s">
        <v>11</v>
      </c>
      <c r="B3705" s="17" t="s">
        <v>12</v>
      </c>
      <c r="C3705" s="17" t="s">
        <v>3</v>
      </c>
      <c r="D3705" s="17" t="s">
        <v>13</v>
      </c>
      <c r="E3705" s="17" t="s">
        <v>8</v>
      </c>
      <c r="F3705" s="17" t="s">
        <v>6</v>
      </c>
      <c r="G3705" s="17" t="s">
        <v>5</v>
      </c>
      <c r="H3705" s="17" t="s">
        <v>151</v>
      </c>
      <c r="I3705" s="17" t="s">
        <v>179</v>
      </c>
      <c r="J3705" s="17" t="s">
        <v>180</v>
      </c>
      <c r="K3705" s="17" t="s">
        <v>181</v>
      </c>
      <c r="L3705" s="17" t="s">
        <v>182</v>
      </c>
    </row>
    <row r="3706" spans="1:12" customFormat="1" ht="16" x14ac:dyDescent="0.2">
      <c r="A3706" s="2" t="str">
        <f>B3661</f>
        <v>biomethane, burned in passenger car</v>
      </c>
      <c r="B3706" s="2">
        <v>1</v>
      </c>
      <c r="C3706" s="2" t="str">
        <f>B3662</f>
        <v>RER</v>
      </c>
      <c r="D3706" s="2"/>
      <c r="E3706" s="2" t="str">
        <f>B3666</f>
        <v>megajoule</v>
      </c>
      <c r="F3706" s="2" t="s">
        <v>19</v>
      </c>
      <c r="G3706" s="2" t="str">
        <f>B3664</f>
        <v>heat</v>
      </c>
      <c r="H3706" s="2"/>
      <c r="I3706" s="2"/>
      <c r="J3706" s="2"/>
      <c r="K3706" s="2"/>
      <c r="L3706" s="2"/>
    </row>
    <row r="3707" spans="1:12" customFormat="1" ht="16" x14ac:dyDescent="0.2">
      <c r="A3707" t="s">
        <v>254</v>
      </c>
      <c r="B3707" s="25">
        <f>1/47.5</f>
        <v>2.1052631578947368E-2</v>
      </c>
      <c r="C3707" t="s">
        <v>18</v>
      </c>
      <c r="E3707" t="s">
        <v>9</v>
      </c>
      <c r="F3707" t="s">
        <v>23</v>
      </c>
      <c r="G3707" t="s">
        <v>255</v>
      </c>
      <c r="I3707" s="2"/>
    </row>
    <row r="3708" spans="1:12" customFormat="1" ht="16" x14ac:dyDescent="0.2">
      <c r="A3708" s="2" t="s">
        <v>143</v>
      </c>
      <c r="B3708" s="3">
        <f>(B3679/B3670)/(B3673/1000)</f>
        <v>2.8543307086614171E-4</v>
      </c>
      <c r="C3708" t="s">
        <v>114</v>
      </c>
      <c r="E3708" t="s">
        <v>9</v>
      </c>
      <c r="F3708" t="s">
        <v>23</v>
      </c>
      <c r="G3708" t="s">
        <v>144</v>
      </c>
      <c r="I3708" s="2">
        <v>5</v>
      </c>
      <c r="J3708" s="3">
        <f>B3708</f>
        <v>2.8543307086614171E-4</v>
      </c>
      <c r="K3708" s="3">
        <f>(B3680/B3672)/(B3675/1000)</f>
        <v>1.2715231788079472E-4</v>
      </c>
      <c r="L3708" s="3">
        <f>(B3681/B3671)/(B3674/1000)</f>
        <v>6.3629518072289156E-4</v>
      </c>
    </row>
    <row r="3709" spans="1:12" customFormat="1" ht="16" x14ac:dyDescent="0.2">
      <c r="A3709" t="s">
        <v>206</v>
      </c>
      <c r="B3709" s="3">
        <f>(B3682/B3670)/(B3673/1000)</f>
        <v>1.4763779527559055E-4</v>
      </c>
      <c r="C3709" t="s">
        <v>18</v>
      </c>
      <c r="D3709" s="2"/>
      <c r="E3709" t="s">
        <v>9</v>
      </c>
      <c r="F3709" t="s">
        <v>23</v>
      </c>
      <c r="G3709" t="s">
        <v>207</v>
      </c>
      <c r="I3709">
        <v>5</v>
      </c>
      <c r="J3709" s="3">
        <f>B3709</f>
        <v>1.4763779527559055E-4</v>
      </c>
      <c r="K3709" s="3">
        <f>(B3683/B3672)/(B3675/1000)</f>
        <v>7.5496688741721855E-5</v>
      </c>
      <c r="L3709" s="3">
        <f>(B3684/B3671)/(B3674/1000)</f>
        <v>3.3509036144578315E-4</v>
      </c>
    </row>
    <row r="3710" spans="1:12" customFormat="1" ht="16" x14ac:dyDescent="0.2">
      <c r="A3710" t="s">
        <v>48</v>
      </c>
      <c r="B3710" s="3">
        <v>4.4166666666666577E-6</v>
      </c>
      <c r="D3710" t="s">
        <v>14</v>
      </c>
      <c r="E3710" t="s">
        <v>9</v>
      </c>
      <c r="F3710" s="2" t="s">
        <v>15</v>
      </c>
      <c r="I3710" s="2"/>
    </row>
    <row r="3711" spans="1:12" customFormat="1" ht="16" x14ac:dyDescent="0.2">
      <c r="A3711" t="s">
        <v>50</v>
      </c>
      <c r="B3711" s="3">
        <v>7.5082705379565517E-7</v>
      </c>
      <c r="D3711" t="s">
        <v>14</v>
      </c>
      <c r="E3711" t="s">
        <v>9</v>
      </c>
      <c r="F3711" s="2" t="s">
        <v>15</v>
      </c>
      <c r="I3711" s="2"/>
    </row>
    <row r="3712" spans="1:12" customFormat="1" ht="16" x14ac:dyDescent="0.2">
      <c r="A3712" t="s">
        <v>122</v>
      </c>
      <c r="B3712" s="25">
        <f>2.74*B3707</f>
        <v>5.7684210526315789E-2</v>
      </c>
      <c r="D3712" t="s">
        <v>14</v>
      </c>
      <c r="E3712" t="s">
        <v>9</v>
      </c>
      <c r="F3712" s="2" t="s">
        <v>15</v>
      </c>
      <c r="I3712" s="2"/>
    </row>
    <row r="3713" spans="1:12" customFormat="1" ht="16" x14ac:dyDescent="0.2">
      <c r="A3713" t="s">
        <v>123</v>
      </c>
      <c r="B3713" s="25">
        <v>2.6360440412565261E-4</v>
      </c>
      <c r="D3713" t="s">
        <v>14</v>
      </c>
      <c r="E3713" t="s">
        <v>9</v>
      </c>
      <c r="F3713" s="2" t="s">
        <v>15</v>
      </c>
      <c r="I3713" s="2"/>
    </row>
    <row r="3714" spans="1:12" customFormat="1" ht="16" x14ac:dyDescent="0.2">
      <c r="A3714" t="s">
        <v>58</v>
      </c>
      <c r="B3714" s="3">
        <v>9.6666666666666532E-7</v>
      </c>
      <c r="D3714" t="s">
        <v>14</v>
      </c>
      <c r="E3714" t="s">
        <v>9</v>
      </c>
      <c r="F3714" s="2" t="s">
        <v>15</v>
      </c>
      <c r="I3714" s="2"/>
    </row>
    <row r="3715" spans="1:12" customFormat="1" ht="16" x14ac:dyDescent="0.2">
      <c r="A3715" t="s">
        <v>64</v>
      </c>
      <c r="B3715" s="3">
        <v>2.7750000000000002E-10</v>
      </c>
      <c r="D3715" t="s">
        <v>14</v>
      </c>
      <c r="E3715" t="s">
        <v>9</v>
      </c>
      <c r="F3715" s="2" t="s">
        <v>15</v>
      </c>
      <c r="I3715" s="2"/>
    </row>
    <row r="3716" spans="1:12" customFormat="1" ht="16" x14ac:dyDescent="0.2">
      <c r="A3716" t="s">
        <v>177</v>
      </c>
      <c r="B3716" s="3">
        <v>1.606690212560312E-5</v>
      </c>
      <c r="D3716" t="s">
        <v>14</v>
      </c>
      <c r="E3716" t="s">
        <v>9</v>
      </c>
      <c r="F3716" s="2" t="s">
        <v>15</v>
      </c>
      <c r="I3716" s="2"/>
    </row>
    <row r="3717" spans="1:12" customFormat="1" ht="16" x14ac:dyDescent="0.2">
      <c r="A3717" t="s">
        <v>67</v>
      </c>
      <c r="B3717" s="3">
        <v>6.8382126269474045E-6</v>
      </c>
      <c r="D3717" t="s">
        <v>14</v>
      </c>
      <c r="E3717" t="s">
        <v>9</v>
      </c>
      <c r="F3717" s="2" t="s">
        <v>15</v>
      </c>
      <c r="I3717" s="2"/>
    </row>
    <row r="3718" spans="1:12" customFormat="1" ht="16" x14ac:dyDescent="0.2">
      <c r="A3718" t="s">
        <v>69</v>
      </c>
      <c r="B3718" s="3">
        <f>B3702/1000</f>
        <v>6.4438710000000001E-6</v>
      </c>
      <c r="D3718" t="s">
        <v>14</v>
      </c>
      <c r="E3718" t="s">
        <v>9</v>
      </c>
      <c r="F3718" s="2" t="s">
        <v>15</v>
      </c>
      <c r="I3718" s="2"/>
    </row>
    <row r="3719" spans="1:12" customFormat="1" ht="16" x14ac:dyDescent="0.2">
      <c r="A3719" t="s">
        <v>71</v>
      </c>
      <c r="B3719" s="3">
        <f>B3703/1000</f>
        <v>9.6806299999999992E-7</v>
      </c>
      <c r="D3719" t="s">
        <v>14</v>
      </c>
      <c r="E3719" t="s">
        <v>9</v>
      </c>
      <c r="F3719" s="2" t="s">
        <v>15</v>
      </c>
      <c r="I3719" s="2"/>
    </row>
    <row r="3720" spans="1:12" customFormat="1" ht="16" x14ac:dyDescent="0.2">
      <c r="A3720" t="s">
        <v>77</v>
      </c>
      <c r="B3720" s="3">
        <v>5.6430000000000142E-7</v>
      </c>
      <c r="D3720" t="s">
        <v>14</v>
      </c>
      <c r="E3720" t="s">
        <v>9</v>
      </c>
      <c r="F3720" s="2" t="s">
        <v>15</v>
      </c>
      <c r="I3720" s="2"/>
    </row>
    <row r="3721" spans="1:12" customFormat="1" ht="16" x14ac:dyDescent="0.2">
      <c r="A3721" t="s">
        <v>78</v>
      </c>
      <c r="B3721" s="3">
        <v>2.2336471011856279E-6</v>
      </c>
      <c r="D3721" t="s">
        <v>14</v>
      </c>
      <c r="E3721" t="s">
        <v>9</v>
      </c>
      <c r="F3721" s="2" t="s">
        <v>15</v>
      </c>
      <c r="I3721" s="2"/>
    </row>
    <row r="3722" spans="1:12" customFormat="1" ht="16" x14ac:dyDescent="0.2"/>
    <row r="3723" spans="1:12" x14ac:dyDescent="0.2">
      <c r="A3723" s="17" t="s">
        <v>2</v>
      </c>
      <c r="B3723" s="17" t="s">
        <v>284</v>
      </c>
    </row>
    <row r="3724" spans="1:12" customFormat="1" ht="16" x14ac:dyDescent="0.2">
      <c r="A3724" s="2" t="s">
        <v>3</v>
      </c>
      <c r="B3724" s="2" t="s">
        <v>18</v>
      </c>
      <c r="C3724" s="2"/>
      <c r="D3724" s="2"/>
      <c r="E3724" s="2"/>
      <c r="F3724" s="2"/>
      <c r="G3724" s="2"/>
      <c r="H3724" s="2"/>
      <c r="I3724" s="2"/>
      <c r="J3724" s="2"/>
      <c r="K3724" s="2"/>
      <c r="L3724" s="2"/>
    </row>
    <row r="3725" spans="1:12" customFormat="1" ht="16" x14ac:dyDescent="0.2">
      <c r="A3725" s="2" t="s">
        <v>4</v>
      </c>
      <c r="B3725" s="2">
        <v>1</v>
      </c>
      <c r="C3725" s="2"/>
      <c r="D3725" s="2"/>
      <c r="E3725" s="2"/>
      <c r="F3725" s="2"/>
      <c r="G3725" s="2"/>
      <c r="H3725" s="2"/>
      <c r="I3725" s="2"/>
      <c r="J3725" s="2"/>
      <c r="K3725" s="2"/>
      <c r="L3725" s="2"/>
    </row>
    <row r="3726" spans="1:12" customFormat="1" ht="16" x14ac:dyDescent="0.2">
      <c r="A3726" s="2" t="s">
        <v>5</v>
      </c>
      <c r="B3726" s="2" t="s">
        <v>1</v>
      </c>
      <c r="C3726" s="2"/>
      <c r="D3726" s="2"/>
      <c r="E3726" s="2"/>
      <c r="F3726" s="2"/>
      <c r="G3726" s="2"/>
      <c r="H3726" s="2"/>
      <c r="I3726" s="2"/>
      <c r="J3726" s="2"/>
    </row>
    <row r="3727" spans="1:12" customFormat="1" ht="16" x14ac:dyDescent="0.2">
      <c r="A3727" s="2" t="s">
        <v>6</v>
      </c>
      <c r="B3727" s="2" t="s">
        <v>7</v>
      </c>
      <c r="C3727" s="2"/>
      <c r="D3727" s="2"/>
      <c r="E3727" s="2"/>
      <c r="F3727" s="2"/>
      <c r="G3727" s="2"/>
      <c r="H3727" s="2"/>
      <c r="I3727" s="2"/>
      <c r="J3727" s="2"/>
      <c r="K3727" s="2"/>
      <c r="L3727" s="2"/>
    </row>
    <row r="3728" spans="1:12" customFormat="1" ht="16" x14ac:dyDescent="0.2">
      <c r="A3728" s="2" t="s">
        <v>8</v>
      </c>
      <c r="B3728" s="2" t="s">
        <v>17</v>
      </c>
      <c r="C3728" s="2"/>
      <c r="D3728" s="2"/>
      <c r="E3728" s="2"/>
      <c r="F3728" s="2"/>
      <c r="G3728" s="2"/>
      <c r="H3728" s="2"/>
      <c r="I3728" s="2"/>
      <c r="J3728" s="2"/>
      <c r="K3728" s="2"/>
      <c r="L3728" s="2"/>
    </row>
    <row r="3729" spans="1:12" customFormat="1" ht="16" x14ac:dyDescent="0.2">
      <c r="A3729" s="1" t="s">
        <v>10</v>
      </c>
      <c r="B3729" s="2"/>
      <c r="C3729" s="2"/>
      <c r="D3729" s="2"/>
      <c r="E3729" s="2"/>
      <c r="F3729" s="2"/>
      <c r="G3729" s="2"/>
      <c r="H3729" s="2"/>
      <c r="I3729" s="2"/>
      <c r="J3729" s="2"/>
      <c r="K3729" s="2"/>
      <c r="L3729" s="2"/>
    </row>
    <row r="3730" spans="1:12" x14ac:dyDescent="0.2">
      <c r="A3730" s="17" t="s">
        <v>11</v>
      </c>
      <c r="B3730" s="17" t="s">
        <v>12</v>
      </c>
      <c r="C3730" s="17" t="s">
        <v>3</v>
      </c>
      <c r="D3730" s="17" t="s">
        <v>13</v>
      </c>
      <c r="E3730" s="17" t="s">
        <v>8</v>
      </c>
      <c r="F3730" s="17" t="s">
        <v>6</v>
      </c>
      <c r="G3730" s="17" t="s">
        <v>5</v>
      </c>
    </row>
    <row r="3731" spans="1:12" customFormat="1" ht="16" x14ac:dyDescent="0.2">
      <c r="A3731" s="2" t="str">
        <f>B3723</f>
        <v>diesel, synthetic, burned in diesel-electric generating set, 10MW</v>
      </c>
      <c r="B3731" s="2">
        <v>1</v>
      </c>
      <c r="C3731" s="2" t="str">
        <f>B3724</f>
        <v>RER</v>
      </c>
      <c r="D3731" s="2"/>
      <c r="E3731" s="2" t="str">
        <f>B3728</f>
        <v>megajoule</v>
      </c>
      <c r="F3731" s="2" t="s">
        <v>19</v>
      </c>
      <c r="G3731" s="2" t="s">
        <v>1</v>
      </c>
      <c r="H3731" s="2"/>
      <c r="I3731" s="2"/>
      <c r="J3731" s="2"/>
      <c r="K3731" s="2"/>
      <c r="L3731" s="2"/>
    </row>
    <row r="3732" spans="1:12" customFormat="1" ht="16" x14ac:dyDescent="0.2">
      <c r="A3732" t="s">
        <v>273</v>
      </c>
      <c r="B3732">
        <v>2.3400000000000001E-2</v>
      </c>
      <c r="C3732" t="s">
        <v>18</v>
      </c>
      <c r="E3732" t="s">
        <v>9</v>
      </c>
      <c r="F3732" t="s">
        <v>23</v>
      </c>
      <c r="G3732" t="s">
        <v>274</v>
      </c>
      <c r="H3732" s="2"/>
      <c r="I3732" s="2"/>
      <c r="J3732" s="2"/>
      <c r="K3732" s="2"/>
    </row>
    <row r="3733" spans="1:12" customFormat="1" ht="16" x14ac:dyDescent="0.2">
      <c r="A3733" t="s">
        <v>286</v>
      </c>
      <c r="B3733" s="3">
        <v>1.8500000000000001E-10</v>
      </c>
      <c r="C3733" t="s">
        <v>114</v>
      </c>
      <c r="E3733" t="s">
        <v>8</v>
      </c>
      <c r="F3733" t="s">
        <v>23</v>
      </c>
      <c r="G3733" t="s">
        <v>285</v>
      </c>
      <c r="H3733" s="2"/>
      <c r="I3733" s="2"/>
      <c r="J3733" s="2"/>
      <c r="K3733" s="2"/>
    </row>
    <row r="3734" spans="1:12" customFormat="1" ht="16" x14ac:dyDescent="0.2">
      <c r="A3734" t="s">
        <v>288</v>
      </c>
      <c r="B3734" s="3">
        <v>6.7000000000000002E-5</v>
      </c>
      <c r="C3734" t="s">
        <v>127</v>
      </c>
      <c r="E3734" t="s">
        <v>9</v>
      </c>
      <c r="F3734" t="s">
        <v>23</v>
      </c>
      <c r="G3734" t="s">
        <v>287</v>
      </c>
      <c r="H3734" s="2"/>
      <c r="I3734" s="2"/>
      <c r="J3734" s="2"/>
      <c r="K3734" s="2"/>
    </row>
    <row r="3735" spans="1:12" customFormat="1" ht="16" x14ac:dyDescent="0.2">
      <c r="A3735" t="s">
        <v>290</v>
      </c>
      <c r="B3735" s="3">
        <v>-6.7000000000000002E-5</v>
      </c>
      <c r="C3735" t="s">
        <v>22</v>
      </c>
      <c r="E3735" t="s">
        <v>9</v>
      </c>
      <c r="F3735" t="s">
        <v>23</v>
      </c>
      <c r="G3735" t="s">
        <v>289</v>
      </c>
      <c r="H3735" s="2"/>
      <c r="I3735" s="2"/>
      <c r="J3735" s="2"/>
      <c r="K3735" s="2"/>
    </row>
    <row r="3736" spans="1:12" customFormat="1" ht="16" x14ac:dyDescent="0.2">
      <c r="A3736" t="s">
        <v>50</v>
      </c>
      <c r="B3736" s="3">
        <v>2E-8</v>
      </c>
      <c r="D3736" t="s">
        <v>100</v>
      </c>
      <c r="E3736" t="s">
        <v>9</v>
      </c>
      <c r="F3736" t="s">
        <v>15</v>
      </c>
      <c r="H3736" s="2"/>
      <c r="I3736" s="2"/>
      <c r="J3736" s="2"/>
      <c r="K3736" s="2"/>
    </row>
    <row r="3737" spans="1:12" customFormat="1" ht="16" x14ac:dyDescent="0.2">
      <c r="A3737" t="s">
        <v>291</v>
      </c>
      <c r="B3737" s="3">
        <v>1E-10</v>
      </c>
      <c r="D3737" t="s">
        <v>100</v>
      </c>
      <c r="E3737" t="s">
        <v>9</v>
      </c>
      <c r="F3737" t="s">
        <v>15</v>
      </c>
      <c r="H3737" s="2"/>
      <c r="I3737" s="2"/>
      <c r="J3737" s="2"/>
      <c r="K3737" s="2"/>
    </row>
    <row r="3738" spans="1:12" customFormat="1" ht="16" x14ac:dyDescent="0.2">
      <c r="A3738" t="s">
        <v>52</v>
      </c>
      <c r="B3738" s="3">
        <v>2.3400000000000002E-10</v>
      </c>
      <c r="D3738" t="s">
        <v>100</v>
      </c>
      <c r="E3738" t="s">
        <v>9</v>
      </c>
      <c r="F3738" t="s">
        <v>15</v>
      </c>
      <c r="H3738" s="2"/>
      <c r="I3738" s="2"/>
      <c r="J3738" s="2"/>
      <c r="K3738" s="2"/>
    </row>
    <row r="3739" spans="1:12" customFormat="1" ht="16" x14ac:dyDescent="0.2">
      <c r="A3739" t="s">
        <v>123</v>
      </c>
      <c r="B3739">
        <v>6.8000000000000005E-4</v>
      </c>
      <c r="D3739" t="s">
        <v>100</v>
      </c>
      <c r="E3739" t="s">
        <v>9</v>
      </c>
      <c r="F3739" t="s">
        <v>15</v>
      </c>
      <c r="H3739" s="2"/>
      <c r="I3739" s="2"/>
      <c r="J3739" s="2"/>
      <c r="K3739" s="2"/>
    </row>
    <row r="3740" spans="1:12" customFormat="1" ht="16" x14ac:dyDescent="0.2">
      <c r="A3740" t="s">
        <v>55</v>
      </c>
      <c r="B3740" s="3">
        <v>1.1700000000000001E-9</v>
      </c>
      <c r="D3740" t="s">
        <v>100</v>
      </c>
      <c r="E3740" t="s">
        <v>9</v>
      </c>
      <c r="F3740" t="s">
        <v>15</v>
      </c>
      <c r="H3740" s="2"/>
      <c r="I3740" s="2"/>
      <c r="J3740" s="2"/>
      <c r="K3740" s="2"/>
    </row>
    <row r="3741" spans="1:12" customFormat="1" ht="16" x14ac:dyDescent="0.2">
      <c r="A3741" t="s">
        <v>56</v>
      </c>
      <c r="B3741" s="3">
        <v>2.3400000000000001E-12</v>
      </c>
      <c r="D3741" t="s">
        <v>100</v>
      </c>
      <c r="E3741" t="s">
        <v>9</v>
      </c>
      <c r="F3741" t="s">
        <v>15</v>
      </c>
      <c r="H3741" s="2"/>
      <c r="I3741" s="2"/>
      <c r="J3741" s="2"/>
      <c r="K3741" s="2"/>
    </row>
    <row r="3742" spans="1:12" customFormat="1" ht="16" x14ac:dyDescent="0.2">
      <c r="A3742" t="s">
        <v>57</v>
      </c>
      <c r="B3742" s="3">
        <v>3.9699999999999998E-8</v>
      </c>
      <c r="D3742" t="s">
        <v>100</v>
      </c>
      <c r="E3742" t="s">
        <v>9</v>
      </c>
      <c r="F3742" t="s">
        <v>15</v>
      </c>
      <c r="H3742" s="2"/>
      <c r="I3742" s="2"/>
      <c r="J3742" s="2"/>
      <c r="K3742" s="2"/>
    </row>
    <row r="3743" spans="1:12" customFormat="1" ht="16" x14ac:dyDescent="0.2">
      <c r="A3743" t="s">
        <v>58</v>
      </c>
      <c r="B3743" s="3">
        <v>6.0000000000000002E-6</v>
      </c>
      <c r="D3743" t="s">
        <v>100</v>
      </c>
      <c r="E3743" t="s">
        <v>9</v>
      </c>
      <c r="F3743" t="s">
        <v>15</v>
      </c>
      <c r="H3743" s="2"/>
      <c r="I3743" s="2"/>
      <c r="J3743" s="2"/>
      <c r="K3743" s="2"/>
    </row>
    <row r="3744" spans="1:12" customFormat="1" ht="16" x14ac:dyDescent="0.2">
      <c r="A3744" t="s">
        <v>64</v>
      </c>
      <c r="B3744" s="3">
        <v>4.6700000000000004E-10</v>
      </c>
      <c r="D3744" t="s">
        <v>100</v>
      </c>
      <c r="E3744" t="s">
        <v>9</v>
      </c>
      <c r="F3744" t="s">
        <v>15</v>
      </c>
      <c r="H3744" s="2"/>
      <c r="I3744" s="2"/>
      <c r="J3744" s="2"/>
      <c r="K3744" s="2"/>
    </row>
    <row r="3745" spans="1:11" customFormat="1" ht="16" x14ac:dyDescent="0.2">
      <c r="A3745" t="s">
        <v>177</v>
      </c>
      <c r="B3745" s="3">
        <v>1.6550862912263E-7</v>
      </c>
      <c r="D3745" t="s">
        <v>100</v>
      </c>
      <c r="E3745" t="s">
        <v>9</v>
      </c>
      <c r="F3745" t="s">
        <v>15</v>
      </c>
      <c r="H3745" s="2"/>
      <c r="I3745" s="2"/>
      <c r="J3745" s="2"/>
      <c r="K3745" s="2"/>
    </row>
    <row r="3746" spans="1:11" customFormat="1" ht="16" x14ac:dyDescent="0.2">
      <c r="A3746" t="s">
        <v>67</v>
      </c>
      <c r="B3746" s="3">
        <v>9.2399999999999996E-5</v>
      </c>
      <c r="D3746" t="s">
        <v>100</v>
      </c>
      <c r="E3746" t="s">
        <v>9</v>
      </c>
      <c r="F3746" t="s">
        <v>15</v>
      </c>
      <c r="H3746" s="2"/>
      <c r="I3746" s="2"/>
      <c r="J3746" s="2"/>
      <c r="K3746" s="2"/>
    </row>
    <row r="3747" spans="1:11" customFormat="1" ht="16" x14ac:dyDescent="0.2">
      <c r="A3747" t="s">
        <v>68</v>
      </c>
      <c r="B3747" s="3">
        <v>1.6399999999999999E-9</v>
      </c>
      <c r="D3747" t="s">
        <v>100</v>
      </c>
      <c r="E3747" t="s">
        <v>9</v>
      </c>
      <c r="F3747" t="s">
        <v>15</v>
      </c>
      <c r="H3747" s="2"/>
      <c r="I3747" s="2"/>
      <c r="J3747" s="2"/>
      <c r="K3747" s="2"/>
    </row>
    <row r="3748" spans="1:11" customFormat="1" ht="16" x14ac:dyDescent="0.2">
      <c r="A3748" t="s">
        <v>69</v>
      </c>
      <c r="B3748">
        <v>1.21684812166632E-3</v>
      </c>
      <c r="D3748" t="s">
        <v>100</v>
      </c>
      <c r="E3748" t="s">
        <v>9</v>
      </c>
      <c r="F3748" t="s">
        <v>15</v>
      </c>
      <c r="H3748" s="2"/>
      <c r="I3748" s="2"/>
      <c r="J3748" s="2"/>
      <c r="K3748" s="2"/>
    </row>
    <row r="3749" spans="1:11" customFormat="1" ht="16" x14ac:dyDescent="0.2">
      <c r="A3749" t="s">
        <v>71</v>
      </c>
      <c r="B3749">
        <v>1.7000000000000001E-4</v>
      </c>
      <c r="D3749" t="s">
        <v>100</v>
      </c>
      <c r="E3749" t="s">
        <v>9</v>
      </c>
      <c r="F3749" t="s">
        <v>15</v>
      </c>
      <c r="H3749" s="2"/>
      <c r="I3749" s="2"/>
      <c r="J3749" s="2"/>
      <c r="K3749" s="2"/>
    </row>
    <row r="3750" spans="1:11" customFormat="1" ht="16" x14ac:dyDescent="0.2">
      <c r="A3750" t="s">
        <v>75</v>
      </c>
      <c r="B3750" s="3">
        <v>2.3400000000000002E-10</v>
      </c>
      <c r="D3750" t="s">
        <v>100</v>
      </c>
      <c r="E3750" t="s">
        <v>9</v>
      </c>
      <c r="F3750" t="s">
        <v>15</v>
      </c>
      <c r="H3750" s="2"/>
      <c r="I3750" s="2"/>
      <c r="J3750" s="2"/>
      <c r="K3750" s="2"/>
    </row>
    <row r="3751" spans="1:11" customFormat="1" ht="16" x14ac:dyDescent="0.2">
      <c r="A3751" t="s">
        <v>77</v>
      </c>
      <c r="B3751" s="3">
        <v>6.0099999999999997E-5</v>
      </c>
      <c r="D3751" t="s">
        <v>100</v>
      </c>
      <c r="E3751" t="s">
        <v>9</v>
      </c>
      <c r="F3751" t="s">
        <v>15</v>
      </c>
      <c r="H3751" s="2"/>
      <c r="I3751" s="2"/>
      <c r="J3751" s="2"/>
      <c r="K3751" s="2"/>
    </row>
    <row r="3752" spans="1:11" customFormat="1" ht="16" x14ac:dyDescent="0.2">
      <c r="A3752" t="s">
        <v>79</v>
      </c>
      <c r="B3752" s="3">
        <v>2.3400000000000001E-8</v>
      </c>
      <c r="D3752" t="s">
        <v>100</v>
      </c>
      <c r="E3752" t="s">
        <v>9</v>
      </c>
      <c r="F3752" t="s">
        <v>15</v>
      </c>
      <c r="H3752" s="2"/>
      <c r="I3752" s="2"/>
      <c r="J3752" s="2"/>
      <c r="K3752" s="2"/>
    </row>
    <row r="3753" spans="1:11" customFormat="1" ht="16" x14ac:dyDescent="0.2">
      <c r="A3753" t="s">
        <v>122</v>
      </c>
      <c r="B3753">
        <f>B3732*3.15</f>
        <v>7.3709999999999998E-2</v>
      </c>
      <c r="D3753" t="s">
        <v>116</v>
      </c>
      <c r="E3753" t="s">
        <v>9</v>
      </c>
      <c r="F3753" t="s">
        <v>15</v>
      </c>
      <c r="H3753" s="2"/>
      <c r="I3753" s="2"/>
      <c r="J3753" s="2"/>
      <c r="K3753" s="2"/>
    </row>
  </sheetData>
  <autoFilter ref="A1:O3753" xr: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workbookViewId="0">
      <selection activeCell="A58" sqref="A58:XFD58"/>
    </sheetView>
  </sheetViews>
  <sheetFormatPr baseColWidth="10" defaultRowHeight="16" x14ac:dyDescent="0.2"/>
  <cols>
    <col min="1" max="1" width="53.33203125" bestFit="1" customWidth="1"/>
    <col min="2" max="2" width="12" bestFit="1" customWidth="1"/>
    <col min="3" max="3" width="10.5" bestFit="1" customWidth="1"/>
    <col min="4" max="4" width="10.83203125" bestFit="1" customWidth="1"/>
    <col min="5" max="7" width="17.33203125" bestFit="1" customWidth="1"/>
    <col min="8" max="8" width="15.6640625" bestFit="1" customWidth="1"/>
    <col min="9" max="9" width="14.1640625" bestFit="1" customWidth="1"/>
    <col min="10" max="10" width="14.5" bestFit="1" customWidth="1"/>
    <col min="11" max="11" width="18.5" bestFit="1" customWidth="1"/>
    <col min="12" max="12" width="17" bestFit="1" customWidth="1"/>
    <col min="13" max="13" width="17.33203125" bestFit="1" customWidth="1"/>
    <col min="14" max="14" width="22.83203125" bestFit="1" customWidth="1"/>
    <col min="15" max="15" width="21.1640625" bestFit="1" customWidth="1"/>
    <col min="16" max="16" width="21.6640625" bestFit="1" customWidth="1"/>
    <col min="17" max="17" width="14.33203125" bestFit="1" customWidth="1"/>
    <col min="18" max="18" width="12.83203125" bestFit="1" customWidth="1"/>
    <col min="19" max="19" width="13.1640625" bestFit="1" customWidth="1"/>
    <col min="20" max="20" width="20.1640625" bestFit="1" customWidth="1"/>
    <col min="21" max="21" width="18.6640625" bestFit="1" customWidth="1"/>
    <col min="22" max="22" width="19" bestFit="1" customWidth="1"/>
    <col min="23" max="23" width="24" bestFit="1" customWidth="1"/>
    <col min="24" max="24" width="22.5" bestFit="1" customWidth="1"/>
    <col min="25" max="25" width="22.83203125" bestFit="1" customWidth="1"/>
    <col min="26" max="26" width="20.1640625" bestFit="1" customWidth="1"/>
    <col min="27" max="27" width="18.6640625" bestFit="1" customWidth="1"/>
    <col min="28" max="28" width="19" bestFit="1" customWidth="1"/>
    <col min="29" max="29" width="29.6640625" bestFit="1" customWidth="1"/>
    <col min="30" max="30" width="23.33203125" bestFit="1" customWidth="1"/>
    <col min="31" max="31" width="23.6640625" bestFit="1" customWidth="1"/>
    <col min="32" max="32" width="19.83203125" bestFit="1" customWidth="1"/>
    <col min="33" max="33" width="13.83203125" bestFit="1" customWidth="1"/>
    <col min="34" max="34" width="13.6640625" bestFit="1" customWidth="1"/>
    <col min="35" max="35" width="23.33203125" bestFit="1" customWidth="1"/>
    <col min="36" max="36" width="12.33203125" bestFit="1" customWidth="1"/>
    <col min="37" max="37" width="11.1640625" customWidth="1"/>
    <col min="38" max="38" width="12.1640625" bestFit="1" customWidth="1"/>
    <col min="39" max="39" width="8.6640625" customWidth="1"/>
  </cols>
  <sheetData>
    <row r="1" spans="1:39" x14ac:dyDescent="0.2">
      <c r="A1" t="s">
        <v>309</v>
      </c>
    </row>
    <row r="3" spans="1:39" x14ac:dyDescent="0.2">
      <c r="A3" s="1" t="s">
        <v>310</v>
      </c>
      <c r="AM3" s="1"/>
    </row>
    <row r="4" spans="1:39" x14ac:dyDescent="0.2">
      <c r="B4" t="s">
        <v>352</v>
      </c>
      <c r="C4" t="s">
        <v>353</v>
      </c>
      <c r="D4" t="s">
        <v>354</v>
      </c>
      <c r="E4" t="s">
        <v>316</v>
      </c>
      <c r="F4" t="s">
        <v>317</v>
      </c>
      <c r="G4" t="s">
        <v>318</v>
      </c>
      <c r="H4" t="s">
        <v>319</v>
      </c>
      <c r="I4" t="s">
        <v>320</v>
      </c>
      <c r="J4" t="s">
        <v>321</v>
      </c>
      <c r="K4" t="s">
        <v>337</v>
      </c>
      <c r="L4" t="s">
        <v>338</v>
      </c>
      <c r="M4" t="s">
        <v>339</v>
      </c>
      <c r="N4" t="s">
        <v>340</v>
      </c>
      <c r="O4" t="s">
        <v>341</v>
      </c>
      <c r="P4" t="s">
        <v>342</v>
      </c>
      <c r="Q4" t="s">
        <v>333</v>
      </c>
      <c r="R4" t="s">
        <v>334</v>
      </c>
      <c r="S4" t="s">
        <v>335</v>
      </c>
      <c r="T4" t="s">
        <v>322</v>
      </c>
      <c r="U4" t="s">
        <v>323</v>
      </c>
      <c r="V4" t="s">
        <v>324</v>
      </c>
      <c r="W4" t="s">
        <v>330</v>
      </c>
      <c r="X4" t="s">
        <v>331</v>
      </c>
      <c r="Y4" t="s">
        <v>332</v>
      </c>
      <c r="Z4" t="s">
        <v>346</v>
      </c>
      <c r="AA4" t="s">
        <v>347</v>
      </c>
      <c r="AB4" t="s">
        <v>348</v>
      </c>
      <c r="AC4" t="s">
        <v>349</v>
      </c>
      <c r="AD4" t="s">
        <v>350</v>
      </c>
      <c r="AE4" t="s">
        <v>351</v>
      </c>
      <c r="AF4" t="s">
        <v>365</v>
      </c>
      <c r="AG4" t="s">
        <v>366</v>
      </c>
      <c r="AH4" t="s">
        <v>367</v>
      </c>
      <c r="AI4" t="s">
        <v>368</v>
      </c>
      <c r="AJ4" t="s">
        <v>369</v>
      </c>
      <c r="AK4" t="s">
        <v>344</v>
      </c>
      <c r="AL4" t="s">
        <v>343</v>
      </c>
      <c r="AM4" t="s">
        <v>355</v>
      </c>
    </row>
    <row r="5" spans="1:39" x14ac:dyDescent="0.2">
      <c r="B5" t="s">
        <v>312</v>
      </c>
      <c r="C5" t="s">
        <v>312</v>
      </c>
      <c r="D5" t="s">
        <v>312</v>
      </c>
      <c r="E5" t="s">
        <v>313</v>
      </c>
      <c r="F5" t="s">
        <v>313</v>
      </c>
      <c r="G5" t="s">
        <v>313</v>
      </c>
      <c r="H5" t="s">
        <v>314</v>
      </c>
      <c r="I5" t="s">
        <v>314</v>
      </c>
      <c r="J5" t="s">
        <v>314</v>
      </c>
      <c r="K5" t="s">
        <v>336</v>
      </c>
      <c r="L5" t="s">
        <v>336</v>
      </c>
      <c r="M5" t="s">
        <v>336</v>
      </c>
      <c r="N5" t="s">
        <v>336</v>
      </c>
      <c r="O5" t="s">
        <v>336</v>
      </c>
      <c r="P5" t="s">
        <v>336</v>
      </c>
      <c r="Q5" t="s">
        <v>336</v>
      </c>
      <c r="R5" t="s">
        <v>336</v>
      </c>
      <c r="S5" t="s">
        <v>336</v>
      </c>
      <c r="T5" t="s">
        <v>315</v>
      </c>
      <c r="U5" t="s">
        <v>315</v>
      </c>
      <c r="V5" t="s">
        <v>315</v>
      </c>
      <c r="W5" t="s">
        <v>8</v>
      </c>
      <c r="X5" t="s">
        <v>8</v>
      </c>
      <c r="Y5" t="s">
        <v>8</v>
      </c>
      <c r="Z5" t="s">
        <v>312</v>
      </c>
      <c r="AA5" t="s">
        <v>312</v>
      </c>
      <c r="AB5" t="s">
        <v>312</v>
      </c>
      <c r="AC5" t="s">
        <v>8</v>
      </c>
      <c r="AD5" t="s">
        <v>8</v>
      </c>
      <c r="AE5" t="s">
        <v>8</v>
      </c>
      <c r="AF5" t="s">
        <v>336</v>
      </c>
      <c r="AG5" t="s">
        <v>336</v>
      </c>
      <c r="AH5" t="s">
        <v>336</v>
      </c>
      <c r="AI5" t="s">
        <v>336</v>
      </c>
      <c r="AJ5" t="s">
        <v>336</v>
      </c>
      <c r="AK5" t="s">
        <v>345</v>
      </c>
      <c r="AL5" t="s">
        <v>345</v>
      </c>
    </row>
    <row r="6" spans="1:39" x14ac:dyDescent="0.2">
      <c r="A6" s="1" t="s">
        <v>325</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356</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356</v>
      </c>
    </row>
    <row r="9" spans="1:39" x14ac:dyDescent="0.2">
      <c r="A9" s="2" t="s">
        <v>278</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356</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356</v>
      </c>
    </row>
    <row r="11" spans="1:39" x14ac:dyDescent="0.2">
      <c r="A11" s="2" t="s">
        <v>300</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356</v>
      </c>
    </row>
    <row r="12" spans="1:39" x14ac:dyDescent="0.2">
      <c r="A12" s="17" t="s">
        <v>311</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v>7.5871860000000001E-3</v>
      </c>
      <c r="AL13">
        <v>2.21361E-4</v>
      </c>
      <c r="AM13" s="2" t="s">
        <v>372</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v>7.5871860000000001E-3</v>
      </c>
      <c r="AL14">
        <v>2.21361E-4</v>
      </c>
      <c r="AM14" s="2" t="s">
        <v>372</v>
      </c>
    </row>
    <row r="15" spans="1:39" x14ac:dyDescent="0.2">
      <c r="A15" s="2" t="s">
        <v>276</v>
      </c>
      <c r="B15">
        <v>126</v>
      </c>
      <c r="C15">
        <v>54</v>
      </c>
      <c r="D15">
        <v>158</v>
      </c>
      <c r="E15" s="23">
        <v>200000</v>
      </c>
      <c r="F15" s="23">
        <v>160000</v>
      </c>
      <c r="G15" s="23">
        <v>250000</v>
      </c>
      <c r="H15" s="23">
        <v>2250</v>
      </c>
      <c r="I15" s="23">
        <v>1500</v>
      </c>
      <c r="J15" s="23">
        <v>2900</v>
      </c>
      <c r="N15">
        <v>169</v>
      </c>
      <c r="O15">
        <v>111</v>
      </c>
      <c r="P15">
        <v>194</v>
      </c>
      <c r="Q15">
        <v>48</v>
      </c>
      <c r="R15">
        <v>30</v>
      </c>
      <c r="S15">
        <v>48</v>
      </c>
      <c r="AK15">
        <v>7.5871860000000001E-3</v>
      </c>
      <c r="AL15">
        <v>2.21361E-4</v>
      </c>
      <c r="AM15" s="2" t="s">
        <v>372</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v>9.9072039999999993E-3</v>
      </c>
      <c r="AL16">
        <v>1.4309899999999999E-4</v>
      </c>
      <c r="AM16" s="2" t="s">
        <v>372</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372</v>
      </c>
    </row>
    <row r="18" spans="1:39" x14ac:dyDescent="0.2">
      <c r="A18" s="2" t="s">
        <v>302</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372</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372</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372</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372</v>
      </c>
    </row>
    <row r="22" spans="1:39" x14ac:dyDescent="0.2">
      <c r="A22" s="17" t="s">
        <v>326</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1.4516100000000001E-3</v>
      </c>
      <c r="AL23">
        <v>2.1756100000000001E-4</v>
      </c>
      <c r="AM23" s="2" t="s">
        <v>373</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1.4516100000000001E-3</v>
      </c>
      <c r="AL24">
        <v>2.1756100000000001E-4</v>
      </c>
      <c r="AM24" s="2" t="s">
        <v>373</v>
      </c>
    </row>
    <row r="25" spans="1:39" x14ac:dyDescent="0.2">
      <c r="A25" s="2" t="s">
        <v>277</v>
      </c>
      <c r="B25">
        <v>245</v>
      </c>
      <c r="C25">
        <v>125</v>
      </c>
      <c r="D25">
        <v>323</v>
      </c>
      <c r="E25" s="23">
        <v>700000</v>
      </c>
      <c r="F25" s="23">
        <v>500000</v>
      </c>
      <c r="G25" s="23">
        <v>1000000</v>
      </c>
      <c r="H25" s="23">
        <v>9500</v>
      </c>
      <c r="I25" s="23">
        <v>6000</v>
      </c>
      <c r="J25" s="23">
        <v>12200</v>
      </c>
      <c r="N25">
        <v>733</v>
      </c>
      <c r="O25">
        <v>400</v>
      </c>
      <c r="P25">
        <v>955</v>
      </c>
      <c r="Q25">
        <v>48</v>
      </c>
      <c r="R25">
        <v>38</v>
      </c>
      <c r="S25">
        <v>53</v>
      </c>
      <c r="AK25">
        <v>1.4516100000000001E-3</v>
      </c>
      <c r="AL25">
        <v>2.1756100000000001E-4</v>
      </c>
      <c r="AM25" s="2" t="s">
        <v>373</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373</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373</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373</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373</v>
      </c>
    </row>
    <row r="30" spans="1:39" x14ac:dyDescent="0.2">
      <c r="A30" s="2" t="s">
        <v>299</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373</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373</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275</v>
      </c>
      <c r="E35" s="23"/>
      <c r="F35" s="23"/>
      <c r="G35" s="23"/>
      <c r="AM35" s="2"/>
    </row>
    <row r="36" spans="1:39" x14ac:dyDescent="0.2">
      <c r="A36" s="2" t="s">
        <v>174</v>
      </c>
      <c r="E36" s="23"/>
      <c r="F36" s="23"/>
      <c r="G36" s="23"/>
      <c r="AM36" s="2"/>
    </row>
    <row r="37" spans="1:39" x14ac:dyDescent="0.2">
      <c r="A37" s="2" t="s">
        <v>379</v>
      </c>
      <c r="E37" s="23"/>
      <c r="F37" s="23"/>
      <c r="G37" s="23"/>
      <c r="AM37" s="2"/>
    </row>
    <row r="38" spans="1:39" x14ac:dyDescent="0.2">
      <c r="A38" s="17" t="s">
        <v>327</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2.13184E-4</v>
      </c>
      <c r="AM39" s="2" t="s">
        <v>380</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2.13184E-4</v>
      </c>
      <c r="AM40" s="2" t="s">
        <v>380</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2.13184E-4</v>
      </c>
      <c r="AM41" s="2" t="s">
        <v>380</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2.13184E-4</v>
      </c>
      <c r="AM42" s="2" t="s">
        <v>380</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2.13184E-4</v>
      </c>
      <c r="AM43" s="2" t="s">
        <v>380</v>
      </c>
    </row>
    <row r="44" spans="1:39" x14ac:dyDescent="0.2">
      <c r="A44" s="2" t="s">
        <v>305</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380</v>
      </c>
    </row>
    <row r="45" spans="1:39" x14ac:dyDescent="0.2">
      <c r="A45" s="2" t="s">
        <v>301</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380</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380</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380</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380</v>
      </c>
    </row>
    <row r="49" spans="1:39" x14ac:dyDescent="0.2">
      <c r="A49" s="17" t="s">
        <v>328</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381</v>
      </c>
    </row>
    <row r="51" spans="1:39" x14ac:dyDescent="0.2">
      <c r="A51" s="2" t="s">
        <v>304</v>
      </c>
      <c r="E51" s="23">
        <v>90000000</v>
      </c>
      <c r="F51" s="23">
        <v>50000000</v>
      </c>
      <c r="G51" s="23">
        <v>115000000</v>
      </c>
      <c r="H51" s="23">
        <f>3.2*36000</f>
        <v>115200</v>
      </c>
      <c r="I51" s="23">
        <f>2.7*36000</f>
        <v>97200</v>
      </c>
      <c r="J51" s="23">
        <f>13.9*36000</f>
        <v>500400</v>
      </c>
      <c r="AM51" s="2" t="s">
        <v>381</v>
      </c>
    </row>
    <row r="52" spans="1:39" x14ac:dyDescent="0.2">
      <c r="A52" s="2" t="s">
        <v>281</v>
      </c>
      <c r="E52" s="23">
        <v>90000000</v>
      </c>
      <c r="F52" s="23">
        <v>50000000</v>
      </c>
      <c r="G52" s="23">
        <v>115000000</v>
      </c>
      <c r="H52" s="23">
        <f>3.2*36000</f>
        <v>115200</v>
      </c>
      <c r="I52" s="23">
        <f>2.7*36000</f>
        <v>97200</v>
      </c>
      <c r="J52" s="23">
        <f>13.9*36000</f>
        <v>500400</v>
      </c>
      <c r="AM52" s="2" t="s">
        <v>381</v>
      </c>
    </row>
    <row r="53" spans="1:39" x14ac:dyDescent="0.2">
      <c r="A53" s="2" t="s">
        <v>378</v>
      </c>
      <c r="E53" s="23">
        <v>90000000</v>
      </c>
      <c r="F53" s="23">
        <v>50000000</v>
      </c>
      <c r="G53" s="23">
        <v>115000000</v>
      </c>
      <c r="H53" s="23">
        <f>H50/3</f>
        <v>38400</v>
      </c>
      <c r="I53" s="23">
        <f>I50/3</f>
        <v>32400</v>
      </c>
      <c r="J53" s="23">
        <f>J50/3</f>
        <v>166800</v>
      </c>
      <c r="T53">
        <v>10000</v>
      </c>
      <c r="U53">
        <v>8000</v>
      </c>
      <c r="V53">
        <v>12500</v>
      </c>
      <c r="W53">
        <v>10</v>
      </c>
      <c r="X53">
        <v>5</v>
      </c>
      <c r="Y53">
        <v>30</v>
      </c>
      <c r="AM53" s="2" t="s">
        <v>384</v>
      </c>
    </row>
    <row r="54" spans="1:39" x14ac:dyDescent="0.2">
      <c r="A54" s="2" t="s">
        <v>382</v>
      </c>
      <c r="E54" s="23">
        <v>90000000</v>
      </c>
      <c r="F54" s="23">
        <v>50000000</v>
      </c>
      <c r="G54" s="23">
        <v>115000000</v>
      </c>
      <c r="H54" s="23">
        <v>120000</v>
      </c>
      <c r="I54" s="23">
        <v>101000</v>
      </c>
      <c r="J54" s="23">
        <v>165000</v>
      </c>
      <c r="Q54">
        <v>1700</v>
      </c>
      <c r="R54">
        <v>1000</v>
      </c>
      <c r="S54">
        <v>3000</v>
      </c>
      <c r="AM54" s="2" t="s">
        <v>383</v>
      </c>
    </row>
    <row r="55" spans="1:39" x14ac:dyDescent="0.2">
      <c r="A55" s="17" t="s">
        <v>329</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393</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395</v>
      </c>
    </row>
    <row r="59" spans="1:39" x14ac:dyDescent="0.2">
      <c r="A59" s="2" t="s">
        <v>377</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394</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2026-01-14T18:41:42Z</dcterms:modified>
</cp:coreProperties>
</file>